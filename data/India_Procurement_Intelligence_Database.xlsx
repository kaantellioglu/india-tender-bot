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 Portal Master" sheetId="1" state="visible" r:id="rId1"/>
    <sheet name="02 Search Keywords" sheetId="2" state="visible" r:id="rId2"/>
    <sheet name="03 How To Search" sheetId="3" state="visible" r:id="rId3"/>
    <sheet name="04 Tender Register" sheetId="4" state="visible" r:id="rId4"/>
    <sheet name="05 Technical Database" sheetId="5" state="visible" r:id="rId5"/>
    <sheet name="06 Price Intelligence" sheetId="6" state="visible" r:id="rId6"/>
    <sheet name="07 Competitor DB" sheetId="7" state="visible" r:id="rId7"/>
    <sheet name="08 Source Log" sheetId="8" state="visible" r:id="rId8"/>
    <sheet name="00 Dashboard" sheetId="9" state="visible" r:id="rId9"/>
  </sheets>
  <definedNames/>
</workbook>
</file>

<file path=xl/styles.xml><?xml version="1.0" encoding="utf-8"?>
<styleSheet xmlns="http://schemas.openxmlformats.org/spreadsheetml/2006/main">
  <numFmts count="1">
    <numFmt numFmtId="164" formatCode="yyyy-mm-dd"/>
  </numFmts>
  <fonts count="5">
    <font>
      <name val="Carlito"/>
      <sz val="11"/>
    </font>
    <font>
      <name val="Carlito"/>
      <b val="1"/>
      <color rgb="FFFFFFFF"/>
      <sz val="14"/>
    </font>
    <font>
      <name val="Carlito"/>
      <b val="1"/>
      <color rgb="FFFFFFFF"/>
      <sz val="11"/>
    </font>
    <font>
      <name val="Carlito"/>
      <b val="1"/>
      <color rgb="FFFFFFFF"/>
      <sz val="16"/>
    </font>
    <font>
      <name val="Carlito"/>
      <b val="1"/>
      <sz val="11"/>
    </font>
  </fonts>
  <fills count="5">
    <fill>
      <patternFill/>
    </fill>
    <fill>
      <patternFill patternType="gray125"/>
    </fill>
    <fill>
      <patternFill patternType="solid">
        <fgColor rgb="FF0F766E"/>
      </patternFill>
    </fill>
    <fill>
      <patternFill patternType="solid">
        <fgColor rgb="FF115E59"/>
      </patternFill>
    </fill>
    <fill>
      <patternFill patternType="solid">
        <fgColor rgb="FFCCFBF1"/>
      </patternFill>
    </fill>
  </fills>
  <borders count="2">
    <border/>
    <border/>
  </borders>
  <cellStyleXfs count="1">
    <xf numFmtId="0" fontId="0" fillId="0" borderId="1"/>
  </cellStyleXfs>
  <cellXfs count="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0" borderId="0" applyAlignment="1" pivotButton="0" quotePrefix="0" xfId="0">
      <alignment wrapText="1"/>
    </xf>
    <xf numFmtId="0" fontId="0" fillId="0" borderId="1" applyAlignment="1" pivotButton="0" quotePrefix="0" xfId="0">
      <alignment wrapText="1"/>
    </xf>
    <xf numFmtId="0" fontId="0" fillId="3" borderId="0" applyAlignment="1" pivotButton="0" quotePrefix="0" xfId="0">
      <alignment wrapText="1"/>
    </xf>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applyAlignment="1" pivotButton="0" quotePrefix="0" xfId="0">
      <alignment wrapText="1"/>
    </xf>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164" fontId="0" fillId="0" borderId="0" applyAlignment="1" pivotButton="0" quotePrefix="0" xfId="0">
      <alignment wrapText="1"/>
    </xf>
    <xf numFmtId="164" fontId="0" fillId="0" borderId="0" pivotButton="0" quotePrefix="0" xfId="0"/>
    <xf numFmtId="164" fontId="0" fillId="0" borderId="1" applyAlignment="1" pivotButton="0" quotePrefix="0" xfId="0">
      <alignment wrapText="1"/>
    </xf>
    <xf numFmtId="164" fontId="0" fillId="0" borderId="1" pivotButton="0" quotePrefix="0" xfId="0"/>
    <xf numFmtId="4" fontId="0" fillId="0" borderId="0" applyAlignment="1" pivotButton="0" quotePrefix="0" xfId="0">
      <alignment wrapText="1"/>
    </xf>
    <xf numFmtId="4" fontId="0" fillId="0" borderId="0" pivotButton="0" quotePrefix="0" xfId="0"/>
    <xf numFmtId="4" fontId="0" fillId="0" borderId="1" applyAlignment="1" pivotButton="0" quotePrefix="0" xfId="0">
      <alignment wrapText="1"/>
    </xf>
    <xf numFmtId="4" fontId="0" fillId="0" borderId="1" pivotButton="0" quotePrefix="0" xfId="0"/>
    <xf numFmtId="0" fontId="3" fillId="2" borderId="0" pivotButton="0" quotePrefix="0" xfId="0"/>
    <xf numFmtId="0" fontId="3" fillId="2" borderId="1" pivotButton="0" quotePrefix="0" xfId="0"/>
    <xf numFmtId="0" fontId="0" fillId="4" borderId="0" pivotButton="0" quotePrefix="0" xfId="0"/>
    <xf numFmtId="0" fontId="4" fillId="4" borderId="0" pivotButton="0" quotePrefix="0" xfId="0"/>
    <xf numFmtId="0" fontId="4" fillId="4" borderId="0" applyAlignment="1" pivotButton="0" quotePrefix="0" xfId="0">
      <alignment horizontal="left"/>
    </xf>
    <xf numFmtId="0" fontId="0" fillId="4" borderId="1" pivotButton="0" quotePrefix="0" xfId="0"/>
    <xf numFmtId="0" fontId="4" fillId="4" borderId="1" pivotButton="0" quotePrefix="0" xfId="0"/>
    <xf numFmtId="0" fontId="4" fillId="4" borderId="1" applyAlignment="1" pivotButton="0" quotePrefix="0" xfId="0">
      <alignment horizontal="left"/>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1" fontId="0" fillId="0" borderId="0" applyAlignment="1" pivotButton="0" quotePrefix="0" xfId="0">
      <alignment wrapText="1"/>
    </xf>
    <xf numFmtId="1" fontId="0" fillId="0" borderId="1" applyAlignment="1" pivotButton="0" quotePrefix="0" xfId="0">
      <alignment wrapText="1"/>
    </xf>
    <xf numFmtId="1" fontId="0" fillId="0" borderId="0" pivotButton="0" quotePrefix="0" xfId="0"/>
    <xf numFmtId="164" fontId="0" fillId="0" borderId="0" applyAlignment="1" pivotButton="0" quotePrefix="0" xfId="0">
      <alignment wrapText="1"/>
    </xf>
    <xf numFmtId="4" fontId="0" fillId="0" borderId="0" applyAlignment="1" pivotButton="0" quotePrefix="0" xfId="0">
      <alignment wrapText="1"/>
    </xf>
    <xf numFmtId="164" fontId="0" fillId="0" borderId="0" pivotButton="0" quotePrefix="0" xfId="0"/>
    <xf numFmtId="4" fontId="0" fillId="0" borderId="0" pivotButton="0" quotePrefix="0" xfId="0"/>
    <xf numFmtId="1" fontId="0" fillId="0" borderId="0" pivotButton="0" quotePrefix="0" xfId="0"/>
    <xf numFmtId="1" fontId="0" fillId="0" borderId="0" applyAlignment="1" pivotButton="0" quotePrefix="0" xfId="0">
      <alignment wrapText="1"/>
    </xf>
  </cellXfs>
  <cellStyles count="1">
    <cellStyle name="Normal" xfId="0"/>
  </cellStyles>
  <dxfs count="6">
    <dxf>
      <fill>
        <patternFill patternType="solid">
          <bgColor rgb="FFDCFCE7"/>
        </patternFill>
      </fill>
    </dxf>
    <dxf>
      <fill>
        <patternFill patternType="solid">
          <bgColor rgb="FFFEF3C7"/>
        </patternFill>
      </fill>
    </dxf>
    <dxf>
      <fill>
        <patternFill patternType="solid">
          <bgColor rgb="FFFEE2E2"/>
        </patternFill>
      </fill>
    </dxf>
    <dxf>
      <fill>
        <patternFill patternType="solid">
          <bgColor rgb="FFDCFCE7"/>
        </patternFill>
      </fill>
    </dxf>
    <dxf>
      <fill>
        <patternFill patternType="solid">
          <bgColor rgb="FFDBEAFE"/>
        </patternFill>
      </fill>
    </dxf>
    <dxf>
      <fill>
        <patternFill patternType="solid">
          <bgColor rgb="FFFE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r>
              <a:rPr/>
              <a:t>Portal Coverage by Tier</a:t>
            </a:r>
          </a:p>
        </rich>
      </tx>
      <overlay val="0"/>
    </title>
    <plotArea>
      <layout/>
      <barChart>
        <barDir val="col"/>
        <grouping val="clustered"/>
        <varyColors val="0"/>
        <ser>
          <idx val="0"/>
          <order val="0"/>
          <tx>
            <v>Count</v>
          </tx>
          <spPr>
            <a:ln>
              <a:prstDash val="solid"/>
            </a:ln>
          </spPr>
          <cat>
            <strRef>
              <f>'00 Dashboard'!$D$4:$D$6</f>
              <strCache>
                <ptCount val="0"/>
              </strCache>
            </strRef>
          </cat>
          <val>
            <numRef>
              <f>'00 Dashboard'!$E$4:$E$6</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3</col>
      <colOff>0</colOff>
      <row>7</row>
      <rowOff>0</rowOff>
    </from>
    <to>
      <col>10</col>
      <colOff>0</colOff>
      <row>24</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01PortalMasterTable" displayName="01PortalMasterTable" ref="A3:J54" headerRowCount="1">
  <tableColumns count="10">
    <tableColumn id="1" name="Priority Tier"/>
    <tableColumn id="2" name="Company / Portal"/>
    <tableColumn id="3" name="Type"/>
    <tableColumn id="4" name="Main Website"/>
    <tableColumn id="5" name="Tender Search Link"/>
    <tableColumn id="6" name="Vendor/Award Link"/>
    <tableColumn id="7" name="Login / DSC / Requirement"/>
    <tableColumn id="8" name="Regulator Relevance"/>
    <tableColumn id="9" name="Evidence / Current Note"/>
    <tableColumn id="10" name="Next Action"/>
  </tableColumns>
  <tableStyleInfo name="TableStyleMedium2" showRowStripes="1"/>
</table>
</file>

<file path=xl/tables/table2.xml><?xml version="1.0" encoding="utf-8"?>
<table xmlns="http://schemas.openxmlformats.org/spreadsheetml/2006/main" id="2" name="02SearchKeywordsTable" displayName="02SearchKeywordsTable" ref="A3:D27" headerRowCount="1">
  <tableColumns count="4">
    <tableColumn id="1" name="Segment"/>
    <tableColumn id="2" name="Keyword"/>
    <tableColumn id="3" name="Meaning / Use"/>
    <tableColumn id="4" name="Notes"/>
  </tableColumns>
  <tableStyleInfo name="TableStyleMedium2" showRowStripes="1"/>
</table>
</file>

<file path=xl/tables/table3.xml><?xml version="1.0" encoding="utf-8"?>
<table xmlns="http://schemas.openxmlformats.org/spreadsheetml/2006/main" id="3" name="03HowToSearchTable" displayName="03HowToSearchTable" ref="A3:E13" headerRowCount="1">
  <tableColumns count="5">
    <tableColumn id="1" name="Portal"/>
    <tableColumn id="2" name="Step 1"/>
    <tableColumn id="3" name="Step 2"/>
    <tableColumn id="4" name="Step 3"/>
    <tableColumn id="5" name="What to Save"/>
  </tableColumns>
  <tableStyleInfo name="TableStyleMedium2" showRowStripes="1"/>
</table>
</file>

<file path=xl/tables/table4.xml><?xml version="1.0" encoding="utf-8"?>
<table xmlns="http://schemas.openxmlformats.org/spreadsheetml/2006/main" id="4" name="04TenderRegisterTable" displayName="04TenderRegisterTable" ref="A3:V7" headerRowCount="1">
  <tableColumns count="22">
    <tableColumn id="1" name="Tender ID"/>
    <tableColumn id="2" name="Company"/>
    <tableColumn id="3" name="Portal"/>
    <tableColumn id="4" name="Tender Ref"/>
    <tableColumn id="5" name="Tender Date"/>
    <tableColumn id="6" name="Status"/>
    <tableColumn id="7" name="Product Segment"/>
    <tableColumn id="8" name="Product Description"/>
    <tableColumn id="9" name="Qty"/>
    <tableColumn id="10" name="UOM"/>
    <tableColumn id="11" name="Winner"/>
    <tableColumn id="12" name="Brand"/>
    <tableColumn id="13" name="Total INR Basic"/>
    <tableColumn id="14" name="GST INR"/>
    <tableColumn id="15" name="Total INR Incl GST"/>
    <tableColumn id="16" name="FX INR/EUR"/>
    <tableColumn id="17" name="Total EUR"/>
    <tableColumn id="18" name="Unit EUR Basic"/>
    <tableColumn id="19" name="Unit EUR Incl GST"/>
    <tableColumn id="20" name="Source URL"/>
    <tableColumn id="21" name="PDF Saved?"/>
    <tableColumn id="22" name="Notes"/>
  </tableColumns>
  <tableStyleInfo name="TableStyleMedium2" showRowStripes="1"/>
</table>
</file>

<file path=xl/tables/table5.xml><?xml version="1.0" encoding="utf-8"?>
<table xmlns="http://schemas.openxmlformats.org/spreadsheetml/2006/main" id="5" name="05TechnicalDatabaseTable" displayName="05TechnicalDatabaseTable" ref="A3:R5" headerRowCount="1">
  <tableColumns count="18">
    <tableColumn id="1" name="Tender ID"/>
    <tableColumn id="2" name="Product Segment"/>
    <tableColumn id="3" name="Model/Type"/>
    <tableColumn id="4" name="Inlet Pressure"/>
    <tableColumn id="5" name="Outlet Pressure"/>
    <tableColumn id="6" name="Capacity"/>
    <tableColumn id="7" name="Accuracy Class"/>
    <tableColumn id="8" name="Lock-up / SG"/>
    <tableColumn id="9" name="OPSO"/>
    <tableColumn id="10" name="UPSO"/>
    <tableColumn id="11" name="Relief"/>
    <tableColumn id="12" name="Monitor"/>
    <tableColumn id="13" name="Body Material"/>
    <tableColumn id="14" name="Connection"/>
    <tableColumn id="15" name="Standard"/>
    <tableColumn id="16" name="TPI / Certification"/>
    <tableColumn id="17" name="Source Page / URL"/>
    <tableColumn id="18" name="Notes"/>
  </tableColumns>
  <tableStyleInfo name="TableStyleMedium2" showRowStripes="1"/>
</table>
</file>

<file path=xl/tables/table6.xml><?xml version="1.0" encoding="utf-8"?>
<table xmlns="http://schemas.openxmlformats.org/spreadsheetml/2006/main" id="6" name="06PriceIntelligenceTable" displayName="06PriceIntelligenceTable" ref="A3:O6" headerRowCount="1">
  <tableColumns count="15">
    <tableColumn id="1" name="Tender ID"/>
    <tableColumn id="2" name="Company"/>
    <tableColumn id="3" name="Year"/>
    <tableColumn id="4" name="Product Segment"/>
    <tableColumn id="5" name="Capacity"/>
    <tableColumn id="6" name="Qty"/>
    <tableColumn id="7" name="Winner"/>
    <tableColumn id="8" name="Brand"/>
    <tableColumn id="9" name="Total INR Basic"/>
    <tableColumn id="10" name="Total EUR Basic"/>
    <tableColumn id="11" name="Unit EUR Basic"/>
    <tableColumn id="12" name="Unit EUR Incl GST"/>
    <tableColumn id="13" name="Confidence"/>
    <tableColumn id="14" name="Source URL"/>
    <tableColumn id="15" name="Notes"/>
  </tableColumns>
  <tableStyleInfo name="TableStyleMedium2" showRowStripes="1"/>
</table>
</file>

<file path=xl/tables/table7.xml><?xml version="1.0" encoding="utf-8"?>
<table xmlns="http://schemas.openxmlformats.org/spreadsheetml/2006/main" id="7" name="07CompetitorDBTable" displayName="07CompetitorDBTable" ref="A3:G14" headerRowCount="1">
  <tableColumns count="7">
    <tableColumn id="1" name="Competitor"/>
    <tableColumn id="2" name="Country"/>
    <tableColumn id="3" name="Role"/>
    <tableColumn id="4" name="Likely Segment"/>
    <tableColumn id="5" name="Website"/>
    <tableColumn id="6" name="Relevance"/>
    <tableColumn id="7" name="Notes"/>
  </tableColumns>
  <tableStyleInfo name="TableStyleMedium2" showRowStripes="1"/>
</table>
</file>

<file path=xl/tables/table8.xml><?xml version="1.0" encoding="utf-8"?>
<table xmlns="http://schemas.openxmlformats.org/spreadsheetml/2006/main" id="8" name="08SourceLogTable" displayName="08SourceLogTable" ref="A3:C19" headerRowCount="1">
  <tableColumns count="3">
    <tableColumn id="1" name="Source"/>
    <tableColumn id="2" name="Use"/>
    <tableColumn id="3" name="URL"/>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54"/>
  <sheetViews>
    <sheetView workbookViewId="0">
      <selection activeCell="A1" sqref="A1"/>
    </sheetView>
  </sheetViews>
  <sheetFormatPr baseColWidth="8" defaultRowHeight="15"/>
  <cols>
    <col width="10" customWidth="1" min="1" max="1"/>
    <col width="22" customWidth="1" min="2" max="2"/>
    <col width="18" customWidth="1" min="3" max="3"/>
    <col width="32" customWidth="1" min="4" max="4"/>
    <col width="36" customWidth="1" min="5" max="5"/>
    <col width="36" customWidth="1" min="6" max="6"/>
    <col width="24" customWidth="1" min="7" max="7"/>
    <col width="16" customWidth="1" min="8" max="8"/>
    <col width="38" customWidth="1" min="9" max="9"/>
    <col width="30" customWidth="1" min="10" max="10"/>
  </cols>
  <sheetData>
    <row r="1" ht="24" customHeight="1">
      <c r="A1" s="5" t="inlineStr">
        <is>
          <t>01 Portal Master</t>
        </is>
      </c>
    </row>
    <row r="3" ht="30" customHeight="1">
      <c r="A3" s="15" t="inlineStr">
        <is>
          <t>Priority Tier</t>
        </is>
      </c>
      <c r="B3" s="15" t="inlineStr">
        <is>
          <t>Company / Portal</t>
        </is>
      </c>
      <c r="C3" s="15" t="inlineStr">
        <is>
          <t>Type</t>
        </is>
      </c>
      <c r="D3" s="15" t="inlineStr">
        <is>
          <t>Main Website</t>
        </is>
      </c>
      <c r="E3" s="15" t="inlineStr">
        <is>
          <t>Tender Search Link</t>
        </is>
      </c>
      <c r="F3" s="15" t="inlineStr">
        <is>
          <t>Vendor/Award Link</t>
        </is>
      </c>
      <c r="G3" s="15" t="inlineStr">
        <is>
          <t>Login / DSC / Requirement</t>
        </is>
      </c>
      <c r="H3" s="15" t="inlineStr">
        <is>
          <t>Regulator Relevance</t>
        </is>
      </c>
      <c r="I3" s="15" t="inlineStr">
        <is>
          <t>Evidence / Current Note</t>
        </is>
      </c>
      <c r="J3" s="15" t="inlineStr">
        <is>
          <t>Next Action</t>
        </is>
      </c>
    </row>
    <row r="4">
      <c r="A4" s="10" t="inlineStr">
        <is>
          <t>Tier 1</t>
        </is>
      </c>
      <c r="B4" s="10" t="inlineStr">
        <is>
          <t>GAIL India</t>
        </is>
      </c>
      <c r="C4" s="10" t="inlineStr">
        <is>
          <t>PSU / Gas transmission + CGD parent</t>
        </is>
      </c>
      <c r="D4" s="10" t="inlineStr">
        <is>
          <t>https://gailtenders.in</t>
        </is>
      </c>
      <c r="E4" s="10" t="inlineStr">
        <is>
          <t>https://gailtenders.in/Gailtenders</t>
        </is>
      </c>
      <c r="F4" s="10" t="inlineStr">
        <is>
          <t>https://gailtenders.in/Gailtenders/writereaddata/AOC/</t>
        </is>
      </c>
      <c r="G4" s="10" t="inlineStr">
        <is>
          <t>May need vendor login/DSC for bids</t>
        </is>
      </c>
      <c r="H4" s="10" t="inlineStr">
        <is>
          <t>High</t>
        </is>
      </c>
      <c r="I4" s="10" t="inlineStr">
        <is>
          <t>FOA/LOA/AOC PDFs openly available</t>
        </is>
      </c>
      <c r="J4" s="10" t="inlineStr">
        <is>
          <t>Use GAIL AOC and archive searches</t>
        </is>
      </c>
    </row>
    <row r="5">
      <c r="A5" s="10" t="inlineStr">
        <is>
          <t>Tier 1</t>
        </is>
      </c>
      <c r="B5" s="10" t="inlineStr">
        <is>
          <t>GAIL Gas</t>
        </is>
      </c>
      <c r="C5" s="10" t="inlineStr">
        <is>
          <t>CGD operator</t>
        </is>
      </c>
      <c r="D5" s="10" t="inlineStr">
        <is>
          <t>https://gailgas.com</t>
        </is>
      </c>
      <c r="E5" s="10" t="inlineStr">
        <is>
          <t>https://gailgas.com/stakeholder-zone/vendor-zone</t>
        </is>
      </c>
      <c r="F5" s="10" t="inlineStr">
        <is>
          <t>https://gailgas.com/stakeholder-zone/vendor-zone</t>
        </is>
      </c>
      <c r="G5" s="10" t="inlineStr">
        <is>
          <t>Likely GeM/portal depending tender</t>
        </is>
      </c>
      <c r="H5" s="10" t="inlineStr">
        <is>
          <t>High</t>
        </is>
      </c>
      <c r="I5" s="10" t="inlineStr">
        <is>
          <t>Vendor zone points to tender information system</t>
        </is>
      </c>
      <c r="J5" s="10" t="inlineStr">
        <is>
          <t>Search domestic/service regulators and GeM refs</t>
        </is>
      </c>
    </row>
    <row r="6">
      <c r="A6" s="10" t="inlineStr">
        <is>
          <t>Tier 1</t>
        </is>
      </c>
      <c r="B6" s="10" t="inlineStr">
        <is>
          <t>Indraprastha Gas (IGL)</t>
        </is>
      </c>
      <c r="C6" s="10" t="inlineStr">
        <is>
          <t>CGD operator</t>
        </is>
      </c>
      <c r="D6" s="10" t="inlineStr">
        <is>
          <t>https://www.iglonline.net</t>
        </is>
      </c>
      <c r="E6" s="10" t="inlineStr">
        <is>
          <t>https://tenders.iglonline.net/tenderList</t>
        </is>
      </c>
      <c r="F6" s="10" t="inlineStr">
        <is>
          <t>https://tenders.iglonline.net/tenderList</t>
        </is>
      </c>
      <c r="G6" s="10" t="inlineStr">
        <is>
          <t>Vendor registration listed on tender portal</t>
        </is>
      </c>
      <c r="H6" s="10" t="inlineStr">
        <is>
          <t>High</t>
        </is>
      </c>
      <c r="I6" s="10" t="inlineStr">
        <is>
          <t>Portal has active tenders, vendor portal, e-tender guide</t>
        </is>
      </c>
      <c r="J6" s="10" t="inlineStr">
        <is>
          <t>Search FRS/MRS/C&amp;I regulators</t>
        </is>
      </c>
    </row>
    <row r="7">
      <c r="A7" s="10" t="inlineStr">
        <is>
          <t>Tier 1</t>
        </is>
      </c>
      <c r="B7" s="10" t="inlineStr">
        <is>
          <t>Mahanagar Gas (MGL)</t>
        </is>
      </c>
      <c r="C7" s="10" t="inlineStr">
        <is>
          <t>CGD operator</t>
        </is>
      </c>
      <c r="D7" s="10" t="inlineStr">
        <is>
          <t>https://www.mahanagargas.com</t>
        </is>
      </c>
      <c r="E7" s="10" t="inlineStr">
        <is>
          <t>https://www.mahanagargas.com/Tender</t>
        </is>
      </c>
      <c r="F7" s="10" t="inlineStr">
        <is>
          <t>https://www.mahanagargas.com/Tender</t>
        </is>
      </c>
      <c r="G7" s="10" t="inlineStr">
        <is>
          <t>SAP/RFx, DSC usually needed</t>
        </is>
      </c>
      <c r="H7" s="10" t="inlineStr">
        <is>
          <t>High</t>
        </is>
      </c>
      <c r="I7" s="10" t="inlineStr">
        <is>
          <t>Supplier bid guide shows digital signature requirement</t>
        </is>
      </c>
      <c r="J7" s="10" t="inlineStr">
        <is>
          <t>Need find archive/results</t>
        </is>
      </c>
    </row>
    <row r="8">
      <c r="A8" s="10" t="inlineStr">
        <is>
          <t>Tier 1</t>
        </is>
      </c>
      <c r="B8" s="10" t="inlineStr">
        <is>
          <t>Gujarat Gas (GGL)</t>
        </is>
      </c>
      <c r="C8" s="10" t="inlineStr">
        <is>
          <t>CGD operator</t>
        </is>
      </c>
      <c r="D8" s="10" t="inlineStr">
        <is>
          <t>https://www.gujaratgas.com</t>
        </is>
      </c>
      <c r="E8" s="10" t="inlineStr">
        <is>
          <t>https://www.gujaratgas.com/tenders/</t>
        </is>
      </c>
      <c r="F8" s="10" t="inlineStr">
        <is>
          <t>https://www.gujaratgas.com/tenders/</t>
        </is>
      </c>
      <c r="G8" s="10" t="inlineStr">
        <is>
          <t>nProcure registration; DSC likely</t>
        </is>
      </c>
      <c r="H8" s="10" t="inlineStr">
        <is>
          <t>High</t>
        </is>
      </c>
      <c r="I8" s="10" t="inlineStr">
        <is>
          <t>GGL tenders are published through nProcure</t>
        </is>
      </c>
      <c r="J8" s="10" t="inlineStr">
        <is>
          <t>Use nProcure support links</t>
        </is>
      </c>
    </row>
    <row r="9">
      <c r="A9" s="10" t="inlineStr">
        <is>
          <t>Tier 1</t>
        </is>
      </c>
      <c r="B9" s="10" t="inlineStr">
        <is>
          <t>Adani Total Gas (ATGL)</t>
        </is>
      </c>
      <c r="C9" s="10" t="inlineStr">
        <is>
          <t>CGD operator</t>
        </is>
      </c>
      <c r="D9" s="10" t="inlineStr">
        <is>
          <t>https://www.adanigas.com</t>
        </is>
      </c>
      <c r="E9" s="10" t="inlineStr">
        <is>
          <t>https://www.adanigas.com/commercials</t>
        </is>
      </c>
      <c r="F9" s="10" t="inlineStr">
        <is>
          <t>https://www.adanigas.com/commercials</t>
        </is>
      </c>
      <c r="G9" s="10" t="inlineStr">
        <is>
          <t>Vendor registration available</t>
        </is>
      </c>
      <c r="H9" s="10" t="inlineStr">
        <is>
          <t>High</t>
        </is>
      </c>
      <c r="I9" s="10" t="inlineStr">
        <is>
          <t>Commercials page has Vendor Registration, Tender and EOI</t>
        </is>
      </c>
      <c r="J9" s="10" t="inlineStr">
        <is>
          <t>Search tender category list</t>
        </is>
      </c>
    </row>
    <row r="10">
      <c r="A10" s="10" t="inlineStr">
        <is>
          <t>Tier 1</t>
        </is>
      </c>
      <c r="B10" s="10" t="inlineStr">
        <is>
          <t>Torrent Gas</t>
        </is>
      </c>
      <c r="C10" s="10" t="inlineStr">
        <is>
          <t>CGD operator</t>
        </is>
      </c>
      <c r="D10" s="10" t="inlineStr">
        <is>
          <t>https://www.torrentgas.com</t>
        </is>
      </c>
      <c r="E10" s="10" t="inlineStr">
        <is>
          <t>https://www.torrentgas.com/User/Info/Vendor</t>
        </is>
      </c>
      <c r="F10" s="10" t="inlineStr">
        <is>
          <t>https://www.torrentgas.com/User/Info/Vendor</t>
        </is>
      </c>
      <c r="G10" s="10" t="inlineStr">
        <is>
          <t>Vendor evaluation/registration</t>
        </is>
      </c>
      <c r="H10" s="10" t="inlineStr">
        <is>
          <t>High</t>
        </is>
      </c>
      <c r="I10" s="10" t="inlineStr">
        <is>
          <t>Vendor page lists procurement email</t>
        </is>
      </c>
      <c r="J10" s="10" t="inlineStr">
        <is>
          <t>procurement@torrentgas.com</t>
        </is>
      </c>
    </row>
    <row r="11">
      <c r="A11" s="10" t="inlineStr">
        <is>
          <t>Tier 1</t>
        </is>
      </c>
      <c r="B11" s="10" t="inlineStr">
        <is>
          <t>IndianOil-Adani Gas (IOAGPL)</t>
        </is>
      </c>
      <c r="C11" s="10" t="inlineStr">
        <is>
          <t>CGD JV</t>
        </is>
      </c>
      <c r="D11" s="10" t="inlineStr">
        <is>
          <t>https://ioagpl.com</t>
        </is>
      </c>
      <c r="E11" s="10" t="inlineStr">
        <is>
          <t>https://ioagpl.com/vendor-registration-form/</t>
        </is>
      </c>
      <c r="F11" s="10" t="inlineStr">
        <is>
          <t>https://ioagpl.com/tenders/</t>
        </is>
      </c>
      <c r="G11" s="10" t="inlineStr">
        <is>
          <t>Vendor form via courier/docs</t>
        </is>
      </c>
      <c r="H11" s="10" t="inlineStr">
        <is>
          <t>High</t>
        </is>
      </c>
      <c r="I11" s="10" t="inlineStr">
        <is>
          <t>Vendor registration form page lists required docs</t>
        </is>
      </c>
      <c r="J11" s="10" t="inlineStr">
        <is>
          <t>Search IOAGPL regulator on CPPP too</t>
        </is>
      </c>
    </row>
    <row r="12">
      <c r="A12" s="10" t="inlineStr">
        <is>
          <t>Tier 1</t>
        </is>
      </c>
      <c r="B12" s="10" t="inlineStr">
        <is>
          <t>Indian Oil Corporation (IOCL CGD)</t>
        </is>
      </c>
      <c r="C12" s="10" t="inlineStr">
        <is>
          <t>PSU CGD operator</t>
        </is>
      </c>
      <c r="D12" s="10" t="inlineStr">
        <is>
          <t>https://iocl.com</t>
        </is>
      </c>
      <c r="E12" s="10" t="inlineStr">
        <is>
          <t>https://iocl.com/tenders</t>
        </is>
      </c>
      <c r="F12" s="10" t="inlineStr">
        <is>
          <t>https://iocl.com/pages/cgd</t>
        </is>
      </c>
      <c r="G12" s="10" t="inlineStr">
        <is>
          <t>CPPP/IOCL portal/GeM</t>
        </is>
      </c>
      <c r="H12" s="10" t="inlineStr">
        <is>
          <t>High</t>
        </is>
      </c>
      <c r="I12" s="10" t="inlineStr">
        <is>
          <t>IOCL says it is present in 49 GAs with JVs</t>
        </is>
      </c>
      <c r="J12" s="10" t="inlineStr">
        <is>
          <t>Search organisation Indian Oil Corporation</t>
        </is>
      </c>
    </row>
    <row r="13">
      <c r="A13" s="10" t="inlineStr">
        <is>
          <t>Tier 1</t>
        </is>
      </c>
      <c r="B13" s="10" t="inlineStr">
        <is>
          <t>Bharat Petroleum (BPCL CGD)</t>
        </is>
      </c>
      <c r="C13" s="10" t="inlineStr">
        <is>
          <t>PSU CGD operator</t>
        </is>
      </c>
      <c r="D13" s="10" t="inlineStr">
        <is>
          <t>https://bharatpetroleum.in</t>
        </is>
      </c>
      <c r="E13" s="10" t="inlineStr">
        <is>
          <t>https://bharatpetroleum.in/tenders</t>
        </is>
      </c>
      <c r="F13" s="10" t="inlineStr">
        <is>
          <t>https://bharatpetroleum.in/bharat-petroleum-for/our-businesses/gas/city-gas-distribution</t>
        </is>
      </c>
      <c r="G13" s="10" t="inlineStr">
        <is>
          <t>CPPP/BPCL portal/GeM</t>
        </is>
      </c>
      <c r="H13" s="10" t="inlineStr">
        <is>
          <t>High</t>
        </is>
      </c>
      <c r="I13" s="10" t="inlineStr">
        <is>
          <t>BPCL CGD page confirms CGD business</t>
        </is>
      </c>
      <c r="J13" s="10" t="inlineStr">
        <is>
          <t>Search BPCL CGD regulator</t>
        </is>
      </c>
    </row>
    <row r="14">
      <c r="A14" s="10" t="inlineStr">
        <is>
          <t>Tier 1</t>
        </is>
      </c>
      <c r="B14" s="10" t="inlineStr">
        <is>
          <t>Hindustan Petroleum (HPCL CGD)</t>
        </is>
      </c>
      <c r="C14" s="10" t="inlineStr">
        <is>
          <t>PSU CGD operator</t>
        </is>
      </c>
      <c r="D14" s="10" t="inlineStr">
        <is>
          <t>https://www.hindustanpetroleum.com</t>
        </is>
      </c>
      <c r="E14" s="10" t="inlineStr">
        <is>
          <t>https://www.hindustanpetroleum.com/pages/tenders-and-contracts</t>
        </is>
      </c>
      <c r="F14" s="10" t="inlineStr">
        <is>
          <t>https://www.hindustanpetroleum.com</t>
        </is>
      </c>
      <c r="G14" s="10" t="inlineStr">
        <is>
          <t>CPPP/HPCL portal/GeM</t>
        </is>
      </c>
      <c r="H14" s="10" t="inlineStr">
        <is>
          <t>Medium</t>
        </is>
      </c>
      <c r="I14" s="10" t="inlineStr">
        <is>
          <t>Often central PSU procurement</t>
        </is>
      </c>
      <c r="J14" s="10" t="inlineStr">
        <is>
          <t>Search HPCL city gas distribution regulator</t>
        </is>
      </c>
    </row>
    <row r="15">
      <c r="A15" s="10" t="inlineStr">
        <is>
          <t>Tier 2</t>
        </is>
      </c>
      <c r="B15" s="10" t="inlineStr">
        <is>
          <t>Maharashtra Natural Gas (MNGL)</t>
        </is>
      </c>
      <c r="C15" s="10" t="inlineStr">
        <is>
          <t>CGD operator</t>
        </is>
      </c>
      <c r="D15" s="10" t="inlineStr">
        <is>
          <t>https://mngl.in</t>
        </is>
      </c>
      <c r="E15" s="10" t="inlineStr">
        <is>
          <t>https://mngl.in/active-tenders</t>
        </is>
      </c>
      <c r="F15" s="10" t="inlineStr">
        <is>
          <t>https://mngl.in/vendor/instructions-to-bridders</t>
        </is>
      </c>
      <c r="G15" s="10" t="inlineStr">
        <is>
          <t>CPPP; DSC required</t>
        </is>
      </c>
      <c r="H15" s="10" t="inlineStr">
        <is>
          <t>High</t>
        </is>
      </c>
      <c r="I15" s="10" t="inlineStr">
        <is>
          <t>Instructions say submit on CPP portal with DSC</t>
        </is>
      </c>
      <c r="J15" s="10" t="inlineStr">
        <is>
          <t>Important domestic regulator ARC source</t>
        </is>
      </c>
    </row>
    <row r="16">
      <c r="A16" s="10" t="inlineStr">
        <is>
          <t>Tier 2</t>
        </is>
      </c>
      <c r="B16" s="10" t="inlineStr">
        <is>
          <t>Gasonet Services</t>
        </is>
      </c>
      <c r="C16" s="10" t="inlineStr">
        <is>
          <t>CGD operator</t>
        </is>
      </c>
      <c r="D16" s="10" t="inlineStr">
        <is>
          <t>https://www.gasonet.in</t>
        </is>
      </c>
      <c r="E16" s="10" t="inlineStr">
        <is>
          <t>https://www.gasonet.in/tenders.html</t>
        </is>
      </c>
      <c r="F16" s="10" t="inlineStr">
        <is>
          <t>https://www.gasonet.in/tenders.html</t>
        </is>
      </c>
      <c r="G16" s="10" t="inlineStr">
        <is>
          <t>Open tender PDF; email in docs</t>
        </is>
      </c>
      <c r="H16" s="10" t="inlineStr">
        <is>
          <t>High</t>
        </is>
      </c>
      <c r="I16" s="10" t="inlineStr">
        <is>
          <t>Tenders page has domestic/service regulator PDF</t>
        </is>
      </c>
      <c r="J16" s="10" t="inlineStr">
        <is>
          <t>Good for technical/quantity extraction</t>
        </is>
      </c>
    </row>
    <row r="17">
      <c r="A17" s="10" t="inlineStr">
        <is>
          <t>Tier 2</t>
        </is>
      </c>
      <c r="B17" s="10" t="inlineStr">
        <is>
          <t>Green Gas Limited</t>
        </is>
      </c>
      <c r="C17" s="10" t="inlineStr">
        <is>
          <t>CGD JV</t>
        </is>
      </c>
      <c r="D17" s="10" t="inlineStr">
        <is>
          <t>https://www.gglonline.net</t>
        </is>
      </c>
      <c r="E17" s="10" t="inlineStr">
        <is>
          <t>https://www.gglonline.net/tender</t>
        </is>
      </c>
      <c r="F17" s="10" t="inlineStr">
        <is>
          <t>https://www.gglonline.net/tender</t>
        </is>
      </c>
      <c r="G17" s="10" t="inlineStr">
        <is>
          <t>To verify</t>
        </is>
      </c>
      <c r="H17" s="10" t="inlineStr">
        <is>
          <t>High</t>
        </is>
      </c>
      <c r="I17" s="10" t="inlineStr">
        <is>
          <t>CGD operator; tender page to monitor</t>
        </is>
      </c>
      <c r="J17" s="10" t="inlineStr">
        <is>
          <t>Search regulator/PRS</t>
        </is>
      </c>
    </row>
    <row r="18">
      <c r="A18" s="10" t="inlineStr">
        <is>
          <t>Tier 2</t>
        </is>
      </c>
      <c r="B18" s="10" t="inlineStr">
        <is>
          <t>Central U.P. Gas (CUGL)</t>
        </is>
      </c>
      <c r="C18" s="10" t="inlineStr">
        <is>
          <t>CGD operator</t>
        </is>
      </c>
      <c r="D18" s="10" t="inlineStr">
        <is>
          <t>https://www.cugl.co.in</t>
        </is>
      </c>
      <c r="E18" s="10" t="inlineStr">
        <is>
          <t>https://www.cugl.co.in/tenders</t>
        </is>
      </c>
      <c r="F18" s="10" t="inlineStr">
        <is>
          <t>https://www.cugl.co.in/tenders</t>
        </is>
      </c>
      <c r="G18" s="10" t="inlineStr">
        <is>
          <t>To verify</t>
        </is>
      </c>
      <c r="H18" s="10" t="inlineStr">
        <is>
          <t>High</t>
        </is>
      </c>
      <c r="I18" s="10" t="inlineStr">
        <is>
          <t>CGD operator in UP</t>
        </is>
      </c>
      <c r="J18" s="10" t="inlineStr">
        <is>
          <t>Search CUGL procurement regulator</t>
        </is>
      </c>
    </row>
    <row r="19">
      <c r="A19" s="10" t="inlineStr">
        <is>
          <t>Tier 2</t>
        </is>
      </c>
      <c r="B19" s="10" t="inlineStr">
        <is>
          <t>Sabarmati Gas</t>
        </is>
      </c>
      <c r="C19" s="10" t="inlineStr">
        <is>
          <t>CGD operator</t>
        </is>
      </c>
      <c r="D19" s="10" t="inlineStr">
        <is>
          <t>https://www.sabarmatigas.in</t>
        </is>
      </c>
      <c r="E19" s="10" t="inlineStr">
        <is>
          <t>https://www.sabarmatigas.in/tenders</t>
        </is>
      </c>
      <c r="F19" s="10" t="inlineStr">
        <is>
          <t>https://www.sabarmatigas.in/tenders</t>
        </is>
      </c>
      <c r="G19" s="10" t="inlineStr">
        <is>
          <t>To verify</t>
        </is>
      </c>
      <c r="H19" s="10" t="inlineStr">
        <is>
          <t>High</t>
        </is>
      </c>
      <c r="I19" s="10" t="inlineStr">
        <is>
          <t>CGD operator in Gujarat</t>
        </is>
      </c>
      <c r="J19" s="10" t="inlineStr">
        <is>
          <t>Search service/domestic regulators</t>
        </is>
      </c>
    </row>
    <row r="20">
      <c r="A20" s="10" t="inlineStr">
        <is>
          <t>Tier 2</t>
        </is>
      </c>
      <c r="B20" s="10" t="inlineStr">
        <is>
          <t>Charotar Gas</t>
        </is>
      </c>
      <c r="C20" s="10" t="inlineStr">
        <is>
          <t>CGD operator</t>
        </is>
      </c>
      <c r="D20" s="10" t="inlineStr">
        <is>
          <t>https://charotargas.com</t>
        </is>
      </c>
      <c r="E20" s="10" t="inlineStr">
        <is>
          <t>https://charotargas.com/tenders</t>
        </is>
      </c>
      <c r="F20" s="10" t="inlineStr">
        <is>
          <t>https://charotargas.com/tenders</t>
        </is>
      </c>
      <c r="G20" s="10" t="inlineStr">
        <is>
          <t>To verify</t>
        </is>
      </c>
      <c r="H20" s="10" t="inlineStr">
        <is>
          <t>Medium</t>
        </is>
      </c>
      <c r="I20" s="10" t="inlineStr">
        <is>
          <t>CGD operator</t>
        </is>
      </c>
      <c r="J20" s="10" t="inlineStr">
        <is>
          <t>Search tenders manually</t>
        </is>
      </c>
    </row>
    <row r="21">
      <c r="A21" s="10" t="inlineStr">
        <is>
          <t>Tier 2</t>
        </is>
      </c>
      <c r="B21" s="10" t="inlineStr">
        <is>
          <t>Goa Natural Gas</t>
        </is>
      </c>
      <c r="C21" s="10" t="inlineStr">
        <is>
          <t>CGD operator</t>
        </is>
      </c>
      <c r="D21" s="10" t="inlineStr">
        <is>
          <t>https://www.goanaturalgas.com</t>
        </is>
      </c>
      <c r="E21" s="10" t="inlineStr">
        <is>
          <t>https://www.goanaturalgas.com/tenders/</t>
        </is>
      </c>
      <c r="F21" s="10" t="inlineStr">
        <is>
          <t>https://www.goanaturalgas.com/tenders/</t>
        </is>
      </c>
      <c r="G21" s="10" t="inlineStr">
        <is>
          <t>Open docs possible</t>
        </is>
      </c>
      <c r="H21" s="10" t="inlineStr">
        <is>
          <t>High</t>
        </is>
      </c>
      <c r="I21" s="10" t="inlineStr">
        <is>
          <t>Previous docs include regulator quantities</t>
        </is>
      </c>
      <c r="J21" s="10" t="inlineStr">
        <is>
          <t>Good benchmark source</t>
        </is>
      </c>
    </row>
    <row r="22">
      <c r="A22" s="10" t="inlineStr">
        <is>
          <t>Tier 2</t>
        </is>
      </c>
      <c r="B22" s="10" t="inlineStr">
        <is>
          <t>Haryana City Gas</t>
        </is>
      </c>
      <c r="C22" s="10" t="inlineStr">
        <is>
          <t>CGD operator</t>
        </is>
      </c>
      <c r="D22" s="10" t="inlineStr">
        <is>
          <t>https://haryanacitygas.com</t>
        </is>
      </c>
      <c r="E22" s="10" t="inlineStr">
        <is>
          <t>https://haryanacitygas.com/tenders</t>
        </is>
      </c>
      <c r="F22" s="10" t="inlineStr">
        <is>
          <t>https://haryanacitygas.com/tenders</t>
        </is>
      </c>
      <c r="G22" s="10" t="inlineStr">
        <is>
          <t>To verify</t>
        </is>
      </c>
      <c r="H22" s="10" t="inlineStr">
        <is>
          <t>Medium</t>
        </is>
      </c>
      <c r="I22" s="10" t="inlineStr">
        <is>
          <t>CGD operator</t>
        </is>
      </c>
      <c r="J22" s="10" t="inlineStr">
        <is>
          <t>Search domestic regulator</t>
        </is>
      </c>
    </row>
    <row r="23">
      <c r="A23" s="10" t="inlineStr">
        <is>
          <t>Tier 2</t>
        </is>
      </c>
      <c r="B23" s="10" t="inlineStr">
        <is>
          <t>Bhagyanagar Gas</t>
        </is>
      </c>
      <c r="C23" s="10" t="inlineStr">
        <is>
          <t>CGD operator</t>
        </is>
      </c>
      <c r="D23" s="10" t="inlineStr">
        <is>
          <t>https://www.bglgas.com</t>
        </is>
      </c>
      <c r="E23" s="10" t="inlineStr">
        <is>
          <t>https://www.bglgas.com/tenders</t>
        </is>
      </c>
      <c r="F23" s="10" t="inlineStr">
        <is>
          <t>https://www.bglgas.com/tenders</t>
        </is>
      </c>
      <c r="G23" s="10" t="inlineStr">
        <is>
          <t>To verify</t>
        </is>
      </c>
      <c r="H23" s="10" t="inlineStr">
        <is>
          <t>Medium</t>
        </is>
      </c>
      <c r="I23" s="10" t="inlineStr">
        <is>
          <t>CGD operator; PNGRB listed entity</t>
        </is>
      </c>
      <c r="J23" s="10" t="inlineStr">
        <is>
          <t>Search BGL tenders</t>
        </is>
      </c>
    </row>
    <row r="24">
      <c r="A24" s="10" t="inlineStr">
        <is>
          <t>Tier 2</t>
        </is>
      </c>
      <c r="B24" s="10" t="inlineStr">
        <is>
          <t>Tripura Natural Gas</t>
        </is>
      </c>
      <c r="C24" s="10" t="inlineStr">
        <is>
          <t>CGD operator</t>
        </is>
      </c>
      <c r="D24" s="10" t="inlineStr">
        <is>
          <t>https://tngclonline.com</t>
        </is>
      </c>
      <c r="E24" s="10" t="inlineStr">
        <is>
          <t>https://tngclonline.com/tenders</t>
        </is>
      </c>
      <c r="F24" s="10" t="inlineStr">
        <is>
          <t>https://tngclonline.com/tenders</t>
        </is>
      </c>
      <c r="G24" s="10" t="inlineStr">
        <is>
          <t>To verify</t>
        </is>
      </c>
      <c r="H24" s="10" t="inlineStr">
        <is>
          <t>Medium</t>
        </is>
      </c>
      <c r="I24" s="10" t="inlineStr">
        <is>
          <t>CGD operator</t>
        </is>
      </c>
      <c r="J24" s="10" t="inlineStr">
        <is>
          <t>Search TNGCL regulator</t>
        </is>
      </c>
    </row>
    <row r="25">
      <c r="A25" s="10" t="inlineStr">
        <is>
          <t>Tier 2</t>
        </is>
      </c>
      <c r="B25" s="10" t="inlineStr">
        <is>
          <t>Avantika Gas</t>
        </is>
      </c>
      <c r="C25" s="10" t="inlineStr">
        <is>
          <t>CGD operator</t>
        </is>
      </c>
      <c r="D25" s="10" t="inlineStr">
        <is>
          <t>https://www.aglonline.net</t>
        </is>
      </c>
      <c r="E25" s="10" t="inlineStr">
        <is>
          <t>https://www.aglonline.net/tender</t>
        </is>
      </c>
      <c r="F25" s="10" t="inlineStr">
        <is>
          <t>https://www.aglonline.net/tender</t>
        </is>
      </c>
      <c r="G25" s="10" t="inlineStr">
        <is>
          <t>To verify</t>
        </is>
      </c>
      <c r="H25" s="10" t="inlineStr">
        <is>
          <t>Medium</t>
        </is>
      </c>
      <c r="I25" s="10" t="inlineStr">
        <is>
          <t>CGD operator in MP</t>
        </is>
      </c>
      <c r="J25" s="10" t="inlineStr">
        <is>
          <t>Search service regulator</t>
        </is>
      </c>
    </row>
    <row r="26">
      <c r="A26" s="10" t="inlineStr">
        <is>
          <t>Tier 2</t>
        </is>
      </c>
      <c r="B26" s="10" t="inlineStr">
        <is>
          <t>IRM Energy</t>
        </is>
      </c>
      <c r="C26" s="10" t="inlineStr">
        <is>
          <t>CGD operator</t>
        </is>
      </c>
      <c r="D26" s="10" t="inlineStr">
        <is>
          <t>https://www.irmenergy.com</t>
        </is>
      </c>
      <c r="E26" s="10" t="inlineStr">
        <is>
          <t>https://www.irmenergy.com/tenders</t>
        </is>
      </c>
      <c r="F26" s="10" t="inlineStr">
        <is>
          <t>https://www.irmenergy.com/tenders</t>
        </is>
      </c>
      <c r="G26" s="10" t="inlineStr">
        <is>
          <t>To verify</t>
        </is>
      </c>
      <c r="H26" s="10" t="inlineStr">
        <is>
          <t>Medium</t>
        </is>
      </c>
      <c r="I26" s="10" t="inlineStr">
        <is>
          <t>CGD operator</t>
        </is>
      </c>
      <c r="J26" s="10" t="inlineStr">
        <is>
          <t>Search procurements</t>
        </is>
      </c>
    </row>
    <row r="27">
      <c r="A27" s="10" t="inlineStr">
        <is>
          <t>Tier 2</t>
        </is>
      </c>
      <c r="B27" s="10" t="inlineStr">
        <is>
          <t>Think Gas</t>
        </is>
      </c>
      <c r="C27" s="10" t="inlineStr">
        <is>
          <t>CGD operator</t>
        </is>
      </c>
      <c r="D27" s="10" t="inlineStr">
        <is>
          <t>https://www.think-gas.com</t>
        </is>
      </c>
      <c r="E27" s="10" t="inlineStr">
        <is>
          <t>https://www.think-gas.com/tenders</t>
        </is>
      </c>
      <c r="F27" s="10" t="inlineStr">
        <is>
          <t>https://www.think-gas.com/tenders</t>
        </is>
      </c>
      <c r="G27" s="10" t="inlineStr">
        <is>
          <t>To verify</t>
        </is>
      </c>
      <c r="H27" s="10" t="inlineStr">
        <is>
          <t>Medium</t>
        </is>
      </c>
      <c r="I27" s="10" t="inlineStr">
        <is>
          <t>CGD operator</t>
        </is>
      </c>
      <c r="J27" s="10" t="inlineStr">
        <is>
          <t>Search procurement</t>
        </is>
      </c>
    </row>
    <row r="28">
      <c r="A28" s="10" t="inlineStr">
        <is>
          <t>Tier 2</t>
        </is>
      </c>
      <c r="B28" s="10" t="inlineStr">
        <is>
          <t>AG&amp;P Pratham</t>
        </is>
      </c>
      <c r="C28" s="10" t="inlineStr">
        <is>
          <t>CGD operator</t>
        </is>
      </c>
      <c r="D28" s="10" t="inlineStr">
        <is>
          <t>https://agppratham.com</t>
        </is>
      </c>
      <c r="E28" s="10" t="inlineStr">
        <is>
          <t>https://agppratham.com/tenders</t>
        </is>
      </c>
      <c r="F28" s="10" t="inlineStr">
        <is>
          <t>https://agppratham.com/tenders</t>
        </is>
      </c>
      <c r="G28" s="10" t="inlineStr">
        <is>
          <t>To verify</t>
        </is>
      </c>
      <c r="H28" s="10" t="inlineStr">
        <is>
          <t>Medium</t>
        </is>
      </c>
      <c r="I28" s="10" t="inlineStr">
        <is>
          <t>CGD operator</t>
        </is>
      </c>
      <c r="J28" s="10" t="inlineStr">
        <is>
          <t>Search procurement/contact</t>
        </is>
      </c>
    </row>
    <row r="29">
      <c r="A29" s="10" t="inlineStr">
        <is>
          <t>Tier 2</t>
        </is>
      </c>
      <c r="B29" s="10" t="inlineStr">
        <is>
          <t>Megha City Gas Distribution</t>
        </is>
      </c>
      <c r="C29" s="10" t="inlineStr">
        <is>
          <t>CGD operator</t>
        </is>
      </c>
      <c r="D29" s="10" t="inlineStr">
        <is>
          <t>https://meghagas.com</t>
        </is>
      </c>
      <c r="E29" s="10" t="inlineStr">
        <is>
          <t>https://meghagas.com/tenders</t>
        </is>
      </c>
      <c r="F29" s="10" t="inlineStr">
        <is>
          <t>https://meghagas.com/tenders</t>
        </is>
      </c>
      <c r="G29" s="10" t="inlineStr">
        <is>
          <t>To verify</t>
        </is>
      </c>
      <c r="H29" s="10" t="inlineStr">
        <is>
          <t>Medium</t>
        </is>
      </c>
      <c r="I29" s="10" t="inlineStr">
        <is>
          <t>PNGRB listed CGD entity</t>
        </is>
      </c>
      <c r="J29" s="10" t="inlineStr">
        <is>
          <t>Search MGCDPL tender</t>
        </is>
      </c>
    </row>
    <row r="30">
      <c r="A30" s="10" t="inlineStr">
        <is>
          <t>Tier 2</t>
        </is>
      </c>
      <c r="B30" s="10" t="inlineStr">
        <is>
          <t>Godavari Gas</t>
        </is>
      </c>
      <c r="C30" s="10" t="inlineStr">
        <is>
          <t>CGD operator</t>
        </is>
      </c>
      <c r="D30" s="10" t="inlineStr">
        <is>
          <t>https://www.godavarigas.in</t>
        </is>
      </c>
      <c r="E30" s="10" t="inlineStr">
        <is>
          <t>https://www.godavarigas.in/tenders</t>
        </is>
      </c>
      <c r="F30" s="10" t="inlineStr">
        <is>
          <t>https://www.godavarigas.in/tenders</t>
        </is>
      </c>
      <c r="G30" s="10" t="inlineStr">
        <is>
          <t>To verify</t>
        </is>
      </c>
      <c r="H30" s="10" t="inlineStr">
        <is>
          <t>Medium</t>
        </is>
      </c>
      <c r="I30" s="10" t="inlineStr">
        <is>
          <t>PNGRB listed CGD entity</t>
        </is>
      </c>
      <c r="J30" s="10" t="inlineStr">
        <is>
          <t>Search gas regulator</t>
        </is>
      </c>
    </row>
    <row r="31">
      <c r="A31" s="10" t="inlineStr">
        <is>
          <t>Tier 2</t>
        </is>
      </c>
      <c r="B31" s="10" t="inlineStr">
        <is>
          <t>Bengal Gas Company</t>
        </is>
      </c>
      <c r="C31" s="10" t="inlineStr">
        <is>
          <t>CGD operator</t>
        </is>
      </c>
      <c r="D31" s="10" t="inlineStr">
        <is>
          <t>https://bengalgas.com</t>
        </is>
      </c>
      <c r="E31" s="10" t="inlineStr">
        <is>
          <t>https://bengalgas.com/tenders</t>
        </is>
      </c>
      <c r="F31" s="10" t="inlineStr">
        <is>
          <t>https://bengalgas.com/tenders</t>
        </is>
      </c>
      <c r="G31" s="10" t="inlineStr">
        <is>
          <t>To verify</t>
        </is>
      </c>
      <c r="H31" s="10" t="inlineStr">
        <is>
          <t>Medium</t>
        </is>
      </c>
      <c r="I31" s="10" t="inlineStr">
        <is>
          <t>GAIL/GCGS JV; CGD operator</t>
        </is>
      </c>
      <c r="J31" s="10" t="inlineStr">
        <is>
          <t>Search tender</t>
        </is>
      </c>
    </row>
    <row r="32">
      <c r="A32" s="10" t="inlineStr">
        <is>
          <t>Tier 2</t>
        </is>
      </c>
      <c r="B32" s="10" t="inlineStr">
        <is>
          <t>Purba Bharati Gas</t>
        </is>
      </c>
      <c r="C32" s="10" t="inlineStr">
        <is>
          <t>CGD operator</t>
        </is>
      </c>
      <c r="D32" s="10" t="inlineStr">
        <is>
          <t>https://www.purbabharatigas.in</t>
        </is>
      </c>
      <c r="E32" s="10" t="inlineStr">
        <is>
          <t>https://www.purbabharatigas.in/tenders</t>
        </is>
      </c>
      <c r="F32" s="10" t="inlineStr">
        <is>
          <t>https://www.purbabharatigas.in/tenders</t>
        </is>
      </c>
      <c r="G32" s="10" t="inlineStr">
        <is>
          <t>To verify</t>
        </is>
      </c>
      <c r="H32" s="10" t="inlineStr">
        <is>
          <t>Medium</t>
        </is>
      </c>
      <c r="I32" s="10" t="inlineStr">
        <is>
          <t>CGD operator in NE India</t>
        </is>
      </c>
      <c r="J32" s="10" t="inlineStr">
        <is>
          <t>Search tenders</t>
        </is>
      </c>
    </row>
    <row r="33">
      <c r="A33" s="10" t="inlineStr">
        <is>
          <t>Tier 3</t>
        </is>
      </c>
      <c r="B33" s="10" t="inlineStr">
        <is>
          <t>Assam Gas Company</t>
        </is>
      </c>
      <c r="C33" s="10" t="inlineStr">
        <is>
          <t>Gas utility / CGD related</t>
        </is>
      </c>
      <c r="D33" s="10" t="inlineStr">
        <is>
          <t>https://assamgas.org</t>
        </is>
      </c>
      <c r="E33" s="10" t="inlineStr">
        <is>
          <t>https://assamgas.org/tenders</t>
        </is>
      </c>
      <c r="F33" s="10" t="inlineStr">
        <is>
          <t>https://assamgas.org/tenders</t>
        </is>
      </c>
      <c r="G33" s="10" t="inlineStr">
        <is>
          <t>To verify</t>
        </is>
      </c>
      <c r="H33" s="10" t="inlineStr">
        <is>
          <t>Medium</t>
        </is>
      </c>
      <c r="I33" s="10" t="inlineStr">
        <is>
          <t>Regional gas utility</t>
        </is>
      </c>
      <c r="J33" s="10" t="inlineStr">
        <is>
          <t>Search regulator/PRS</t>
        </is>
      </c>
    </row>
    <row r="34">
      <c r="A34" s="10" t="inlineStr">
        <is>
          <t>Tier 3</t>
        </is>
      </c>
      <c r="B34" s="10" t="inlineStr">
        <is>
          <t>Rajasthan State Gas</t>
        </is>
      </c>
      <c r="C34" s="10" t="inlineStr">
        <is>
          <t>CGD JV</t>
        </is>
      </c>
      <c r="D34" s="10" t="inlineStr">
        <is>
          <t>https://rsgl.rajasthan.gov.in</t>
        </is>
      </c>
      <c r="E34" s="10" t="inlineStr">
        <is>
          <t>https://rsgl.rajasthan.gov.in/tenders</t>
        </is>
      </c>
      <c r="F34" s="10" t="inlineStr">
        <is>
          <t>https://rsgl.rajasthan.gov.in/tenders</t>
        </is>
      </c>
      <c r="G34" s="10" t="inlineStr">
        <is>
          <t>To verify</t>
        </is>
      </c>
      <c r="H34" s="10" t="inlineStr">
        <is>
          <t>Medium</t>
        </is>
      </c>
      <c r="I34" s="10" t="inlineStr">
        <is>
          <t>Regional CGD player</t>
        </is>
      </c>
      <c r="J34" s="10" t="inlineStr">
        <is>
          <t>Search tenders</t>
        </is>
      </c>
    </row>
    <row r="35">
      <c r="A35" s="10" t="inlineStr">
        <is>
          <t>Tier 3</t>
        </is>
      </c>
      <c r="B35" s="10" t="inlineStr">
        <is>
          <t>Naveriya Gas</t>
        </is>
      </c>
      <c r="C35" s="10" t="inlineStr">
        <is>
          <t>CGD operator</t>
        </is>
      </c>
      <c r="D35" s="10" t="inlineStr">
        <is>
          <t>https://naveriyagas.com</t>
        </is>
      </c>
      <c r="E35" s="10" t="inlineStr">
        <is>
          <t>https://naveriyagas.com/tenders</t>
        </is>
      </c>
      <c r="F35" s="10" t="inlineStr">
        <is>
          <t>https://naveriyagas.com/tenders</t>
        </is>
      </c>
      <c r="G35" s="10" t="inlineStr">
        <is>
          <t>To verify</t>
        </is>
      </c>
      <c r="H35" s="10" t="inlineStr">
        <is>
          <t>Low</t>
        </is>
      </c>
      <c r="I35" s="10" t="inlineStr">
        <is>
          <t>PNGRB listed entity</t>
        </is>
      </c>
      <c r="J35" s="10" t="inlineStr">
        <is>
          <t>Verify website/contacts</t>
        </is>
      </c>
    </row>
    <row r="36">
      <c r="A36" s="10" t="inlineStr">
        <is>
          <t>Tier 3</t>
        </is>
      </c>
      <c r="B36" s="10" t="inlineStr">
        <is>
          <t>BGRL / BGR Energy CGD</t>
        </is>
      </c>
      <c r="C36" s="10" t="inlineStr">
        <is>
          <t>CGD entity/contractor</t>
        </is>
      </c>
      <c r="D36" s="10" t="inlineStr">
        <is>
          <t>https://www.bgrcorp.com</t>
        </is>
      </c>
      <c r="E36" s="10" t="inlineStr">
        <is>
          <t>https://www.bgrcorp.com</t>
        </is>
      </c>
      <c r="F36" s="10" t="inlineStr">
        <is>
          <t>https://www.bgrcorp.com</t>
        </is>
      </c>
      <c r="G36" s="10" t="inlineStr">
        <is>
          <t>To verify</t>
        </is>
      </c>
      <c r="H36" s="10" t="inlineStr">
        <is>
          <t>Low</t>
        </is>
      </c>
      <c r="I36" s="10" t="inlineStr">
        <is>
          <t>May be project/GA entity</t>
        </is>
      </c>
      <c r="J36" s="10" t="inlineStr">
        <is>
          <t>Verify relevance</t>
        </is>
      </c>
    </row>
    <row r="37">
      <c r="A37" s="10" t="inlineStr">
        <is>
          <t>Tier 3</t>
        </is>
      </c>
      <c r="B37" s="10" t="inlineStr">
        <is>
          <t>Aavantika Gas / similar spelling check</t>
        </is>
      </c>
      <c r="C37" s="10" t="inlineStr">
        <is>
          <t>CGD operator</t>
        </is>
      </c>
      <c r="D37" s="10" t="inlineStr">
        <is>
          <t>https://www.aglonline.net</t>
        </is>
      </c>
      <c r="E37" s="10" t="inlineStr">
        <is>
          <t>https://www.aglonline.net/tender</t>
        </is>
      </c>
      <c r="F37" s="10" t="inlineStr">
        <is>
          <t>https://www.aglonline.net/tender</t>
        </is>
      </c>
      <c r="G37" s="10" t="inlineStr">
        <is>
          <t>To verify</t>
        </is>
      </c>
      <c r="H37" s="10" t="inlineStr">
        <is>
          <t>Medium</t>
        </is>
      </c>
      <c r="I37" s="10" t="inlineStr">
        <is>
          <t>Duplicate spelling check of Avantika Gas</t>
        </is>
      </c>
      <c r="J37" s="10" t="inlineStr">
        <is>
          <t>Normalize later</t>
        </is>
      </c>
    </row>
    <row r="38">
      <c r="A38" s="10" t="inlineStr">
        <is>
          <t>Tier 3</t>
        </is>
      </c>
      <c r="B38" s="10" t="inlineStr">
        <is>
          <t>Vadodara Gas Limited</t>
        </is>
      </c>
      <c r="C38" s="10" t="inlineStr">
        <is>
          <t>CGD operator</t>
        </is>
      </c>
      <c r="D38" s="10" t="inlineStr">
        <is>
          <t>https://www.vgl.co.in</t>
        </is>
      </c>
      <c r="E38" s="10" t="inlineStr">
        <is>
          <t>https://www.vgl.co.in/tenders/</t>
        </is>
      </c>
      <c r="F38" s="10" t="inlineStr">
        <is>
          <t>https://www.vgl.co.in/tenders/</t>
        </is>
      </c>
      <c r="G38" s="10" t="inlineStr">
        <is>
          <t>Tender PDFs open</t>
        </is>
      </c>
      <c r="H38" s="10" t="inlineStr">
        <is>
          <t>High</t>
        </is>
      </c>
      <c r="I38" s="10" t="inlineStr">
        <is>
          <t>Known 50,000 domestic regulator tender source</t>
        </is>
      </c>
      <c r="J38" s="10" t="inlineStr">
        <is>
          <t>Search P066/23-24 etc.</t>
        </is>
      </c>
    </row>
    <row r="39">
      <c r="A39" s="10" t="inlineStr">
        <is>
          <t>Tier 3</t>
        </is>
      </c>
      <c r="B39" s="10" t="inlineStr">
        <is>
          <t>Rajasthan Rajya Gas / Local CGD</t>
        </is>
      </c>
      <c r="C39" s="10" t="inlineStr">
        <is>
          <t>CGD related</t>
        </is>
      </c>
      <c r="D39" s="10" t="inlineStr">
        <is>
          <t>https://rsgl.rajasthan.gov.in</t>
        </is>
      </c>
      <c r="E39" s="10" t="inlineStr">
        <is>
          <t>https://rsgl.rajasthan.gov.in/tenders</t>
        </is>
      </c>
      <c r="F39" s="10" t="inlineStr">
        <is>
          <t>https://rsgl.rajasthan.gov.in/tenders</t>
        </is>
      </c>
      <c r="G39" s="10" t="inlineStr">
        <is>
          <t>To verify</t>
        </is>
      </c>
      <c r="H39" s="10" t="inlineStr">
        <is>
          <t>Low</t>
        </is>
      </c>
      <c r="I39" s="10" t="inlineStr">
        <is>
          <t>Consolidate with RSGL</t>
        </is>
      </c>
      <c r="J39" s="10" t="inlineStr">
        <is>
          <t>Verify entity name</t>
        </is>
      </c>
    </row>
    <row r="40">
      <c r="A40" s="10" t="inlineStr">
        <is>
          <t>Tier 3</t>
        </is>
      </c>
      <c r="B40" s="10" t="inlineStr">
        <is>
          <t>Aegis Gas / Aegis Logistics</t>
        </is>
      </c>
      <c r="C40" s="10" t="inlineStr">
        <is>
          <t>LPG/gas; possible procurement</t>
        </is>
      </c>
      <c r="D40" s="10" t="inlineStr">
        <is>
          <t>https://www.aegisindia.com</t>
        </is>
      </c>
      <c r="E40" s="10" t="inlineStr">
        <is>
          <t>https://www.aegisindia.com</t>
        </is>
      </c>
      <c r="F40" s="10" t="inlineStr">
        <is>
          <t>https://www.aegisindia.com</t>
        </is>
      </c>
      <c r="G40" s="10" t="inlineStr">
        <is>
          <t>To verify</t>
        </is>
      </c>
      <c r="H40" s="10" t="inlineStr">
        <is>
          <t>Low</t>
        </is>
      </c>
      <c r="I40" s="10" t="inlineStr">
        <is>
          <t>Not core CGD; optional distributor/procurement</t>
        </is>
      </c>
      <c r="J40" s="10" t="inlineStr">
        <is>
          <t>Use only for equipment leads</t>
        </is>
      </c>
    </row>
    <row r="41">
      <c r="A41" s="10" t="inlineStr">
        <is>
          <t>Tier 3</t>
        </is>
      </c>
      <c r="B41" s="10" t="inlineStr">
        <is>
          <t>Oil India Limited CGD JV</t>
        </is>
      </c>
      <c r="C41" s="10" t="inlineStr">
        <is>
          <t>PSU/JV partner</t>
        </is>
      </c>
      <c r="D41" s="10" t="inlineStr">
        <is>
          <t>https://www.oil-india.com</t>
        </is>
      </c>
      <c r="E41" s="10" t="inlineStr">
        <is>
          <t>https://www.oil-india.com/tender</t>
        </is>
      </c>
      <c r="F41" s="10" t="inlineStr">
        <is>
          <t>https://www.oil-india.com/tender</t>
        </is>
      </c>
      <c r="G41" s="10" t="inlineStr">
        <is>
          <t>CPPP/OIL portal</t>
        </is>
      </c>
      <c r="H41" s="10" t="inlineStr">
        <is>
          <t>Medium</t>
        </is>
      </c>
      <c r="I41" s="10" t="inlineStr">
        <is>
          <t>JV with BPCL in Arunachal reported</t>
        </is>
      </c>
      <c r="J41" s="10" t="inlineStr">
        <is>
          <t>Search CGD procurement</t>
        </is>
      </c>
    </row>
    <row r="42">
      <c r="A42" s="10" t="inlineStr">
        <is>
          <t>Tier 3</t>
        </is>
      </c>
      <c r="B42" s="10" t="inlineStr">
        <is>
          <t>Reliance BP Mobility / Jio-bp gas related</t>
        </is>
      </c>
      <c r="C42" s="10" t="inlineStr">
        <is>
          <t>Energy retailer; not core CGD</t>
        </is>
      </c>
      <c r="D42" s="10" t="inlineStr">
        <is>
          <t>https://www.jiobp.com</t>
        </is>
      </c>
      <c r="E42" s="10" t="inlineStr">
        <is>
          <t>https://www.jiobp.com</t>
        </is>
      </c>
      <c r="F42" s="10" t="inlineStr">
        <is>
          <t>https://www.jiobp.com</t>
        </is>
      </c>
      <c r="G42" s="10" t="inlineStr">
        <is>
          <t>To verify</t>
        </is>
      </c>
      <c r="H42" s="10" t="inlineStr">
        <is>
          <t>Low</t>
        </is>
      </c>
      <c r="I42" s="10" t="inlineStr">
        <is>
          <t>Potential gas retail/CNG assets; not DSO benchmark</t>
        </is>
      </c>
      <c r="J42" s="10" t="inlineStr">
        <is>
          <t>Optional</t>
        </is>
      </c>
    </row>
    <row r="43">
      <c r="A43" s="10" t="inlineStr">
        <is>
          <t>Tier 3</t>
        </is>
      </c>
      <c r="B43" s="10" t="inlineStr">
        <is>
          <t>MECON Limited</t>
        </is>
      </c>
      <c r="C43" s="10" t="inlineStr">
        <is>
          <t>Engineering consultant</t>
        </is>
      </c>
      <c r="D43" s="10" t="inlineStr">
        <is>
          <t>https://www.meconlimited.co.in</t>
        </is>
      </c>
      <c r="E43" s="10" t="inlineStr">
        <is>
          <t>https://www.meconlimited.co.in/tenders</t>
        </is>
      </c>
      <c r="F43" s="10" t="inlineStr">
        <is>
          <t>https://www.meconlimited.co.in/tenders</t>
        </is>
      </c>
      <c r="G43" s="10" t="inlineStr">
        <is>
          <t>CPPP/MECON portal</t>
        </is>
      </c>
      <c r="H43" s="10" t="inlineStr">
        <is>
          <t>High</t>
        </is>
      </c>
      <c r="I43" s="10" t="inlineStr">
        <is>
          <t>EPCM/PMC technical specs for gas projects</t>
        </is>
      </c>
      <c r="J43" s="10" t="inlineStr">
        <is>
          <t>Use for spec intelligence</t>
        </is>
      </c>
    </row>
    <row r="44">
      <c r="A44" s="10" t="inlineStr">
        <is>
          <t>Tier 3</t>
        </is>
      </c>
      <c r="B44" s="10" t="inlineStr">
        <is>
          <t>Engineers India Limited (EIL)</t>
        </is>
      </c>
      <c r="C44" s="10" t="inlineStr">
        <is>
          <t>EPCM/PMC consultant</t>
        </is>
      </c>
      <c r="D44" s="10" t="inlineStr">
        <is>
          <t>https://engineersindia.com</t>
        </is>
      </c>
      <c r="E44" s="10" t="inlineStr">
        <is>
          <t>https://engineersindia.com/tenders/</t>
        </is>
      </c>
      <c r="F44" s="10" t="inlineStr">
        <is>
          <t>https://engineersindia.com/tenders/</t>
        </is>
      </c>
      <c r="G44" s="10" t="inlineStr">
        <is>
          <t>EIL portal/CPPP</t>
        </is>
      </c>
      <c r="H44" s="10" t="inlineStr">
        <is>
          <t>High</t>
        </is>
      </c>
      <c r="I44" s="10" t="inlineStr">
        <is>
          <t>PMC/spec maker for gas infrastructure</t>
        </is>
      </c>
      <c r="J44" s="10" t="inlineStr">
        <is>
          <t>Search PRS/MRS/CGS</t>
        </is>
      </c>
    </row>
    <row r="45">
      <c r="A45" s="10" t="inlineStr">
        <is>
          <t>Tier 3</t>
        </is>
      </c>
      <c r="B45" s="10" t="inlineStr">
        <is>
          <t>L&amp;T Hydrocarbon / L&amp;T Energy</t>
        </is>
      </c>
      <c r="C45" s="10" t="inlineStr">
        <is>
          <t>EPC contractor</t>
        </is>
      </c>
      <c r="D45" s="10" t="inlineStr">
        <is>
          <t>https://www.larsentoubro.com</t>
        </is>
      </c>
      <c r="E45" s="10" t="inlineStr">
        <is>
          <t>https://www.larsentoubro.com/corporate/suppliers/</t>
        </is>
      </c>
      <c r="F45" s="10" t="inlineStr">
        <is>
          <t>https://www.larsentoubro.com/corporate/suppliers/</t>
        </is>
      </c>
      <c r="G45" s="10" t="inlineStr">
        <is>
          <t>Supplier registration</t>
        </is>
      </c>
      <c r="H45" s="10" t="inlineStr">
        <is>
          <t>Medium</t>
        </is>
      </c>
      <c r="I45" s="10" t="inlineStr">
        <is>
          <t>EPC vendor route</t>
        </is>
      </c>
      <c r="J45" s="10" t="inlineStr">
        <is>
          <t>Not buyer; strategic channel</t>
        </is>
      </c>
    </row>
    <row r="46">
      <c r="A46" s="10" t="inlineStr">
        <is>
          <t>Tier 3</t>
        </is>
      </c>
      <c r="B46" s="10" t="inlineStr">
        <is>
          <t>Kalpataru Projects International</t>
        </is>
      </c>
      <c r="C46" s="10" t="inlineStr">
        <is>
          <t>Pipeline EPC</t>
        </is>
      </c>
      <c r="D46" s="10" t="inlineStr">
        <is>
          <t>https://www.kalpataruprojects.com</t>
        </is>
      </c>
      <c r="E46" s="10" t="inlineStr">
        <is>
          <t>https://www.kalpataruprojects.com/suppliers</t>
        </is>
      </c>
      <c r="F46" s="10" t="inlineStr">
        <is>
          <t>https://www.kalpataruprojects.com/suppliers</t>
        </is>
      </c>
      <c r="G46" s="10" t="inlineStr">
        <is>
          <t>Supplier route</t>
        </is>
      </c>
      <c r="H46" s="10" t="inlineStr">
        <is>
          <t>Medium</t>
        </is>
      </c>
      <c r="I46" s="10" t="inlineStr">
        <is>
          <t>Pipeline EPC channel</t>
        </is>
      </c>
      <c r="J46" s="10" t="inlineStr">
        <is>
          <t>Optional for PRS/RMS equipment</t>
        </is>
      </c>
    </row>
    <row r="47">
      <c r="A47" s="10" t="inlineStr">
        <is>
          <t>Tier 3</t>
        </is>
      </c>
      <c r="B47" s="10" t="inlineStr">
        <is>
          <t>Dinesh Engineers / DEL</t>
        </is>
      </c>
      <c r="C47" s="10" t="inlineStr">
        <is>
          <t>Pipeline contractor</t>
        </is>
      </c>
      <c r="D47" s="10" t="inlineStr">
        <is>
          <t>https://www.dineshengineers.com</t>
        </is>
      </c>
      <c r="E47" s="10" t="inlineStr">
        <is>
          <t>https://www.dineshengineers.com</t>
        </is>
      </c>
      <c r="F47" s="10" t="inlineStr">
        <is>
          <t>https://www.dineshengineers.com</t>
        </is>
      </c>
      <c r="G47" s="10" t="inlineStr">
        <is>
          <t>To verify</t>
        </is>
      </c>
      <c r="H47" s="10" t="inlineStr">
        <is>
          <t>Medium</t>
        </is>
      </c>
      <c r="I47" s="10" t="inlineStr">
        <is>
          <t>Gasonet consortium source mentions Dinesh Engineers</t>
        </is>
      </c>
      <c r="J47" s="10" t="inlineStr">
        <is>
          <t>EPC/subcontractor route</t>
        </is>
      </c>
    </row>
    <row r="48">
      <c r="A48" s="10" t="inlineStr">
        <is>
          <t>Tier 3</t>
        </is>
      </c>
      <c r="B48" s="10" t="inlineStr">
        <is>
          <t>Resonance Energy</t>
        </is>
      </c>
      <c r="C48" s="10" t="inlineStr">
        <is>
          <t>Gas infra EPC/consortium</t>
        </is>
      </c>
      <c r="D48" s="10" t="inlineStr">
        <is>
          <t>https://resonanceenergy.in</t>
        </is>
      </c>
      <c r="E48" s="10" t="inlineStr">
        <is>
          <t>https://resonanceenergy.in</t>
        </is>
      </c>
      <c r="F48" s="10" t="inlineStr">
        <is>
          <t>https://resonanceenergy.in</t>
        </is>
      </c>
      <c r="G48" s="10" t="inlineStr">
        <is>
          <t>To verify</t>
        </is>
      </c>
      <c r="H48" s="10" t="inlineStr">
        <is>
          <t>Medium</t>
        </is>
      </c>
      <c r="I48" s="10" t="inlineStr">
        <is>
          <t>Gasonet consortium source mentions Resonance Energy</t>
        </is>
      </c>
      <c r="J48" s="10" t="inlineStr">
        <is>
          <t>EPC/subcontractor route</t>
        </is>
      </c>
    </row>
    <row r="49">
      <c r="A49" s="10" t="inlineStr">
        <is>
          <t>Tier 3</t>
        </is>
      </c>
      <c r="B49" s="10" t="inlineStr">
        <is>
          <t>Tolani Projects</t>
        </is>
      </c>
      <c r="C49" s="10" t="inlineStr">
        <is>
          <t>Project contractor</t>
        </is>
      </c>
      <c r="D49" s="10" t="inlineStr">
        <is>
          <t>https://tolaniprojects.com</t>
        </is>
      </c>
      <c r="E49" s="10" t="inlineStr">
        <is>
          <t>https://tolaniprojects.com</t>
        </is>
      </c>
      <c r="F49" s="10" t="inlineStr">
        <is>
          <t>https://tolaniprojects.com</t>
        </is>
      </c>
      <c r="G49" s="10" t="inlineStr">
        <is>
          <t>To verify</t>
        </is>
      </c>
      <c r="H49" s="10" t="inlineStr">
        <is>
          <t>Low</t>
        </is>
      </c>
      <c r="I49" s="10" t="inlineStr">
        <is>
          <t>Gasonet consortium source mentions Tolani Projects</t>
        </is>
      </c>
      <c r="J49" s="10" t="inlineStr">
        <is>
          <t>Verify</t>
        </is>
      </c>
    </row>
    <row r="50">
      <c r="A50" s="10" t="inlineStr">
        <is>
          <t>Tier 3</t>
        </is>
      </c>
      <c r="B50" s="10" t="inlineStr">
        <is>
          <t>GeM Portal</t>
        </is>
      </c>
      <c r="C50" s="10" t="inlineStr">
        <is>
          <t>Government procurement marketplace</t>
        </is>
      </c>
      <c r="D50" s="10" t="inlineStr">
        <is>
          <t>https://gem.gov.in</t>
        </is>
      </c>
      <c r="E50" s="10" t="inlineStr">
        <is>
          <t>https://gem.gov.in</t>
        </is>
      </c>
      <c r="F50" s="10" t="inlineStr">
        <is>
          <t>https://gem.gov.in</t>
        </is>
      </c>
      <c r="G50" s="10" t="inlineStr">
        <is>
          <t>Registration required</t>
        </is>
      </c>
      <c r="H50" s="10" t="inlineStr">
        <is>
          <t>High</t>
        </is>
      </c>
      <c r="I50" s="10" t="inlineStr">
        <is>
          <t>GAIL Gas regulator GeM specs appeared in search results</t>
        </is>
      </c>
      <c r="J50" s="10" t="inlineStr">
        <is>
          <t>Search GeM specs / bid docs</t>
        </is>
      </c>
    </row>
    <row r="51">
      <c r="A51" s="10" t="inlineStr">
        <is>
          <t>Tier 3</t>
        </is>
      </c>
      <c r="B51" s="10" t="inlineStr">
        <is>
          <t>CPPP / eProcure</t>
        </is>
      </c>
      <c r="C51" s="10" t="inlineStr">
        <is>
          <t>Central portal</t>
        </is>
      </c>
      <c r="D51" s="10" t="inlineStr">
        <is>
          <t>https://www.etenders.gov.in/eprocure/app</t>
        </is>
      </c>
      <c r="E51" s="10" t="inlineStr">
        <is>
          <t>https://www.etenders.gov.in/eprocure/app</t>
        </is>
      </c>
      <c r="F51" s="10" t="inlineStr">
        <is>
          <t>https://www.etenders.gov.in/eprocure/app</t>
        </is>
      </c>
      <c r="G51" s="10" t="inlineStr">
        <is>
          <t>DSC required for bids; search open</t>
        </is>
      </c>
      <c r="H51" s="10" t="inlineStr">
        <is>
          <t>High</t>
        </is>
      </c>
      <c r="I51" s="10" t="inlineStr">
        <is>
          <t>Central Govt eProcurement system</t>
        </is>
      </c>
      <c r="J51" s="10" t="inlineStr">
        <is>
          <t>Archive search for PSU/MNGL</t>
        </is>
      </c>
    </row>
    <row r="52">
      <c r="A52" s="10" t="inlineStr">
        <is>
          <t>Tier 3</t>
        </is>
      </c>
      <c r="B52" s="10" t="inlineStr">
        <is>
          <t>nProcure</t>
        </is>
      </c>
      <c r="C52" s="10" t="inlineStr">
        <is>
          <t>Gujarat e-procurement</t>
        </is>
      </c>
      <c r="D52" s="10" t="inlineStr">
        <is>
          <t>https://www.nprocure.com</t>
        </is>
      </c>
      <c r="E52" s="10" t="inlineStr">
        <is>
          <t>https://www.nprocure.com</t>
        </is>
      </c>
      <c r="F52" s="10" t="inlineStr">
        <is>
          <t>https://www.nprocure.com</t>
        </is>
      </c>
      <c r="G52" s="10" t="inlineStr">
        <is>
          <t>Registration/DSC likely</t>
        </is>
      </c>
      <c r="H52" s="10" t="inlineStr">
        <is>
          <t>High</t>
        </is>
      </c>
      <c r="I52" s="10" t="inlineStr">
        <is>
          <t>Gujarat Gas uses nProcure</t>
        </is>
      </c>
      <c r="J52" s="10" t="inlineStr">
        <is>
          <t>Monitor GGL</t>
        </is>
      </c>
    </row>
    <row r="53">
      <c r="A53" s="10" t="inlineStr">
        <is>
          <t>Tier 3</t>
        </is>
      </c>
      <c r="B53" s="10" t="inlineStr">
        <is>
          <t>TenderWizard / eProcurement Technologies</t>
        </is>
      </c>
      <c r="C53" s="10" t="inlineStr">
        <is>
          <t>Tender platform</t>
        </is>
      </c>
      <c r="D53" s="10" t="inlineStr">
        <is>
          <t>https://www.tenderwizard.com</t>
        </is>
      </c>
      <c r="E53" s="10" t="inlineStr">
        <is>
          <t>https://www.tenderwizard.com</t>
        </is>
      </c>
      <c r="F53" s="10" t="inlineStr">
        <is>
          <t>https://www.tenderwizard.com</t>
        </is>
      </c>
      <c r="G53" s="10" t="inlineStr">
        <is>
          <t>Registration/DSC</t>
        </is>
      </c>
      <c r="H53" s="10" t="inlineStr">
        <is>
          <t>Medium</t>
        </is>
      </c>
      <c r="I53" s="10" t="inlineStr">
        <is>
          <t>Some utilities use eProcurement vendors</t>
        </is>
      </c>
      <c r="J53" s="10" t="inlineStr">
        <is>
          <t>Use as portal family</t>
        </is>
      </c>
    </row>
    <row r="54">
      <c r="A54" s="10" t="inlineStr">
        <is>
          <t>Tier 3</t>
        </is>
      </c>
      <c r="B54" s="10" t="inlineStr">
        <is>
          <t>SAP Ariba Discovery</t>
        </is>
      </c>
      <c r="C54" s="10" t="inlineStr">
        <is>
          <t>Enterprise procurement</t>
        </is>
      </c>
      <c r="D54" s="10" t="inlineStr">
        <is>
          <t>https://www.ariba.com</t>
        </is>
      </c>
      <c r="E54" s="10" t="inlineStr">
        <is>
          <t>https://service.ariba.com</t>
        </is>
      </c>
      <c r="F54" s="10" t="inlineStr">
        <is>
          <t>https://discovery.ariba.com</t>
        </is>
      </c>
      <c r="G54" s="10" t="inlineStr">
        <is>
          <t>Registration</t>
        </is>
      </c>
      <c r="H54" s="10" t="inlineStr">
        <is>
          <t>Medium</t>
        </is>
      </c>
      <c r="I54" s="10" t="inlineStr">
        <is>
          <t>Many private/large utilities use Ariba-like RFx</t>
        </is>
      </c>
      <c r="J54" s="10" t="inlineStr">
        <is>
          <t>Track when cited in documents</t>
        </is>
      </c>
    </row>
  </sheetData>
  <conditionalFormatting sqref="H4:H100">
    <cfRule type="expression" priority="1" dxfId="0">
      <formula>H4="High"</formula>
    </cfRule>
    <cfRule type="expression" priority="2" dxfId="1">
      <formula>H4="Medium"</formula>
    </cfRule>
    <cfRule type="expression" priority="3" dxfId="2">
      <formula>H4="Low"</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22" customWidth="1" min="1" max="1"/>
    <col width="24" customWidth="1" min="2" max="2"/>
    <col width="36" customWidth="1" min="3" max="3"/>
    <col width="36" customWidth="1" min="4" max="4"/>
  </cols>
  <sheetData>
    <row r="1" ht="24" customHeight="1">
      <c r="A1" s="5" t="inlineStr">
        <is>
          <t>02 Search Keywords</t>
        </is>
      </c>
    </row>
    <row r="3" ht="30" customHeight="1">
      <c r="A3" s="15" t="inlineStr">
        <is>
          <t>Segment</t>
        </is>
      </c>
      <c r="B3" s="15" t="inlineStr">
        <is>
          <t>Keyword</t>
        </is>
      </c>
      <c r="C3" s="15" t="inlineStr">
        <is>
          <t>Meaning / Use</t>
        </is>
      </c>
      <c r="D3" s="15" t="inlineStr">
        <is>
          <t>Notes</t>
        </is>
      </c>
    </row>
    <row r="4">
      <c r="A4" s="10" t="inlineStr">
        <is>
          <t>Domestic regulator</t>
        </is>
      </c>
      <c r="B4" s="10" t="inlineStr">
        <is>
          <t>domestic regulator</t>
        </is>
      </c>
      <c r="C4" s="10" t="inlineStr">
        <is>
          <t>Domestic PNG, 100 mbar to 21 mbar</t>
        </is>
      </c>
      <c r="D4" s="10" t="inlineStr">
        <is>
          <t>Use on all portals</t>
        </is>
      </c>
    </row>
    <row r="5">
      <c r="A5" s="10" t="inlineStr">
        <is>
          <t>Service regulator</t>
        </is>
      </c>
      <c r="B5" s="10" t="inlineStr">
        <is>
          <t>service regulator</t>
        </is>
      </c>
      <c r="C5" s="10" t="inlineStr">
        <is>
          <t>10/25/50/100 SCMH customer regulator</t>
        </is>
      </c>
      <c r="D5" s="10" t="inlineStr">
        <is>
          <t>High value vs domestic</t>
        </is>
      </c>
    </row>
    <row r="6">
      <c r="A6" s="10" t="inlineStr">
        <is>
          <t>Commercial regulator</t>
        </is>
      </c>
      <c r="B6" s="10" t="inlineStr">
        <is>
          <t>commercial regulator</t>
        </is>
      </c>
      <c r="C6" s="10" t="inlineStr">
        <is>
          <t>C&amp;I customer regulators</t>
        </is>
      </c>
      <c r="D6" s="10" t="inlineStr">
        <is>
          <t>Search C&amp;I too</t>
        </is>
      </c>
    </row>
    <row r="7">
      <c r="A7" s="10" t="inlineStr">
        <is>
          <t>Industrial regulator</t>
        </is>
      </c>
      <c r="B7" s="10" t="inlineStr">
        <is>
          <t>industrial regulator</t>
        </is>
      </c>
      <c r="C7" s="10" t="inlineStr">
        <is>
          <t>Industrial customer skid/regulator</t>
        </is>
      </c>
      <c r="D7" s="10" t="inlineStr">
        <is>
          <t>High margin</t>
        </is>
      </c>
    </row>
    <row r="8">
      <c r="A8" s="10" t="inlineStr">
        <is>
          <t>Meter regulator</t>
        </is>
      </c>
      <c r="B8" s="10" t="inlineStr">
        <is>
          <t>meter regulator</t>
        </is>
      </c>
      <c r="C8" s="10" t="inlineStr">
        <is>
          <t>Regulator with meter / meter regulator</t>
        </is>
      </c>
      <c r="D8" s="10" t="inlineStr">
        <is>
          <t>Often bundled</t>
        </is>
      </c>
    </row>
    <row r="9">
      <c r="A9" s="10" t="inlineStr">
        <is>
          <t>Pressure regulator</t>
        </is>
      </c>
      <c r="B9" s="10" t="inlineStr">
        <is>
          <t>pressure regulator</t>
        </is>
      </c>
      <c r="C9" s="10" t="inlineStr">
        <is>
          <t>Generic keyword</t>
        </is>
      </c>
      <c r="D9" s="10" t="inlineStr">
        <is>
          <t>Broad search</t>
        </is>
      </c>
    </row>
    <row r="10">
      <c r="A10" s="10" t="inlineStr">
        <is>
          <t>Gas pressure regulator</t>
        </is>
      </c>
      <c r="B10" s="10" t="inlineStr">
        <is>
          <t>gas pressure regulator</t>
        </is>
      </c>
      <c r="C10" s="10" t="inlineStr">
        <is>
          <t>Specific keyword</t>
        </is>
      </c>
      <c r="D10" s="10" t="inlineStr">
        <is>
          <t>Good for CPPP</t>
        </is>
      </c>
    </row>
    <row r="11">
      <c r="A11" s="10" t="inlineStr">
        <is>
          <t>Regulator skid</t>
        </is>
      </c>
      <c r="B11" s="10" t="inlineStr">
        <is>
          <t>regulator skid</t>
        </is>
      </c>
      <c r="C11" s="10" t="inlineStr">
        <is>
          <t>Skid/package system</t>
        </is>
      </c>
      <c r="D11" s="10" t="inlineStr">
        <is>
          <t>High value</t>
        </is>
      </c>
    </row>
    <row r="12">
      <c r="A12" s="10" t="inlineStr">
        <is>
          <t>Metering skid</t>
        </is>
      </c>
      <c r="B12" s="10" t="inlineStr">
        <is>
          <t>metering skid</t>
        </is>
      </c>
      <c r="C12" s="10" t="inlineStr">
        <is>
          <t>Metering skid / RPD / turbine</t>
        </is>
      </c>
      <c r="D12" s="10" t="inlineStr">
        <is>
          <t>Comparable equipment</t>
        </is>
      </c>
    </row>
    <row r="13">
      <c r="A13" s="10" t="inlineStr">
        <is>
          <t>MRS</t>
        </is>
      </c>
      <c r="B13" s="10" t="inlineStr">
        <is>
          <t>MRS</t>
        </is>
      </c>
      <c r="C13" s="10" t="inlineStr">
        <is>
          <t>Metering &amp; regulating station</t>
        </is>
      </c>
      <c r="D13" s="10" t="inlineStr">
        <is>
          <t>Search acronym and full form</t>
        </is>
      </c>
    </row>
    <row r="14">
      <c r="A14" s="10" t="inlineStr">
        <is>
          <t>DRS</t>
        </is>
      </c>
      <c r="B14" s="10" t="inlineStr">
        <is>
          <t>DRS</t>
        </is>
      </c>
      <c r="C14" s="10" t="inlineStr">
        <is>
          <t>District regulating station</t>
        </is>
      </c>
      <c r="D14" s="10" t="inlineStr">
        <is>
          <t>Search acronym and full form</t>
        </is>
      </c>
    </row>
    <row r="15">
      <c r="A15" s="10" t="inlineStr">
        <is>
          <t>FRS</t>
        </is>
      </c>
      <c r="B15" s="10" t="inlineStr">
        <is>
          <t>FRS</t>
        </is>
      </c>
      <c r="C15" s="10" t="inlineStr">
        <is>
          <t>Field regulating station</t>
        </is>
      </c>
      <c r="D15" s="10" t="inlineStr">
        <is>
          <t>IGL/MGL use this</t>
        </is>
      </c>
    </row>
    <row r="16">
      <c r="A16" s="10" t="inlineStr">
        <is>
          <t>PRS</t>
        </is>
      </c>
      <c r="B16" s="10" t="inlineStr">
        <is>
          <t>PRS</t>
        </is>
      </c>
      <c r="C16" s="10" t="inlineStr">
        <is>
          <t>Pressure reducing station</t>
        </is>
      </c>
      <c r="D16" s="10" t="inlineStr">
        <is>
          <t>PRS/package</t>
        </is>
      </c>
    </row>
    <row r="17">
      <c r="A17" s="10" t="inlineStr">
        <is>
          <t>CGS</t>
        </is>
      </c>
      <c r="B17" s="10" t="inlineStr">
        <is>
          <t>CGS</t>
        </is>
      </c>
      <c r="C17" s="10" t="inlineStr">
        <is>
          <t>City Gate Station</t>
        </is>
      </c>
      <c r="D17" s="10" t="inlineStr">
        <is>
          <t>City gate / CGS</t>
        </is>
      </c>
    </row>
    <row r="18">
      <c r="A18" s="10" t="inlineStr">
        <is>
          <t>City Gate</t>
        </is>
      </c>
      <c r="B18" s="10" t="inlineStr">
        <is>
          <t>city gate</t>
        </is>
      </c>
      <c r="C18" s="10" t="inlineStr">
        <is>
          <t>Transmission to distribution entry point</t>
        </is>
      </c>
      <c r="D18" s="10" t="inlineStr">
        <is>
          <t>High pressure projects</t>
        </is>
      </c>
    </row>
    <row r="19">
      <c r="A19" s="10" t="inlineStr">
        <is>
          <t>Slam shut</t>
        </is>
      </c>
      <c r="B19" s="10" t="inlineStr">
        <is>
          <t>slam shut</t>
        </is>
      </c>
      <c r="C19" s="10" t="inlineStr">
        <is>
          <t>SSV/OPSO safety valve</t>
        </is>
      </c>
      <c r="D19" s="10" t="inlineStr">
        <is>
          <t>Can be component tender</t>
        </is>
      </c>
    </row>
    <row r="20">
      <c r="A20" s="10" t="inlineStr">
        <is>
          <t>SSV</t>
        </is>
      </c>
      <c r="B20" s="10" t="inlineStr">
        <is>
          <t>SSV</t>
        </is>
      </c>
      <c r="C20" s="10" t="inlineStr">
        <is>
          <t>Slam shut valve</t>
        </is>
      </c>
      <c r="D20" s="10" t="inlineStr">
        <is>
          <t>Search with regulator</t>
        </is>
      </c>
    </row>
    <row r="21">
      <c r="A21" s="10" t="inlineStr">
        <is>
          <t>Monitor regulator</t>
        </is>
      </c>
      <c r="B21" s="10" t="inlineStr">
        <is>
          <t>monitor regulator</t>
        </is>
      </c>
      <c r="C21" s="10" t="inlineStr">
        <is>
          <t>Active/monitor configuration</t>
        </is>
      </c>
      <c r="D21" s="10" t="inlineStr">
        <is>
          <t>High spec</t>
        </is>
      </c>
    </row>
    <row r="22">
      <c r="A22" s="10" t="inlineStr">
        <is>
          <t>Relief valve</t>
        </is>
      </c>
      <c r="B22" s="10" t="inlineStr">
        <is>
          <t>relief valve</t>
        </is>
      </c>
      <c r="C22" s="10" t="inlineStr">
        <is>
          <t>SRV/relief included in specs</t>
        </is>
      </c>
      <c r="D22" s="10" t="inlineStr">
        <is>
          <t>Component search</t>
        </is>
      </c>
    </row>
    <row r="23">
      <c r="A23" s="10" t="inlineStr">
        <is>
          <t>Gas train</t>
        </is>
      </c>
      <c r="B23" s="10" t="inlineStr">
        <is>
          <t>gas train</t>
        </is>
      </c>
      <c r="C23" s="10" t="inlineStr">
        <is>
          <t>Industrial/commercial train</t>
        </is>
      </c>
      <c r="D23" s="10" t="inlineStr">
        <is>
          <t>Broader</t>
        </is>
      </c>
    </row>
    <row r="24">
      <c r="A24" s="10" t="inlineStr">
        <is>
          <t>Governor</t>
        </is>
      </c>
      <c r="B24" s="10" t="inlineStr">
        <is>
          <t>governor</t>
        </is>
      </c>
      <c r="C24" s="10" t="inlineStr">
        <is>
          <t>Older term for regulator</t>
        </is>
      </c>
      <c r="D24" s="10" t="inlineStr">
        <is>
          <t>Some Indian docs use it</t>
        </is>
      </c>
    </row>
    <row r="25">
      <c r="A25" s="10" t="inlineStr">
        <is>
          <t>RMS</t>
        </is>
      </c>
      <c r="B25" s="10" t="inlineStr">
        <is>
          <t>RMS</t>
        </is>
      </c>
      <c r="C25" s="10" t="inlineStr">
        <is>
          <t>Regulating and metering station</t>
        </is>
      </c>
      <c r="D25" s="10" t="inlineStr">
        <is>
          <t>High value</t>
        </is>
      </c>
    </row>
    <row r="26">
      <c r="A26" s="10" t="inlineStr">
        <is>
          <t>PNG regulator</t>
        </is>
      </c>
      <c r="B26" s="10" t="inlineStr">
        <is>
          <t>PNG regulator</t>
        </is>
      </c>
      <c r="C26" s="10" t="inlineStr">
        <is>
          <t>Domestic/commercial PNG</t>
        </is>
      </c>
      <c r="D26" s="10" t="inlineStr">
        <is>
          <t>Use on CGD sites</t>
        </is>
      </c>
    </row>
    <row r="27">
      <c r="A27" s="10" t="inlineStr">
        <is>
          <t>CNG regulator</t>
        </is>
      </c>
      <c r="B27" s="10" t="inlineStr">
        <is>
          <t>CNG regulator</t>
        </is>
      </c>
      <c r="C27" s="10" t="inlineStr">
        <is>
          <t>CNG station/vehicle side often irrelevant</t>
        </is>
      </c>
      <c r="D27" s="10" t="inlineStr">
        <is>
          <t>Filter carefully</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24" customWidth="1" min="1" max="1"/>
    <col width="34" customWidth="1" min="2" max="2"/>
    <col width="36" customWidth="1" min="3" max="3"/>
    <col width="36" customWidth="1" min="4" max="4"/>
    <col width="40" customWidth="1" min="5" max="5"/>
  </cols>
  <sheetData>
    <row r="1" ht="24" customHeight="1">
      <c r="A1" s="5" t="inlineStr">
        <is>
          <t>03 How To Search</t>
        </is>
      </c>
    </row>
    <row r="3" ht="30" customHeight="1">
      <c r="A3" s="15" t="inlineStr">
        <is>
          <t>Portal</t>
        </is>
      </c>
      <c r="B3" s="15" t="inlineStr">
        <is>
          <t>Step 1</t>
        </is>
      </c>
      <c r="C3" s="15" t="inlineStr">
        <is>
          <t>Step 2</t>
        </is>
      </c>
      <c r="D3" s="15" t="inlineStr">
        <is>
          <t>Step 3</t>
        </is>
      </c>
      <c r="E3" s="15" t="inlineStr">
        <is>
          <t>What to Save</t>
        </is>
      </c>
    </row>
    <row r="4">
      <c r="A4" s="10" t="inlineStr">
        <is>
          <t>CPPP / etenders.gov.in</t>
        </is>
      </c>
      <c r="B4" s="10" t="inlineStr">
        <is>
          <t>Use Tenders in Archive first</t>
        </is>
      </c>
      <c r="C4" s="10" t="inlineStr">
        <is>
          <t>Organisation = GAIL / GAIL Gas / MNGL / IOCL / BPCL / HPCL / EIL / MECON</t>
        </is>
      </c>
      <c r="D4" s="10" t="inlineStr">
        <is>
          <t>Search each keyword separately</t>
        </is>
      </c>
      <c r="E4" s="10" t="inlineStr">
        <is>
          <t>Download NIT, Technical Volume, Price BOQ if open, AOC/LOA</t>
        </is>
      </c>
    </row>
    <row r="5">
      <c r="A5" s="10" t="inlineStr">
        <is>
          <t>GAIL Tenders</t>
        </is>
      </c>
      <c r="B5" s="10" t="inlineStr">
        <is>
          <t>Use tender/AOC pages</t>
        </is>
      </c>
      <c r="C5" s="10" t="inlineStr">
        <is>
          <t>Search file names and award folders</t>
        </is>
      </c>
      <c r="D5" s="10" t="inlineStr">
        <is>
          <t>Try LOA/FOA/AOC PDF links</t>
        </is>
      </c>
      <c r="E5" s="10" t="inlineStr">
        <is>
          <t>Record tender no, LOA no, awarded vendor, item quantities</t>
        </is>
      </c>
    </row>
    <row r="6">
      <c r="A6" s="10" t="inlineStr">
        <is>
          <t>GAIL Gas</t>
        </is>
      </c>
      <c r="B6" s="10" t="inlineStr">
        <is>
          <t>Vendor Zone / GeM references</t>
        </is>
      </c>
      <c r="C6" s="10" t="inlineStr">
        <is>
          <t>Search portal and Google with site:gailgas.com regulator</t>
        </is>
      </c>
      <c r="D6" s="10" t="inlineStr">
        <is>
          <t>Download GeM specification PDFs</t>
        </is>
      </c>
      <c r="E6" s="10" t="inlineStr">
        <is>
          <t>Record GeM bid no if present</t>
        </is>
      </c>
    </row>
    <row r="7">
      <c r="A7" s="10" t="inlineStr">
        <is>
          <t>IGL</t>
        </is>
      </c>
      <c r="B7" s="10" t="inlineStr">
        <is>
          <t>Tender list and archive</t>
        </is>
      </c>
      <c r="C7" s="10" t="inlineStr">
        <is>
          <t>Search FRS/MRS/regulator/C&amp;I</t>
        </is>
      </c>
      <c r="D7" s="10" t="inlineStr">
        <is>
          <t>Vendor registration may be needed</t>
        </is>
      </c>
      <c r="E7" s="10" t="inlineStr">
        <is>
          <t>Download active and corrigendum docs</t>
        </is>
      </c>
    </row>
    <row r="8">
      <c r="A8" s="10" t="inlineStr">
        <is>
          <t>Gujarat Gas</t>
        </is>
      </c>
      <c r="B8" s="10" t="inlineStr">
        <is>
          <t>GGL tenders page points to nProcure</t>
        </is>
      </c>
      <c r="C8" s="10" t="inlineStr">
        <is>
          <t>Use nProcure open tenders/archive</t>
        </is>
      </c>
      <c r="D8" s="10" t="inlineStr">
        <is>
          <t>Registration/DSC likely</t>
        </is>
      </c>
      <c r="E8" s="10" t="inlineStr">
        <is>
          <t>Record nProcure tender ID</t>
        </is>
      </c>
    </row>
    <row r="9">
      <c r="A9" s="10" t="inlineStr">
        <is>
          <t>Torrent Gas</t>
        </is>
      </c>
      <c r="B9" s="10" t="inlineStr">
        <is>
          <t>Vendor page and procurement email</t>
        </is>
      </c>
      <c r="C9" s="10" t="inlineStr">
        <is>
          <t>Search tender/category list</t>
        </is>
      </c>
      <c r="D9" s="10" t="inlineStr">
        <is>
          <t>Email procurement if docs hidden</t>
        </is>
      </c>
      <c r="E9" s="10" t="inlineStr">
        <is>
          <t>Record response status</t>
        </is>
      </c>
    </row>
    <row r="10">
      <c r="A10" s="10" t="inlineStr">
        <is>
          <t>Adani Total Gas</t>
        </is>
      </c>
      <c r="B10" s="10" t="inlineStr">
        <is>
          <t>Commercials page</t>
        </is>
      </c>
      <c r="C10" s="10" t="inlineStr">
        <is>
          <t>Open Vendor Registration / Tender / EOI</t>
        </is>
      </c>
      <c r="D10" s="10" t="inlineStr">
        <is>
          <t>Category list can reveal procurement category</t>
        </is>
      </c>
      <c r="E10" s="10" t="inlineStr">
        <is>
          <t>Monitor steel pipeline and O&amp;M projects</t>
        </is>
      </c>
    </row>
    <row r="11">
      <c r="A11" s="10" t="inlineStr">
        <is>
          <t>MNGL</t>
        </is>
      </c>
      <c r="B11" s="10" t="inlineStr">
        <is>
          <t>Active tenders + CPPP</t>
        </is>
      </c>
      <c r="C11" s="10" t="inlineStr">
        <is>
          <t>Search regulator archive on CPPP</t>
        </is>
      </c>
      <c r="D11" s="10" t="inlineStr">
        <is>
          <t>DSC required for participation</t>
        </is>
      </c>
      <c r="E11" s="10" t="inlineStr">
        <is>
          <t>Good price benchmark source</t>
        </is>
      </c>
    </row>
    <row r="12">
      <c r="A12" s="10" t="inlineStr">
        <is>
          <t>Gasonet</t>
        </is>
      </c>
      <c r="B12" s="10" t="inlineStr">
        <is>
          <t>Official tenders page</t>
        </is>
      </c>
      <c r="C12" s="10" t="inlineStr">
        <is>
          <t>PDF docs often public</t>
        </is>
      </c>
      <c r="D12" s="10" t="inlineStr">
        <is>
          <t>Use quantities from BOQ/SOR</t>
        </is>
      </c>
      <c r="E12" s="10" t="inlineStr">
        <is>
          <t>Good service/domestic regulator benchmark</t>
        </is>
      </c>
    </row>
    <row r="13">
      <c r="A13" s="10" t="inlineStr">
        <is>
          <t>GeM</t>
        </is>
      </c>
      <c r="B13" s="10" t="inlineStr">
        <is>
          <t>Search by buyer / bid no</t>
        </is>
      </c>
      <c r="C13" s="10" t="inlineStr">
        <is>
          <t>Look for domestic/service regulator specs</t>
        </is>
      </c>
      <c r="D13" s="10" t="inlineStr">
        <is>
          <t>Prices often closed, specs useful</t>
        </is>
      </c>
      <c r="E13" s="10" t="inlineStr">
        <is>
          <t>Record GeM bid link and product specs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2704"/>
  <sheetViews>
    <sheetView workbookViewId="0">
      <selection activeCell="A1" sqref="A1"/>
    </sheetView>
  </sheetViews>
  <sheetFormatPr baseColWidth="8" defaultRowHeight="15"/>
  <cols>
    <col width="12" customWidth="1" min="1" max="1"/>
    <col width="20" customWidth="1" min="2" max="2"/>
    <col width="18" customWidth="1" min="3" max="3"/>
    <col width="24" customWidth="1" min="4" max="4"/>
    <col width="14" customWidth="1" min="5" max="5"/>
    <col width="14" customWidth="1" min="6" max="6"/>
    <col width="20" customWidth="1" min="7" max="7"/>
    <col width="36" customWidth="1" min="8" max="8"/>
    <col width="10" customWidth="1" min="9" max="9"/>
    <col width="10" customWidth="1" min="10" max="10"/>
    <col width="22" customWidth="1" min="11" max="11"/>
    <col width="18" customWidth="1" min="12" max="12"/>
    <col width="16" customWidth="1" min="13" max="13"/>
    <col width="14" customWidth="1" min="14" max="14"/>
    <col width="16" customWidth="1" min="15" max="15"/>
    <col width="12" customWidth="1" min="16" max="16"/>
    <col width="14" customWidth="1" min="17" max="17"/>
    <col width="15" customWidth="1" min="18" max="18"/>
    <col width="16" customWidth="1" min="19" max="19"/>
    <col width="40" customWidth="1" min="20" max="20"/>
    <col width="12" customWidth="1" min="21" max="21"/>
    <col width="36" customWidth="1" min="22" max="22"/>
  </cols>
  <sheetData>
    <row r="1" ht="24" customHeight="1">
      <c r="A1" s="5" t="inlineStr">
        <is>
          <t>04 Tender Register</t>
        </is>
      </c>
    </row>
    <row r="3" ht="30" customHeight="1">
      <c r="A3" s="15" t="inlineStr">
        <is>
          <t>Tender ID</t>
        </is>
      </c>
      <c r="B3" s="15" t="inlineStr">
        <is>
          <t>Company</t>
        </is>
      </c>
      <c r="C3" s="15" t="inlineStr">
        <is>
          <t>Portal</t>
        </is>
      </c>
      <c r="D3" s="15" t="inlineStr">
        <is>
          <t>Tender Ref</t>
        </is>
      </c>
      <c r="E3" s="15" t="inlineStr">
        <is>
          <t>Tender Date</t>
        </is>
      </c>
      <c r="F3" s="15" t="inlineStr">
        <is>
          <t>Status</t>
        </is>
      </c>
      <c r="G3" s="15" t="inlineStr">
        <is>
          <t>Product Segment</t>
        </is>
      </c>
      <c r="H3" s="15" t="inlineStr">
        <is>
          <t>Product Description</t>
        </is>
      </c>
      <c r="I3" s="15" t="inlineStr">
        <is>
          <t>Qty</t>
        </is>
      </c>
      <c r="J3" s="15" t="inlineStr">
        <is>
          <t>UOM</t>
        </is>
      </c>
      <c r="K3" s="15" t="inlineStr">
        <is>
          <t>Winner</t>
        </is>
      </c>
      <c r="L3" s="15" t="inlineStr">
        <is>
          <t>Brand</t>
        </is>
      </c>
      <c r="M3" s="15" t="inlineStr">
        <is>
          <t>Total INR Basic</t>
        </is>
      </c>
      <c r="N3" s="15" t="inlineStr">
        <is>
          <t>GST INR</t>
        </is>
      </c>
      <c r="O3" s="15" t="inlineStr">
        <is>
          <t>Total INR Incl GST</t>
        </is>
      </c>
      <c r="P3" s="15" t="inlineStr">
        <is>
          <t>FX INR/EUR</t>
        </is>
      </c>
      <c r="Q3" s="15" t="inlineStr">
        <is>
          <t>Total EUR</t>
        </is>
      </c>
      <c r="R3" s="15" t="inlineStr">
        <is>
          <t>Unit EUR Basic</t>
        </is>
      </c>
      <c r="S3" s="15" t="inlineStr">
        <is>
          <t>Unit EUR Incl GST</t>
        </is>
      </c>
      <c r="T3" s="15" t="inlineStr">
        <is>
          <t>Source URL</t>
        </is>
      </c>
      <c r="U3" s="15" t="inlineStr">
        <is>
          <t>PDF Saved?</t>
        </is>
      </c>
      <c r="V3" s="15" t="inlineStr">
        <is>
          <t>Notes</t>
        </is>
      </c>
    </row>
    <row r="4">
      <c r="A4" s="10" t="inlineStr">
        <is>
          <t>T-0001</t>
        </is>
      </c>
      <c r="B4" s="10" t="inlineStr">
        <is>
          <t>GAIL India</t>
        </is>
      </c>
      <c r="C4" s="10" t="inlineStr">
        <is>
          <t>GAIL Tenders</t>
        </is>
      </c>
      <c r="D4" s="10" t="inlineStr">
        <is>
          <t>LOA 20250806_102439</t>
        </is>
      </c>
      <c r="E4" s="43" t="inlineStr">
        <is>
          <t>2025-06-11</t>
        </is>
      </c>
      <c r="F4" s="10" t="inlineStr">
        <is>
          <t>Awarded</t>
        </is>
      </c>
      <c r="G4" s="10" t="inlineStr">
        <is>
          <t>Metering skid</t>
        </is>
      </c>
      <c r="H4" s="10" t="inlineStr">
        <is>
          <t>RPD metering skid / KG Basin</t>
        </is>
      </c>
      <c r="I4" s="10" t="n">
        <v>3</v>
      </c>
      <c r="J4" s="10" t="inlineStr">
        <is>
          <t>set/stream</t>
        </is>
      </c>
      <c r="K4" s="10" t="inlineStr">
        <is>
          <t>Kimpex Flow Pvt. Ltd.</t>
        </is>
      </c>
      <c r="L4" s="10" t="inlineStr">
        <is>
          <t>Unknown</t>
        </is>
      </c>
      <c r="M4" s="44" t="n">
        <v>3000222</v>
      </c>
      <c r="N4" s="44" t="n">
        <v>540039.96</v>
      </c>
      <c r="O4" s="44" t="n">
        <v>3540261.96</v>
      </c>
      <c r="P4" s="44" t="n">
        <v>106.75</v>
      </c>
      <c r="Q4" s="44">
        <f>O4/P4</f>
        <v/>
      </c>
      <c r="R4" s="44">
        <f>M4/I4/P4</f>
        <v/>
      </c>
      <c r="S4" s="44">
        <f>O4/I4/P4</f>
        <v/>
      </c>
      <c r="T4" s="10" t="inlineStr">
        <is>
          <t>https://gailtenders.in/Gailtenders/writereaddata/AOC/loa_20250806_102439.pdf</t>
        </is>
      </c>
      <c r="U4" s="10" t="inlineStr">
        <is>
          <t>Yes</t>
        </is>
      </c>
      <c r="V4" s="10" t="inlineStr">
        <is>
          <t>Existing tracker source</t>
        </is>
      </c>
    </row>
    <row r="5">
      <c r="A5" s="10" t="inlineStr">
        <is>
          <t>T-0002</t>
        </is>
      </c>
      <c r="B5" s="10" t="inlineStr">
        <is>
          <t>GAIL India</t>
        </is>
      </c>
      <c r="C5" s="10" t="inlineStr">
        <is>
          <t>GAIL Tenders</t>
        </is>
      </c>
      <c r="D5" s="10" t="inlineStr">
        <is>
          <t>FOA 20231230_102206</t>
        </is>
      </c>
      <c r="E5" s="43" t="inlineStr">
        <is>
          <t>2023-12-30</t>
        </is>
      </c>
      <c r="F5" s="10" t="inlineStr">
        <is>
          <t>Awarded</t>
        </is>
      </c>
      <c r="G5" s="10" t="inlineStr">
        <is>
          <t>Gas meters</t>
        </is>
      </c>
      <c r="H5" s="10" t="inlineStr">
        <is>
          <t>Commercial/Domestic gas meters</t>
        </is>
      </c>
      <c r="I5" s="10" t="n"/>
      <c r="J5" s="10" t="inlineStr">
        <is>
          <t>nos</t>
        </is>
      </c>
      <c r="K5" s="10" t="inlineStr">
        <is>
          <t>Kimpex / Raychem</t>
        </is>
      </c>
      <c r="L5" s="10" t="inlineStr">
        <is>
          <t>Unknown</t>
        </is>
      </c>
      <c r="M5" s="44" t="n"/>
      <c r="N5" s="44" t="n"/>
      <c r="O5" s="44" t="n"/>
      <c r="P5" s="44" t="n">
        <v>106.75</v>
      </c>
      <c r="Q5" s="44">
        <f>IFERROR(O5/P5,"")</f>
        <v/>
      </c>
      <c r="R5" s="44">
        <f>IFERROR(M5/I5/P5,"")</f>
        <v/>
      </c>
      <c r="S5" s="44">
        <f>IFERROR(O5/I5/P5,"")</f>
        <v/>
      </c>
      <c r="T5" s="10" t="inlineStr">
        <is>
          <t>https://gailtenders.in/Gailtenders/writereaddata/AOC/foa_20231230_102206.pdf</t>
        </is>
      </c>
      <c r="U5" s="10" t="inlineStr">
        <is>
          <t>Yes</t>
        </is>
      </c>
      <c r="V5" s="10" t="inlineStr">
        <is>
          <t>Meter benchmark, not regulator</t>
        </is>
      </c>
    </row>
    <row r="6">
      <c r="A6" s="10" t="inlineStr">
        <is>
          <t>T-0003</t>
        </is>
      </c>
      <c r="B6" s="10" t="inlineStr">
        <is>
          <t>Gasonet</t>
        </is>
      </c>
      <c r="C6" s="10" t="inlineStr">
        <is>
          <t>Gasonet Tenders</t>
        </is>
      </c>
      <c r="D6" s="10" t="inlineStr">
        <is>
          <t>GASONET/C&amp;P-GSL/REGULATOR-/2023-24/014</t>
        </is>
      </c>
      <c r="E6" s="43" t="inlineStr">
        <is>
          <t>2024-03-10</t>
        </is>
      </c>
      <c r="F6" s="10" t="inlineStr">
        <is>
          <t>Docs Found</t>
        </is>
      </c>
      <c r="G6" s="10" t="inlineStr">
        <is>
          <t>Domestic + Service Regulator</t>
        </is>
      </c>
      <c r="H6" s="10" t="inlineStr">
        <is>
          <t>Domestic regulators and service regulators</t>
        </is>
      </c>
      <c r="I6" s="10" t="n">
        <v>938</v>
      </c>
      <c r="J6" s="10" t="inlineStr">
        <is>
          <t>mixed</t>
        </is>
      </c>
      <c r="K6" s="10" t="inlineStr">
        <is>
          <t>Not found</t>
        </is>
      </c>
      <c r="L6" s="10" t="inlineStr">
        <is>
          <t>Unknown</t>
        </is>
      </c>
      <c r="M6" s="44" t="n"/>
      <c r="N6" s="44" t="n"/>
      <c r="O6" s="44" t="n"/>
      <c r="P6" s="44" t="n">
        <v>106.75</v>
      </c>
      <c r="Q6" s="44">
        <f>IFERROR(O6/P6,"")</f>
        <v/>
      </c>
      <c r="R6" s="44">
        <f>IFERROR(M6/I6/P6,"")</f>
        <v/>
      </c>
      <c r="S6" s="44">
        <f>IFERROR(O6/I6/P6,"")</f>
        <v/>
      </c>
      <c r="T6" s="10" t="inlineStr">
        <is>
          <t>https://www.gasonet.in/files/Tender-%20Domestic%20Service%20Regulator.pdf</t>
        </is>
      </c>
      <c r="U6" s="10" t="inlineStr">
        <is>
          <t>Yes</t>
        </is>
      </c>
      <c r="V6" s="10" t="inlineStr">
        <is>
          <t>Qty mix: 800 domestic, 8 service, others? extract details</t>
        </is>
      </c>
    </row>
    <row r="7">
      <c r="A7" s="10" t="inlineStr">
        <is>
          <t>T-0004</t>
        </is>
      </c>
      <c r="B7" s="10" t="inlineStr">
        <is>
          <t>Vadodara Gas</t>
        </is>
      </c>
      <c r="C7" s="10" t="inlineStr">
        <is>
          <t>VGL Tenders</t>
        </is>
      </c>
      <c r="D7" s="10" t="inlineStr">
        <is>
          <t>P066/23-24</t>
        </is>
      </c>
      <c r="E7" s="43" t="inlineStr">
        <is>
          <t>2025-01-01</t>
        </is>
      </c>
      <c r="F7" s="10" t="inlineStr">
        <is>
          <t>Awarded</t>
        </is>
      </c>
      <c r="G7" s="10" t="inlineStr">
        <is>
          <t>Domestic Regulator</t>
        </is>
      </c>
      <c r="H7" s="10" t="inlineStr">
        <is>
          <t>Domestic gas regulator</t>
        </is>
      </c>
      <c r="I7" s="10" t="n">
        <v>50000</v>
      </c>
      <c r="J7" s="10" t="inlineStr">
        <is>
          <t>nos</t>
        </is>
      </c>
      <c r="K7" s="10" t="inlineStr">
        <is>
          <t>Not found</t>
        </is>
      </c>
      <c r="L7" s="10" t="inlineStr">
        <is>
          <t>Unknown</t>
        </is>
      </c>
      <c r="M7" s="44" t="n"/>
      <c r="N7" s="44" t="n"/>
      <c r="O7" s="44" t="n"/>
      <c r="P7" s="44" t="n">
        <v>106.75</v>
      </c>
      <c r="Q7" s="44">
        <f>IFERROR(O7/P7,"")</f>
        <v/>
      </c>
      <c r="R7" s="44">
        <f>IFERROR(M7/I7/P7,"")</f>
        <v/>
      </c>
      <c r="S7" s="44">
        <f>IFERROR(O7/I7/P7,"")</f>
        <v/>
      </c>
      <c r="T7" s="10" t="inlineStr">
        <is>
          <t>https://www.vgl.co.in/wp-content/uploads/2025/pdf/Replies-to-Bidders-Domestic-Regulator-P066-23-24-Additional.pdf</t>
        </is>
      </c>
      <c r="U7" s="10" t="inlineStr">
        <is>
          <t>Yes</t>
        </is>
      </c>
      <c r="V7" s="10" t="inlineStr">
        <is>
          <t>Known quantity; price not found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regulator;quality_status=market_target;market_relevance=High;document_type=po_work_order;unit_price_inr=;amount_label=;matched_terms=Domestic gas regulator;reject_reasons=employment/corporate;scope=market_intelligence_only;excluded_scope=no_bid_or_offer_submission_automation</t>
        </is>
      </c>
    </row>
    <row r="8">
      <c r="E8" s="45" t="n"/>
      <c r="M8" s="46" t="n"/>
      <c r="N8" s="46" t="n"/>
      <c r="O8" s="46" t="n"/>
      <c r="P8" s="46" t="n"/>
      <c r="Q8" s="46" t="n"/>
      <c r="R8" s="46" t="n"/>
      <c r="S8" s="46" t="n"/>
    </row>
    <row r="9">
      <c r="E9" s="45" t="n"/>
      <c r="M9" s="46" t="n"/>
      <c r="N9" s="46" t="n"/>
      <c r="O9" s="46" t="n"/>
      <c r="P9" s="46" t="n"/>
      <c r="Q9" s="46" t="n"/>
      <c r="R9" s="46" t="n"/>
      <c r="S9" s="46" t="n"/>
    </row>
    <row r="10">
      <c r="E10" s="45" t="n"/>
      <c r="M10" s="46" t="n"/>
      <c r="N10" s="46" t="n"/>
      <c r="O10" s="46" t="n"/>
      <c r="P10" s="46" t="n"/>
      <c r="Q10" s="46" t="n"/>
      <c r="R10" s="46" t="n"/>
      <c r="S10" s="46" t="n"/>
    </row>
    <row r="11">
      <c r="E11" s="45" t="n"/>
      <c r="M11" s="46" t="n"/>
      <c r="N11" s="46" t="n"/>
      <c r="O11" s="46" t="n"/>
      <c r="P11" s="46" t="n"/>
      <c r="Q11" s="46" t="n"/>
      <c r="R11" s="46" t="n"/>
      <c r="S11" s="46" t="n"/>
    </row>
    <row r="12">
      <c r="E12" s="45" t="n"/>
      <c r="M12" s="46" t="n"/>
      <c r="N12" s="46" t="n"/>
      <c r="O12" s="46" t="n"/>
      <c r="P12" s="46" t="n"/>
      <c r="Q12" s="46" t="n"/>
      <c r="R12" s="46" t="n"/>
      <c r="S12" s="46" t="n"/>
    </row>
    <row r="13">
      <c r="E13" s="45" t="n"/>
      <c r="M13" s="46" t="n"/>
      <c r="N13" s="46" t="n"/>
      <c r="O13" s="46" t="n"/>
      <c r="P13" s="46" t="n"/>
      <c r="Q13" s="46" t="n"/>
      <c r="R13" s="46" t="n"/>
      <c r="S13" s="46" t="n"/>
    </row>
    <row r="14">
      <c r="E14" s="45" t="n"/>
      <c r="M14" s="46" t="n"/>
      <c r="N14" s="46" t="n"/>
      <c r="O14" s="46" t="n"/>
      <c r="P14" s="46" t="n"/>
      <c r="Q14" s="46" t="n"/>
      <c r="R14" s="46" t="n"/>
      <c r="S14" s="46" t="n"/>
    </row>
    <row r="15">
      <c r="E15" s="45" t="n"/>
      <c r="M15" s="46" t="n"/>
      <c r="N15" s="46" t="n"/>
      <c r="O15" s="46" t="n"/>
      <c r="P15" s="46" t="n"/>
      <c r="Q15" s="46" t="n"/>
      <c r="R15" s="46" t="n"/>
      <c r="S15" s="46" t="n"/>
    </row>
    <row r="16">
      <c r="E16" s="45" t="n"/>
      <c r="M16" s="46" t="n"/>
      <c r="N16" s="46" t="n"/>
      <c r="O16" s="46" t="n"/>
      <c r="P16" s="46" t="n"/>
      <c r="Q16" s="46" t="n"/>
      <c r="R16" s="46" t="n"/>
      <c r="S16" s="46" t="n"/>
    </row>
    <row r="17">
      <c r="E17" s="45" t="n"/>
      <c r="M17" s="46" t="n"/>
      <c r="N17" s="46" t="n"/>
      <c r="O17" s="46" t="n"/>
      <c r="P17" s="46" t="n"/>
      <c r="Q17" s="46" t="n"/>
      <c r="R17" s="46" t="n"/>
      <c r="S17" s="46" t="n"/>
    </row>
    <row r="18">
      <c r="E18" s="45" t="n"/>
      <c r="M18" s="46" t="n"/>
      <c r="N18" s="46" t="n"/>
      <c r="O18" s="46" t="n"/>
      <c r="P18" s="46" t="n"/>
      <c r="Q18" s="46" t="n"/>
      <c r="R18" s="46" t="n"/>
      <c r="S18" s="46" t="n"/>
    </row>
    <row r="19">
      <c r="E19" s="45" t="n"/>
      <c r="M19" s="46" t="n"/>
      <c r="N19" s="46" t="n"/>
      <c r="O19" s="46" t="n"/>
      <c r="P19" s="46" t="n"/>
      <c r="Q19" s="46" t="n"/>
      <c r="R19" s="46" t="n"/>
      <c r="S19" s="46" t="n"/>
    </row>
    <row r="20">
      <c r="E20" s="45" t="n"/>
      <c r="M20" s="46" t="n"/>
      <c r="N20" s="46" t="n"/>
      <c r="O20" s="46" t="n"/>
      <c r="P20" s="46" t="n"/>
      <c r="Q20" s="46" t="n"/>
      <c r="R20" s="46" t="n"/>
      <c r="S20" s="46" t="n"/>
    </row>
    <row r="21">
      <c r="E21" s="45" t="n"/>
      <c r="M21" s="46" t="n"/>
      <c r="N21" s="46" t="n"/>
      <c r="O21" s="46" t="n"/>
      <c r="P21" s="46" t="n"/>
      <c r="Q21" s="46" t="n"/>
      <c r="R21" s="46" t="n"/>
      <c r="S21" s="46" t="n"/>
    </row>
    <row r="22">
      <c r="E22" s="45" t="n"/>
      <c r="M22" s="46" t="n"/>
      <c r="N22" s="46" t="n"/>
      <c r="O22" s="46" t="n"/>
      <c r="P22" s="46" t="n"/>
      <c r="Q22" s="46" t="n"/>
      <c r="R22" s="46" t="n"/>
      <c r="S22" s="46" t="n"/>
    </row>
    <row r="23">
      <c r="E23" s="45" t="n"/>
      <c r="M23" s="46" t="n"/>
      <c r="N23" s="46" t="n"/>
      <c r="O23" s="46" t="n"/>
      <c r="P23" s="46" t="n"/>
      <c r="Q23" s="46" t="n"/>
      <c r="R23" s="46" t="n"/>
      <c r="S23" s="46" t="n"/>
    </row>
    <row r="24">
      <c r="E24" s="45" t="n"/>
      <c r="M24" s="46" t="n"/>
      <c r="N24" s="46" t="n"/>
      <c r="O24" s="46" t="n"/>
      <c r="P24" s="46" t="n"/>
      <c r="Q24" s="46" t="n"/>
      <c r="R24" s="46" t="n"/>
      <c r="S24" s="46" t="n"/>
    </row>
    <row r="25">
      <c r="E25" s="45" t="n"/>
      <c r="M25" s="46" t="n"/>
      <c r="N25" s="46" t="n"/>
      <c r="O25" s="46" t="n"/>
      <c r="P25" s="46" t="n"/>
      <c r="Q25" s="46" t="n"/>
      <c r="R25" s="46" t="n"/>
      <c r="S25" s="46" t="n"/>
    </row>
    <row r="26">
      <c r="E26" s="45" t="n"/>
      <c r="M26" s="46" t="n"/>
      <c r="N26" s="46" t="n"/>
      <c r="O26" s="46" t="n"/>
      <c r="P26" s="46" t="n"/>
      <c r="Q26" s="46" t="n"/>
      <c r="R26" s="46" t="n"/>
      <c r="S26" s="46" t="n"/>
    </row>
    <row r="27">
      <c r="E27" s="45" t="n"/>
      <c r="M27" s="46" t="n"/>
      <c r="N27" s="46" t="n"/>
      <c r="O27" s="46" t="n"/>
      <c r="P27" s="46" t="n"/>
      <c r="Q27" s="46" t="n"/>
      <c r="R27" s="46" t="n"/>
      <c r="S27" s="46" t="n"/>
    </row>
    <row r="28">
      <c r="E28" s="45" t="n"/>
      <c r="M28" s="46" t="n"/>
      <c r="N28" s="46" t="n"/>
      <c r="O28" s="46" t="n"/>
      <c r="P28" s="46" t="n"/>
      <c r="Q28" s="46" t="n"/>
      <c r="R28" s="46" t="n"/>
      <c r="S28" s="46" t="n"/>
    </row>
    <row r="29">
      <c r="E29" s="45" t="n"/>
      <c r="M29" s="46" t="n"/>
      <c r="N29" s="46" t="n"/>
      <c r="O29" s="46" t="n"/>
      <c r="P29" s="46" t="n"/>
      <c r="Q29" s="46" t="n"/>
      <c r="R29" s="46" t="n"/>
      <c r="S29" s="46" t="n"/>
    </row>
    <row r="30">
      <c r="E30" s="45" t="n"/>
      <c r="M30" s="46" t="n"/>
      <c r="N30" s="46" t="n"/>
      <c r="O30" s="46" t="n"/>
      <c r="P30" s="46" t="n"/>
      <c r="Q30" s="46" t="n"/>
      <c r="R30" s="46" t="n"/>
      <c r="S30" s="46" t="n"/>
    </row>
    <row r="31">
      <c r="E31" s="45" t="n"/>
      <c r="M31" s="46" t="n"/>
      <c r="N31" s="46" t="n"/>
      <c r="O31" s="46" t="n"/>
      <c r="P31" s="46" t="n"/>
      <c r="Q31" s="46" t="n"/>
      <c r="R31" s="46" t="n"/>
      <c r="S31" s="46" t="n"/>
    </row>
    <row r="32">
      <c r="E32" s="45" t="n"/>
      <c r="M32" s="46" t="n"/>
      <c r="N32" s="46" t="n"/>
      <c r="O32" s="46" t="n"/>
      <c r="P32" s="46" t="n"/>
      <c r="Q32" s="46" t="n"/>
      <c r="R32" s="46" t="n"/>
      <c r="S32" s="46" t="n"/>
    </row>
    <row r="33">
      <c r="E33" s="45" t="n"/>
      <c r="M33" s="46" t="n"/>
      <c r="N33" s="46" t="n"/>
      <c r="O33" s="46" t="n"/>
      <c r="P33" s="46" t="n"/>
      <c r="Q33" s="46" t="n"/>
      <c r="R33" s="46" t="n"/>
      <c r="S33" s="46" t="n"/>
    </row>
    <row r="34">
      <c r="E34" s="45" t="n"/>
      <c r="M34" s="46" t="n"/>
      <c r="N34" s="46" t="n"/>
      <c r="O34" s="46" t="n"/>
      <c r="P34" s="46" t="n"/>
      <c r="Q34" s="46" t="n"/>
      <c r="R34" s="46" t="n"/>
      <c r="S34" s="46" t="n"/>
    </row>
    <row r="35">
      <c r="E35" s="45" t="n"/>
      <c r="M35" s="46" t="n"/>
      <c r="N35" s="46" t="n"/>
      <c r="O35" s="46" t="n"/>
      <c r="P35" s="46" t="n"/>
      <c r="Q35" s="46" t="n"/>
      <c r="R35" s="46" t="n"/>
      <c r="S35" s="46" t="n"/>
    </row>
    <row r="36">
      <c r="E36" s="45" t="n"/>
      <c r="M36" s="46" t="n"/>
      <c r="N36" s="46" t="n"/>
      <c r="O36" s="46" t="n"/>
      <c r="P36" s="46" t="n"/>
      <c r="Q36" s="46" t="n"/>
      <c r="R36" s="46" t="n"/>
      <c r="S36" s="46" t="n"/>
    </row>
    <row r="37">
      <c r="E37" s="45" t="n"/>
      <c r="M37" s="46" t="n"/>
      <c r="N37" s="46" t="n"/>
      <c r="O37" s="46" t="n"/>
      <c r="P37" s="46" t="n"/>
      <c r="Q37" s="46" t="n"/>
      <c r="R37" s="46" t="n"/>
      <c r="S37" s="46" t="n"/>
    </row>
    <row r="38">
      <c r="E38" s="45" t="n"/>
      <c r="M38" s="46" t="n"/>
      <c r="N38" s="46" t="n"/>
      <c r="O38" s="46" t="n"/>
      <c r="P38" s="46" t="n"/>
      <c r="Q38" s="46" t="n"/>
      <c r="R38" s="46" t="n"/>
      <c r="S38" s="46" t="n"/>
    </row>
    <row r="39">
      <c r="E39" s="45" t="n"/>
      <c r="M39" s="46" t="n"/>
      <c r="N39" s="46" t="n"/>
      <c r="O39" s="46" t="n"/>
      <c r="P39" s="46" t="n"/>
      <c r="Q39" s="46" t="n"/>
      <c r="R39" s="46" t="n"/>
      <c r="S39" s="46" t="n"/>
    </row>
    <row r="40">
      <c r="E40" s="45" t="n"/>
      <c r="M40" s="46" t="n"/>
      <c r="N40" s="46" t="n"/>
      <c r="O40" s="46" t="n"/>
      <c r="P40" s="46" t="n"/>
      <c r="Q40" s="46" t="n"/>
      <c r="R40" s="46" t="n"/>
      <c r="S40" s="46" t="n"/>
    </row>
    <row r="41">
      <c r="E41" s="45" t="n"/>
      <c r="M41" s="46" t="n"/>
      <c r="N41" s="46" t="n"/>
      <c r="O41" s="46" t="n"/>
      <c r="P41" s="46" t="n"/>
      <c r="Q41" s="46" t="n"/>
      <c r="R41" s="46" t="n"/>
      <c r="S41" s="46" t="n"/>
    </row>
    <row r="42">
      <c r="E42" s="45" t="n"/>
      <c r="M42" s="46" t="n"/>
      <c r="N42" s="46" t="n"/>
      <c r="O42" s="46" t="n"/>
      <c r="P42" s="46" t="n"/>
      <c r="Q42" s="46" t="n"/>
      <c r="R42" s="46" t="n"/>
      <c r="S42" s="46" t="n"/>
    </row>
    <row r="43">
      <c r="E43" s="45" t="n"/>
      <c r="M43" s="46" t="n"/>
      <c r="N43" s="46" t="n"/>
      <c r="O43" s="46" t="n"/>
      <c r="P43" s="46" t="n"/>
      <c r="Q43" s="46" t="n"/>
      <c r="R43" s="46" t="n"/>
      <c r="S43" s="46" t="n"/>
    </row>
    <row r="44">
      <c r="E44" s="45" t="n"/>
      <c r="M44" s="46" t="n"/>
      <c r="N44" s="46" t="n"/>
      <c r="O44" s="46" t="n"/>
      <c r="P44" s="46" t="n"/>
      <c r="Q44" s="46" t="n"/>
      <c r="R44" s="46" t="n"/>
      <c r="S44" s="46" t="n"/>
    </row>
    <row r="45">
      <c r="E45" s="45" t="n"/>
      <c r="M45" s="46" t="n"/>
      <c r="N45" s="46" t="n"/>
      <c r="O45" s="46" t="n"/>
      <c r="P45" s="46" t="n"/>
      <c r="Q45" s="46" t="n"/>
      <c r="R45" s="46" t="n"/>
      <c r="S45" s="46" t="n"/>
    </row>
    <row r="46">
      <c r="E46" s="45" t="n"/>
      <c r="M46" s="46" t="n"/>
      <c r="N46" s="46" t="n"/>
      <c r="O46" s="46" t="n"/>
      <c r="P46" s="46" t="n"/>
      <c r="Q46" s="46" t="n"/>
      <c r="R46" s="46" t="n"/>
      <c r="S46" s="46" t="n"/>
    </row>
    <row r="47">
      <c r="E47" s="45" t="n"/>
      <c r="M47" s="46" t="n"/>
      <c r="N47" s="46" t="n"/>
      <c r="O47" s="46" t="n"/>
      <c r="P47" s="46" t="n"/>
      <c r="Q47" s="46" t="n"/>
      <c r="R47" s="46" t="n"/>
      <c r="S47" s="46" t="n"/>
    </row>
    <row r="48">
      <c r="E48" s="45" t="n"/>
      <c r="M48" s="46" t="n"/>
      <c r="N48" s="46" t="n"/>
      <c r="O48" s="46" t="n"/>
      <c r="P48" s="46" t="n"/>
      <c r="Q48" s="46" t="n"/>
      <c r="R48" s="46" t="n"/>
      <c r="S48" s="46" t="n"/>
    </row>
    <row r="49">
      <c r="E49" s="45" t="n"/>
      <c r="M49" s="46" t="n"/>
      <c r="N49" s="46" t="n"/>
      <c r="O49" s="46" t="n"/>
      <c r="P49" s="46" t="n"/>
      <c r="Q49" s="46" t="n"/>
      <c r="R49" s="46" t="n"/>
      <c r="S49" s="46" t="n"/>
    </row>
    <row r="50">
      <c r="E50" s="45" t="n"/>
      <c r="M50" s="46" t="n"/>
      <c r="N50" s="46" t="n"/>
      <c r="O50" s="46" t="n"/>
      <c r="P50" s="46" t="n"/>
      <c r="Q50" s="46" t="n"/>
      <c r="R50" s="46" t="n"/>
      <c r="S50" s="46" t="n"/>
    </row>
    <row r="51">
      <c r="E51" s="45" t="n"/>
      <c r="M51" s="46" t="n"/>
      <c r="N51" s="46" t="n"/>
      <c r="O51" s="46" t="n"/>
      <c r="P51" s="46" t="n"/>
      <c r="Q51" s="46" t="n"/>
      <c r="R51" s="46" t="n"/>
      <c r="S51" s="46" t="n"/>
    </row>
    <row r="52">
      <c r="E52" s="45" t="n"/>
      <c r="M52" s="46" t="n"/>
      <c r="N52" s="46" t="n"/>
      <c r="O52" s="46" t="n"/>
      <c r="P52" s="46" t="n"/>
      <c r="Q52" s="46" t="n"/>
      <c r="R52" s="46" t="n"/>
      <c r="S52" s="46" t="n"/>
    </row>
    <row r="53">
      <c r="E53" s="45" t="n"/>
      <c r="M53" s="46" t="n"/>
      <c r="N53" s="46" t="n"/>
      <c r="O53" s="46" t="n"/>
      <c r="P53" s="46" t="n"/>
      <c r="Q53" s="46" t="n"/>
      <c r="R53" s="46" t="n"/>
      <c r="S53" s="46" t="n"/>
    </row>
    <row r="54">
      <c r="E54" s="45" t="n"/>
      <c r="M54" s="46" t="n"/>
      <c r="N54" s="46" t="n"/>
      <c r="O54" s="46" t="n"/>
      <c r="P54" s="46" t="n"/>
      <c r="Q54" s="46" t="n"/>
      <c r="R54" s="46" t="n"/>
      <c r="S54" s="46" t="n"/>
    </row>
    <row r="55">
      <c r="E55" s="45" t="n"/>
      <c r="M55" s="46" t="n"/>
      <c r="N55" s="46" t="n"/>
      <c r="O55" s="46" t="n"/>
      <c r="P55" s="46" t="n"/>
      <c r="Q55" s="46" t="n"/>
      <c r="R55" s="46" t="n"/>
      <c r="S55" s="46" t="n"/>
    </row>
    <row r="56">
      <c r="E56" s="45" t="n"/>
      <c r="M56" s="46" t="n"/>
      <c r="N56" s="46" t="n"/>
      <c r="O56" s="46" t="n"/>
      <c r="P56" s="46" t="n"/>
      <c r="Q56" s="46" t="n"/>
      <c r="R56" s="46" t="n"/>
      <c r="S56" s="46" t="n"/>
    </row>
    <row r="57">
      <c r="E57" s="45" t="n"/>
      <c r="M57" s="46" t="n"/>
      <c r="N57" s="46" t="n"/>
      <c r="O57" s="46" t="n"/>
      <c r="P57" s="46" t="n"/>
      <c r="Q57" s="46" t="n"/>
      <c r="R57" s="46" t="n"/>
      <c r="S57" s="46" t="n"/>
    </row>
    <row r="58">
      <c r="E58" s="45" t="n"/>
      <c r="M58" s="46" t="n"/>
      <c r="N58" s="46" t="n"/>
      <c r="O58" s="46" t="n"/>
      <c r="P58" s="46" t="n"/>
      <c r="Q58" s="46" t="n"/>
      <c r="R58" s="46" t="n"/>
      <c r="S58" s="46" t="n"/>
    </row>
    <row r="59">
      <c r="E59" s="45" t="n"/>
      <c r="M59" s="46" t="n"/>
      <c r="N59" s="46" t="n"/>
      <c r="O59" s="46" t="n"/>
      <c r="P59" s="46" t="n"/>
      <c r="Q59" s="46" t="n"/>
      <c r="R59" s="46" t="n"/>
      <c r="S59" s="46" t="n"/>
    </row>
    <row r="60">
      <c r="E60" s="45" t="n"/>
      <c r="M60" s="46" t="n"/>
      <c r="N60" s="46" t="n"/>
      <c r="O60" s="46" t="n"/>
      <c r="P60" s="46" t="n"/>
      <c r="Q60" s="46" t="n"/>
      <c r="R60" s="46" t="n"/>
      <c r="S60" s="46" t="n"/>
    </row>
    <row r="61">
      <c r="E61" s="45" t="n"/>
      <c r="M61" s="46" t="n"/>
      <c r="N61" s="46" t="n"/>
      <c r="O61" s="46" t="n"/>
      <c r="P61" s="46" t="n"/>
      <c r="Q61" s="46" t="n"/>
      <c r="R61" s="46" t="n"/>
      <c r="S61" s="46" t="n"/>
    </row>
    <row r="62">
      <c r="E62" s="45" t="n"/>
      <c r="M62" s="46" t="n"/>
      <c r="N62" s="46" t="n"/>
      <c r="O62" s="46" t="n"/>
      <c r="P62" s="46" t="n"/>
      <c r="Q62" s="46" t="n"/>
      <c r="R62" s="46" t="n"/>
      <c r="S62" s="46" t="n"/>
    </row>
    <row r="63">
      <c r="E63" s="45" t="n"/>
      <c r="M63" s="46" t="n"/>
      <c r="N63" s="46" t="n"/>
      <c r="O63" s="46" t="n"/>
      <c r="P63" s="46" t="n"/>
      <c r="Q63" s="46" t="n"/>
      <c r="R63" s="46" t="n"/>
      <c r="S63" s="46" t="n"/>
    </row>
    <row r="64">
      <c r="E64" s="45" t="n"/>
      <c r="M64" s="46" t="n"/>
      <c r="N64" s="46" t="n"/>
      <c r="O64" s="46" t="n"/>
      <c r="P64" s="46" t="n"/>
      <c r="Q64" s="46" t="n"/>
      <c r="R64" s="46" t="n"/>
      <c r="S64" s="46" t="n"/>
    </row>
    <row r="65">
      <c r="E65" s="45" t="n"/>
      <c r="M65" s="46" t="n"/>
      <c r="N65" s="46" t="n"/>
      <c r="O65" s="46" t="n"/>
      <c r="P65" s="46" t="n"/>
      <c r="Q65" s="46" t="n"/>
      <c r="R65" s="46" t="n"/>
      <c r="S65" s="46" t="n"/>
    </row>
    <row r="66">
      <c r="E66" s="45" t="n"/>
      <c r="M66" s="46" t="n"/>
      <c r="N66" s="46" t="n"/>
      <c r="O66" s="46" t="n"/>
      <c r="P66" s="46" t="n"/>
      <c r="Q66" s="46" t="n"/>
      <c r="R66" s="46" t="n"/>
      <c r="S66" s="46" t="n"/>
    </row>
    <row r="67">
      <c r="E67" s="45" t="n"/>
      <c r="M67" s="46" t="n"/>
      <c r="N67" s="46" t="n"/>
      <c r="O67" s="46" t="n"/>
      <c r="P67" s="46" t="n"/>
      <c r="Q67" s="46" t="n"/>
      <c r="R67" s="46" t="n"/>
      <c r="S67" s="46" t="n"/>
    </row>
    <row r="68">
      <c r="E68" s="45" t="n"/>
      <c r="M68" s="46" t="n"/>
      <c r="N68" s="46" t="n"/>
      <c r="O68" s="46" t="n"/>
      <c r="P68" s="46" t="n"/>
      <c r="Q68" s="46" t="n"/>
      <c r="R68" s="46" t="n"/>
      <c r="S68" s="46" t="n"/>
    </row>
    <row r="69">
      <c r="E69" s="45" t="n"/>
      <c r="M69" s="46" t="n"/>
      <c r="N69" s="46" t="n"/>
      <c r="O69" s="46" t="n"/>
      <c r="P69" s="46" t="n"/>
      <c r="Q69" s="46" t="n"/>
      <c r="R69" s="46" t="n"/>
      <c r="S69" s="46" t="n"/>
    </row>
    <row r="70">
      <c r="E70" s="45" t="n"/>
      <c r="M70" s="46" t="n"/>
      <c r="N70" s="46" t="n"/>
      <c r="O70" s="46" t="n"/>
      <c r="P70" s="46" t="n"/>
      <c r="Q70" s="46" t="n"/>
      <c r="R70" s="46" t="n"/>
      <c r="S70" s="46" t="n"/>
    </row>
    <row r="71">
      <c r="E71" s="45" t="n"/>
      <c r="M71" s="46" t="n"/>
      <c r="N71" s="46" t="n"/>
      <c r="O71" s="46" t="n"/>
      <c r="P71" s="46" t="n"/>
      <c r="Q71" s="46" t="n"/>
      <c r="R71" s="46" t="n"/>
      <c r="S71" s="46" t="n"/>
    </row>
    <row r="72">
      <c r="E72" s="45" t="n"/>
      <c r="M72" s="46" t="n"/>
      <c r="N72" s="46" t="n"/>
      <c r="O72" s="46" t="n"/>
      <c r="P72" s="46" t="n"/>
      <c r="Q72" s="46" t="n"/>
      <c r="R72" s="46" t="n"/>
      <c r="S72" s="46" t="n"/>
    </row>
    <row r="73">
      <c r="E73" s="45" t="n"/>
      <c r="M73" s="46" t="n"/>
      <c r="N73" s="46" t="n"/>
      <c r="O73" s="46" t="n"/>
      <c r="P73" s="46" t="n"/>
      <c r="Q73" s="46" t="n"/>
      <c r="R73" s="46" t="n"/>
      <c r="S73" s="46" t="n"/>
    </row>
    <row r="74">
      <c r="E74" s="45" t="n"/>
      <c r="M74" s="46" t="n"/>
      <c r="N74" s="46" t="n"/>
      <c r="O74" s="46" t="n"/>
      <c r="P74" s="46" t="n"/>
      <c r="Q74" s="46" t="n"/>
      <c r="R74" s="46" t="n"/>
      <c r="S74" s="46" t="n"/>
    </row>
    <row r="75">
      <c r="E75" s="45" t="n"/>
      <c r="M75" s="46" t="n"/>
      <c r="N75" s="46" t="n"/>
      <c r="O75" s="46" t="n"/>
      <c r="P75" s="46" t="n"/>
      <c r="Q75" s="46" t="n"/>
      <c r="R75" s="46" t="n"/>
      <c r="S75" s="46" t="n"/>
    </row>
    <row r="76">
      <c r="E76" s="45" t="n"/>
      <c r="M76" s="46" t="n"/>
      <c r="N76" s="46" t="n"/>
      <c r="O76" s="46" t="n"/>
      <c r="P76" s="46" t="n"/>
      <c r="Q76" s="46" t="n"/>
      <c r="R76" s="46" t="n"/>
      <c r="S76" s="46" t="n"/>
    </row>
    <row r="77">
      <c r="E77" s="45" t="n"/>
      <c r="M77" s="46" t="n"/>
      <c r="N77" s="46" t="n"/>
      <c r="O77" s="46" t="n"/>
      <c r="P77" s="46" t="n"/>
      <c r="Q77" s="46" t="n"/>
      <c r="R77" s="46" t="n"/>
      <c r="S77" s="46" t="n"/>
    </row>
    <row r="78">
      <c r="E78" s="45" t="n"/>
      <c r="M78" s="46" t="n"/>
      <c r="N78" s="46" t="n"/>
      <c r="O78" s="46" t="n"/>
      <c r="P78" s="46" t="n"/>
      <c r="Q78" s="46" t="n"/>
      <c r="R78" s="46" t="n"/>
      <c r="S78" s="46" t="n"/>
    </row>
    <row r="79">
      <c r="E79" s="45" t="n"/>
      <c r="M79" s="46" t="n"/>
      <c r="N79" s="46" t="n"/>
      <c r="O79" s="46" t="n"/>
      <c r="P79" s="46" t="n"/>
      <c r="Q79" s="46" t="n"/>
      <c r="R79" s="46" t="n"/>
      <c r="S79" s="46" t="n"/>
    </row>
    <row r="80">
      <c r="E80" s="45" t="n"/>
      <c r="M80" s="46" t="n"/>
      <c r="N80" s="46" t="n"/>
      <c r="O80" s="46" t="n"/>
      <c r="P80" s="46" t="n"/>
      <c r="Q80" s="46" t="n"/>
      <c r="R80" s="46" t="n"/>
      <c r="S80" s="46" t="n"/>
    </row>
    <row r="81">
      <c r="E81" s="45" t="n"/>
      <c r="M81" s="46" t="n"/>
      <c r="N81" s="46" t="n"/>
      <c r="O81" s="46" t="n"/>
      <c r="P81" s="46" t="n"/>
      <c r="Q81" s="46" t="n"/>
      <c r="R81" s="46" t="n"/>
      <c r="S81" s="46" t="n"/>
    </row>
    <row r="82">
      <c r="E82" s="45" t="n"/>
      <c r="M82" s="46" t="n"/>
      <c r="N82" s="46" t="n"/>
      <c r="O82" s="46" t="n"/>
      <c r="P82" s="46" t="n"/>
      <c r="Q82" s="46" t="n"/>
      <c r="R82" s="46" t="n"/>
      <c r="S82" s="46" t="n"/>
    </row>
    <row r="83">
      <c r="E83" s="45" t="n"/>
      <c r="M83" s="46" t="n"/>
      <c r="N83" s="46" t="n"/>
      <c r="O83" s="46" t="n"/>
      <c r="P83" s="46" t="n"/>
      <c r="Q83" s="46" t="n"/>
      <c r="R83" s="46" t="n"/>
      <c r="S83" s="46" t="n"/>
    </row>
    <row r="84">
      <c r="E84" s="45" t="n"/>
      <c r="M84" s="46" t="n"/>
      <c r="N84" s="46" t="n"/>
      <c r="O84" s="46" t="n"/>
      <c r="P84" s="46" t="n"/>
      <c r="Q84" s="46" t="n"/>
      <c r="R84" s="46" t="n"/>
      <c r="S84" s="46" t="n"/>
    </row>
    <row r="85">
      <c r="E85" s="45" t="n"/>
      <c r="M85" s="46" t="n"/>
      <c r="N85" s="46" t="n"/>
      <c r="O85" s="46" t="n"/>
      <c r="P85" s="46" t="n"/>
      <c r="Q85" s="46" t="n"/>
      <c r="R85" s="46" t="n"/>
      <c r="S85" s="46" t="n"/>
    </row>
    <row r="86">
      <c r="E86" s="45" t="n"/>
      <c r="M86" s="46" t="n"/>
      <c r="N86" s="46" t="n"/>
      <c r="O86" s="46" t="n"/>
      <c r="P86" s="46" t="n"/>
      <c r="Q86" s="46" t="n"/>
      <c r="R86" s="46" t="n"/>
      <c r="S86" s="46" t="n"/>
    </row>
    <row r="87">
      <c r="E87" s="45" t="n"/>
      <c r="M87" s="46" t="n"/>
      <c r="N87" s="46" t="n"/>
      <c r="O87" s="46" t="n"/>
      <c r="P87" s="46" t="n"/>
      <c r="Q87" s="46" t="n"/>
      <c r="R87" s="46" t="n"/>
      <c r="S87" s="46" t="n"/>
    </row>
    <row r="88">
      <c r="E88" s="45" t="n"/>
      <c r="M88" s="46" t="n"/>
      <c r="N88" s="46" t="n"/>
      <c r="O88" s="46" t="n"/>
      <c r="P88" s="46" t="n"/>
      <c r="Q88" s="46" t="n"/>
      <c r="R88" s="46" t="n"/>
      <c r="S88" s="46" t="n"/>
    </row>
    <row r="89">
      <c r="E89" s="45" t="n"/>
      <c r="M89" s="46" t="n"/>
      <c r="N89" s="46" t="n"/>
      <c r="O89" s="46" t="n"/>
      <c r="P89" s="46" t="n"/>
      <c r="Q89" s="46" t="n"/>
      <c r="R89" s="46" t="n"/>
      <c r="S89" s="46" t="n"/>
    </row>
    <row r="90">
      <c r="E90" s="45" t="n"/>
      <c r="M90" s="46" t="n"/>
      <c r="N90" s="46" t="n"/>
      <c r="O90" s="46" t="n"/>
      <c r="P90" s="46" t="n"/>
      <c r="Q90" s="46" t="n"/>
      <c r="R90" s="46" t="n"/>
      <c r="S90" s="46" t="n"/>
    </row>
    <row r="91">
      <c r="E91" s="45" t="n"/>
      <c r="M91" s="46" t="n"/>
      <c r="N91" s="46" t="n"/>
      <c r="O91" s="46" t="n"/>
      <c r="P91" s="46" t="n"/>
      <c r="Q91" s="46" t="n"/>
      <c r="R91" s="46" t="n"/>
      <c r="S91" s="46" t="n"/>
    </row>
    <row r="92">
      <c r="E92" s="45" t="n"/>
      <c r="M92" s="46" t="n"/>
      <c r="N92" s="46" t="n"/>
      <c r="O92" s="46" t="n"/>
      <c r="P92" s="46" t="n"/>
      <c r="Q92" s="46" t="n"/>
      <c r="R92" s="46" t="n"/>
      <c r="S92" s="46" t="n"/>
    </row>
    <row r="93">
      <c r="E93" s="45" t="n"/>
      <c r="M93" s="46" t="n"/>
      <c r="N93" s="46" t="n"/>
      <c r="O93" s="46" t="n"/>
      <c r="P93" s="46" t="n"/>
      <c r="Q93" s="46" t="n"/>
      <c r="R93" s="46" t="n"/>
      <c r="S93" s="46" t="n"/>
    </row>
    <row r="94">
      <c r="E94" s="45" t="n"/>
      <c r="M94" s="46" t="n"/>
      <c r="N94" s="46" t="n"/>
      <c r="O94" s="46" t="n"/>
      <c r="P94" s="46" t="n"/>
      <c r="Q94" s="46" t="n"/>
      <c r="R94" s="46" t="n"/>
      <c r="S94" s="46" t="n"/>
    </row>
    <row r="95">
      <c r="E95" s="45" t="n"/>
      <c r="M95" s="46" t="n"/>
      <c r="N95" s="46" t="n"/>
      <c r="O95" s="46" t="n"/>
      <c r="P95" s="46" t="n"/>
      <c r="Q95" s="46" t="n"/>
      <c r="R95" s="46" t="n"/>
      <c r="S95" s="46" t="n"/>
    </row>
    <row r="96">
      <c r="E96" s="45" t="n"/>
      <c r="M96" s="46" t="n"/>
      <c r="N96" s="46" t="n"/>
      <c r="O96" s="46" t="n"/>
      <c r="P96" s="46" t="n"/>
      <c r="Q96" s="46" t="n"/>
      <c r="R96" s="46" t="n"/>
      <c r="S96" s="46" t="n"/>
    </row>
    <row r="97">
      <c r="E97" s="45" t="n"/>
      <c r="M97" s="46" t="n"/>
      <c r="N97" s="46" t="n"/>
      <c r="O97" s="46" t="n"/>
      <c r="P97" s="46" t="n"/>
      <c r="Q97" s="46" t="n"/>
      <c r="R97" s="46" t="n"/>
      <c r="S97" s="46" t="n"/>
    </row>
    <row r="98">
      <c r="E98" s="45" t="n"/>
      <c r="M98" s="46" t="n"/>
      <c r="N98" s="46" t="n"/>
      <c r="O98" s="46" t="n"/>
      <c r="P98" s="46" t="n"/>
      <c r="Q98" s="46" t="n"/>
      <c r="R98" s="46" t="n"/>
      <c r="S98" s="46" t="n"/>
    </row>
    <row r="99">
      <c r="E99" s="45" t="n"/>
      <c r="M99" s="46" t="n"/>
      <c r="N99" s="46" t="n"/>
      <c r="O99" s="46" t="n"/>
      <c r="P99" s="46" t="n"/>
      <c r="Q99" s="46" t="n"/>
      <c r="R99" s="46" t="n"/>
      <c r="S99" s="46" t="n"/>
    </row>
    <row r="100">
      <c r="E100" s="45" t="n"/>
      <c r="M100" s="46" t="n"/>
      <c r="N100" s="46" t="n"/>
      <c r="O100" s="46" t="n"/>
      <c r="P100" s="46" t="n"/>
      <c r="Q100" s="46" t="n"/>
      <c r="R100" s="46" t="n"/>
      <c r="S100" s="46" t="n"/>
    </row>
    <row r="101">
      <c r="E101" s="45" t="n"/>
      <c r="M101" s="46" t="n"/>
      <c r="N101" s="46" t="n"/>
      <c r="O101" s="46" t="n"/>
      <c r="P101" s="46" t="n"/>
      <c r="Q101" s="46" t="n"/>
      <c r="R101" s="46" t="n"/>
      <c r="S101" s="46" t="n"/>
    </row>
    <row r="102">
      <c r="E102" s="45" t="n"/>
      <c r="M102" s="46" t="n"/>
      <c r="N102" s="46" t="n"/>
      <c r="O102" s="46" t="n"/>
      <c r="P102" s="46" t="n"/>
      <c r="Q102" s="46" t="n"/>
      <c r="R102" s="46" t="n"/>
      <c r="S102" s="46" t="n"/>
    </row>
    <row r="103">
      <c r="E103" s="45" t="n"/>
      <c r="M103" s="46" t="n"/>
      <c r="N103" s="46" t="n"/>
      <c r="O103" s="46" t="n"/>
      <c r="P103" s="46" t="n"/>
      <c r="Q103" s="46" t="n"/>
      <c r="R103" s="46" t="n"/>
      <c r="S103" s="46" t="n"/>
    </row>
    <row r="104">
      <c r="E104" s="45" t="n"/>
      <c r="M104" s="46" t="n"/>
      <c r="N104" s="46" t="n"/>
      <c r="O104" s="46" t="n"/>
      <c r="P104" s="46" t="n"/>
      <c r="Q104" s="46" t="n"/>
      <c r="R104" s="46" t="n"/>
      <c r="S104" s="46" t="n"/>
    </row>
    <row r="105">
      <c r="E105" s="45" t="n"/>
      <c r="M105" s="46" t="n"/>
      <c r="N105" s="46" t="n"/>
      <c r="O105" s="46" t="n"/>
      <c r="P105" s="46" t="n"/>
      <c r="Q105" s="46" t="n"/>
      <c r="R105" s="46" t="n"/>
      <c r="S105" s="46" t="n"/>
    </row>
    <row r="106">
      <c r="E106" s="45" t="n"/>
      <c r="M106" s="46" t="n"/>
      <c r="N106" s="46" t="n"/>
      <c r="O106" s="46" t="n"/>
      <c r="P106" s="46" t="n"/>
      <c r="Q106" s="46" t="n"/>
      <c r="R106" s="46" t="n"/>
      <c r="S106" s="46" t="n"/>
    </row>
    <row r="107">
      <c r="E107" s="45" t="n"/>
      <c r="M107" s="46" t="n"/>
      <c r="N107" s="46" t="n"/>
      <c r="O107" s="46" t="n"/>
      <c r="P107" s="46" t="n"/>
      <c r="Q107" s="46" t="n"/>
      <c r="R107" s="46" t="n"/>
      <c r="S107" s="46" t="n"/>
    </row>
    <row r="108">
      <c r="E108" s="45" t="n"/>
      <c r="M108" s="46" t="n"/>
      <c r="N108" s="46" t="n"/>
      <c r="O108" s="46" t="n"/>
      <c r="P108" s="46" t="n"/>
      <c r="Q108" s="46" t="n"/>
      <c r="R108" s="46" t="n"/>
      <c r="S108" s="46" t="n"/>
    </row>
    <row r="109">
      <c r="E109" s="45" t="n"/>
      <c r="M109" s="46" t="n"/>
      <c r="N109" s="46" t="n"/>
      <c r="O109" s="46" t="n"/>
      <c r="P109" s="46" t="n"/>
      <c r="Q109" s="46" t="n"/>
      <c r="R109" s="46" t="n"/>
      <c r="S109" s="46" t="n"/>
    </row>
    <row r="110">
      <c r="E110" s="45" t="n"/>
      <c r="M110" s="46" t="n"/>
      <c r="N110" s="46" t="n"/>
      <c r="O110" s="46" t="n"/>
      <c r="P110" s="46" t="n"/>
      <c r="Q110" s="46" t="n"/>
      <c r="R110" s="46" t="n"/>
      <c r="S110" s="46" t="n"/>
    </row>
    <row r="111">
      <c r="E111" s="45" t="n"/>
      <c r="M111" s="46" t="n"/>
      <c r="N111" s="46" t="n"/>
      <c r="O111" s="46" t="n"/>
      <c r="P111" s="46" t="n"/>
      <c r="Q111" s="46" t="n"/>
      <c r="R111" s="46" t="n"/>
      <c r="S111" s="46" t="n"/>
    </row>
    <row r="112">
      <c r="E112" s="45" t="n"/>
      <c r="M112" s="46" t="n"/>
      <c r="N112" s="46" t="n"/>
      <c r="O112" s="46" t="n"/>
      <c r="P112" s="46" t="n"/>
      <c r="Q112" s="46" t="n"/>
      <c r="R112" s="46" t="n"/>
      <c r="S112" s="46" t="n"/>
    </row>
    <row r="113">
      <c r="E113" s="45" t="n"/>
      <c r="M113" s="46" t="n"/>
      <c r="N113" s="46" t="n"/>
      <c r="O113" s="46" t="n"/>
      <c r="P113" s="46" t="n"/>
      <c r="Q113" s="46" t="n"/>
      <c r="R113" s="46" t="n"/>
      <c r="S113" s="46" t="n"/>
    </row>
    <row r="114">
      <c r="E114" s="45" t="n"/>
      <c r="M114" s="46" t="n"/>
      <c r="N114" s="46" t="n"/>
      <c r="O114" s="46" t="n"/>
      <c r="P114" s="46" t="n"/>
      <c r="Q114" s="46" t="n"/>
      <c r="R114" s="46" t="n"/>
      <c r="S114" s="46" t="n"/>
    </row>
    <row r="115">
      <c r="E115" s="45" t="n"/>
      <c r="M115" s="46" t="n"/>
      <c r="N115" s="46" t="n"/>
      <c r="O115" s="46" t="n"/>
      <c r="P115" s="46" t="n"/>
      <c r="Q115" s="46" t="n"/>
      <c r="R115" s="46" t="n"/>
      <c r="S115" s="46" t="n"/>
    </row>
    <row r="116">
      <c r="E116" s="45" t="n"/>
      <c r="M116" s="46" t="n"/>
      <c r="N116" s="46" t="n"/>
      <c r="O116" s="46" t="n"/>
      <c r="P116" s="46" t="n"/>
      <c r="Q116" s="46" t="n"/>
      <c r="R116" s="46" t="n"/>
      <c r="S116" s="46" t="n"/>
    </row>
    <row r="117">
      <c r="E117" s="45" t="n"/>
      <c r="M117" s="46" t="n"/>
      <c r="N117" s="46" t="n"/>
      <c r="O117" s="46" t="n"/>
      <c r="P117" s="46" t="n"/>
      <c r="Q117" s="46" t="n"/>
      <c r="R117" s="46" t="n"/>
      <c r="S117" s="46" t="n"/>
    </row>
    <row r="118">
      <c r="E118" s="45" t="n"/>
      <c r="M118" s="46" t="n"/>
      <c r="N118" s="46" t="n"/>
      <c r="O118" s="46" t="n"/>
      <c r="P118" s="46" t="n"/>
      <c r="Q118" s="46" t="n"/>
      <c r="R118" s="46" t="n"/>
      <c r="S118" s="46" t="n"/>
    </row>
    <row r="119">
      <c r="E119" s="45" t="n"/>
      <c r="M119" s="46" t="n"/>
      <c r="N119" s="46" t="n"/>
      <c r="O119" s="46" t="n"/>
      <c r="P119" s="46" t="n"/>
      <c r="Q119" s="46" t="n"/>
      <c r="R119" s="46" t="n"/>
      <c r="S119" s="46" t="n"/>
    </row>
    <row r="120">
      <c r="E120" s="45" t="n"/>
      <c r="M120" s="46" t="n"/>
      <c r="N120" s="46" t="n"/>
      <c r="O120" s="46" t="n"/>
      <c r="P120" s="46" t="n"/>
      <c r="Q120" s="46" t="n"/>
      <c r="R120" s="46" t="n"/>
      <c r="S120" s="46" t="n"/>
    </row>
    <row r="121">
      <c r="E121" s="45" t="n"/>
      <c r="M121" s="46" t="n"/>
      <c r="N121" s="46" t="n"/>
      <c r="O121" s="46" t="n"/>
      <c r="P121" s="46" t="n"/>
      <c r="Q121" s="46" t="n"/>
      <c r="R121" s="46" t="n"/>
      <c r="S121" s="46" t="n"/>
    </row>
    <row r="122">
      <c r="E122" s="45" t="n"/>
      <c r="M122" s="46" t="n"/>
      <c r="N122" s="46" t="n"/>
      <c r="O122" s="46" t="n"/>
      <c r="P122" s="46" t="n"/>
      <c r="Q122" s="46" t="n"/>
      <c r="R122" s="46" t="n"/>
      <c r="S122" s="46" t="n"/>
    </row>
    <row r="123">
      <c r="E123" s="45" t="n"/>
      <c r="M123" s="46" t="n"/>
      <c r="N123" s="46" t="n"/>
      <c r="O123" s="46" t="n"/>
      <c r="P123" s="46" t="n"/>
      <c r="Q123" s="46" t="n"/>
      <c r="R123" s="46" t="n"/>
      <c r="S123" s="46" t="n"/>
    </row>
    <row r="124">
      <c r="E124" s="45" t="n"/>
      <c r="M124" s="46" t="n"/>
      <c r="N124" s="46" t="n"/>
      <c r="O124" s="46" t="n"/>
      <c r="P124" s="46" t="n"/>
      <c r="Q124" s="46" t="n"/>
      <c r="R124" s="46" t="n"/>
      <c r="S124" s="46" t="n"/>
    </row>
    <row r="125">
      <c r="E125" s="45" t="n"/>
      <c r="M125" s="46" t="n"/>
      <c r="N125" s="46" t="n"/>
      <c r="O125" s="46" t="n"/>
      <c r="P125" s="46" t="n"/>
      <c r="Q125" s="46" t="n"/>
      <c r="R125" s="46" t="n"/>
      <c r="S125" s="46" t="n"/>
    </row>
    <row r="126">
      <c r="E126" s="45" t="n"/>
      <c r="M126" s="46" t="n"/>
      <c r="N126" s="46" t="n"/>
      <c r="O126" s="46" t="n"/>
      <c r="P126" s="46" t="n"/>
      <c r="Q126" s="46" t="n"/>
      <c r="R126" s="46" t="n"/>
      <c r="S126" s="46" t="n"/>
    </row>
    <row r="127">
      <c r="E127" s="45" t="n"/>
      <c r="M127" s="46" t="n"/>
      <c r="N127" s="46" t="n"/>
      <c r="O127" s="46" t="n"/>
      <c r="P127" s="46" t="n"/>
      <c r="Q127" s="46" t="n"/>
      <c r="R127" s="46" t="n"/>
      <c r="S127" s="46" t="n"/>
    </row>
    <row r="128">
      <c r="E128" s="45" t="n"/>
      <c r="M128" s="46" t="n"/>
      <c r="N128" s="46" t="n"/>
      <c r="O128" s="46" t="n"/>
      <c r="P128" s="46" t="n"/>
      <c r="Q128" s="46" t="n"/>
      <c r="R128" s="46" t="n"/>
      <c r="S128" s="46" t="n"/>
    </row>
    <row r="129">
      <c r="E129" s="45" t="n"/>
      <c r="M129" s="46" t="n"/>
      <c r="N129" s="46" t="n"/>
      <c r="O129" s="46" t="n"/>
      <c r="P129" s="46" t="n"/>
      <c r="Q129" s="46" t="n"/>
      <c r="R129" s="46" t="n"/>
      <c r="S129" s="46" t="n"/>
    </row>
    <row r="130">
      <c r="E130" s="45" t="n"/>
      <c r="M130" s="46" t="n"/>
      <c r="N130" s="46" t="n"/>
      <c r="O130" s="46" t="n"/>
      <c r="P130" s="46" t="n"/>
      <c r="Q130" s="46" t="n"/>
      <c r="R130" s="46" t="n"/>
      <c r="S130" s="46" t="n"/>
    </row>
    <row r="131">
      <c r="E131" s="45" t="n"/>
      <c r="M131" s="46" t="n"/>
      <c r="N131" s="46" t="n"/>
      <c r="O131" s="46" t="n"/>
      <c r="P131" s="46" t="n"/>
      <c r="Q131" s="46" t="n"/>
      <c r="R131" s="46" t="n"/>
      <c r="S131" s="46" t="n"/>
    </row>
    <row r="132">
      <c r="E132" s="45" t="n"/>
      <c r="M132" s="46" t="n"/>
      <c r="N132" s="46" t="n"/>
      <c r="O132" s="46" t="n"/>
      <c r="P132" s="46" t="n"/>
      <c r="Q132" s="46" t="n"/>
      <c r="R132" s="46" t="n"/>
      <c r="S132" s="46" t="n"/>
    </row>
    <row r="133">
      <c r="E133" s="45" t="n"/>
      <c r="M133" s="46" t="n"/>
      <c r="N133" s="46" t="n"/>
      <c r="O133" s="46" t="n"/>
      <c r="P133" s="46" t="n"/>
      <c r="Q133" s="46" t="n"/>
      <c r="R133" s="46" t="n"/>
      <c r="S133" s="46" t="n"/>
    </row>
    <row r="134">
      <c r="E134" s="45" t="n"/>
      <c r="M134" s="46" t="n"/>
      <c r="N134" s="46" t="n"/>
      <c r="O134" s="46" t="n"/>
      <c r="P134" s="46" t="n"/>
      <c r="Q134" s="46" t="n"/>
      <c r="R134" s="46" t="n"/>
      <c r="S134" s="46" t="n"/>
    </row>
    <row r="135">
      <c r="E135" s="45" t="n"/>
      <c r="M135" s="46" t="n"/>
      <c r="N135" s="46" t="n"/>
      <c r="O135" s="46" t="n"/>
      <c r="P135" s="46" t="n"/>
      <c r="Q135" s="46" t="n"/>
      <c r="R135" s="46" t="n"/>
      <c r="S135" s="46" t="n"/>
    </row>
    <row r="136">
      <c r="E136" s="45" t="n"/>
      <c r="M136" s="46" t="n"/>
      <c r="N136" s="46" t="n"/>
      <c r="O136" s="46" t="n"/>
      <c r="P136" s="46" t="n"/>
      <c r="Q136" s="46" t="n"/>
      <c r="R136" s="46" t="n"/>
      <c r="S136" s="46" t="n"/>
    </row>
    <row r="137">
      <c r="E137" s="45" t="n"/>
      <c r="M137" s="46" t="n"/>
      <c r="N137" s="46" t="n"/>
      <c r="O137" s="46" t="n"/>
      <c r="P137" s="46" t="n"/>
      <c r="Q137" s="46" t="n"/>
      <c r="R137" s="46" t="n"/>
      <c r="S137" s="46" t="n"/>
    </row>
    <row r="138">
      <c r="E138" s="45" t="n"/>
      <c r="M138" s="46" t="n"/>
      <c r="N138" s="46" t="n"/>
      <c r="O138" s="46" t="n"/>
      <c r="P138" s="46" t="n"/>
      <c r="Q138" s="46" t="n"/>
      <c r="R138" s="46" t="n"/>
      <c r="S138" s="46" t="n"/>
    </row>
    <row r="139">
      <c r="E139" s="45" t="n"/>
      <c r="M139" s="46" t="n"/>
      <c r="N139" s="46" t="n"/>
      <c r="O139" s="46" t="n"/>
      <c r="P139" s="46" t="n"/>
      <c r="Q139" s="46" t="n"/>
      <c r="R139" s="46" t="n"/>
      <c r="S139" s="46" t="n"/>
    </row>
    <row r="140">
      <c r="E140" s="45" t="n"/>
      <c r="M140" s="46" t="n"/>
      <c r="N140" s="46" t="n"/>
      <c r="O140" s="46" t="n"/>
      <c r="P140" s="46" t="n"/>
      <c r="Q140" s="46" t="n"/>
      <c r="R140" s="46" t="n"/>
      <c r="S140" s="46" t="n"/>
    </row>
    <row r="141">
      <c r="E141" s="45" t="n"/>
      <c r="M141" s="46" t="n"/>
      <c r="N141" s="46" t="n"/>
      <c r="O141" s="46" t="n"/>
      <c r="P141" s="46" t="n"/>
      <c r="Q141" s="46" t="n"/>
      <c r="R141" s="46" t="n"/>
      <c r="S141" s="46" t="n"/>
    </row>
    <row r="142">
      <c r="E142" s="45" t="n"/>
      <c r="M142" s="46" t="n"/>
      <c r="N142" s="46" t="n"/>
      <c r="O142" s="46" t="n"/>
      <c r="P142" s="46" t="n"/>
      <c r="Q142" s="46" t="n"/>
      <c r="R142" s="46" t="n"/>
      <c r="S142" s="46" t="n"/>
    </row>
    <row r="143">
      <c r="E143" s="45" t="n"/>
      <c r="M143" s="46" t="n"/>
      <c r="N143" s="46" t="n"/>
      <c r="O143" s="46" t="n"/>
      <c r="P143" s="46" t="n"/>
      <c r="Q143" s="46" t="n"/>
      <c r="R143" s="46" t="n"/>
      <c r="S143" s="46" t="n"/>
    </row>
    <row r="144">
      <c r="E144" s="45" t="n"/>
      <c r="M144" s="46" t="n"/>
      <c r="N144" s="46" t="n"/>
      <c r="O144" s="46" t="n"/>
      <c r="P144" s="46" t="n"/>
      <c r="Q144" s="46" t="n"/>
      <c r="R144" s="46" t="n"/>
      <c r="S144" s="46" t="n"/>
    </row>
    <row r="145">
      <c r="E145" s="45" t="n"/>
      <c r="M145" s="46" t="n"/>
      <c r="N145" s="46" t="n"/>
      <c r="O145" s="46" t="n"/>
      <c r="P145" s="46" t="n"/>
      <c r="Q145" s="46" t="n"/>
      <c r="R145" s="46" t="n"/>
      <c r="S145" s="46" t="n"/>
    </row>
    <row r="146">
      <c r="E146" s="45" t="n"/>
      <c r="M146" s="46" t="n"/>
      <c r="N146" s="46" t="n"/>
      <c r="O146" s="46" t="n"/>
      <c r="P146" s="46" t="n"/>
      <c r="Q146" s="46" t="n"/>
      <c r="R146" s="46" t="n"/>
      <c r="S146" s="46" t="n"/>
    </row>
    <row r="147">
      <c r="E147" s="45" t="n"/>
      <c r="M147" s="46" t="n"/>
      <c r="N147" s="46" t="n"/>
      <c r="O147" s="46" t="n"/>
      <c r="P147" s="46" t="n"/>
      <c r="Q147" s="46" t="n"/>
      <c r="R147" s="46" t="n"/>
      <c r="S147" s="46" t="n"/>
    </row>
    <row r="148">
      <c r="E148" s="45" t="n"/>
      <c r="M148" s="46" t="n"/>
      <c r="N148" s="46" t="n"/>
      <c r="O148" s="46" t="n"/>
      <c r="P148" s="46" t="n"/>
      <c r="Q148" s="46" t="n"/>
      <c r="R148" s="46" t="n"/>
      <c r="S148" s="46" t="n"/>
    </row>
    <row r="149">
      <c r="E149" s="45" t="n"/>
      <c r="M149" s="46" t="n"/>
      <c r="N149" s="46" t="n"/>
      <c r="O149" s="46" t="n"/>
      <c r="P149" s="46" t="n"/>
      <c r="Q149" s="46" t="n"/>
      <c r="R149" s="46" t="n"/>
      <c r="S149" s="46" t="n"/>
    </row>
    <row r="150">
      <c r="E150" s="45" t="n"/>
      <c r="M150" s="46" t="n"/>
      <c r="N150" s="46" t="n"/>
      <c r="O150" s="46" t="n"/>
      <c r="P150" s="46" t="n"/>
      <c r="Q150" s="46" t="n"/>
      <c r="R150" s="46" t="n"/>
      <c r="S150" s="46" t="n"/>
    </row>
    <row r="151">
      <c r="E151" s="45" t="n"/>
      <c r="M151" s="46" t="n"/>
      <c r="N151" s="46" t="n"/>
      <c r="O151" s="46" t="n"/>
      <c r="P151" s="46" t="n"/>
      <c r="Q151" s="46" t="n"/>
      <c r="R151" s="46" t="n"/>
      <c r="S151" s="46" t="n"/>
    </row>
    <row r="152">
      <c r="E152" s="45" t="n"/>
      <c r="M152" s="46" t="n"/>
      <c r="N152" s="46" t="n"/>
      <c r="O152" s="46" t="n"/>
      <c r="P152" s="46" t="n"/>
      <c r="Q152" s="46" t="n"/>
      <c r="R152" s="46" t="n"/>
      <c r="S152" s="46" t="n"/>
    </row>
    <row r="153">
      <c r="E153" s="45" t="n"/>
      <c r="M153" s="46" t="n"/>
      <c r="N153" s="46" t="n"/>
      <c r="O153" s="46" t="n"/>
      <c r="P153" s="46" t="n"/>
      <c r="Q153" s="46" t="n"/>
      <c r="R153" s="46" t="n"/>
      <c r="S153" s="46" t="n"/>
    </row>
    <row r="154">
      <c r="E154" s="45" t="n"/>
      <c r="M154" s="46" t="n"/>
      <c r="N154" s="46" t="n"/>
      <c r="O154" s="46" t="n"/>
      <c r="P154" s="46" t="n"/>
      <c r="Q154" s="46" t="n"/>
      <c r="R154" s="46" t="n"/>
      <c r="S154" s="46" t="n"/>
    </row>
    <row r="155">
      <c r="E155" s="45" t="n"/>
      <c r="M155" s="46" t="n"/>
      <c r="N155" s="46" t="n"/>
      <c r="O155" s="46" t="n"/>
      <c r="P155" s="46" t="n"/>
      <c r="Q155" s="46" t="n"/>
      <c r="R155" s="46" t="n"/>
      <c r="S155" s="46" t="n"/>
    </row>
    <row r="156">
      <c r="E156" s="45" t="n"/>
      <c r="M156" s="46" t="n"/>
      <c r="N156" s="46" t="n"/>
      <c r="O156" s="46" t="n"/>
      <c r="P156" s="46" t="n"/>
      <c r="Q156" s="46" t="n"/>
      <c r="R156" s="46" t="n"/>
      <c r="S156" s="46" t="n"/>
    </row>
    <row r="157">
      <c r="E157" s="45" t="n"/>
      <c r="M157" s="46" t="n"/>
      <c r="N157" s="46" t="n"/>
      <c r="O157" s="46" t="n"/>
      <c r="P157" s="46" t="n"/>
      <c r="Q157" s="46" t="n"/>
      <c r="R157" s="46" t="n"/>
      <c r="S157" s="46" t="n"/>
    </row>
    <row r="158">
      <c r="E158" s="45" t="n"/>
      <c r="M158" s="46" t="n"/>
      <c r="N158" s="46" t="n"/>
      <c r="O158" s="46" t="n"/>
      <c r="P158" s="46" t="n"/>
      <c r="Q158" s="46" t="n"/>
      <c r="R158" s="46" t="n"/>
      <c r="S158" s="46" t="n"/>
    </row>
    <row r="159">
      <c r="E159" s="45" t="n"/>
      <c r="M159" s="46" t="n"/>
      <c r="N159" s="46" t="n"/>
      <c r="O159" s="46" t="n"/>
      <c r="P159" s="46" t="n"/>
      <c r="Q159" s="46" t="n"/>
      <c r="R159" s="46" t="n"/>
      <c r="S159" s="46" t="n"/>
    </row>
    <row r="160">
      <c r="E160" s="45" t="n"/>
      <c r="M160" s="46" t="n"/>
      <c r="N160" s="46" t="n"/>
      <c r="O160" s="46" t="n"/>
      <c r="P160" s="46" t="n"/>
      <c r="Q160" s="46" t="n"/>
      <c r="R160" s="46" t="n"/>
      <c r="S160" s="46" t="n"/>
    </row>
    <row r="161">
      <c r="E161" s="45" t="n"/>
      <c r="M161" s="46" t="n"/>
      <c r="N161" s="46" t="n"/>
      <c r="O161" s="46" t="n"/>
      <c r="P161" s="46" t="n"/>
      <c r="Q161" s="46" t="n"/>
      <c r="R161" s="46" t="n"/>
      <c r="S161" s="46" t="n"/>
    </row>
    <row r="162">
      <c r="E162" s="45" t="n"/>
      <c r="M162" s="46" t="n"/>
      <c r="N162" s="46" t="n"/>
      <c r="O162" s="46" t="n"/>
      <c r="P162" s="46" t="n"/>
      <c r="Q162" s="46" t="n"/>
      <c r="R162" s="46" t="n"/>
      <c r="S162" s="46" t="n"/>
    </row>
    <row r="163">
      <c r="E163" s="45" t="n"/>
      <c r="M163" s="46" t="n"/>
      <c r="N163" s="46" t="n"/>
      <c r="O163" s="46" t="n"/>
      <c r="P163" s="46" t="n"/>
      <c r="Q163" s="46" t="n"/>
      <c r="R163" s="46" t="n"/>
      <c r="S163" s="46" t="n"/>
    </row>
    <row r="164">
      <c r="E164" s="45" t="n"/>
      <c r="M164" s="46" t="n"/>
      <c r="N164" s="46" t="n"/>
      <c r="O164" s="46" t="n"/>
      <c r="P164" s="46" t="n"/>
      <c r="Q164" s="46" t="n"/>
      <c r="R164" s="46" t="n"/>
      <c r="S164" s="46" t="n"/>
    </row>
    <row r="165">
      <c r="E165" s="45" t="n"/>
      <c r="M165" s="46" t="n"/>
      <c r="N165" s="46" t="n"/>
      <c r="O165" s="46" t="n"/>
      <c r="P165" s="46" t="n"/>
      <c r="Q165" s="46" t="n"/>
      <c r="R165" s="46" t="n"/>
      <c r="S165" s="46" t="n"/>
    </row>
    <row r="166">
      <c r="E166" s="45" t="n"/>
      <c r="M166" s="46" t="n"/>
      <c r="N166" s="46" t="n"/>
      <c r="O166" s="46" t="n"/>
      <c r="P166" s="46" t="n"/>
      <c r="Q166" s="46" t="n"/>
      <c r="R166" s="46" t="n"/>
      <c r="S166" s="46" t="n"/>
    </row>
    <row r="167">
      <c r="E167" s="45" t="n"/>
      <c r="M167" s="46" t="n"/>
      <c r="N167" s="46" t="n"/>
      <c r="O167" s="46" t="n"/>
      <c r="P167" s="46" t="n"/>
      <c r="Q167" s="46" t="n"/>
      <c r="R167" s="46" t="n"/>
      <c r="S167" s="46" t="n"/>
    </row>
    <row r="168">
      <c r="E168" s="45" t="n"/>
      <c r="M168" s="46" t="n"/>
      <c r="N168" s="46" t="n"/>
      <c r="O168" s="46" t="n"/>
      <c r="P168" s="46" t="n"/>
      <c r="Q168" s="46" t="n"/>
      <c r="R168" s="46" t="n"/>
      <c r="S168" s="46" t="n"/>
    </row>
    <row r="169">
      <c r="E169" s="45" t="n"/>
      <c r="M169" s="46" t="n"/>
      <c r="N169" s="46" t="n"/>
      <c r="O169" s="46" t="n"/>
      <c r="P169" s="46" t="n"/>
      <c r="Q169" s="46" t="n"/>
      <c r="R169" s="46" t="n"/>
      <c r="S169" s="46" t="n"/>
    </row>
    <row r="170">
      <c r="E170" s="45" t="n"/>
      <c r="M170" s="46" t="n"/>
      <c r="N170" s="46" t="n"/>
      <c r="O170" s="46" t="n"/>
      <c r="P170" s="46" t="n"/>
      <c r="Q170" s="46" t="n"/>
      <c r="R170" s="46" t="n"/>
      <c r="S170" s="46" t="n"/>
    </row>
    <row r="171">
      <c r="E171" s="45" t="n"/>
      <c r="M171" s="46" t="n"/>
      <c r="N171" s="46" t="n"/>
      <c r="O171" s="46" t="n"/>
      <c r="P171" s="46" t="n"/>
      <c r="Q171" s="46" t="n"/>
      <c r="R171" s="46" t="n"/>
      <c r="S171" s="46" t="n"/>
    </row>
    <row r="172">
      <c r="E172" s="45" t="n"/>
      <c r="M172" s="46" t="n"/>
      <c r="N172" s="46" t="n"/>
      <c r="O172" s="46" t="n"/>
      <c r="P172" s="46" t="n"/>
      <c r="Q172" s="46" t="n"/>
      <c r="R172" s="46" t="n"/>
      <c r="S172" s="46" t="n"/>
    </row>
    <row r="173">
      <c r="E173" s="45" t="n"/>
      <c r="M173" s="46" t="n"/>
      <c r="N173" s="46" t="n"/>
      <c r="O173" s="46" t="n"/>
      <c r="P173" s="46" t="n"/>
      <c r="Q173" s="46" t="n"/>
      <c r="R173" s="46" t="n"/>
      <c r="S173" s="46" t="n"/>
    </row>
    <row r="174">
      <c r="E174" s="45" t="n"/>
      <c r="M174" s="46" t="n"/>
      <c r="N174" s="46" t="n"/>
      <c r="O174" s="46" t="n"/>
      <c r="P174" s="46" t="n"/>
      <c r="Q174" s="46" t="n"/>
      <c r="R174" s="46" t="n"/>
      <c r="S174" s="46" t="n"/>
    </row>
    <row r="175">
      <c r="E175" s="45" t="n"/>
      <c r="M175" s="46" t="n"/>
      <c r="N175" s="46" t="n"/>
      <c r="O175" s="46" t="n"/>
      <c r="P175" s="46" t="n"/>
      <c r="Q175" s="46" t="n"/>
      <c r="R175" s="46" t="n"/>
      <c r="S175" s="46" t="n"/>
    </row>
    <row r="176">
      <c r="E176" s="45" t="n"/>
      <c r="M176" s="46" t="n"/>
      <c r="N176" s="46" t="n"/>
      <c r="O176" s="46" t="n"/>
      <c r="P176" s="46" t="n"/>
      <c r="Q176" s="46" t="n"/>
      <c r="R176" s="46" t="n"/>
      <c r="S176" s="46" t="n"/>
    </row>
    <row r="177">
      <c r="E177" s="45" t="n"/>
      <c r="M177" s="46" t="n"/>
      <c r="N177" s="46" t="n"/>
      <c r="O177" s="46" t="n"/>
      <c r="P177" s="46" t="n"/>
      <c r="Q177" s="46" t="n"/>
      <c r="R177" s="46" t="n"/>
      <c r="S177" s="46" t="n"/>
    </row>
    <row r="178">
      <c r="E178" s="45" t="n"/>
      <c r="M178" s="46" t="n"/>
      <c r="N178" s="46" t="n"/>
      <c r="O178" s="46" t="n"/>
      <c r="P178" s="46" t="n"/>
      <c r="Q178" s="46" t="n"/>
      <c r="R178" s="46" t="n"/>
      <c r="S178" s="46" t="n"/>
    </row>
    <row r="179">
      <c r="E179" s="45" t="n"/>
      <c r="M179" s="46" t="n"/>
      <c r="N179" s="46" t="n"/>
      <c r="O179" s="46" t="n"/>
      <c r="P179" s="46" t="n"/>
      <c r="Q179" s="46" t="n"/>
      <c r="R179" s="46" t="n"/>
      <c r="S179" s="46" t="n"/>
    </row>
    <row r="180">
      <c r="E180" s="45" t="n"/>
      <c r="M180" s="46" t="n"/>
      <c r="N180" s="46" t="n"/>
      <c r="O180" s="46" t="n"/>
      <c r="P180" s="46" t="n"/>
      <c r="Q180" s="46" t="n"/>
      <c r="R180" s="46" t="n"/>
      <c r="S180" s="46" t="n"/>
    </row>
    <row r="181">
      <c r="E181" s="45" t="n"/>
      <c r="M181" s="46" t="n"/>
      <c r="N181" s="46" t="n"/>
      <c r="O181" s="46" t="n"/>
      <c r="P181" s="46" t="n"/>
      <c r="Q181" s="46" t="n"/>
      <c r="R181" s="46" t="n"/>
      <c r="S181" s="46" t="n"/>
    </row>
    <row r="182">
      <c r="E182" s="45" t="n"/>
      <c r="M182" s="46" t="n"/>
      <c r="N182" s="46" t="n"/>
      <c r="O182" s="46" t="n"/>
      <c r="P182" s="46" t="n"/>
      <c r="Q182" s="46" t="n"/>
      <c r="R182" s="46" t="n"/>
      <c r="S182" s="46" t="n"/>
    </row>
    <row r="183">
      <c r="E183" s="45" t="n"/>
      <c r="M183" s="46" t="n"/>
      <c r="N183" s="46" t="n"/>
      <c r="O183" s="46" t="n"/>
      <c r="P183" s="46" t="n"/>
      <c r="Q183" s="46" t="n"/>
      <c r="R183" s="46" t="n"/>
      <c r="S183" s="46" t="n"/>
    </row>
    <row r="184">
      <c r="E184" s="45" t="n"/>
      <c r="M184" s="46" t="n"/>
      <c r="N184" s="46" t="n"/>
      <c r="O184" s="46" t="n"/>
      <c r="P184" s="46" t="n"/>
      <c r="Q184" s="46" t="n"/>
      <c r="R184" s="46" t="n"/>
      <c r="S184" s="46" t="n"/>
    </row>
    <row r="185">
      <c r="E185" s="45" t="n"/>
      <c r="M185" s="46" t="n"/>
      <c r="N185" s="46" t="n"/>
      <c r="O185" s="46" t="n"/>
      <c r="P185" s="46" t="n"/>
      <c r="Q185" s="46" t="n"/>
      <c r="R185" s="46" t="n"/>
      <c r="S185" s="46" t="n"/>
    </row>
    <row r="186">
      <c r="E186" s="45" t="n"/>
      <c r="M186" s="46" t="n"/>
      <c r="N186" s="46" t="n"/>
      <c r="O186" s="46" t="n"/>
      <c r="P186" s="46" t="n"/>
      <c r="Q186" s="46" t="n"/>
      <c r="R186" s="46" t="n"/>
      <c r="S186" s="46" t="n"/>
    </row>
    <row r="187">
      <c r="E187" s="45" t="n"/>
      <c r="M187" s="46" t="n"/>
      <c r="N187" s="46" t="n"/>
      <c r="O187" s="46" t="n"/>
      <c r="P187" s="46" t="n"/>
      <c r="Q187" s="46" t="n"/>
      <c r="R187" s="46" t="n"/>
      <c r="S187" s="46" t="n"/>
    </row>
    <row r="188">
      <c r="E188" s="45" t="n"/>
      <c r="M188" s="46" t="n"/>
      <c r="N188" s="46" t="n"/>
      <c r="O188" s="46" t="n"/>
      <c r="P188" s="46" t="n"/>
      <c r="Q188" s="46" t="n"/>
      <c r="R188" s="46" t="n"/>
      <c r="S188" s="46" t="n"/>
    </row>
    <row r="189">
      <c r="E189" s="45" t="n"/>
      <c r="M189" s="46" t="n"/>
      <c r="N189" s="46" t="n"/>
      <c r="O189" s="46" t="n"/>
      <c r="P189" s="46" t="n"/>
      <c r="Q189" s="46" t="n"/>
      <c r="R189" s="46" t="n"/>
      <c r="S189" s="46" t="n"/>
    </row>
    <row r="190">
      <c r="E190" s="45" t="n"/>
      <c r="M190" s="46" t="n"/>
      <c r="N190" s="46" t="n"/>
      <c r="O190" s="46" t="n"/>
      <c r="P190" s="46" t="n"/>
      <c r="Q190" s="46" t="n"/>
      <c r="R190" s="46" t="n"/>
      <c r="S190" s="46" t="n"/>
    </row>
    <row r="191">
      <c r="E191" s="45" t="n"/>
      <c r="M191" s="46" t="n"/>
      <c r="N191" s="46" t="n"/>
      <c r="O191" s="46" t="n"/>
      <c r="P191" s="46" t="n"/>
      <c r="Q191" s="46" t="n"/>
      <c r="R191" s="46" t="n"/>
      <c r="S191" s="46" t="n"/>
    </row>
    <row r="192">
      <c r="E192" s="45" t="n"/>
      <c r="M192" s="46" t="n"/>
      <c r="N192" s="46" t="n"/>
      <c r="O192" s="46" t="n"/>
      <c r="P192" s="46" t="n"/>
      <c r="Q192" s="46" t="n"/>
      <c r="R192" s="46" t="n"/>
      <c r="S192" s="46" t="n"/>
    </row>
    <row r="193">
      <c r="E193" s="45" t="n"/>
      <c r="M193" s="46" t="n"/>
      <c r="N193" s="46" t="n"/>
      <c r="O193" s="46" t="n"/>
      <c r="P193" s="46" t="n"/>
      <c r="Q193" s="46" t="n"/>
      <c r="R193" s="46" t="n"/>
      <c r="S193" s="46" t="n"/>
    </row>
    <row r="194">
      <c r="E194" s="45" t="n"/>
      <c r="M194" s="46" t="n"/>
      <c r="N194" s="46" t="n"/>
      <c r="O194" s="46" t="n"/>
      <c r="P194" s="46" t="n"/>
      <c r="Q194" s="46" t="n"/>
      <c r="R194" s="46" t="n"/>
      <c r="S194" s="46" t="n"/>
    </row>
    <row r="195">
      <c r="E195" s="45" t="n"/>
      <c r="M195" s="46" t="n"/>
      <c r="N195" s="46" t="n"/>
      <c r="O195" s="46" t="n"/>
      <c r="P195" s="46" t="n"/>
      <c r="Q195" s="46" t="n"/>
      <c r="R195" s="46" t="n"/>
      <c r="S195" s="46" t="n"/>
    </row>
    <row r="196">
      <c r="E196" s="45" t="n"/>
      <c r="M196" s="46" t="n"/>
      <c r="N196" s="46" t="n"/>
      <c r="O196" s="46" t="n"/>
      <c r="P196" s="46" t="n"/>
      <c r="Q196" s="46" t="n"/>
      <c r="R196" s="46" t="n"/>
      <c r="S196" s="46" t="n"/>
    </row>
    <row r="197">
      <c r="E197" s="45" t="n"/>
      <c r="M197" s="46" t="n"/>
      <c r="N197" s="46" t="n"/>
      <c r="O197" s="46" t="n"/>
      <c r="P197" s="46" t="n"/>
      <c r="Q197" s="46" t="n"/>
      <c r="R197" s="46" t="n"/>
      <c r="S197" s="46" t="n"/>
    </row>
    <row r="198">
      <c r="E198" s="45" t="n"/>
      <c r="M198" s="46" t="n"/>
      <c r="N198" s="46" t="n"/>
      <c r="O198" s="46" t="n"/>
      <c r="P198" s="46" t="n"/>
      <c r="Q198" s="46" t="n"/>
      <c r="R198" s="46" t="n"/>
      <c r="S198" s="46" t="n"/>
    </row>
    <row r="199">
      <c r="E199" s="45" t="n"/>
      <c r="M199" s="46" t="n"/>
      <c r="N199" s="46" t="n"/>
      <c r="O199" s="46" t="n"/>
      <c r="P199" s="46" t="n"/>
      <c r="Q199" s="46" t="n"/>
      <c r="R199" s="46" t="n"/>
      <c r="S199" s="46" t="n"/>
    </row>
    <row r="200">
      <c r="E200" s="45" t="n"/>
      <c r="M200" s="46" t="n"/>
      <c r="N200" s="46" t="n"/>
      <c r="O200" s="46" t="n"/>
      <c r="P200" s="46" t="n"/>
      <c r="Q200" s="46" t="n"/>
      <c r="R200" s="46" t="n"/>
      <c r="S200" s="46" t="n"/>
    </row>
    <row r="201">
      <c r="A201" t="inlineStr">
        <is>
          <t>T-0005</t>
        </is>
      </c>
      <c r="B201" t="inlineStr">
        <is>
          <t>GAIL India</t>
        </is>
      </c>
      <c r="C201" t="inlineStr">
        <is>
          <t>GAIL India</t>
        </is>
      </c>
      <c r="F201" t="inlineStr">
        <is>
          <t>New Lead</t>
        </is>
      </c>
      <c r="H201" t="inlineStr">
        <is>
          <t>All Active Tenders</t>
        </is>
      </c>
      <c r="K201" t="inlineStr">
        <is>
          <t>Not found</t>
        </is>
      </c>
      <c r="L201" t="inlineStr">
        <is>
          <t>Unknown</t>
        </is>
      </c>
      <c r="T201" t="inlineStr">
        <is>
          <t>https://gailtenders.in/general_url.asp?val=4&amp;inb=1</t>
        </is>
      </c>
      <c r="U201" t="inlineStr">
        <is>
          <t>No</t>
        </is>
      </c>
      <c r="V201" t="inlineStr">
        <is>
          <t>Bot tarafindan tespit edildi (2026-07-01)</t>
        </is>
      </c>
    </row>
    <row r="202">
      <c r="A202" t="inlineStr">
        <is>
          <t>T-0006</t>
        </is>
      </c>
      <c r="B202" t="inlineStr">
        <is>
          <t>GAIL India</t>
        </is>
      </c>
      <c r="C202" t="inlineStr">
        <is>
          <t>GAIL India</t>
        </is>
      </c>
      <c r="F202" t="inlineStr">
        <is>
          <t>New Lead</t>
        </is>
      </c>
      <c r="H202" t="inlineStr">
        <is>
          <t>CORRIGENDUM</t>
        </is>
      </c>
      <c r="K202" t="inlineStr">
        <is>
          <t>Not found</t>
        </is>
      </c>
      <c r="L202" t="inlineStr">
        <is>
          <t>Unknown</t>
        </is>
      </c>
      <c r="T202" t="inlineStr">
        <is>
          <t>https://gailtenders.in/general_url.asp?val=4&amp;inb=2</t>
        </is>
      </c>
      <c r="U202" t="inlineStr">
        <is>
          <t>No</t>
        </is>
      </c>
      <c r="V202" t="inlineStr">
        <is>
          <t>Bot tarafindan tespit edildi (2026-07-01)</t>
        </is>
      </c>
    </row>
    <row r="203">
      <c r="A203" t="inlineStr">
        <is>
          <t>T-0007</t>
        </is>
      </c>
      <c r="B203" t="inlineStr">
        <is>
          <t>GAIL India</t>
        </is>
      </c>
      <c r="C203" t="inlineStr">
        <is>
          <t>GAIL India</t>
        </is>
      </c>
      <c r="F203" t="inlineStr">
        <is>
          <t>New Lead</t>
        </is>
      </c>
      <c r="H203" t="inlineStr">
        <is>
          <t>TENDER AWARDED</t>
        </is>
      </c>
      <c r="K203" t="inlineStr">
        <is>
          <t>Not found</t>
        </is>
      </c>
      <c r="L203" t="inlineStr">
        <is>
          <t>Unknown</t>
        </is>
      </c>
      <c r="T203" t="inlineStr">
        <is>
          <t>https://gailtenders.in/admin/AOC_param.asp</t>
        </is>
      </c>
      <c r="U203" t="inlineStr">
        <is>
          <t>No</t>
        </is>
      </c>
      <c r="V203" t="inlineStr">
        <is>
          <t>Bot tarafindan tespit edildi (2026-07-01)</t>
        </is>
      </c>
    </row>
    <row r="204">
      <c r="A204" t="inlineStr">
        <is>
          <t>T-0008</t>
        </is>
      </c>
      <c r="B204" t="inlineStr">
        <is>
          <t>GAIL India</t>
        </is>
      </c>
      <c r="C204" t="inlineStr">
        <is>
          <t>GAIL India</t>
        </is>
      </c>
      <c r="F204" t="inlineStr">
        <is>
          <t>New Lead</t>
        </is>
      </c>
      <c r="H204" t="inlineStr">
        <is>
          <t>https://gailtenders.in/tenderarchives_old.asp</t>
        </is>
      </c>
      <c r="K204" t="inlineStr">
        <is>
          <t>Not found</t>
        </is>
      </c>
      <c r="L204" t="inlineStr">
        <is>
          <t>Unknown</t>
        </is>
      </c>
      <c r="T204" t="inlineStr">
        <is>
          <t>https://gailtenders.in/tenderarchives_old.asp</t>
        </is>
      </c>
      <c r="U204" t="inlineStr">
        <is>
          <t>No</t>
        </is>
      </c>
      <c r="V204" t="inlineStr">
        <is>
          <t>Bot tarafindan tespit edildi (2026-07-01)</t>
        </is>
      </c>
    </row>
    <row r="205">
      <c r="A205" t="inlineStr">
        <is>
          <t>T-0009</t>
        </is>
      </c>
      <c r="B205" t="inlineStr">
        <is>
          <t>GAIL India</t>
        </is>
      </c>
      <c r="C205" t="inlineStr">
        <is>
          <t>GAIL India</t>
        </is>
      </c>
      <c r="D205" t="inlineStr">
        <is>
          <t>ERENCE</t>
        </is>
      </c>
      <c r="E205" t="inlineStr">
        <is>
          <t>26-06-2026</t>
        </is>
      </c>
      <c r="F205" t="inlineStr">
        <is>
          <t>New Lead</t>
        </is>
      </c>
      <c r="G205" t="inlineStr">
        <is>
          <t>Irrelevant / non-target</t>
        </is>
      </c>
      <c r="H205" t="inlineStr">
        <is>
          <t>E-Tenders</t>
        </is>
      </c>
      <c r="K205" t="inlineStr">
        <is>
          <t>Not found</t>
        </is>
      </c>
      <c r="L205" t="inlineStr">
        <is>
          <t>Unknown</t>
        </is>
      </c>
      <c r="T205" t="inlineStr">
        <is>
          <t>https://etenders.gov.in/eprocure/app</t>
        </is>
      </c>
      <c r="U205" t="inlineStr">
        <is>
          <t>No</t>
        </is>
      </c>
      <c r="V205" t="inlineStr">
        <is>
          <t>Bot tarafindan tespit edildi (2026-07-01); Bot tespit/zenginlestirme (2026-07-01); meta:score=40;priority=Medium;source_type=html_table;closing_date=21-12-2025;equipment=Irrelevant / non-target;reasons=irrelevant_equipment,station/skid keyword,quantity signal,commercial/price signal,tender reference signal,closing date signal; Bot clean extraction (2026-07-01); meta:score=55;priority=Medium;source_type=html_table;closing_date=21-12-2025;equipment=Regulating / metering station;quality_status=market_target;market_relevance=High;document_type=boq;unit_price_inr=;amount_label=;matched_terms=Regulating / metering station;reject_reasons=retail/cng station noise,civil/electrical only;scope=market_intelligence_only;excluded_scope=no_bid_or_offer_submission_automation</t>
        </is>
      </c>
    </row>
    <row r="206">
      <c r="A206" t="inlineStr">
        <is>
          <t>T-0010</t>
        </is>
      </c>
      <c r="B206" t="inlineStr">
        <is>
          <t>GAIL India</t>
        </is>
      </c>
      <c r="C206" t="inlineStr">
        <is>
          <t>GAIL India</t>
        </is>
      </c>
      <c r="F206" t="inlineStr">
        <is>
          <t>New Lead</t>
        </is>
      </c>
      <c r="H206" t="inlineStr">
        <is>
          <t>Click here to Login for uploadingTenders / Corrigendum</t>
        </is>
      </c>
      <c r="K206" t="inlineStr">
        <is>
          <t>Not found</t>
        </is>
      </c>
      <c r="L206" t="inlineStr">
        <is>
          <t>Unknown</t>
        </is>
      </c>
      <c r="T206" t="inlineStr">
        <is>
          <t>https://gailtenders.in/admin/index.asp</t>
        </is>
      </c>
      <c r="U206" t="inlineStr">
        <is>
          <t>No</t>
        </is>
      </c>
      <c r="V206" t="inlineStr">
        <is>
          <t>Bot tarafindan tespit edildi (2026-07-01)</t>
        </is>
      </c>
    </row>
    <row r="207">
      <c r="A207" t="inlineStr">
        <is>
          <t>T-0011</t>
        </is>
      </c>
      <c r="B207" t="inlineStr">
        <is>
          <t>GAIL India</t>
        </is>
      </c>
      <c r="C207" t="inlineStr">
        <is>
          <t>GAIL India</t>
        </is>
      </c>
      <c r="D207" t="inlineStr">
        <is>
          <t>TENDER WEBSITE</t>
        </is>
      </c>
      <c r="F207" t="inlineStr">
        <is>
          <t>Awarded</t>
        </is>
      </c>
      <c r="H207" t="inlineStr">
        <is>
          <t>Annual Procurement Plan</t>
        </is>
      </c>
      <c r="L207" t="inlineStr">
        <is>
          <t>Unknown</t>
        </is>
      </c>
      <c r="T207" t="inlineStr">
        <is>
          <t>https://gailtenders.in/pdf/APP2425002_19062024.pdf</t>
        </is>
      </c>
      <c r="U207" t="inlineStr">
        <is>
          <t>No</t>
        </is>
      </c>
      <c r="V207" t="inlineStr">
        <is>
          <t>Bot tarafindan tespit edildi (2026-07-01) | Bot enrich; date=2026-07-01; type=pdf; score=170; pdf_conf=Low</t>
        </is>
      </c>
    </row>
    <row r="208">
      <c r="A208" t="inlineStr">
        <is>
          <t>T-0012</t>
        </is>
      </c>
      <c r="B208" t="inlineStr">
        <is>
          <t>GAIL India</t>
        </is>
      </c>
      <c r="C208" t="inlineStr">
        <is>
          <t>GAIL India</t>
        </is>
      </c>
      <c r="F208" t="inlineStr">
        <is>
          <t>New Lead</t>
        </is>
      </c>
      <c r="H208" t="inlineStr">
        <is>
          <t>DETAILS OF PRE-TENDER CONFERENCE</t>
        </is>
      </c>
      <c r="K208" t="inlineStr">
        <is>
          <t>Not found</t>
        </is>
      </c>
      <c r="L208" t="inlineStr">
        <is>
          <t>Unknown</t>
        </is>
      </c>
      <c r="T208" t="inlineStr">
        <is>
          <t>https://gailtenders.in/new2.asp</t>
        </is>
      </c>
      <c r="U208" t="inlineStr">
        <is>
          <t>No</t>
        </is>
      </c>
      <c r="V208" t="inlineStr">
        <is>
          <t>Bot tarafindan tespit edildi (2026-07-01)</t>
        </is>
      </c>
    </row>
    <row r="209">
      <c r="A209" t="inlineStr">
        <is>
          <t>T-0013</t>
        </is>
      </c>
      <c r="B209" t="inlineStr">
        <is>
          <t>GAIL India</t>
        </is>
      </c>
      <c r="C209" t="inlineStr">
        <is>
          <t>GAIL India</t>
        </is>
      </c>
      <c r="D209" t="inlineStr">
        <is>
          <t>TENDER CONFERENCE</t>
        </is>
      </c>
      <c r="F209" t="inlineStr">
        <is>
          <t>New Lead</t>
        </is>
      </c>
      <c r="H209" t="inlineStr">
        <is>
          <t>ADDENDUM TO INSTRUCTIONS TO BIDDERS
				(INSTRUCTIONS FOR PARTICIPATION IN E-TENDER)</t>
        </is>
      </c>
      <c r="L209" t="inlineStr">
        <is>
          <t>Unknown</t>
        </is>
      </c>
      <c r="T209" t="inlineStr">
        <is>
          <t>https://gailtenders.in/AddendumtoITBeTender.pdf</t>
        </is>
      </c>
      <c r="U209" t="inlineStr">
        <is>
          <t>No</t>
        </is>
      </c>
      <c r="V209" t="inlineStr">
        <is>
          <t>Bot tarafindan tespit edildi (2026-07-01) | Bot enrich; date=2026-07-01; type=pdf; score=125; pdf_conf=Low</t>
        </is>
      </c>
    </row>
    <row r="210">
      <c r="A210" t="inlineStr">
        <is>
          <t>T-0014</t>
        </is>
      </c>
      <c r="B210" t="inlineStr">
        <is>
          <t>GAIL India</t>
        </is>
      </c>
      <c r="C210" t="inlineStr">
        <is>
          <t>GAIL India</t>
        </is>
      </c>
      <c r="F210" t="inlineStr">
        <is>
          <t>New Lead</t>
        </is>
      </c>
      <c r="G210" t="inlineStr">
        <is>
          <t>Unclassified</t>
        </is>
      </c>
      <c r="H210" t="inlineStr">
        <is>
          <t>A brief document about implementation of vendor invoice management system.</t>
        </is>
      </c>
      <c r="L210" t="inlineStr">
        <is>
          <t>Unknown</t>
        </is>
      </c>
      <c r="T210" t="inlineStr">
        <is>
          <t>https://gailebank.gail.co.in/gailtenders/annextures/Annexure1IntroductiontoVIMandSPARSHUpdated.pdf</t>
        </is>
      </c>
      <c r="U210" t="inlineStr">
        <is>
          <t>Yes</t>
        </is>
      </c>
      <c r="V210" t="inlineStr">
        <is>
          <t>Bot tarafindan tespit edildi (2026-07-01); Bot tespit/zenginlestirme (2026-07-01); meta:score=20;priority=Low;source_type=html_table;closing_date=;equipment=Unclassified;reasons=document source</t>
        </is>
      </c>
    </row>
    <row r="211">
      <c r="A211" t="inlineStr">
        <is>
          <t>T-0015</t>
        </is>
      </c>
      <c r="B211" t="inlineStr">
        <is>
          <t>GAIL India</t>
        </is>
      </c>
      <c r="C211" t="inlineStr">
        <is>
          <t>GAIL India</t>
        </is>
      </c>
      <c r="F211" t="inlineStr">
        <is>
          <t>New Lead</t>
        </is>
      </c>
      <c r="G211" t="inlineStr">
        <is>
          <t>Unclassified</t>
        </is>
      </c>
      <c r="H211" t="inlineStr">
        <is>
          <t>SPARSH Portal User Manual</t>
        </is>
      </c>
      <c r="L211" t="inlineStr">
        <is>
          <t>Unknown</t>
        </is>
      </c>
      <c r="T211" t="inlineStr">
        <is>
          <t>https://gailebank.gail.co.in/gailtenders/annextures/Annexure2SPARSHUsermanualUpdated.pdf</t>
        </is>
      </c>
      <c r="U211" t="inlineStr">
        <is>
          <t>Yes</t>
        </is>
      </c>
      <c r="V211" t="inlineStr">
        <is>
          <t>Bot tarafindan tespit edildi (2026-07-01); Bot tespit/zenginlestirme (2026-07-01); meta:score=20;priority=Low;source_type=html_table;closing_date=;equipment=Unclassified;reasons=document source</t>
        </is>
      </c>
    </row>
    <row r="212">
      <c r="A212" t="inlineStr">
        <is>
          <t>T-0016</t>
        </is>
      </c>
      <c r="B212" t="inlineStr">
        <is>
          <t>GAIL India</t>
        </is>
      </c>
      <c r="C212" t="inlineStr">
        <is>
          <t>GAIL India</t>
        </is>
      </c>
      <c r="F212" t="inlineStr">
        <is>
          <t>New Lead</t>
        </is>
      </c>
      <c r="G212" t="inlineStr">
        <is>
          <t>Unclassified</t>
        </is>
      </c>
      <c r="H212" t="inlineStr">
        <is>
          <t>SPARSH FAQs Document</t>
        </is>
      </c>
      <c r="L212" t="inlineStr">
        <is>
          <t>Unknown</t>
        </is>
      </c>
      <c r="T212" t="inlineStr">
        <is>
          <t>https://gailebank.gail.co.in/gailtenders/annextures/Annexure3SPARSHFAQDocReviewedUpdated.pdf</t>
        </is>
      </c>
      <c r="U212" t="inlineStr">
        <is>
          <t>Yes</t>
        </is>
      </c>
      <c r="V212" t="inlineStr">
        <is>
          <t>Bot tarafindan tespit edildi (2026-07-01); Bot tespit/zenginlestirme (2026-07-01); meta:score=20;priority=Low;source_type=html_table;closing_date=;equipment=Unclassified;reasons=document source</t>
        </is>
      </c>
    </row>
    <row r="213">
      <c r="A213" t="inlineStr">
        <is>
          <t>T-0017</t>
        </is>
      </c>
      <c r="B213" t="inlineStr">
        <is>
          <t>GAIL India</t>
        </is>
      </c>
      <c r="C213" t="inlineStr">
        <is>
          <t>GAIL India</t>
        </is>
      </c>
      <c r="F213" t="inlineStr">
        <is>
          <t>New Lead</t>
        </is>
      </c>
      <c r="G213" t="inlineStr">
        <is>
          <t>Unclassified</t>
        </is>
      </c>
      <c r="H213" t="inlineStr">
        <is>
          <t>Presentation containing information about various tab and buttons available of the portal.</t>
        </is>
      </c>
      <c r="L213" t="inlineStr">
        <is>
          <t>Unknown</t>
        </is>
      </c>
      <c r="T213" t="inlineStr">
        <is>
          <t>https://gailebank.gail.co.in/gailtenders/annextures/Annexure4PresentationonSPARSHUpdated.pdf</t>
        </is>
      </c>
      <c r="U213" t="inlineStr">
        <is>
          <t>Yes</t>
        </is>
      </c>
      <c r="V213" t="inlineStr">
        <is>
          <t>Bot tarafindan tespit edildi (2026-07-01); Bot tespit/zenginlestirme (2026-07-01); meta:score=20;priority=Low;source_type=html_table;closing_date=;equipment=Unclassified;reasons=document source</t>
        </is>
      </c>
    </row>
    <row r="214">
      <c r="A214" t="inlineStr">
        <is>
          <t>T-0018</t>
        </is>
      </c>
      <c r="B214" t="inlineStr">
        <is>
          <t>Indraprastha Gas (IGL)</t>
        </is>
      </c>
      <c r="C214" t="inlineStr">
        <is>
          <t>Indraprastha Gas (IGL)</t>
        </is>
      </c>
      <c r="F214" t="inlineStr">
        <is>
          <t>New Lead</t>
        </is>
      </c>
      <c r="H214" t="inlineStr">
        <is>
          <t>https://tenders.iglonline.net/dashboard</t>
        </is>
      </c>
      <c r="K214" t="inlineStr">
        <is>
          <t>Not found</t>
        </is>
      </c>
      <c r="L214" t="inlineStr">
        <is>
          <t>Unknown</t>
        </is>
      </c>
      <c r="T214" t="inlineStr">
        <is>
          <t>https://tenders.iglonline.net/dashboard</t>
        </is>
      </c>
      <c r="U214" t="inlineStr">
        <is>
          <t>No</t>
        </is>
      </c>
      <c r="V214" t="inlineStr">
        <is>
          <t>Bot tarafindan tespit edildi (2026-07-01)</t>
        </is>
      </c>
    </row>
    <row r="215">
      <c r="A215" t="inlineStr">
        <is>
          <t>T-0019</t>
        </is>
      </c>
      <c r="B215" t="inlineStr">
        <is>
          <t>Indraprastha Gas (IGL)</t>
        </is>
      </c>
      <c r="C215" t="inlineStr">
        <is>
          <t>Indraprastha Gas (IGL)</t>
        </is>
      </c>
      <c r="F215" t="inlineStr">
        <is>
          <t>New Lead</t>
        </is>
      </c>
      <c r="H215" t="inlineStr">
        <is>
          <t>Download Government Registration form</t>
        </is>
      </c>
      <c r="L215" t="inlineStr">
        <is>
          <t>Unknown</t>
        </is>
      </c>
      <c r="T215" t="inlineStr">
        <is>
          <t>https://www.iglonline.net/uploads/files/FOR_GOVERNMENT_ACCOMODATION-.pdf</t>
        </is>
      </c>
      <c r="U215" t="inlineStr">
        <is>
          <t>Yes</t>
        </is>
      </c>
      <c r="V215" t="inlineStr">
        <is>
          <t>Bot tarafindan tespit edildi (2026-07-01)</t>
        </is>
      </c>
    </row>
    <row r="216">
      <c r="A216" t="inlineStr">
        <is>
          <t>T-0020</t>
        </is>
      </c>
      <c r="B216" t="inlineStr">
        <is>
          <t>Indraprastha Gas (IGL)</t>
        </is>
      </c>
      <c r="C216" t="inlineStr">
        <is>
          <t>Indraprastha Gas (IGL)</t>
        </is>
      </c>
      <c r="F216" t="inlineStr">
        <is>
          <t>New Lead</t>
        </is>
      </c>
      <c r="H216" t="inlineStr">
        <is>
          <t>Download your EMI Schedule</t>
        </is>
      </c>
      <c r="K216" t="inlineStr">
        <is>
          <t>Not found</t>
        </is>
      </c>
      <c r="L216" t="inlineStr">
        <is>
          <t>Unknown</t>
        </is>
      </c>
      <c r="T216" t="inlineStr">
        <is>
          <t>https://webonline.igl.co.in:8077/sap/bc/ui5_ui5/sap/zumcui5/index.html?installmentPlan&amp;_ga=2.5668855</t>
        </is>
      </c>
      <c r="U216" t="inlineStr">
        <is>
          <t>No</t>
        </is>
      </c>
      <c r="V216" t="inlineStr">
        <is>
          <t>Bot tarafindan tespit edildi (2026-07-01)</t>
        </is>
      </c>
    </row>
    <row r="217">
      <c r="A217" t="inlineStr">
        <is>
          <t>T-0021</t>
        </is>
      </c>
      <c r="B217" t="inlineStr">
        <is>
          <t>Indraprastha Gas (IGL)</t>
        </is>
      </c>
      <c r="C217" t="inlineStr">
        <is>
          <t>Indraprastha Gas (IGL)</t>
        </is>
      </c>
      <c r="F217" t="inlineStr">
        <is>
          <t>New Lead</t>
        </is>
      </c>
      <c r="H217" t="inlineStr">
        <is>
          <t>Download NOC</t>
        </is>
      </c>
      <c r="K217" t="inlineStr">
        <is>
          <t>Not found</t>
        </is>
      </c>
      <c r="L217" t="inlineStr">
        <is>
          <t>Unknown</t>
        </is>
      </c>
      <c r="T217" t="inlineStr">
        <is>
          <t>https://webonline.igl.co.in:8077/sap/bc/ui5_ui5/sap/zumcui5/index.html?nocDownload&amp;_ga=2.56688554.18</t>
        </is>
      </c>
      <c r="U217" t="inlineStr">
        <is>
          <t>No</t>
        </is>
      </c>
      <c r="V217" t="inlineStr">
        <is>
          <t>Bot tarafindan tespit edildi (2026-07-01)</t>
        </is>
      </c>
    </row>
    <row r="218">
      <c r="A218" t="inlineStr">
        <is>
          <t>T-0022</t>
        </is>
      </c>
      <c r="B218" t="inlineStr">
        <is>
          <t>Indraprastha Gas (IGL)</t>
        </is>
      </c>
      <c r="C218" t="inlineStr">
        <is>
          <t>Indraprastha Gas (IGL)</t>
        </is>
      </c>
      <c r="F218" t="inlineStr">
        <is>
          <t>New Lead</t>
        </is>
      </c>
      <c r="H218" t="inlineStr">
        <is>
          <t>Upload Pan</t>
        </is>
      </c>
      <c r="K218" t="inlineStr">
        <is>
          <t>Not found</t>
        </is>
      </c>
      <c r="L218" t="inlineStr">
        <is>
          <t>Unknown</t>
        </is>
      </c>
      <c r="T218" t="inlineStr">
        <is>
          <t>https://tenders.iglonline.net/uploadPan</t>
        </is>
      </c>
      <c r="U218" t="inlineStr">
        <is>
          <t>No</t>
        </is>
      </c>
      <c r="V218" t="inlineStr">
        <is>
          <t>Bot tarafindan tespit edildi (2026-07-01)</t>
        </is>
      </c>
    </row>
    <row r="219">
      <c r="A219" t="inlineStr">
        <is>
          <t>T-0023</t>
        </is>
      </c>
      <c r="B219" t="inlineStr">
        <is>
          <t>Indraprastha Gas (IGL)</t>
        </is>
      </c>
      <c r="C219" t="inlineStr">
        <is>
          <t>Indraprastha Gas (IGL)</t>
        </is>
      </c>
      <c r="F219" t="inlineStr">
        <is>
          <t>New Lead</t>
        </is>
      </c>
      <c r="H219" t="inlineStr">
        <is>
          <t>https://tenders.iglonline.net//dashboard</t>
        </is>
      </c>
      <c r="K219" t="inlineStr">
        <is>
          <t>Not found</t>
        </is>
      </c>
      <c r="L219" t="inlineStr">
        <is>
          <t>Unknown</t>
        </is>
      </c>
      <c r="T219" t="inlineStr">
        <is>
          <t>https://tenders.iglonline.net//dashboard</t>
        </is>
      </c>
      <c r="U219" t="inlineStr">
        <is>
          <t>No</t>
        </is>
      </c>
      <c r="V219" t="inlineStr">
        <is>
          <t>Bot tarafindan tespit edildi (2026-07-01)</t>
        </is>
      </c>
    </row>
    <row r="220">
      <c r="A220" t="inlineStr">
        <is>
          <t>T-0024</t>
        </is>
      </c>
      <c r="B220" t="inlineStr">
        <is>
          <t>Indraprastha Gas (IGL)</t>
        </is>
      </c>
      <c r="C220" t="inlineStr">
        <is>
          <t>Indraprastha Gas (IGL)</t>
        </is>
      </c>
      <c r="F220" t="inlineStr">
        <is>
          <t>New Lead</t>
        </is>
      </c>
      <c r="H220" t="inlineStr">
        <is>
          <t>Active Tenders and Corrigendum/Addendum</t>
        </is>
      </c>
      <c r="K220" t="inlineStr">
        <is>
          <t>Not found</t>
        </is>
      </c>
      <c r="L220" t="inlineStr">
        <is>
          <t>Unknown</t>
        </is>
      </c>
      <c r="T220" t="inlineStr">
        <is>
          <t>https://tenders.iglonline.net/tenderList</t>
        </is>
      </c>
      <c r="U220" t="inlineStr">
        <is>
          <t>No</t>
        </is>
      </c>
      <c r="V220" t="inlineStr">
        <is>
          <t>Bot tarafindan tespit edildi (2026-07-01)</t>
        </is>
      </c>
    </row>
    <row r="221">
      <c r="A221" t="inlineStr">
        <is>
          <t>T-0025</t>
        </is>
      </c>
      <c r="B221" t="inlineStr">
        <is>
          <t>Indraprastha Gas (IGL)</t>
        </is>
      </c>
      <c r="C221" t="inlineStr">
        <is>
          <t>Indraprastha Gas (IGL)</t>
        </is>
      </c>
      <c r="F221" t="inlineStr">
        <is>
          <t>New Lead</t>
        </is>
      </c>
      <c r="H221" t="inlineStr">
        <is>
          <t>Old Tenders</t>
        </is>
      </c>
      <c r="K221" t="inlineStr">
        <is>
          <t>Not found</t>
        </is>
      </c>
      <c r="L221" t="inlineStr">
        <is>
          <t>Unknown</t>
        </is>
      </c>
      <c r="T221" t="inlineStr">
        <is>
          <t>https://tenders.iglonline.net/old-tenders</t>
        </is>
      </c>
      <c r="U221" t="inlineStr">
        <is>
          <t>No</t>
        </is>
      </c>
      <c r="V221" t="inlineStr">
        <is>
          <t>Bot tarafindan tespit edildi (2026-07-01)</t>
        </is>
      </c>
    </row>
    <row r="222">
      <c r="A222" t="inlineStr">
        <is>
          <t>T-0026</t>
        </is>
      </c>
      <c r="B222" t="inlineStr">
        <is>
          <t>Indraprastha Gas (IGL)</t>
        </is>
      </c>
      <c r="C222" t="inlineStr">
        <is>
          <t>Indraprastha Gas (IGL)</t>
        </is>
      </c>
      <c r="F222" t="inlineStr">
        <is>
          <t>New Lead</t>
        </is>
      </c>
      <c r="H222" t="inlineStr">
        <is>
          <t>Expression of Interest</t>
        </is>
      </c>
      <c r="K222" t="inlineStr">
        <is>
          <t>Not found</t>
        </is>
      </c>
      <c r="L222" t="inlineStr">
        <is>
          <t>Unknown</t>
        </is>
      </c>
      <c r="T222" t="inlineStr">
        <is>
          <t>https://tenders.iglonline.net/expression-of-interest</t>
        </is>
      </c>
      <c r="U222" t="inlineStr">
        <is>
          <t>No</t>
        </is>
      </c>
      <c r="V222" t="inlineStr">
        <is>
          <t>Bot tarafindan tespit edildi (2026-07-01)</t>
        </is>
      </c>
    </row>
    <row r="223">
      <c r="A223" t="inlineStr">
        <is>
          <t>T-0027</t>
        </is>
      </c>
      <c r="B223" t="inlineStr">
        <is>
          <t>Indraprastha Gas (IGL)</t>
        </is>
      </c>
      <c r="C223" t="inlineStr">
        <is>
          <t>Indraprastha Gas (IGL)</t>
        </is>
      </c>
      <c r="F223" t="inlineStr">
        <is>
          <t>New Lead</t>
        </is>
      </c>
      <c r="H223" t="inlineStr">
        <is>
          <t>Old EOI</t>
        </is>
      </c>
      <c r="K223" t="inlineStr">
        <is>
          <t>Not found</t>
        </is>
      </c>
      <c r="L223" t="inlineStr">
        <is>
          <t>Unknown</t>
        </is>
      </c>
      <c r="T223" t="inlineStr">
        <is>
          <t>https://iglonline.net/old-eoi</t>
        </is>
      </c>
      <c r="U223" t="inlineStr">
        <is>
          <t>No</t>
        </is>
      </c>
      <c r="V223" t="inlineStr">
        <is>
          <t>Bot tarafindan tespit edildi (2026-07-01)</t>
        </is>
      </c>
    </row>
    <row r="224">
      <c r="A224" t="inlineStr">
        <is>
          <t>T-0028</t>
        </is>
      </c>
      <c r="B224" t="inlineStr">
        <is>
          <t>Indraprastha Gas (IGL)</t>
        </is>
      </c>
      <c r="C224" t="inlineStr">
        <is>
          <t>Indraprastha Gas (IGL)</t>
        </is>
      </c>
      <c r="F224" t="inlineStr">
        <is>
          <t>New Lead</t>
        </is>
      </c>
      <c r="H224" t="inlineStr">
        <is>
          <t>Bank Guarantee Format</t>
        </is>
      </c>
      <c r="L224" t="inlineStr">
        <is>
          <t>Unknown</t>
        </is>
      </c>
      <c r="T224" t="inlineStr">
        <is>
          <t>https://www.iglonline.net/uploads/files/CPBG_Original_Format.pdf</t>
        </is>
      </c>
      <c r="U224" t="inlineStr">
        <is>
          <t>Yes</t>
        </is>
      </c>
      <c r="V224" t="inlineStr">
        <is>
          <t>Bot tarafindan tespit edildi (2026-07-01)</t>
        </is>
      </c>
    </row>
    <row r="225">
      <c r="A225" t="inlineStr">
        <is>
          <t>T-0029</t>
        </is>
      </c>
      <c r="B225" t="inlineStr">
        <is>
          <t>Indraprastha Gas (IGL)</t>
        </is>
      </c>
      <c r="C225" t="inlineStr">
        <is>
          <t>Indraprastha Gas (IGL)</t>
        </is>
      </c>
      <c r="D225" t="inlineStr">
        <is>
          <t>TENDER NO. FOR</t>
        </is>
      </c>
      <c r="F225" t="inlineStr">
        <is>
          <t>Docs Found</t>
        </is>
      </c>
      <c r="H225" t="inlineStr">
        <is>
          <t>Bid Bond Proforma/Proforma of Bid</t>
        </is>
      </c>
      <c r="K225" t="inlineStr">
        <is>
          <t>INDRAPRASTHA GAS</t>
        </is>
      </c>
      <c r="L225" t="inlineStr">
        <is>
          <t>Unknown</t>
        </is>
      </c>
      <c r="T225" t="inlineStr">
        <is>
          <t>https://www.iglonline.net/uploads/files/BID_BOND_PROFORMA.pdf</t>
        </is>
      </c>
      <c r="U225" t="inlineStr">
        <is>
          <t>Yes</t>
        </is>
      </c>
      <c r="V225" t="inlineStr">
        <is>
          <t>Bot tarafindan tespit edildi (2026-07-01)</t>
        </is>
      </c>
    </row>
    <row r="226">
      <c r="A226" t="inlineStr">
        <is>
          <t>T-0030</t>
        </is>
      </c>
      <c r="B226" t="inlineStr">
        <is>
          <t>Indraprastha Gas (IGL)</t>
        </is>
      </c>
      <c r="C226" t="inlineStr">
        <is>
          <t>Indraprastha Gas (IGL)</t>
        </is>
      </c>
      <c r="F226" t="inlineStr">
        <is>
          <t>New Lead</t>
        </is>
      </c>
      <c r="H226" t="inlineStr">
        <is>
          <t>IGL GST Details</t>
        </is>
      </c>
      <c r="K226" t="inlineStr">
        <is>
          <t>INDRAPRASTHA GAS LIMITED</t>
        </is>
      </c>
      <c r="L226" t="inlineStr">
        <is>
          <t>Unknown</t>
        </is>
      </c>
      <c r="T226" t="inlineStr">
        <is>
          <t>https://www.iglonline.net/uploads/files/IGL GST Certificate Details_v2.pdf</t>
        </is>
      </c>
      <c r="U226" t="inlineStr">
        <is>
          <t>Yes</t>
        </is>
      </c>
      <c r="V226" t="inlineStr">
        <is>
          <t>Bot tarafindan tespit edildi (2026-07-01)</t>
        </is>
      </c>
    </row>
    <row r="227">
      <c r="A227" t="inlineStr">
        <is>
          <t>T-0031</t>
        </is>
      </c>
      <c r="B227" t="inlineStr">
        <is>
          <t>Indraprastha Gas (IGL)</t>
        </is>
      </c>
      <c r="C227" t="inlineStr">
        <is>
          <t>Indraprastha Gas (IGL)</t>
        </is>
      </c>
      <c r="F227" t="inlineStr">
        <is>
          <t>New Lead</t>
        </is>
      </c>
      <c r="H227" t="inlineStr">
        <is>
          <t>Vendor Evaluation Policy</t>
        </is>
      </c>
      <c r="L227" t="inlineStr">
        <is>
          <t>Unknown</t>
        </is>
      </c>
      <c r="T227" t="inlineStr">
        <is>
          <t>https://iglonline.net/uploads/files/Vendor_Evaluation_Policy_v2_01.pdf</t>
        </is>
      </c>
      <c r="U227" t="inlineStr">
        <is>
          <t>Yes</t>
        </is>
      </c>
      <c r="V227" t="inlineStr">
        <is>
          <t>Bot tarafindan tespit edildi (2026-07-01)</t>
        </is>
      </c>
    </row>
    <row r="228">
      <c r="A228" t="inlineStr">
        <is>
          <t>T-0032</t>
        </is>
      </c>
      <c r="B228" t="inlineStr">
        <is>
          <t>Indraprastha Gas (IGL)</t>
        </is>
      </c>
      <c r="C228" t="inlineStr">
        <is>
          <t>Indraprastha Gas (IGL)</t>
        </is>
      </c>
      <c r="F228" t="inlineStr">
        <is>
          <t>New Lead</t>
        </is>
      </c>
      <c r="H228" t="inlineStr">
        <is>
          <t>IGL Holiday Listing Policy</t>
        </is>
      </c>
      <c r="L228" t="inlineStr">
        <is>
          <t>Unknown</t>
        </is>
      </c>
      <c r="T228" t="inlineStr">
        <is>
          <t>https://www.iglonline.net/uploads/files/IGL_Holiday_Listing_Policy.pdf</t>
        </is>
      </c>
      <c r="U228" t="inlineStr">
        <is>
          <t>Yes</t>
        </is>
      </c>
      <c r="V228" t="inlineStr">
        <is>
          <t>Bot tarafindan tespit edildi (2026-07-01)</t>
        </is>
      </c>
    </row>
    <row r="229">
      <c r="A229" t="inlineStr">
        <is>
          <t>T-0033</t>
        </is>
      </c>
      <c r="B229" t="inlineStr">
        <is>
          <t>Indraprastha Gas (IGL)</t>
        </is>
      </c>
      <c r="C229" t="inlineStr">
        <is>
          <t>Indraprastha Gas (IGL)</t>
        </is>
      </c>
      <c r="F229" t="inlineStr">
        <is>
          <t>New Lead</t>
        </is>
      </c>
      <c r="H229" t="inlineStr">
        <is>
          <t>E-tender Guide</t>
        </is>
      </c>
      <c r="L229" t="inlineStr">
        <is>
          <t>Unknown</t>
        </is>
      </c>
      <c r="T229" t="inlineStr">
        <is>
          <t>https://www.iglonline.net/uploads/files/E-tender_guide_for_bidders.pdf</t>
        </is>
      </c>
      <c r="U229" t="inlineStr">
        <is>
          <t>Yes</t>
        </is>
      </c>
      <c r="V229" t="inlineStr">
        <is>
          <t>Bot tarafindan tespit edildi (2026-07-01)</t>
        </is>
      </c>
    </row>
    <row r="230">
      <c r="A230" t="inlineStr">
        <is>
          <t>T-0034</t>
        </is>
      </c>
      <c r="B230" t="inlineStr">
        <is>
          <t>Indraprastha Gas (IGL)</t>
        </is>
      </c>
      <c r="C230" t="inlineStr">
        <is>
          <t>Indraprastha Gas (IGL)</t>
        </is>
      </c>
      <c r="F230" t="inlineStr">
        <is>
          <t>New Lead</t>
        </is>
      </c>
      <c r="H230" t="inlineStr">
        <is>
          <t>Vendor Registration For e-tender Portal`s</t>
        </is>
      </c>
      <c r="K230" t="inlineStr">
        <is>
          <t>Not found</t>
        </is>
      </c>
      <c r="L230" t="inlineStr">
        <is>
          <t>Unknown</t>
        </is>
      </c>
      <c r="T230" t="inlineStr">
        <is>
          <t>https://petroleum.euniwizarde.com/HomePage/loadSiteHomePage/Vy66Wa1zwHmM99LvXvGIkA</t>
        </is>
      </c>
      <c r="U230" t="inlineStr">
        <is>
          <t>No</t>
        </is>
      </c>
      <c r="V230" t="inlineStr">
        <is>
          <t>Bot tarafindan tespit edildi (2026-07-01)</t>
        </is>
      </c>
    </row>
    <row r="231">
      <c r="A231" t="inlineStr">
        <is>
          <t>T-0035</t>
        </is>
      </c>
      <c r="B231" t="inlineStr">
        <is>
          <t>Indraprastha Gas (IGL)</t>
        </is>
      </c>
      <c r="C231" t="inlineStr">
        <is>
          <t>Indraprastha Gas (IGL)</t>
        </is>
      </c>
      <c r="F231" t="inlineStr">
        <is>
          <t>New Lead</t>
        </is>
      </c>
      <c r="H231" t="inlineStr">
        <is>
          <t>BEC For pre tender</t>
        </is>
      </c>
      <c r="L231" t="inlineStr">
        <is>
          <t>Unknown</t>
        </is>
      </c>
      <c r="T231" t="inlineStr">
        <is>
          <t>https://www.iglonline.net/uploads/files/BEC For pre tender.pdf</t>
        </is>
      </c>
      <c r="U231" t="inlineStr">
        <is>
          <t>Yes</t>
        </is>
      </c>
      <c r="V231" t="inlineStr">
        <is>
          <t>Bot tarafindan tespit edildi (2026-07-01)</t>
        </is>
      </c>
    </row>
    <row r="232">
      <c r="A232" t="inlineStr">
        <is>
          <t>T-0036</t>
        </is>
      </c>
      <c r="B232" t="inlineStr">
        <is>
          <t>Indraprastha Gas (IGL)</t>
        </is>
      </c>
      <c r="C232" t="inlineStr">
        <is>
          <t>Indraprastha Gas (IGL)</t>
        </is>
      </c>
      <c r="F232" t="inlineStr">
        <is>
          <t>New Lead</t>
        </is>
      </c>
      <c r="H232" t="inlineStr">
        <is>
          <t>SOR</t>
        </is>
      </c>
      <c r="K232" t="inlineStr">
        <is>
          <t>Not found</t>
        </is>
      </c>
      <c r="L232" t="inlineStr">
        <is>
          <t>Unknown</t>
        </is>
      </c>
      <c r="T232" t="inlineStr">
        <is>
          <t>https://www.iglonline.net/uploads/files/SOR.xlsx</t>
        </is>
      </c>
      <c r="U232" t="inlineStr">
        <is>
          <t>No</t>
        </is>
      </c>
      <c r="V232" t="inlineStr">
        <is>
          <t>Bot tarafindan tespit edildi (2026-07-01)</t>
        </is>
      </c>
    </row>
    <row r="233">
      <c r="A233" t="inlineStr">
        <is>
          <t>T-0037</t>
        </is>
      </c>
      <c r="B233" t="inlineStr">
        <is>
          <t>Indraprastha Gas (IGL)</t>
        </is>
      </c>
      <c r="C233" t="inlineStr">
        <is>
          <t>Indraprastha Gas (IGL)</t>
        </is>
      </c>
      <c r="F233" t="inlineStr">
        <is>
          <t>New Lead</t>
        </is>
      </c>
      <c r="H233" t="inlineStr">
        <is>
          <t>Tech. Specs</t>
        </is>
      </c>
      <c r="K233" t="inlineStr">
        <is>
          <t>Oldham, Spectrex Detronics Honeywell Net</t>
        </is>
      </c>
      <c r="L233" t="inlineStr">
        <is>
          <t>Unknown</t>
        </is>
      </c>
      <c r="M233" t="n">
        <v>100</v>
      </c>
      <c r="T233" t="inlineStr">
        <is>
          <t>https://www.iglonline.net/uploads/files/Tech_Specs.pdf</t>
        </is>
      </c>
      <c r="U233" t="inlineStr">
        <is>
          <t>Yes</t>
        </is>
      </c>
      <c r="V233" t="inlineStr">
        <is>
          <t>Bot tarafindan tespit edildi (2026-07-01)</t>
        </is>
      </c>
    </row>
    <row r="234">
      <c r="A234" t="inlineStr">
        <is>
          <t>T-0038</t>
        </is>
      </c>
      <c r="B234" t="inlineStr">
        <is>
          <t>Indraprastha Gas (IGL)</t>
        </is>
      </c>
      <c r="C234" t="inlineStr">
        <is>
          <t>Indraprastha Gas (IGL)</t>
        </is>
      </c>
      <c r="D234" t="inlineStr">
        <is>
          <t>erence</t>
        </is>
      </c>
      <c r="E234" t="inlineStr">
        <is>
          <t>28-02-2025</t>
        </is>
      </c>
      <c r="F234" t="inlineStr">
        <is>
          <t>New Lead</t>
        </is>
      </c>
      <c r="G234" t="inlineStr">
        <is>
          <t>Domestic gas regulator</t>
        </is>
      </c>
      <c r="H234" t="inlineStr">
        <is>
          <t>Pre-bid meeting for Implementation of vendor invoice system in IGL</t>
        </is>
      </c>
      <c r="L234" t="inlineStr">
        <is>
          <t>Unknown</t>
        </is>
      </c>
      <c r="T234" t="inlineStr">
        <is>
          <t>https://www.iglonline.net/uploads/files/VIM_Draft_scope.pdf</t>
        </is>
      </c>
      <c r="U234" t="inlineStr">
        <is>
          <t>Yes</t>
        </is>
      </c>
      <c r="V234"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5">
      <c r="A235" t="inlineStr">
        <is>
          <t>T-0039</t>
        </is>
      </c>
      <c r="B235" t="inlineStr">
        <is>
          <t>Indraprastha Gas (IGL)</t>
        </is>
      </c>
      <c r="C235" t="inlineStr">
        <is>
          <t>Indraprastha Gas (IGL)</t>
        </is>
      </c>
      <c r="D235" t="inlineStr">
        <is>
          <t>erence</t>
        </is>
      </c>
      <c r="E235" t="inlineStr">
        <is>
          <t>28-02-2025</t>
        </is>
      </c>
      <c r="F235" t="inlineStr">
        <is>
          <t>New Lead</t>
        </is>
      </c>
      <c r="G235" t="inlineStr">
        <is>
          <t>Domestic gas regulator</t>
        </is>
      </c>
      <c r="H235" t="inlineStr">
        <is>
          <t>Pre-tender Meet for Supply of Master Mass Flow Meter (Prover System) Used for Calibration of Flowmeters Used in CNG Dispensers and at LCV points on Igl Website</t>
        </is>
      </c>
      <c r="L235" t="inlineStr">
        <is>
          <t>Unknown</t>
        </is>
      </c>
      <c r="T235" t="inlineStr">
        <is>
          <t>https://www.iglonline.net/uploads/files/Pre_tender_meet.pdf</t>
        </is>
      </c>
      <c r="U235" t="inlineStr">
        <is>
          <t>No</t>
        </is>
      </c>
      <c r="V235"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6">
      <c r="A236" t="inlineStr">
        <is>
          <t>T-0040</t>
        </is>
      </c>
      <c r="B236" t="inlineStr">
        <is>
          <t>Indraprastha Gas (IGL)</t>
        </is>
      </c>
      <c r="C236" t="inlineStr">
        <is>
          <t>Indraprastha Gas (IGL)</t>
        </is>
      </c>
      <c r="D236" t="inlineStr">
        <is>
          <t>erence</t>
        </is>
      </c>
      <c r="E236" t="inlineStr">
        <is>
          <t>28-02-2025</t>
        </is>
      </c>
      <c r="F236" t="inlineStr">
        <is>
          <t>New Lead</t>
        </is>
      </c>
      <c r="G236" t="inlineStr">
        <is>
          <t>Domestic gas regulator</t>
        </is>
      </c>
      <c r="H236" t="inlineStr">
        <is>
          <t>Pre-Tender Meet for Procurement of Manual and Hydraulic Squeezers for Control Room Operation and Maintenance Work</t>
        </is>
      </c>
      <c r="K236" t="inlineStr">
        <is>
          <t>shall furnish to the Purchaser, the Contract Performance Bank</t>
        </is>
      </c>
      <c r="L236" t="inlineStr">
        <is>
          <t>Unknown</t>
        </is>
      </c>
      <c r="T236" t="inlineStr">
        <is>
          <t>https://www.iglonline.net/uploads/files/Pre_Tender_Squeezers.pdf</t>
        </is>
      </c>
      <c r="U236" t="inlineStr">
        <is>
          <t>Yes</t>
        </is>
      </c>
      <c r="V236"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7">
      <c r="A237" t="inlineStr">
        <is>
          <t>T-0041</t>
        </is>
      </c>
      <c r="B237" t="inlineStr">
        <is>
          <t>Indraprastha Gas (IGL)</t>
        </is>
      </c>
      <c r="C237" t="inlineStr">
        <is>
          <t>Indraprastha Gas (IGL)</t>
        </is>
      </c>
      <c r="D237" t="inlineStr">
        <is>
          <t>erence</t>
        </is>
      </c>
      <c r="E237" t="inlineStr">
        <is>
          <t>28-02-2025</t>
        </is>
      </c>
      <c r="F237" t="inlineStr">
        <is>
          <t>New Lead</t>
        </is>
      </c>
      <c r="G237" t="inlineStr">
        <is>
          <t>Domestic gas regulator</t>
        </is>
      </c>
      <c r="H237" t="inlineStr">
        <is>
          <t>DESIGN, SUPPLY, INSTALLATION, COMMISSIONING AND 10 YEARS OF OPERATION &amp; COMPREHENSIVE MAINTENANCE OF 350 SCMH ELECTRIC MOTOR DRIVEN COMPRESSOR PACKAGES</t>
        </is>
      </c>
      <c r="I237" t="inlineStr">
        <is>
          <t>1.0</t>
        </is>
      </c>
      <c r="K237" t="inlineStr">
        <is>
          <t>before dispatch. 4. In case any new GAs is added (in future), within above mentioned states, bidder</t>
        </is>
      </c>
      <c r="L237" t="inlineStr">
        <is>
          <t>Unknown</t>
        </is>
      </c>
      <c r="M237" t="n">
        <v>4</v>
      </c>
      <c r="R237" t="n">
        <v>10000</v>
      </c>
      <c r="S237" t="n">
        <v>10000</v>
      </c>
      <c r="T237" t="inlineStr">
        <is>
          <t>https://www.iglonline.net/uploads/files/Pre Tender Meet for 350 SCMH EMD packages.pdf</t>
        </is>
      </c>
      <c r="U237" t="inlineStr">
        <is>
          <t>Yes</t>
        </is>
      </c>
      <c r="V237"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8">
      <c r="A238" t="inlineStr">
        <is>
          <t>T-0042</t>
        </is>
      </c>
      <c r="B238" t="inlineStr">
        <is>
          <t>Indraprastha Gas (IGL)</t>
        </is>
      </c>
      <c r="C238" t="inlineStr">
        <is>
          <t>Indraprastha Gas (IGL)</t>
        </is>
      </c>
      <c r="F238" t="inlineStr">
        <is>
          <t>New Lead</t>
        </is>
      </c>
      <c r="H238" t="inlineStr">
        <is>
          <t>View Tender</t>
        </is>
      </c>
      <c r="K238" t="inlineStr">
        <is>
          <t>Not found</t>
        </is>
      </c>
      <c r="L238" t="inlineStr">
        <is>
          <t>Unknown</t>
        </is>
      </c>
      <c r="T238" t="inlineStr">
        <is>
          <t>https://tenders.iglonline.net/tenderDetail/545/Active Tenders And Corrigendum-Addendum</t>
        </is>
      </c>
      <c r="U238" t="inlineStr">
        <is>
          <t>No</t>
        </is>
      </c>
      <c r="V238" t="inlineStr">
        <is>
          <t>Bot tarafindan tespit edildi (2026-07-01)</t>
        </is>
      </c>
    </row>
    <row r="239">
      <c r="A239" t="inlineStr">
        <is>
          <t>T-0043</t>
        </is>
      </c>
      <c r="B239" t="inlineStr">
        <is>
          <t>Indraprastha Gas (IGL)</t>
        </is>
      </c>
      <c r="C239" t="inlineStr">
        <is>
          <t>Indraprastha Gas (IGL)</t>
        </is>
      </c>
      <c r="F239" t="inlineStr">
        <is>
          <t>New Lead</t>
        </is>
      </c>
      <c r="H239" t="inlineStr">
        <is>
          <t>View Tender</t>
        </is>
      </c>
      <c r="K239" t="inlineStr">
        <is>
          <t>Not found</t>
        </is>
      </c>
      <c r="L239" t="inlineStr">
        <is>
          <t>Unknown</t>
        </is>
      </c>
      <c r="T239" t="inlineStr">
        <is>
          <t>https://tenders.iglonline.net/tenderDetail/544/Active Tenders And Corrigendum-Addendum</t>
        </is>
      </c>
      <c r="U239" t="inlineStr">
        <is>
          <t>No</t>
        </is>
      </c>
      <c r="V239" t="inlineStr">
        <is>
          <t>Bot tarafindan tespit edildi (2026-07-01)</t>
        </is>
      </c>
    </row>
    <row r="240">
      <c r="A240" t="inlineStr">
        <is>
          <t>T-0044</t>
        </is>
      </c>
      <c r="B240" t="inlineStr">
        <is>
          <t>Indraprastha Gas (IGL)</t>
        </is>
      </c>
      <c r="C240" t="inlineStr">
        <is>
          <t>Indraprastha Gas (IGL)</t>
        </is>
      </c>
      <c r="F240" t="inlineStr">
        <is>
          <t>New Lead</t>
        </is>
      </c>
      <c r="H240" t="inlineStr">
        <is>
          <t>View Tender</t>
        </is>
      </c>
      <c r="K240" t="inlineStr">
        <is>
          <t>Not found</t>
        </is>
      </c>
      <c r="L240" t="inlineStr">
        <is>
          <t>Unknown</t>
        </is>
      </c>
      <c r="T240" t="inlineStr">
        <is>
          <t>https://tenders.iglonline.net/tenderDetail/543/Active Tenders And Corrigendum-Addendum</t>
        </is>
      </c>
      <c r="U240" t="inlineStr">
        <is>
          <t>No</t>
        </is>
      </c>
      <c r="V240" t="inlineStr">
        <is>
          <t>Bot tarafindan tespit edildi (2026-07-01)</t>
        </is>
      </c>
    </row>
    <row r="241">
      <c r="A241" t="inlineStr">
        <is>
          <t>T-0045</t>
        </is>
      </c>
      <c r="B241" t="inlineStr">
        <is>
          <t>Indraprastha Gas (IGL)</t>
        </is>
      </c>
      <c r="C241" t="inlineStr">
        <is>
          <t>Indraprastha Gas (IGL)</t>
        </is>
      </c>
      <c r="F241" t="inlineStr">
        <is>
          <t>New Lead</t>
        </is>
      </c>
      <c r="H241" t="inlineStr">
        <is>
          <t>View Tender</t>
        </is>
      </c>
      <c r="K241" t="inlineStr">
        <is>
          <t>Not found</t>
        </is>
      </c>
      <c r="L241" t="inlineStr">
        <is>
          <t>Unknown</t>
        </is>
      </c>
      <c r="T241" t="inlineStr">
        <is>
          <t>https://tenders.iglonline.net/tenderDetail/542/Active Tenders And Corrigendum-Addendum</t>
        </is>
      </c>
      <c r="U241" t="inlineStr">
        <is>
          <t>No</t>
        </is>
      </c>
      <c r="V241" t="inlineStr">
        <is>
          <t>Bot tarafindan tespit edildi (2026-07-01)</t>
        </is>
      </c>
    </row>
    <row r="242">
      <c r="A242" t="inlineStr">
        <is>
          <t>T-0046</t>
        </is>
      </c>
      <c r="B242" t="inlineStr">
        <is>
          <t>Indraprastha Gas (IGL)</t>
        </is>
      </c>
      <c r="C242" t="inlineStr">
        <is>
          <t>Indraprastha Gas (IGL)</t>
        </is>
      </c>
      <c r="D242" t="inlineStr">
        <is>
          <t>Tender Ref. No.</t>
        </is>
      </c>
      <c r="F242" t="inlineStr">
        <is>
          <t>Docs Found</t>
        </is>
      </c>
      <c r="G242" t="inlineStr">
        <is>
          <t>Gas-related / review</t>
        </is>
      </c>
      <c r="H242" t="inlineStr">
        <is>
          <t>Corrigendum_1_CP18908.pdf</t>
        </is>
      </c>
      <c r="L242" t="inlineStr">
        <is>
          <t>Unknown</t>
        </is>
      </c>
      <c r="T242" t="inlineStr">
        <is>
          <t>https://tenders.iglonline.net/uploads/tender/Corrigendum_1_CP18908.pdf</t>
        </is>
      </c>
      <c r="U242" t="inlineStr">
        <is>
          <t>Yes</t>
        </is>
      </c>
      <c r="V242" t="inlineStr">
        <is>
          <t>Bot tarafindan tespit edildi (2026-07-01); Bot tespit/zenginlestirme (2026-07-01); meta:score=35;priority=Low;source_type=html_table;closing_date=;equipment=Gas-related / review;reasons=equipment:Gas-related / review,document source</t>
        </is>
      </c>
    </row>
    <row r="243">
      <c r="A243" t="inlineStr">
        <is>
          <t>T-0047</t>
        </is>
      </c>
      <c r="B243" t="inlineStr">
        <is>
          <t>Indraprastha Gas (IGL)</t>
        </is>
      </c>
      <c r="C243" t="inlineStr">
        <is>
          <t>Indraprastha Gas (IGL)</t>
        </is>
      </c>
      <c r="F243" t="inlineStr">
        <is>
          <t>New Lead</t>
        </is>
      </c>
      <c r="H243" t="inlineStr">
        <is>
          <t>View Tender</t>
        </is>
      </c>
      <c r="K243" t="inlineStr">
        <is>
          <t>Not found</t>
        </is>
      </c>
      <c r="L243" t="inlineStr">
        <is>
          <t>Unknown</t>
        </is>
      </c>
      <c r="T243" t="inlineStr">
        <is>
          <t>https://tenders.iglonline.net/tenderDetail/541/Active Tenders And Corrigendum-Addendum</t>
        </is>
      </c>
      <c r="U243" t="inlineStr">
        <is>
          <t>No</t>
        </is>
      </c>
      <c r="V243" t="inlineStr">
        <is>
          <t>Bot tarafindan tespit edildi (2026-07-01)</t>
        </is>
      </c>
    </row>
    <row r="244">
      <c r="A244" t="inlineStr">
        <is>
          <t>T-0048</t>
        </is>
      </c>
      <c r="B244" t="inlineStr">
        <is>
          <t>Indraprastha Gas (IGL)</t>
        </is>
      </c>
      <c r="C244" t="inlineStr">
        <is>
          <t>Indraprastha Gas (IGL)</t>
        </is>
      </c>
      <c r="D244" t="inlineStr">
        <is>
          <t>Tender Ref. No.</t>
        </is>
      </c>
      <c r="F244" t="inlineStr">
        <is>
          <t>Awarded</t>
        </is>
      </c>
      <c r="G244" t="inlineStr">
        <is>
          <t>Metering skid</t>
        </is>
      </c>
      <c r="H244" t="inlineStr">
        <is>
          <t>Corrigendum_1_CP18866.pdf</t>
        </is>
      </c>
      <c r="L244" t="inlineStr">
        <is>
          <t>Unknown</t>
        </is>
      </c>
      <c r="M244" t="n">
        <v>13</v>
      </c>
      <c r="T244" t="inlineStr">
        <is>
          <t>https://tenders.iglonline.net/uploads/tender/Corrigendum_1_CP18866.pdf</t>
        </is>
      </c>
      <c r="U244" t="inlineStr">
        <is>
          <t>Yes</t>
        </is>
      </c>
      <c r="V244" t="inlineStr">
        <is>
          <t>Bot tarafindan tespit edildi (2026-07-01) | Bot enrich; date=2026-07-01; type=pdf; score=230; pdf_conf=Medium</t>
        </is>
      </c>
    </row>
    <row r="245">
      <c r="A245" t="inlineStr">
        <is>
          <t>T-0049</t>
        </is>
      </c>
      <c r="B245" t="inlineStr">
        <is>
          <t>Indraprastha Gas (IGL)</t>
        </is>
      </c>
      <c r="C245" t="inlineStr">
        <is>
          <t>Indraprastha Gas (IGL)</t>
        </is>
      </c>
      <c r="F245" t="inlineStr">
        <is>
          <t>New Lead</t>
        </is>
      </c>
      <c r="H245" t="inlineStr">
        <is>
          <t>View Tender</t>
        </is>
      </c>
      <c r="K245" t="inlineStr">
        <is>
          <t>Not found</t>
        </is>
      </c>
      <c r="L245" t="inlineStr">
        <is>
          <t>Unknown</t>
        </is>
      </c>
      <c r="T245" t="inlineStr">
        <is>
          <t>https://tenders.iglonline.net/tenderDetail/540/Active Tenders And Corrigendum-Addendum</t>
        </is>
      </c>
      <c r="U245" t="inlineStr">
        <is>
          <t>No</t>
        </is>
      </c>
      <c r="V245" t="inlineStr">
        <is>
          <t>Bot tarafindan tespit edildi (2026-07-01)</t>
        </is>
      </c>
    </row>
    <row r="246">
      <c r="A246" t="inlineStr">
        <is>
          <t>T-0050</t>
        </is>
      </c>
      <c r="B246" t="inlineStr">
        <is>
          <t>Indraprastha Gas (IGL)</t>
        </is>
      </c>
      <c r="C246" t="inlineStr">
        <is>
          <t>Indraprastha Gas (IGL)</t>
        </is>
      </c>
      <c r="F246" t="inlineStr">
        <is>
          <t>New Lead</t>
        </is>
      </c>
      <c r="H246" t="inlineStr">
        <is>
          <t>View Tender</t>
        </is>
      </c>
      <c r="K246" t="inlineStr">
        <is>
          <t>Not found</t>
        </is>
      </c>
      <c r="L246" t="inlineStr">
        <is>
          <t>Unknown</t>
        </is>
      </c>
      <c r="T246" t="inlineStr">
        <is>
          <t>https://tenders.iglonline.net/tenderDetail/539/Active Tenders And Corrigendum-Addendum</t>
        </is>
      </c>
      <c r="U246" t="inlineStr">
        <is>
          <t>No</t>
        </is>
      </c>
      <c r="V246" t="inlineStr">
        <is>
          <t>Bot tarafindan tespit edildi (2026-07-01)</t>
        </is>
      </c>
    </row>
    <row r="247">
      <c r="A247" t="inlineStr">
        <is>
          <t>T-0051</t>
        </is>
      </c>
      <c r="B247" t="inlineStr">
        <is>
          <t>Indraprastha Gas (IGL)</t>
        </is>
      </c>
      <c r="C247" t="inlineStr">
        <is>
          <t>Indraprastha Gas (IGL)</t>
        </is>
      </c>
      <c r="F247" t="inlineStr">
        <is>
          <t>New Lead</t>
        </is>
      </c>
      <c r="H247" t="inlineStr">
        <is>
          <t>View Tender</t>
        </is>
      </c>
      <c r="K247" t="inlineStr">
        <is>
          <t>Not found</t>
        </is>
      </c>
      <c r="L247" t="inlineStr">
        <is>
          <t>Unknown</t>
        </is>
      </c>
      <c r="T247" t="inlineStr">
        <is>
          <t>https://tenders.iglonline.net/tenderDetail/538/Active Tenders And Corrigendum-Addendum</t>
        </is>
      </c>
      <c r="U247" t="inlineStr">
        <is>
          <t>No</t>
        </is>
      </c>
      <c r="V247" t="inlineStr">
        <is>
          <t>Bot tarafindan tespit edildi (2026-07-01)</t>
        </is>
      </c>
    </row>
    <row r="248">
      <c r="A248" t="inlineStr">
        <is>
          <t>T-0052</t>
        </is>
      </c>
      <c r="B248" t="inlineStr">
        <is>
          <t>Indraprastha Gas (IGL)</t>
        </is>
      </c>
      <c r="C248" t="inlineStr">
        <is>
          <t>Indraprastha Gas (IGL)</t>
        </is>
      </c>
      <c r="F248" t="inlineStr">
        <is>
          <t>New Lead</t>
        </is>
      </c>
      <c r="H248" t="inlineStr">
        <is>
          <t>View Tender</t>
        </is>
      </c>
      <c r="K248" t="inlineStr">
        <is>
          <t>Not found</t>
        </is>
      </c>
      <c r="L248" t="inlineStr">
        <is>
          <t>Unknown</t>
        </is>
      </c>
      <c r="T248" t="inlineStr">
        <is>
          <t>https://tenders.iglonline.net/tenderDetail/537/Active Tenders And Corrigendum-Addendum</t>
        </is>
      </c>
      <c r="U248" t="inlineStr">
        <is>
          <t>No</t>
        </is>
      </c>
      <c r="V248" t="inlineStr">
        <is>
          <t>Bot tarafindan tespit edildi (2026-07-01)</t>
        </is>
      </c>
    </row>
    <row r="249">
      <c r="A249" t="inlineStr">
        <is>
          <t>T-0053</t>
        </is>
      </c>
      <c r="B249" t="inlineStr">
        <is>
          <t>Indraprastha Gas (IGL)</t>
        </is>
      </c>
      <c r="C249" t="inlineStr">
        <is>
          <t>Indraprastha Gas (IGL)</t>
        </is>
      </c>
      <c r="F249" t="inlineStr">
        <is>
          <t>New Lead</t>
        </is>
      </c>
      <c r="H249" t="inlineStr">
        <is>
          <t>RTPBQ_CM18730.pdf</t>
        </is>
      </c>
      <c r="L249" t="inlineStr">
        <is>
          <t>Unknown</t>
        </is>
      </c>
      <c r="T249" t="inlineStr">
        <is>
          <t>https://tenders.iglonline.net/uploads/tender/RTPBQ_CM18730.pdf</t>
        </is>
      </c>
      <c r="U249" t="inlineStr">
        <is>
          <t>Yes</t>
        </is>
      </c>
      <c r="V249" t="inlineStr">
        <is>
          <t>Bot tarafindan tespit edildi (2026-07-01)</t>
        </is>
      </c>
    </row>
    <row r="250">
      <c r="A250" t="inlineStr">
        <is>
          <t>T-0054</t>
        </is>
      </c>
      <c r="B250" t="inlineStr">
        <is>
          <t>Indraprastha Gas (IGL)</t>
        </is>
      </c>
      <c r="C250" t="inlineStr">
        <is>
          <t>Indraprastha Gas (IGL)</t>
        </is>
      </c>
      <c r="F250" t="inlineStr">
        <is>
          <t>New Lead</t>
        </is>
      </c>
      <c r="H250" t="inlineStr">
        <is>
          <t>View Tender</t>
        </is>
      </c>
      <c r="K250" t="inlineStr">
        <is>
          <t>Not found</t>
        </is>
      </c>
      <c r="L250" t="inlineStr">
        <is>
          <t>Unknown</t>
        </is>
      </c>
      <c r="T250" t="inlineStr">
        <is>
          <t>https://tenders.iglonline.net/tenderDetail/536/Active Tenders And Corrigendum-Addendum</t>
        </is>
      </c>
      <c r="U250" t="inlineStr">
        <is>
          <t>No</t>
        </is>
      </c>
      <c r="V250" t="inlineStr">
        <is>
          <t>Bot tarafindan tespit edildi (2026-07-01)</t>
        </is>
      </c>
    </row>
    <row r="251">
      <c r="A251" t="inlineStr">
        <is>
          <t>T-0055</t>
        </is>
      </c>
      <c r="B251" t="inlineStr">
        <is>
          <t>Indraprastha Gas (IGL)</t>
        </is>
      </c>
      <c r="C251" t="inlineStr">
        <is>
          <t>Indraprastha Gas (IGL)</t>
        </is>
      </c>
      <c r="D251" t="inlineStr">
        <is>
          <t>TENDER NO. IGL/ET2/CP/CM18852</t>
        </is>
      </c>
      <c r="F251" t="inlineStr">
        <is>
          <t>Docs Found</t>
        </is>
      </c>
      <c r="H251" t="inlineStr">
        <is>
          <t>RTBQ_CM18852.pdf</t>
        </is>
      </c>
      <c r="L251" t="inlineStr">
        <is>
          <t>Unknown</t>
        </is>
      </c>
      <c r="T251" t="inlineStr">
        <is>
          <t>https://tenders.iglonline.net/uploads/tender/RTBQ_CM18852.pdf</t>
        </is>
      </c>
      <c r="U251" t="inlineStr">
        <is>
          <t>Yes</t>
        </is>
      </c>
      <c r="V251" t="inlineStr">
        <is>
          <t>Bot tarafindan tespit edildi (2026-07-01)</t>
        </is>
      </c>
    </row>
    <row r="252">
      <c r="A252" t="inlineStr">
        <is>
          <t>T-0056</t>
        </is>
      </c>
      <c r="B252" t="inlineStr">
        <is>
          <t>Indraprastha Gas (IGL)</t>
        </is>
      </c>
      <c r="C252" t="inlineStr">
        <is>
          <t>Indraprastha Gas (IGL)</t>
        </is>
      </c>
      <c r="F252" t="inlineStr">
        <is>
          <t>New Lead</t>
        </is>
      </c>
      <c r="H252" t="inlineStr">
        <is>
          <t>View Tender</t>
        </is>
      </c>
      <c r="K252" t="inlineStr">
        <is>
          <t>Not found</t>
        </is>
      </c>
      <c r="L252" t="inlineStr">
        <is>
          <t>Unknown</t>
        </is>
      </c>
      <c r="T252" t="inlineStr">
        <is>
          <t>https://tenders.iglonline.net/tenderDetail/535/Active Tenders And Corrigendum-Addendum</t>
        </is>
      </c>
      <c r="U252" t="inlineStr">
        <is>
          <t>No</t>
        </is>
      </c>
      <c r="V252" t="inlineStr">
        <is>
          <t>Bot tarafindan tespit edildi (2026-07-01)</t>
        </is>
      </c>
    </row>
    <row r="253">
      <c r="A253" t="inlineStr">
        <is>
          <t>T-0057</t>
        </is>
      </c>
      <c r="B253" t="inlineStr">
        <is>
          <t>Indraprastha Gas (IGL)</t>
        </is>
      </c>
      <c r="C253" t="inlineStr">
        <is>
          <t>Indraprastha Gas (IGL)</t>
        </is>
      </c>
      <c r="F253" t="inlineStr">
        <is>
          <t>New Lead</t>
        </is>
      </c>
      <c r="H253" t="inlineStr">
        <is>
          <t>View Tender</t>
        </is>
      </c>
      <c r="K253" t="inlineStr">
        <is>
          <t>Not found</t>
        </is>
      </c>
      <c r="L253" t="inlineStr">
        <is>
          <t>Unknown</t>
        </is>
      </c>
      <c r="T253" t="inlineStr">
        <is>
          <t>https://tenders.iglonline.net/tenderDetail/534/Active Tenders And Corrigendum-Addendum</t>
        </is>
      </c>
      <c r="U253" t="inlineStr">
        <is>
          <t>No</t>
        </is>
      </c>
      <c r="V253" t="inlineStr">
        <is>
          <t>Bot tarafindan tespit edildi (2026-07-01)</t>
        </is>
      </c>
    </row>
    <row r="254">
      <c r="A254" t="inlineStr">
        <is>
          <t>T-0058</t>
        </is>
      </c>
      <c r="B254" t="inlineStr">
        <is>
          <t>Indraprastha Gas (IGL)</t>
        </is>
      </c>
      <c r="C254" t="inlineStr">
        <is>
          <t>Indraprastha Gas (IGL)</t>
        </is>
      </c>
      <c r="D254" t="inlineStr">
        <is>
          <t>Tender
No.</t>
        </is>
      </c>
      <c r="F254" t="inlineStr">
        <is>
          <t>Awarded</t>
        </is>
      </c>
      <c r="G254" t="inlineStr">
        <is>
          <t>Metering skid</t>
        </is>
      </c>
      <c r="H254" t="inlineStr">
        <is>
          <t>Corrigendum_1_CP18845.pdf</t>
        </is>
      </c>
      <c r="L254" t="inlineStr">
        <is>
          <t>Unknown</t>
        </is>
      </c>
      <c r="M254" t="n">
        <v>100</v>
      </c>
      <c r="T254" t="inlineStr">
        <is>
          <t>https://tenders.iglonline.net/uploads/tender/Corrigendum_1_CP18845.pdf</t>
        </is>
      </c>
      <c r="U254" t="inlineStr">
        <is>
          <t>Yes</t>
        </is>
      </c>
      <c r="V25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5">
      <c r="A255" t="inlineStr">
        <is>
          <t>T-0059</t>
        </is>
      </c>
      <c r="B255" t="inlineStr">
        <is>
          <t>Indraprastha Gas (IGL)</t>
        </is>
      </c>
      <c r="C255" t="inlineStr">
        <is>
          <t>Indraprastha Gas (IGL)</t>
        </is>
      </c>
      <c r="D255" t="inlineStr">
        <is>
          <t>tender norms.</t>
        </is>
      </c>
      <c r="F255" t="inlineStr">
        <is>
          <t>Awarded</t>
        </is>
      </c>
      <c r="G255" t="inlineStr">
        <is>
          <t>Metering skid</t>
        </is>
      </c>
      <c r="H255" t="inlineStr">
        <is>
          <t>RTPBQ_CP18845.pdf</t>
        </is>
      </c>
      <c r="K255" t="inlineStr">
        <is>
          <t>Contract start date</t>
        </is>
      </c>
      <c r="L255" t="inlineStr">
        <is>
          <t>Unknown</t>
        </is>
      </c>
      <c r="T255" t="inlineStr">
        <is>
          <t>https://tenders.iglonline.net/uploads/tender/RTPBQ_CP18845.pdf</t>
        </is>
      </c>
      <c r="U255" t="inlineStr">
        <is>
          <t>Yes</t>
        </is>
      </c>
      <c r="V255"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6">
      <c r="A256" t="inlineStr">
        <is>
          <t>T-0060</t>
        </is>
      </c>
      <c r="B256" t="inlineStr">
        <is>
          <t>Indraprastha Gas (IGL)</t>
        </is>
      </c>
      <c r="C256" t="inlineStr">
        <is>
          <t>Indraprastha Gas (IGL)</t>
        </is>
      </c>
      <c r="F256" t="inlineStr">
        <is>
          <t>New Lead</t>
        </is>
      </c>
      <c r="H256" t="inlineStr">
        <is>
          <t>View Tender</t>
        </is>
      </c>
      <c r="K256" t="inlineStr">
        <is>
          <t>Not found</t>
        </is>
      </c>
      <c r="L256" t="inlineStr">
        <is>
          <t>Unknown</t>
        </is>
      </c>
      <c r="T256" t="inlineStr">
        <is>
          <t>https://tenders.iglonline.net/tenderDetail/533/Active Tenders And Corrigendum-Addendum</t>
        </is>
      </c>
      <c r="U256" t="inlineStr">
        <is>
          <t>No</t>
        </is>
      </c>
      <c r="V256" t="inlineStr">
        <is>
          <t>Bot tarafindan tespit edildi (2026-07-01)</t>
        </is>
      </c>
    </row>
    <row r="257">
      <c r="A257" t="inlineStr">
        <is>
          <t>T-0061</t>
        </is>
      </c>
      <c r="B257" t="inlineStr">
        <is>
          <t>Indraprastha Gas (IGL)</t>
        </is>
      </c>
      <c r="C257" t="inlineStr">
        <is>
          <t>Indraprastha Gas (IGL)</t>
        </is>
      </c>
      <c r="D257" t="inlineStr">
        <is>
          <t>Tender
No.</t>
        </is>
      </c>
      <c r="F257" t="inlineStr">
        <is>
          <t>Awarded</t>
        </is>
      </c>
      <c r="G257" t="inlineStr">
        <is>
          <t>Metering skid</t>
        </is>
      </c>
      <c r="H257" t="inlineStr">
        <is>
          <t>Corrigendum_1_CP18838.pdf</t>
        </is>
      </c>
      <c r="L257" t="inlineStr">
        <is>
          <t>Unknown</t>
        </is>
      </c>
      <c r="M257" t="n">
        <v>100</v>
      </c>
      <c r="T257" t="inlineStr">
        <is>
          <t>https://tenders.iglonline.net/uploads/tender/Corrigendum_1_CP18838.pdf</t>
        </is>
      </c>
      <c r="U257" t="inlineStr">
        <is>
          <t>Yes</t>
        </is>
      </c>
      <c r="V257"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8">
      <c r="A258" t="inlineStr">
        <is>
          <t>T-0062</t>
        </is>
      </c>
      <c r="B258" t="inlineStr">
        <is>
          <t>Indraprastha Gas (IGL)</t>
        </is>
      </c>
      <c r="C258" t="inlineStr">
        <is>
          <t>Indraprastha Gas (IGL)</t>
        </is>
      </c>
      <c r="D258" t="inlineStr">
        <is>
          <t>DOCUMENT</t>
        </is>
      </c>
      <c r="F258" t="inlineStr">
        <is>
          <t>Awarded</t>
        </is>
      </c>
      <c r="G258" t="inlineStr">
        <is>
          <t>Commercial regulator</t>
        </is>
      </c>
      <c r="H258" t="inlineStr">
        <is>
          <t>RTPBQ_CP18838.pdf</t>
        </is>
      </c>
      <c r="L258" t="inlineStr">
        <is>
          <t>Unknown</t>
        </is>
      </c>
      <c r="M258" t="n">
        <v>200</v>
      </c>
      <c r="T258" t="inlineStr">
        <is>
          <t>https://tenders.iglonline.net/uploads/tender/RTPBQ_CP18838.pdf</t>
        </is>
      </c>
      <c r="U258" t="inlineStr">
        <is>
          <t>Yes</t>
        </is>
      </c>
      <c r="V25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9">
      <c r="A259" t="inlineStr">
        <is>
          <t>T-0063</t>
        </is>
      </c>
      <c r="B259" t="inlineStr">
        <is>
          <t>Indraprastha Gas (IGL)</t>
        </is>
      </c>
      <c r="C259" t="inlineStr">
        <is>
          <t>Indraprastha Gas (IGL)</t>
        </is>
      </c>
      <c r="F259" t="inlineStr">
        <is>
          <t>New Lead</t>
        </is>
      </c>
      <c r="H259" t="inlineStr">
        <is>
          <t>View Tender</t>
        </is>
      </c>
      <c r="K259" t="inlineStr">
        <is>
          <t>Not found</t>
        </is>
      </c>
      <c r="L259" t="inlineStr">
        <is>
          <t>Unknown</t>
        </is>
      </c>
      <c r="T259" t="inlineStr">
        <is>
          <t>https://tenders.iglonline.net/tenderDetail/532/Active Tenders And Corrigendum-Addendum</t>
        </is>
      </c>
      <c r="U259" t="inlineStr">
        <is>
          <t>No</t>
        </is>
      </c>
      <c r="V259" t="inlineStr">
        <is>
          <t>Bot tarafindan tespit edildi (2026-07-01)</t>
        </is>
      </c>
    </row>
    <row r="260">
      <c r="A260" t="inlineStr">
        <is>
          <t>T-0064</t>
        </is>
      </c>
      <c r="B260" t="inlineStr">
        <is>
          <t>Indraprastha Gas (IGL)</t>
        </is>
      </c>
      <c r="C260" t="inlineStr">
        <is>
          <t>Indraprastha Gas (IGL)</t>
        </is>
      </c>
      <c r="F260" t="inlineStr">
        <is>
          <t>New Lead</t>
        </is>
      </c>
      <c r="H260" t="inlineStr">
        <is>
          <t>Corrigendum_1_CP18827.pdf</t>
        </is>
      </c>
      <c r="L260" t="inlineStr">
        <is>
          <t>Unknown</t>
        </is>
      </c>
      <c r="T260" t="inlineStr">
        <is>
          <t>https://tenders.iglonline.net/uploads/tender/Corrigendum_1_CP18827.pdf</t>
        </is>
      </c>
      <c r="U260" t="inlineStr">
        <is>
          <t>Yes</t>
        </is>
      </c>
      <c r="V260" t="inlineStr">
        <is>
          <t>Bot tarafindan tespit edildi (2026-07-01)</t>
        </is>
      </c>
    </row>
    <row r="261">
      <c r="A261" t="inlineStr">
        <is>
          <t>T-0065</t>
        </is>
      </c>
      <c r="B261" t="inlineStr">
        <is>
          <t>Indraprastha Gas (IGL)</t>
        </is>
      </c>
      <c r="C261" t="inlineStr">
        <is>
          <t>Indraprastha Gas (IGL)</t>
        </is>
      </c>
      <c r="F261" t="inlineStr">
        <is>
          <t>New Lead</t>
        </is>
      </c>
      <c r="H261" t="inlineStr">
        <is>
          <t>RTPBQ_CP18827.pdf</t>
        </is>
      </c>
      <c r="K261" t="inlineStr">
        <is>
          <t>ABC is an MSME-registered company and the authorized</t>
        </is>
      </c>
      <c r="L261" t="inlineStr">
        <is>
          <t>Unknown</t>
        </is>
      </c>
      <c r="T261" t="inlineStr">
        <is>
          <t>https://tenders.iglonline.net/uploads/tender/RTPBQ_CP18827.pdf</t>
        </is>
      </c>
      <c r="U261" t="inlineStr">
        <is>
          <t>Yes</t>
        </is>
      </c>
      <c r="V261" t="inlineStr">
        <is>
          <t>Bot tarafindan tespit edildi (2026-07-01)</t>
        </is>
      </c>
    </row>
    <row r="262">
      <c r="A262" t="inlineStr">
        <is>
          <t>T-0066</t>
        </is>
      </c>
      <c r="B262" t="inlineStr">
        <is>
          <t>Indraprastha Gas (IGL)</t>
        </is>
      </c>
      <c r="C262" t="inlineStr">
        <is>
          <t>Indraprastha Gas (IGL)</t>
        </is>
      </c>
      <c r="F262" t="inlineStr">
        <is>
          <t>New Lead</t>
        </is>
      </c>
      <c r="H262" t="inlineStr">
        <is>
          <t>View Tender</t>
        </is>
      </c>
      <c r="K262" t="inlineStr">
        <is>
          <t>Not found</t>
        </is>
      </c>
      <c r="L262" t="inlineStr">
        <is>
          <t>Unknown</t>
        </is>
      </c>
      <c r="T262" t="inlineStr">
        <is>
          <t>https://tenders.iglonline.net/tenderDetail/531/Active Tenders And Corrigendum-Addendum</t>
        </is>
      </c>
      <c r="U262" t="inlineStr">
        <is>
          <t>No</t>
        </is>
      </c>
      <c r="V262" t="inlineStr">
        <is>
          <t>Bot tarafindan tespit edildi (2026-07-01)</t>
        </is>
      </c>
    </row>
    <row r="263">
      <c r="A263" t="inlineStr">
        <is>
          <t>T-0067</t>
        </is>
      </c>
      <c r="B263" t="inlineStr">
        <is>
          <t>Indraprastha Gas (IGL)</t>
        </is>
      </c>
      <c r="C263" t="inlineStr">
        <is>
          <t>Indraprastha Gas (IGL)</t>
        </is>
      </c>
      <c r="D263" t="inlineStr">
        <is>
          <t>TENDER NO. IGL/ET2/CP/CC18846</t>
        </is>
      </c>
      <c r="F263" t="inlineStr">
        <is>
          <t>Awarded</t>
        </is>
      </c>
      <c r="G263" t="inlineStr">
        <is>
          <t>Gas-related / review</t>
        </is>
      </c>
      <c r="H263" t="inlineStr">
        <is>
          <t>Corrigendum_I_CC18846.pdf</t>
        </is>
      </c>
      <c r="L263" t="inlineStr">
        <is>
          <t>Unknown</t>
        </is>
      </c>
      <c r="T263" t="inlineStr">
        <is>
          <t>https://tenders.iglonline.net/uploads/tender/Corrigendum_I_CC18846.pdf</t>
        </is>
      </c>
      <c r="U263" t="inlineStr">
        <is>
          <t>Yes</t>
        </is>
      </c>
      <c r="V2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4">
      <c r="A264" t="inlineStr">
        <is>
          <t>T-0068</t>
        </is>
      </c>
      <c r="B264" t="inlineStr">
        <is>
          <t>Indraprastha Gas (IGL)</t>
        </is>
      </c>
      <c r="C264" t="inlineStr">
        <is>
          <t>Indraprastha Gas (IGL)</t>
        </is>
      </c>
      <c r="D264" t="inlineStr">
        <is>
          <t>Tender No.IGL/ET2/CP/CC18846</t>
        </is>
      </c>
      <c r="F264" t="inlineStr">
        <is>
          <t>Awarded</t>
        </is>
      </c>
      <c r="G264" t="inlineStr">
        <is>
          <t>PRS / DRS / FRS</t>
        </is>
      </c>
      <c r="H264" t="inlineStr">
        <is>
          <t>RTBQ_CC18846.pdf</t>
        </is>
      </c>
      <c r="L264" t="inlineStr">
        <is>
          <t>Unknown</t>
        </is>
      </c>
      <c r="M264" t="n">
        <v>14.75</v>
      </c>
      <c r="T264" t="inlineStr">
        <is>
          <t>https://tenders.iglonline.net/uploads/tender/RTBQ_CC18846.pdf</t>
        </is>
      </c>
      <c r="U264" t="inlineStr">
        <is>
          <t>Yes</t>
        </is>
      </c>
      <c r="V26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65">
      <c r="A265" t="inlineStr">
        <is>
          <t>T-0069</t>
        </is>
      </c>
      <c r="B265" t="inlineStr">
        <is>
          <t>Indraprastha Gas (IGL)</t>
        </is>
      </c>
      <c r="C265" t="inlineStr">
        <is>
          <t>Indraprastha Gas (IGL)</t>
        </is>
      </c>
      <c r="D265" t="inlineStr">
        <is>
          <t>TENDER NO. IGL/ET2/CP/CC18846</t>
        </is>
      </c>
      <c r="F265" t="inlineStr">
        <is>
          <t>Awarded</t>
        </is>
      </c>
      <c r="G265" t="inlineStr">
        <is>
          <t>Gas-related / review</t>
        </is>
      </c>
      <c r="H265" t="inlineStr">
        <is>
          <t>Corrigendum_II_CC18846.pdf</t>
        </is>
      </c>
      <c r="L265" t="inlineStr">
        <is>
          <t>Unknown</t>
        </is>
      </c>
      <c r="T265" t="inlineStr">
        <is>
          <t>https://tenders.iglonline.net/uploads/tender/Corrigendum_II_CC18846.pdf</t>
        </is>
      </c>
      <c r="U265" t="inlineStr">
        <is>
          <t>Yes</t>
        </is>
      </c>
      <c r="V26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6">
      <c r="A266" t="inlineStr">
        <is>
          <t>T-0070</t>
        </is>
      </c>
      <c r="B266" t="inlineStr">
        <is>
          <t>Indraprastha Gas (IGL)</t>
        </is>
      </c>
      <c r="C266" t="inlineStr">
        <is>
          <t>Indraprastha Gas (IGL)</t>
        </is>
      </c>
      <c r="F266" t="inlineStr">
        <is>
          <t>New Lead</t>
        </is>
      </c>
      <c r="H266" t="inlineStr">
        <is>
          <t>View Tender</t>
        </is>
      </c>
      <c r="K266" t="inlineStr">
        <is>
          <t>Not found</t>
        </is>
      </c>
      <c r="L266" t="inlineStr">
        <is>
          <t>Unknown</t>
        </is>
      </c>
      <c r="T266" t="inlineStr">
        <is>
          <t>https://tenders.iglonline.net/tenderDetail/530/Active Tenders And Corrigendum-Addendum</t>
        </is>
      </c>
      <c r="U266" t="inlineStr">
        <is>
          <t>No</t>
        </is>
      </c>
      <c r="V266" t="inlineStr">
        <is>
          <t>Bot tarafindan tespit edildi (2026-07-01)</t>
        </is>
      </c>
    </row>
    <row r="267">
      <c r="A267" t="inlineStr">
        <is>
          <t>T-0071</t>
        </is>
      </c>
      <c r="B267" t="inlineStr">
        <is>
          <t>Indraprastha Gas (IGL)</t>
        </is>
      </c>
      <c r="C267" t="inlineStr">
        <is>
          <t>Indraprastha Gas (IGL)</t>
        </is>
      </c>
      <c r="F267" t="inlineStr">
        <is>
          <t>New Lead</t>
        </is>
      </c>
      <c r="H267" t="inlineStr">
        <is>
          <t>View Tender</t>
        </is>
      </c>
      <c r="K267" t="inlineStr">
        <is>
          <t>Not found</t>
        </is>
      </c>
      <c r="L267" t="inlineStr">
        <is>
          <t>Unknown</t>
        </is>
      </c>
      <c r="T267" t="inlineStr">
        <is>
          <t>https://tenders.iglonline.net/tenderDetail/529/Active Tenders And Corrigendum-Addendum</t>
        </is>
      </c>
      <c r="U267" t="inlineStr">
        <is>
          <t>No</t>
        </is>
      </c>
      <c r="V267" t="inlineStr">
        <is>
          <t>Bot tarafindan tespit edildi (2026-07-01)</t>
        </is>
      </c>
    </row>
    <row r="268">
      <c r="A268" t="inlineStr">
        <is>
          <t>T-0072</t>
        </is>
      </c>
      <c r="B268" t="inlineStr">
        <is>
          <t>Indraprastha Gas (IGL)</t>
        </is>
      </c>
      <c r="C268" t="inlineStr">
        <is>
          <t>Indraprastha Gas (IGL)</t>
        </is>
      </c>
      <c r="F268" t="inlineStr">
        <is>
          <t>New Lead</t>
        </is>
      </c>
      <c r="H268" t="inlineStr">
        <is>
          <t>Reply_to_Pre_Bid_Queries_CM18777.pdf</t>
        </is>
      </c>
      <c r="K268" t="inlineStr">
        <is>
          <t>may subsequently arrange and furnish the required land docume</t>
        </is>
      </c>
      <c r="L268" t="inlineStr">
        <is>
          <t>Unknown</t>
        </is>
      </c>
      <c r="T268" t="inlineStr">
        <is>
          <t>https://tenders.iglonline.net/uploads/tender/Reply_to_Pre_Bid_Queries_CM18777.pdf</t>
        </is>
      </c>
      <c r="U268" t="inlineStr">
        <is>
          <t>Yes</t>
        </is>
      </c>
      <c r="V268" t="inlineStr">
        <is>
          <t>Bot tarafindan tespit edildi (2026-07-01)</t>
        </is>
      </c>
    </row>
    <row r="269">
      <c r="A269" t="inlineStr">
        <is>
          <t>T-0073</t>
        </is>
      </c>
      <c r="B269" t="inlineStr">
        <is>
          <t>Indraprastha Gas (IGL)</t>
        </is>
      </c>
      <c r="C269" t="inlineStr">
        <is>
          <t>Indraprastha Gas (IGL)</t>
        </is>
      </c>
      <c r="D269" t="inlineStr">
        <is>
          <t>TENDER NO. IGL/ET2/CP/CM18777</t>
        </is>
      </c>
      <c r="F269" t="inlineStr">
        <is>
          <t>Docs Found</t>
        </is>
      </c>
      <c r="H269" t="inlineStr">
        <is>
          <t>Corrigendum_I_CM18777.pdf</t>
        </is>
      </c>
      <c r="L269" t="inlineStr">
        <is>
          <t>Unknown</t>
        </is>
      </c>
      <c r="T269" t="inlineStr">
        <is>
          <t>https://tenders.iglonline.net/uploads/tender/Corrigendum_I_CM18777.pdf</t>
        </is>
      </c>
      <c r="U269" t="inlineStr">
        <is>
          <t>Yes</t>
        </is>
      </c>
      <c r="V269" t="inlineStr">
        <is>
          <t>Bot tarafindan tespit edildi (2026-07-01)</t>
        </is>
      </c>
    </row>
    <row r="270">
      <c r="A270" t="inlineStr">
        <is>
          <t>T-0074</t>
        </is>
      </c>
      <c r="B270" t="inlineStr">
        <is>
          <t>Indraprastha Gas (IGL)</t>
        </is>
      </c>
      <c r="C270" t="inlineStr">
        <is>
          <t>Indraprastha Gas (IGL)</t>
        </is>
      </c>
      <c r="D270" t="inlineStr">
        <is>
          <t>TENDER NO. IGL/ET2/CP/CM18777</t>
        </is>
      </c>
      <c r="F270" t="inlineStr">
        <is>
          <t>Docs Found</t>
        </is>
      </c>
      <c r="H270" t="inlineStr">
        <is>
          <t>Corrigendum_II_CM18777.pdf</t>
        </is>
      </c>
      <c r="L270" t="inlineStr">
        <is>
          <t>Unknown</t>
        </is>
      </c>
      <c r="T270" t="inlineStr">
        <is>
          <t>https://tenders.iglonline.net/uploads/tender/Corrigendum_II_CM18777.pdf</t>
        </is>
      </c>
      <c r="U270" t="inlineStr">
        <is>
          <t>Yes</t>
        </is>
      </c>
      <c r="V270" t="inlineStr">
        <is>
          <t>Bot tarafindan tespit edildi (2026-07-01)</t>
        </is>
      </c>
    </row>
    <row r="271">
      <c r="A271" t="inlineStr">
        <is>
          <t>T-0075</t>
        </is>
      </c>
      <c r="B271" t="inlineStr">
        <is>
          <t>Indraprastha Gas (IGL)</t>
        </is>
      </c>
      <c r="C271" t="inlineStr">
        <is>
          <t>Indraprastha Gas (IGL)</t>
        </is>
      </c>
      <c r="F271" t="inlineStr">
        <is>
          <t>New Lead</t>
        </is>
      </c>
      <c r="H271" t="inlineStr">
        <is>
          <t>View Tender</t>
        </is>
      </c>
      <c r="K271" t="inlineStr">
        <is>
          <t>Not found</t>
        </is>
      </c>
      <c r="L271" t="inlineStr">
        <is>
          <t>Unknown</t>
        </is>
      </c>
      <c r="T271" t="inlineStr">
        <is>
          <t>https://tenders.iglonline.net/tenderDetail/528/Active Tenders And Corrigendum-Addendum</t>
        </is>
      </c>
      <c r="U271" t="inlineStr">
        <is>
          <t>No</t>
        </is>
      </c>
      <c r="V271" t="inlineStr">
        <is>
          <t>Bot tarafindan tespit edildi (2026-07-01)</t>
        </is>
      </c>
    </row>
    <row r="272">
      <c r="A272" t="inlineStr">
        <is>
          <t>T-0076</t>
        </is>
      </c>
      <c r="B272" t="inlineStr">
        <is>
          <t>Indraprastha Gas (IGL)</t>
        </is>
      </c>
      <c r="C272" t="inlineStr">
        <is>
          <t>Indraprastha Gas (IGL)</t>
        </is>
      </c>
      <c r="D272" t="inlineStr">
        <is>
          <t>document</t>
        </is>
      </c>
      <c r="F272" t="inlineStr">
        <is>
          <t>Awarded</t>
        </is>
      </c>
      <c r="G272" t="inlineStr">
        <is>
          <t>FRS</t>
        </is>
      </c>
      <c r="H272" t="inlineStr">
        <is>
          <t>Corrigendum_1_CP18797.pdf</t>
        </is>
      </c>
      <c r="L272" t="inlineStr">
        <is>
          <t>Unknown</t>
        </is>
      </c>
      <c r="T272" t="inlineStr">
        <is>
          <t>https://tenders.iglonline.net/uploads/tender/Corrigendum_1_CP18797.pdf</t>
        </is>
      </c>
      <c r="U272" t="inlineStr">
        <is>
          <t>Yes</t>
        </is>
      </c>
      <c r="V272" t="inlineStr">
        <is>
          <t>Bot tarafindan tespit edildi (2026-07-01) | Bot enrich; date=2026-07-01; type=pdf; score=330; pdf_conf=Low</t>
        </is>
      </c>
    </row>
    <row r="273">
      <c r="A273" t="inlineStr">
        <is>
          <t>T-0077</t>
        </is>
      </c>
      <c r="B273" t="inlineStr">
        <is>
          <t>Indraprastha Gas (IGL)</t>
        </is>
      </c>
      <c r="C273" t="inlineStr">
        <is>
          <t>Indraprastha Gas (IGL)</t>
        </is>
      </c>
      <c r="D273" t="inlineStr">
        <is>
          <t>document</t>
        </is>
      </c>
      <c r="F273" t="inlineStr">
        <is>
          <t>Awarded</t>
        </is>
      </c>
      <c r="G273" t="inlineStr">
        <is>
          <t>FRS</t>
        </is>
      </c>
      <c r="H273" t="inlineStr">
        <is>
          <t>Corrigendum_2_CP18797.pdf</t>
        </is>
      </c>
      <c r="K273" t="inlineStr">
        <is>
          <t>Not found</t>
        </is>
      </c>
      <c r="L273" t="inlineStr">
        <is>
          <t>Unknown</t>
        </is>
      </c>
      <c r="T273" t="inlineStr">
        <is>
          <t>https://tenders.iglonline.net/uploads/tender/Corrigendum_2_CP18797.pdf</t>
        </is>
      </c>
      <c r="U273" t="inlineStr">
        <is>
          <t>No</t>
        </is>
      </c>
      <c r="V273" t="inlineStr">
        <is>
          <t>Bot tarafindan tespit edildi (2026-07-01) | Bot enrich; date=2026-07-01; type=pdf; score=330; pdf_conf=Low</t>
        </is>
      </c>
    </row>
    <row r="274">
      <c r="A274" t="inlineStr">
        <is>
          <t>T-0078</t>
        </is>
      </c>
      <c r="B274" t="inlineStr">
        <is>
          <t>Indraprastha Gas (IGL)</t>
        </is>
      </c>
      <c r="C274" t="inlineStr">
        <is>
          <t>Indraprastha Gas (IGL)</t>
        </is>
      </c>
      <c r="D274" t="inlineStr">
        <is>
          <t>Loading</t>
        </is>
      </c>
      <c r="F274" t="inlineStr">
        <is>
          <t>Awarded</t>
        </is>
      </c>
      <c r="G274" t="inlineStr">
        <is>
          <t>FRS</t>
        </is>
      </c>
      <c r="H274" t="inlineStr">
        <is>
          <t>RTPBQ_CP18797.pdf</t>
        </is>
      </c>
      <c r="K274" t="inlineStr">
        <is>
          <t>Not found</t>
        </is>
      </c>
      <c r="L274" t="inlineStr">
        <is>
          <t>Unknown</t>
        </is>
      </c>
      <c r="M274" t="n">
        <v>2000</v>
      </c>
      <c r="T274" t="inlineStr">
        <is>
          <t>https://tenders.iglonline.net/uploads/tender/RTPBQ_CP18797.pdf</t>
        </is>
      </c>
      <c r="U274" t="inlineStr">
        <is>
          <t>No</t>
        </is>
      </c>
      <c r="V274" t="inlineStr">
        <is>
          <t>Bot tarafindan tespit edildi (2026-07-01) | Bot enrich; date=2026-07-01; type=pdf; score=330; pdf_conf=Medium</t>
        </is>
      </c>
    </row>
    <row r="275">
      <c r="A275" t="inlineStr">
        <is>
          <t>T-0079</t>
        </is>
      </c>
      <c r="B275" t="inlineStr">
        <is>
          <t>Indraprastha Gas (IGL)</t>
        </is>
      </c>
      <c r="C275" t="inlineStr">
        <is>
          <t>Indraprastha Gas (IGL)</t>
        </is>
      </c>
      <c r="D275" t="inlineStr">
        <is>
          <t>DOCUMENT</t>
        </is>
      </c>
      <c r="F275" t="inlineStr">
        <is>
          <t>Awarded</t>
        </is>
      </c>
      <c r="G275" t="inlineStr">
        <is>
          <t>FRS</t>
        </is>
      </c>
      <c r="H275" t="inlineStr">
        <is>
          <t>RTPBQ_2_CP18797.pdf</t>
        </is>
      </c>
      <c r="K275" t="inlineStr">
        <is>
          <t>Not found</t>
        </is>
      </c>
      <c r="L275" t="inlineStr">
        <is>
          <t>Unknown</t>
        </is>
      </c>
      <c r="T275" t="inlineStr">
        <is>
          <t>https://tenders.iglonline.net/uploads/tender/RTPBQ_2_CP18797.pdf</t>
        </is>
      </c>
      <c r="U275" t="inlineStr">
        <is>
          <t>No</t>
        </is>
      </c>
      <c r="V275" t="inlineStr">
        <is>
          <t>Bot tarafindan tespit edildi (2026-07-01) | Bot enrich; date=2026-07-01; type=pdf; score=330; pdf_conf=Low</t>
        </is>
      </c>
    </row>
    <row r="276">
      <c r="A276" t="inlineStr">
        <is>
          <t>T-0080</t>
        </is>
      </c>
      <c r="B276" t="inlineStr">
        <is>
          <t>Indraprastha Gas (IGL)</t>
        </is>
      </c>
      <c r="C276" t="inlineStr">
        <is>
          <t>Indraprastha Gas (IGL)</t>
        </is>
      </c>
      <c r="F276" t="inlineStr">
        <is>
          <t>New Lead</t>
        </is>
      </c>
      <c r="H276" t="inlineStr">
        <is>
          <t>View Tender</t>
        </is>
      </c>
      <c r="K276" t="inlineStr">
        <is>
          <t>Not found</t>
        </is>
      </c>
      <c r="L276" t="inlineStr">
        <is>
          <t>Unknown</t>
        </is>
      </c>
      <c r="T276" t="inlineStr">
        <is>
          <t>https://tenders.iglonline.net/tenderDetail/527/Active Tenders And Corrigendum-Addendum</t>
        </is>
      </c>
      <c r="U276" t="inlineStr">
        <is>
          <t>No</t>
        </is>
      </c>
      <c r="V276" t="inlineStr">
        <is>
          <t>Bot tarafindan tespit edildi (2026-07-01)</t>
        </is>
      </c>
    </row>
    <row r="277">
      <c r="A277" t="inlineStr">
        <is>
          <t>T-0081</t>
        </is>
      </c>
      <c r="B277" t="inlineStr">
        <is>
          <t>Indraprastha Gas (IGL)</t>
        </is>
      </c>
      <c r="C277" t="inlineStr">
        <is>
          <t>Indraprastha Gas (IGL)</t>
        </is>
      </c>
      <c r="D277" t="inlineStr">
        <is>
          <t>DOCUMENT</t>
        </is>
      </c>
      <c r="F277" t="inlineStr">
        <is>
          <t>Awarded</t>
        </is>
      </c>
      <c r="G277" t="inlineStr">
        <is>
          <t>Gas-related / review</t>
        </is>
      </c>
      <c r="H277" t="inlineStr">
        <is>
          <t>Corrigendum_I_CC18800.pdf</t>
        </is>
      </c>
      <c r="K277" t="inlineStr">
        <is>
          <t>Not found</t>
        </is>
      </c>
      <c r="L277" t="inlineStr">
        <is>
          <t>Unknown</t>
        </is>
      </c>
      <c r="T277" t="inlineStr">
        <is>
          <t>https://tenders.iglonline.net/uploads/tender/Corrigendum_I_CC18800.pdf</t>
        </is>
      </c>
      <c r="U277" t="inlineStr">
        <is>
          <t>No</t>
        </is>
      </c>
      <c r="V277"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8">
      <c r="A278" t="inlineStr">
        <is>
          <t>T-0082</t>
        </is>
      </c>
      <c r="B278" t="inlineStr">
        <is>
          <t>Indraprastha Gas (IGL)</t>
        </is>
      </c>
      <c r="C278" t="inlineStr">
        <is>
          <t>Indraprastha Gas (IGL)</t>
        </is>
      </c>
      <c r="D278" t="inlineStr">
        <is>
          <t>DOCUMENT</t>
        </is>
      </c>
      <c r="F278" t="inlineStr">
        <is>
          <t>Awarded</t>
        </is>
      </c>
      <c r="G278" t="inlineStr">
        <is>
          <t>Gas-related / review</t>
        </is>
      </c>
      <c r="H278" t="inlineStr">
        <is>
          <t>Corrigendum_II_CC18800.pdf</t>
        </is>
      </c>
      <c r="K278" t="inlineStr">
        <is>
          <t>Not found</t>
        </is>
      </c>
      <c r="L278" t="inlineStr">
        <is>
          <t>Unknown</t>
        </is>
      </c>
      <c r="T278" t="inlineStr">
        <is>
          <t>https://tenders.iglonline.net/uploads/tender/Corrigendum_II_CC18800.pdf</t>
        </is>
      </c>
      <c r="U278" t="inlineStr">
        <is>
          <t>No</t>
        </is>
      </c>
      <c r="V27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9">
      <c r="A279" t="inlineStr">
        <is>
          <t>T-0083</t>
        </is>
      </c>
      <c r="B279" t="inlineStr">
        <is>
          <t>Indraprastha Gas (IGL)</t>
        </is>
      </c>
      <c r="C279" t="inlineStr">
        <is>
          <t>Indraprastha Gas (IGL)</t>
        </is>
      </c>
      <c r="F279" t="inlineStr">
        <is>
          <t>New Lead</t>
        </is>
      </c>
      <c r="H279" t="inlineStr">
        <is>
          <t>View Tender</t>
        </is>
      </c>
      <c r="K279" t="inlineStr">
        <is>
          <t>Not found</t>
        </is>
      </c>
      <c r="L279" t="inlineStr">
        <is>
          <t>Unknown</t>
        </is>
      </c>
      <c r="T279" t="inlineStr">
        <is>
          <t>https://tenders.iglonline.net/tenderDetail/526/Active Tenders And Corrigendum-Addendum</t>
        </is>
      </c>
      <c r="U279" t="inlineStr">
        <is>
          <t>No</t>
        </is>
      </c>
      <c r="V279" t="inlineStr">
        <is>
          <t>Bot tarafindan tespit edildi (2026-07-01)</t>
        </is>
      </c>
    </row>
    <row r="280">
      <c r="A280" t="inlineStr">
        <is>
          <t>T-0084</t>
        </is>
      </c>
      <c r="B280" t="inlineStr">
        <is>
          <t>Indraprastha Gas (IGL)</t>
        </is>
      </c>
      <c r="C280" t="inlineStr">
        <is>
          <t>Indraprastha Gas (IGL)</t>
        </is>
      </c>
      <c r="F280" t="inlineStr">
        <is>
          <t>New Lead</t>
        </is>
      </c>
      <c r="H280" t="inlineStr">
        <is>
          <t>RTBQ_CM18824.pdf</t>
        </is>
      </c>
      <c r="K280" t="inlineStr">
        <is>
          <t>Not found</t>
        </is>
      </c>
      <c r="L280" t="inlineStr">
        <is>
          <t>Unknown</t>
        </is>
      </c>
      <c r="T280" t="inlineStr">
        <is>
          <t>https://tenders.iglonline.net/uploads/tender/RTBQ_CM18824.pdf</t>
        </is>
      </c>
      <c r="U280" t="inlineStr">
        <is>
          <t>No</t>
        </is>
      </c>
      <c r="V280" t="inlineStr">
        <is>
          <t>Bot tarafindan tespit edildi (2026-07-01)</t>
        </is>
      </c>
    </row>
    <row r="281">
      <c r="A281" t="inlineStr">
        <is>
          <t>T-0085</t>
        </is>
      </c>
      <c r="B281" t="inlineStr">
        <is>
          <t>Indraprastha Gas (IGL)</t>
        </is>
      </c>
      <c r="C281" t="inlineStr">
        <is>
          <t>Indraprastha Gas (IGL)</t>
        </is>
      </c>
      <c r="F281" t="inlineStr">
        <is>
          <t>New Lead</t>
        </is>
      </c>
      <c r="H281" t="inlineStr">
        <is>
          <t>CORRIGENDUM_I_CM18824.pdf</t>
        </is>
      </c>
      <c r="K281" t="inlineStr">
        <is>
          <t>Not found</t>
        </is>
      </c>
      <c r="L281" t="inlineStr">
        <is>
          <t>Unknown</t>
        </is>
      </c>
      <c r="T281" t="inlineStr">
        <is>
          <t>https://tenders.iglonline.net/uploads/tender/CORRIGENDUM_I_CM18824.pdf</t>
        </is>
      </c>
      <c r="U281" t="inlineStr">
        <is>
          <t>No</t>
        </is>
      </c>
      <c r="V281" t="inlineStr">
        <is>
          <t>Bot tarafindan tespit edildi (2026-07-01)</t>
        </is>
      </c>
    </row>
    <row r="282">
      <c r="A282" t="inlineStr">
        <is>
          <t>T-0086</t>
        </is>
      </c>
      <c r="B282" t="inlineStr">
        <is>
          <t>Indraprastha Gas (IGL)</t>
        </is>
      </c>
      <c r="C282" t="inlineStr">
        <is>
          <t>Indraprastha Gas (IGL)</t>
        </is>
      </c>
      <c r="F282" t="inlineStr">
        <is>
          <t>New Lead</t>
        </is>
      </c>
      <c r="H282" t="inlineStr">
        <is>
          <t>View Tender</t>
        </is>
      </c>
      <c r="K282" t="inlineStr">
        <is>
          <t>Not found</t>
        </is>
      </c>
      <c r="L282" t="inlineStr">
        <is>
          <t>Unknown</t>
        </is>
      </c>
      <c r="T282" t="inlineStr">
        <is>
          <t>https://tenders.iglonline.net/tenderDetail/525/Active Tenders And Corrigendum-Addendum</t>
        </is>
      </c>
      <c r="U282" t="inlineStr">
        <is>
          <t>No</t>
        </is>
      </c>
      <c r="V282" t="inlineStr">
        <is>
          <t>Bot tarafindan tespit edildi (2026-07-01)</t>
        </is>
      </c>
    </row>
    <row r="283">
      <c r="A283" t="inlineStr">
        <is>
          <t>T-0087</t>
        </is>
      </c>
      <c r="B283" t="inlineStr">
        <is>
          <t>Indraprastha Gas (IGL)</t>
        </is>
      </c>
      <c r="C283" t="inlineStr">
        <is>
          <t>Indraprastha Gas (IGL)</t>
        </is>
      </c>
      <c r="F283" t="inlineStr">
        <is>
          <t>New Lead</t>
        </is>
      </c>
      <c r="H283" t="inlineStr">
        <is>
          <t>View Tender</t>
        </is>
      </c>
      <c r="K283" t="inlineStr">
        <is>
          <t>Not found</t>
        </is>
      </c>
      <c r="L283" t="inlineStr">
        <is>
          <t>Unknown</t>
        </is>
      </c>
      <c r="T283" t="inlineStr">
        <is>
          <t>https://tenders.iglonline.net/tenderDetail/524/Active Tenders And Corrigendum-Addendum</t>
        </is>
      </c>
      <c r="U283" t="inlineStr">
        <is>
          <t>No</t>
        </is>
      </c>
      <c r="V283" t="inlineStr">
        <is>
          <t>Bot tarafindan tespit edildi (2026-07-01)</t>
        </is>
      </c>
    </row>
    <row r="284">
      <c r="A284" t="inlineStr">
        <is>
          <t>T-0088</t>
        </is>
      </c>
      <c r="B284" t="inlineStr">
        <is>
          <t>Indraprastha Gas (IGL)</t>
        </is>
      </c>
      <c r="C284" t="inlineStr">
        <is>
          <t>Indraprastha Gas (IGL)</t>
        </is>
      </c>
      <c r="D284" t="inlineStr">
        <is>
          <t>DOCUMENT</t>
        </is>
      </c>
      <c r="F284" t="inlineStr">
        <is>
          <t>Awarded</t>
        </is>
      </c>
      <c r="G284" t="inlineStr">
        <is>
          <t>Gas-related / review</t>
        </is>
      </c>
      <c r="H284" t="inlineStr">
        <is>
          <t>Corrigendum_I_CC18786.pdf</t>
        </is>
      </c>
      <c r="K284" t="inlineStr">
        <is>
          <t>Not found</t>
        </is>
      </c>
      <c r="L284" t="inlineStr">
        <is>
          <t>Unknown</t>
        </is>
      </c>
      <c r="T284" t="inlineStr">
        <is>
          <t>https://tenders.iglonline.net/uploads/tender/Corrigendum_I_CC18786.pdf</t>
        </is>
      </c>
      <c r="U284" t="inlineStr">
        <is>
          <t>No</t>
        </is>
      </c>
      <c r="V284"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5">
      <c r="A285" t="inlineStr">
        <is>
          <t>T-0089</t>
        </is>
      </c>
      <c r="B285" t="inlineStr">
        <is>
          <t>Indraprastha Gas (IGL)</t>
        </is>
      </c>
      <c r="C285" t="inlineStr">
        <is>
          <t>Indraprastha Gas (IGL)</t>
        </is>
      </c>
      <c r="D285" t="inlineStr">
        <is>
          <t>QUERIES</t>
        </is>
      </c>
      <c r="F285" t="inlineStr">
        <is>
          <t>Awarded</t>
        </is>
      </c>
      <c r="G285" t="inlineStr">
        <is>
          <t>Gas-related / review</t>
        </is>
      </c>
      <c r="H285" t="inlineStr">
        <is>
          <t>RTBQ_CC18786.pdf</t>
        </is>
      </c>
      <c r="K285" t="inlineStr">
        <is>
          <t>Not found</t>
        </is>
      </c>
      <c r="L285" t="inlineStr">
        <is>
          <t>Unknown</t>
        </is>
      </c>
      <c r="M285" t="n">
        <v>2000000</v>
      </c>
      <c r="T285" t="inlineStr">
        <is>
          <t>https://tenders.iglonline.net/uploads/tender/RTBQ_CC18786.pdf</t>
        </is>
      </c>
      <c r="U285" t="inlineStr">
        <is>
          <t>No</t>
        </is>
      </c>
      <c r="V28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6">
      <c r="A286" t="inlineStr">
        <is>
          <t>T-0090</t>
        </is>
      </c>
      <c r="B286" t="inlineStr">
        <is>
          <t>Indraprastha Gas (IGL)</t>
        </is>
      </c>
      <c r="C286" t="inlineStr">
        <is>
          <t>Indraprastha Gas (IGL)</t>
        </is>
      </c>
      <c r="F286" t="inlineStr">
        <is>
          <t>New Lead</t>
        </is>
      </c>
      <c r="H286" t="inlineStr">
        <is>
          <t>View Tender</t>
        </is>
      </c>
      <c r="K286" t="inlineStr">
        <is>
          <t>Not found</t>
        </is>
      </c>
      <c r="L286" t="inlineStr">
        <is>
          <t>Unknown</t>
        </is>
      </c>
      <c r="T286" t="inlineStr">
        <is>
          <t>https://tenders.iglonline.net/tenderDetail/523/Active Tenders And Corrigendum-Addendum</t>
        </is>
      </c>
      <c r="U286" t="inlineStr">
        <is>
          <t>No</t>
        </is>
      </c>
      <c r="V286" t="inlineStr">
        <is>
          <t>Bot tarafindan tespit edildi (2026-07-01)</t>
        </is>
      </c>
    </row>
    <row r="287">
      <c r="A287" t="inlineStr">
        <is>
          <t>T-0091</t>
        </is>
      </c>
      <c r="B287" t="inlineStr">
        <is>
          <t>Indraprastha Gas (IGL)</t>
        </is>
      </c>
      <c r="C287" t="inlineStr">
        <is>
          <t>Indraprastha Gas (IGL)</t>
        </is>
      </c>
      <c r="F287" t="inlineStr">
        <is>
          <t>New Lead</t>
        </is>
      </c>
      <c r="H287" t="inlineStr">
        <is>
          <t>View Tender</t>
        </is>
      </c>
      <c r="K287" t="inlineStr">
        <is>
          <t>Not found</t>
        </is>
      </c>
      <c r="L287" t="inlineStr">
        <is>
          <t>Unknown</t>
        </is>
      </c>
      <c r="T287" t="inlineStr">
        <is>
          <t>https://tenders.iglonline.net/tenderDetail/522/Active Tenders And Corrigendum-Addendum</t>
        </is>
      </c>
      <c r="U287" t="inlineStr">
        <is>
          <t>No</t>
        </is>
      </c>
      <c r="V287" t="inlineStr">
        <is>
          <t>Bot tarafindan tespit edildi (2026-07-01)</t>
        </is>
      </c>
    </row>
    <row r="288">
      <c r="A288" t="inlineStr">
        <is>
          <t>T-0092</t>
        </is>
      </c>
      <c r="B288" t="inlineStr">
        <is>
          <t>Indraprastha Gas (IGL)</t>
        </is>
      </c>
      <c r="C288" t="inlineStr">
        <is>
          <t>Indraprastha Gas (IGL)</t>
        </is>
      </c>
      <c r="F288" t="inlineStr">
        <is>
          <t>New Lead</t>
        </is>
      </c>
      <c r="G288" t="inlineStr">
        <is>
          <t>Gas-related / review</t>
        </is>
      </c>
      <c r="H288" t="inlineStr">
        <is>
          <t>RTPBQ_CP18807.pdf</t>
        </is>
      </c>
      <c r="K288" t="inlineStr">
        <is>
          <t>Not found</t>
        </is>
      </c>
      <c r="L288" t="inlineStr">
        <is>
          <t>Unknown</t>
        </is>
      </c>
      <c r="T288" t="inlineStr">
        <is>
          <t>https://tenders.iglonline.net/uploads/tender/RTPBQ_CP18807.pdf</t>
        </is>
      </c>
      <c r="U288" t="inlineStr">
        <is>
          <t>No</t>
        </is>
      </c>
      <c r="V288" t="inlineStr">
        <is>
          <t>Bot tarafindan tespit edildi (2026-07-01); Bot tespit/zenginlestirme (2026-07-01); meta:score=35;priority=Low;source_type=html_table;closing_date=;equipment=Gas-related / review;reasons=equipment:Gas-related / review,document source</t>
        </is>
      </c>
    </row>
    <row r="289">
      <c r="A289" t="inlineStr">
        <is>
          <t>T-0093</t>
        </is>
      </c>
      <c r="B289" t="inlineStr">
        <is>
          <t>Indraprastha Gas (IGL)</t>
        </is>
      </c>
      <c r="C289" t="inlineStr">
        <is>
          <t>Indraprastha Gas (IGL)</t>
        </is>
      </c>
      <c r="F289" t="inlineStr">
        <is>
          <t>New Lead</t>
        </is>
      </c>
      <c r="G289" t="inlineStr">
        <is>
          <t>Safety / shut-off equipment</t>
        </is>
      </c>
      <c r="H289" t="inlineStr">
        <is>
          <t>View Tender</t>
        </is>
      </c>
      <c r="K289" t="inlineStr">
        <is>
          <t>Not found</t>
        </is>
      </c>
      <c r="L289" t="inlineStr">
        <is>
          <t>Unknown</t>
        </is>
      </c>
      <c r="T289" t="inlineStr">
        <is>
          <t>https://tenders.iglonline.net/tenderDetail/521/Active Tenders And Corrigendum-Addendum</t>
        </is>
      </c>
      <c r="U289" t="inlineStr">
        <is>
          <t>No</t>
        </is>
      </c>
      <c r="V289" t="inlineStr">
        <is>
          <t>Bot tarafindan tespit edildi (2026-07-01); Bot clean extraction (2026-07-01);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0">
      <c r="A290" t="inlineStr">
        <is>
          <t>T-0094</t>
        </is>
      </c>
      <c r="B290" t="inlineStr">
        <is>
          <t>Indraprastha Gas (IGL)</t>
        </is>
      </c>
      <c r="C290" t="inlineStr">
        <is>
          <t>Indraprastha Gas (IGL)</t>
        </is>
      </c>
      <c r="D290" t="inlineStr">
        <is>
          <t>DOCUMENT</t>
        </is>
      </c>
      <c r="F290" t="inlineStr">
        <is>
          <t>Awarded</t>
        </is>
      </c>
      <c r="G290" t="inlineStr">
        <is>
          <t>slam shut</t>
        </is>
      </c>
      <c r="H290" t="inlineStr">
        <is>
          <t>Corrigendum_1_CP18752.pdf</t>
        </is>
      </c>
      <c r="K290" t="inlineStr">
        <is>
          <t>Not found</t>
        </is>
      </c>
      <c r="L290" t="inlineStr">
        <is>
          <t>Unknown</t>
        </is>
      </c>
      <c r="T290" t="inlineStr">
        <is>
          <t>https://tenders.iglonline.net/uploads/tender/Corrigendum_1_CP18752.pdf</t>
        </is>
      </c>
      <c r="U290" t="inlineStr">
        <is>
          <t>No</t>
        </is>
      </c>
      <c r="V290"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1">
      <c r="A291" t="inlineStr">
        <is>
          <t>T-0095</t>
        </is>
      </c>
      <c r="B291" t="inlineStr">
        <is>
          <t>Indraprastha Gas (IGL)</t>
        </is>
      </c>
      <c r="C291" t="inlineStr">
        <is>
          <t>Indraprastha Gas (IGL)</t>
        </is>
      </c>
      <c r="D291" t="inlineStr">
        <is>
          <t>DOCUMENT</t>
        </is>
      </c>
      <c r="F291" t="inlineStr">
        <is>
          <t>Awarded</t>
        </is>
      </c>
      <c r="G291" t="inlineStr">
        <is>
          <t>slam shut</t>
        </is>
      </c>
      <c r="H291" t="inlineStr">
        <is>
          <t>RTPBQ_CP18752.pdf</t>
        </is>
      </c>
      <c r="K291" t="inlineStr">
        <is>
          <t>Not found</t>
        </is>
      </c>
      <c r="L291" t="inlineStr">
        <is>
          <t>Unknown</t>
        </is>
      </c>
      <c r="T291" t="inlineStr">
        <is>
          <t>https://tenders.iglonline.net/uploads/tender/RTPBQ_CP18752.pdf</t>
        </is>
      </c>
      <c r="U291" t="inlineStr">
        <is>
          <t>No</t>
        </is>
      </c>
      <c r="V291"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2">
      <c r="A292" t="inlineStr">
        <is>
          <t>T-0096</t>
        </is>
      </c>
      <c r="B292" t="inlineStr">
        <is>
          <t>Indraprastha Gas (IGL)</t>
        </is>
      </c>
      <c r="C292" t="inlineStr">
        <is>
          <t>Indraprastha Gas (IGL)</t>
        </is>
      </c>
      <c r="D292" t="inlineStr">
        <is>
          <t>document</t>
        </is>
      </c>
      <c r="F292" t="inlineStr">
        <is>
          <t>Awarded</t>
        </is>
      </c>
      <c r="G292" t="inlineStr">
        <is>
          <t>slam shut</t>
        </is>
      </c>
      <c r="H292" t="inlineStr">
        <is>
          <t>Corrigendum_2_CP18752.pdf</t>
        </is>
      </c>
      <c r="K292" t="inlineStr">
        <is>
          <t>Not found</t>
        </is>
      </c>
      <c r="L292" t="inlineStr">
        <is>
          <t>Unknown</t>
        </is>
      </c>
      <c r="T292" t="inlineStr">
        <is>
          <t>https://tenders.iglonline.net/uploads/tender/Corrigendum_2_CP18752.pdf</t>
        </is>
      </c>
      <c r="U292" t="inlineStr">
        <is>
          <t>No</t>
        </is>
      </c>
      <c r="V292"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3">
      <c r="A293" t="inlineStr">
        <is>
          <t>T-0097</t>
        </is>
      </c>
      <c r="B293" t="inlineStr">
        <is>
          <t>Indraprastha Gas (IGL)</t>
        </is>
      </c>
      <c r="C293" t="inlineStr">
        <is>
          <t>Indraprastha Gas (IGL)</t>
        </is>
      </c>
      <c r="D293" t="inlineStr">
        <is>
          <t>document</t>
        </is>
      </c>
      <c r="F293" t="inlineStr">
        <is>
          <t>Awarded</t>
        </is>
      </c>
      <c r="G293" t="inlineStr">
        <is>
          <t>slam shut</t>
        </is>
      </c>
      <c r="H293" t="inlineStr">
        <is>
          <t>Corrigendum_3_CP18752.pdf</t>
        </is>
      </c>
      <c r="K293" t="inlineStr">
        <is>
          <t>Not found</t>
        </is>
      </c>
      <c r="L293" t="inlineStr">
        <is>
          <t>Unknown</t>
        </is>
      </c>
      <c r="T293" t="inlineStr">
        <is>
          <t>https://tenders.iglonline.net/uploads/tender/Corrigendum_3_CP18752.pdf</t>
        </is>
      </c>
      <c r="U293" t="inlineStr">
        <is>
          <t>No</t>
        </is>
      </c>
      <c r="V293"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4">
      <c r="A294" t="inlineStr">
        <is>
          <t>T-0098</t>
        </is>
      </c>
      <c r="B294" t="inlineStr">
        <is>
          <t>Indraprastha Gas (IGL)</t>
        </is>
      </c>
      <c r="C294" t="inlineStr">
        <is>
          <t>Indraprastha Gas (IGL)</t>
        </is>
      </c>
      <c r="D294" t="inlineStr">
        <is>
          <t>DOCUMENT</t>
        </is>
      </c>
      <c r="F294" t="inlineStr">
        <is>
          <t>Awarded</t>
        </is>
      </c>
      <c r="G294" t="inlineStr">
        <is>
          <t>slam shut</t>
        </is>
      </c>
      <c r="H294" t="inlineStr">
        <is>
          <t>RTPBQ_2_CP18752.pdf</t>
        </is>
      </c>
      <c r="K294" t="inlineStr">
        <is>
          <t>Indraprastha Gas Limited Consultant</t>
        </is>
      </c>
      <c r="L294" t="inlineStr">
        <is>
          <t>Unknown</t>
        </is>
      </c>
      <c r="T294" t="inlineStr">
        <is>
          <t>https://tenders.iglonline.net/uploads/tender/RTPBQ_2_CP18752.pdf</t>
        </is>
      </c>
      <c r="U294" t="inlineStr">
        <is>
          <t>No</t>
        </is>
      </c>
      <c r="V294" t="inlineStr">
        <is>
          <t>Bot tarafindan tespit edildi (2026-07-01) | Bot enrich; date=2026-07-01; type=pdf; score=330; pdf_conf=Medium;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equipment;reject_reasons=civil/electrical only;scope=market_intelligence_only;excluded_scope=no_bid_or_offer_submission_automation</t>
        </is>
      </c>
    </row>
    <row r="295">
      <c r="A295" t="inlineStr">
        <is>
          <t>T-0099</t>
        </is>
      </c>
      <c r="B295" t="inlineStr">
        <is>
          <t>Indraprastha Gas (IGL)</t>
        </is>
      </c>
      <c r="C295" t="inlineStr">
        <is>
          <t>Indraprastha Gas (IGL)</t>
        </is>
      </c>
      <c r="F295" t="inlineStr">
        <is>
          <t>New Lead</t>
        </is>
      </c>
      <c r="H295" t="inlineStr">
        <is>
          <t>View Tender</t>
        </is>
      </c>
      <c r="K295" t="inlineStr">
        <is>
          <t>Not found</t>
        </is>
      </c>
      <c r="L295" t="inlineStr">
        <is>
          <t>Unknown</t>
        </is>
      </c>
      <c r="T295" t="inlineStr">
        <is>
          <t>https://tenders.iglonline.net/tenderDetail/520/Active Tenders And Corrigendum-Addendum</t>
        </is>
      </c>
      <c r="U295" t="inlineStr">
        <is>
          <t>No</t>
        </is>
      </c>
      <c r="V295" t="inlineStr">
        <is>
          <t>Bot tarafindan tespit edildi (2026-07-01)</t>
        </is>
      </c>
    </row>
    <row r="296">
      <c r="A296" t="inlineStr">
        <is>
          <t>T-0100</t>
        </is>
      </c>
      <c r="B296" t="inlineStr">
        <is>
          <t>Indraprastha Gas (IGL)</t>
        </is>
      </c>
      <c r="C296" t="inlineStr">
        <is>
          <t>Indraprastha Gas (IGL)</t>
        </is>
      </c>
      <c r="F296" t="inlineStr">
        <is>
          <t>New Lead</t>
        </is>
      </c>
      <c r="H296" t="inlineStr">
        <is>
          <t>CP18735.pdf</t>
        </is>
      </c>
      <c r="K296" t="inlineStr">
        <is>
          <t>Not found</t>
        </is>
      </c>
      <c r="L296" t="inlineStr">
        <is>
          <t>Unknown</t>
        </is>
      </c>
      <c r="T296" t="inlineStr">
        <is>
          <t>https://tenders.iglonline.net/uploads/tender/CP18735.pdf</t>
        </is>
      </c>
      <c r="U296" t="inlineStr">
        <is>
          <t>No</t>
        </is>
      </c>
      <c r="V296" t="inlineStr">
        <is>
          <t>Bot tarafindan tespit edildi (2026-07-01)</t>
        </is>
      </c>
    </row>
    <row r="297">
      <c r="A297" t="inlineStr">
        <is>
          <t>T-0101</t>
        </is>
      </c>
      <c r="B297" t="inlineStr">
        <is>
          <t>Indraprastha Gas (IGL)</t>
        </is>
      </c>
      <c r="C297" t="inlineStr">
        <is>
          <t>Indraprastha Gas (IGL)</t>
        </is>
      </c>
      <c r="F297" t="inlineStr">
        <is>
          <t>New Lead</t>
        </is>
      </c>
      <c r="H297" t="inlineStr">
        <is>
          <t>Corrigendum_II_CP18735_(A).pdf</t>
        </is>
      </c>
      <c r="K297" t="inlineStr">
        <is>
          <t>Not found</t>
        </is>
      </c>
      <c r="L297" t="inlineStr">
        <is>
          <t>Unknown</t>
        </is>
      </c>
      <c r="T297" t="inlineStr">
        <is>
          <t>https://tenders.iglonline.net/uploads/tender/Corrigendum_II_CP18735_(A).pdf</t>
        </is>
      </c>
      <c r="U297" t="inlineStr">
        <is>
          <t>No</t>
        </is>
      </c>
      <c r="V297" t="inlineStr">
        <is>
          <t>Bot tarafindan tespit edildi (2026-07-01)</t>
        </is>
      </c>
    </row>
    <row r="298">
      <c r="A298" t="inlineStr">
        <is>
          <t>T-0102</t>
        </is>
      </c>
      <c r="B298" t="inlineStr">
        <is>
          <t>Indraprastha Gas (IGL)</t>
        </is>
      </c>
      <c r="C298" t="inlineStr">
        <is>
          <t>Indraprastha Gas (IGL)</t>
        </is>
      </c>
      <c r="F298" t="inlineStr">
        <is>
          <t>New Lead</t>
        </is>
      </c>
      <c r="H298" t="inlineStr">
        <is>
          <t>Corrigendum_III_CP18735 (B).pdf</t>
        </is>
      </c>
      <c r="K298" t="inlineStr">
        <is>
          <t>Not found</t>
        </is>
      </c>
      <c r="L298" t="inlineStr">
        <is>
          <t>Unknown</t>
        </is>
      </c>
      <c r="T298" t="inlineStr">
        <is>
          <t>https://tenders.iglonline.net/uploads/tender/Corrigendum_III_CP18735 (B).pdf</t>
        </is>
      </c>
      <c r="U298" t="inlineStr">
        <is>
          <t>No</t>
        </is>
      </c>
      <c r="V298" t="inlineStr">
        <is>
          <t>Bot tarafindan tespit edildi (2026-07-01)</t>
        </is>
      </c>
    </row>
    <row r="299">
      <c r="A299" t="inlineStr">
        <is>
          <t>T-0103</t>
        </is>
      </c>
      <c r="B299" t="inlineStr">
        <is>
          <t>Indraprastha Gas (IGL)</t>
        </is>
      </c>
      <c r="C299" t="inlineStr">
        <is>
          <t>Indraprastha Gas (IGL)</t>
        </is>
      </c>
      <c r="F299" t="inlineStr">
        <is>
          <t>New Lead</t>
        </is>
      </c>
      <c r="H299" t="inlineStr">
        <is>
          <t>RTBQ_CP18735.pdf</t>
        </is>
      </c>
      <c r="K299" t="inlineStr">
        <is>
          <t>Not found</t>
        </is>
      </c>
      <c r="L299" t="inlineStr">
        <is>
          <t>Unknown</t>
        </is>
      </c>
      <c r="T299" t="inlineStr">
        <is>
          <t>https://tenders.iglonline.net/uploads/tender/RTBQ_CP18735.pdf</t>
        </is>
      </c>
      <c r="U299" t="inlineStr">
        <is>
          <t>No</t>
        </is>
      </c>
      <c r="V299" t="inlineStr">
        <is>
          <t>Bot tarafindan tespit edildi (2026-07-01)</t>
        </is>
      </c>
    </row>
    <row r="300">
      <c r="A300" t="inlineStr">
        <is>
          <t>T-0104</t>
        </is>
      </c>
      <c r="B300" t="inlineStr">
        <is>
          <t>Indraprastha Gas (IGL)</t>
        </is>
      </c>
      <c r="C300" t="inlineStr">
        <is>
          <t>Indraprastha Gas (IGL)</t>
        </is>
      </c>
      <c r="F300" t="inlineStr">
        <is>
          <t>New Lead</t>
        </is>
      </c>
      <c r="H300" t="inlineStr">
        <is>
          <t>View Tender</t>
        </is>
      </c>
      <c r="K300" t="inlineStr">
        <is>
          <t>Not found</t>
        </is>
      </c>
      <c r="L300" t="inlineStr">
        <is>
          <t>Unknown</t>
        </is>
      </c>
      <c r="T300" t="inlineStr">
        <is>
          <t>https://tenders.iglonline.net/tenderDetail/519/Active Tenders And Corrigendum-Addendum</t>
        </is>
      </c>
      <c r="U300" t="inlineStr">
        <is>
          <t>No</t>
        </is>
      </c>
      <c r="V300" t="inlineStr">
        <is>
          <t>Bot tarafindan tespit edildi (2026-07-01)</t>
        </is>
      </c>
    </row>
    <row r="301">
      <c r="A301" t="inlineStr">
        <is>
          <t>T-0105</t>
        </is>
      </c>
      <c r="B301" t="inlineStr">
        <is>
          <t>Indraprastha Gas (IGL)</t>
        </is>
      </c>
      <c r="C301" t="inlineStr">
        <is>
          <t>Indraprastha Gas (IGL)</t>
        </is>
      </c>
      <c r="F301" t="inlineStr">
        <is>
          <t>New Lead</t>
        </is>
      </c>
      <c r="H301" t="inlineStr">
        <is>
          <t>View Tender</t>
        </is>
      </c>
      <c r="K301" t="inlineStr">
        <is>
          <t>Not found</t>
        </is>
      </c>
      <c r="L301" t="inlineStr">
        <is>
          <t>Unknown</t>
        </is>
      </c>
      <c r="T301" t="inlineStr">
        <is>
          <t>https://tenders.iglonline.net/tenderDetail/518/Active Tenders And Corrigendum-Addendum</t>
        </is>
      </c>
      <c r="U301" t="inlineStr">
        <is>
          <t>No</t>
        </is>
      </c>
      <c r="V301" t="inlineStr">
        <is>
          <t>Bot tarafindan tespit edildi (2026-07-01)</t>
        </is>
      </c>
    </row>
    <row r="302">
      <c r="A302" t="inlineStr">
        <is>
          <t>T-0106</t>
        </is>
      </c>
      <c r="B302" t="inlineStr">
        <is>
          <t>Indraprastha Gas (IGL)</t>
        </is>
      </c>
      <c r="C302" t="inlineStr">
        <is>
          <t>Indraprastha Gas (IGL)</t>
        </is>
      </c>
      <c r="F302" t="inlineStr">
        <is>
          <t>New Lead</t>
        </is>
      </c>
      <c r="H302" t="inlineStr">
        <is>
          <t>Corrigendum_1_CP18759.pdf</t>
        </is>
      </c>
      <c r="K302" t="inlineStr">
        <is>
          <t>Not found</t>
        </is>
      </c>
      <c r="L302" t="inlineStr">
        <is>
          <t>Unknown</t>
        </is>
      </c>
      <c r="T302" t="inlineStr">
        <is>
          <t>https://tenders.iglonline.net/uploads/tender/Corrigendum_1_CP18759.pdf</t>
        </is>
      </c>
      <c r="U302" t="inlineStr">
        <is>
          <t>No</t>
        </is>
      </c>
      <c r="V302" t="inlineStr">
        <is>
          <t>Bot tarafindan tespit edildi (2026-07-01)</t>
        </is>
      </c>
    </row>
    <row r="303">
      <c r="A303" t="inlineStr">
        <is>
          <t>T-0107</t>
        </is>
      </c>
      <c r="B303" t="inlineStr">
        <is>
          <t>Indraprastha Gas (IGL)</t>
        </is>
      </c>
      <c r="C303" t="inlineStr">
        <is>
          <t>Indraprastha Gas (IGL)</t>
        </is>
      </c>
      <c r="F303" t="inlineStr">
        <is>
          <t>New Lead</t>
        </is>
      </c>
      <c r="H303" t="inlineStr">
        <is>
          <t>RTPBQ_CP18759.pdf</t>
        </is>
      </c>
      <c r="K303" t="inlineStr">
        <is>
          <t>Not found</t>
        </is>
      </c>
      <c r="L303" t="inlineStr">
        <is>
          <t>Unknown</t>
        </is>
      </c>
      <c r="T303" t="inlineStr">
        <is>
          <t>https://tenders.iglonline.net/uploads/tender/RTPBQ_CP18759.pdf</t>
        </is>
      </c>
      <c r="U303" t="inlineStr">
        <is>
          <t>No</t>
        </is>
      </c>
      <c r="V303" t="inlineStr">
        <is>
          <t>Bot tarafindan tespit edildi (2026-07-01)</t>
        </is>
      </c>
    </row>
    <row r="304">
      <c r="A304" t="inlineStr">
        <is>
          <t>T-0108</t>
        </is>
      </c>
      <c r="B304" t="inlineStr">
        <is>
          <t>Indraprastha Gas (IGL)</t>
        </is>
      </c>
      <c r="C304" t="inlineStr">
        <is>
          <t>Indraprastha Gas (IGL)</t>
        </is>
      </c>
      <c r="F304" t="inlineStr">
        <is>
          <t>New Lead</t>
        </is>
      </c>
      <c r="H304" t="inlineStr">
        <is>
          <t>CP18759_Corrigendum_2.pdf</t>
        </is>
      </c>
      <c r="K304" t="inlineStr">
        <is>
          <t>Not found</t>
        </is>
      </c>
      <c r="L304" t="inlineStr">
        <is>
          <t>Unknown</t>
        </is>
      </c>
      <c r="T304" t="inlineStr">
        <is>
          <t>https://tenders.iglonline.net/uploads/tender/CP18759_Corrigendum_2.pdf</t>
        </is>
      </c>
      <c r="U304" t="inlineStr">
        <is>
          <t>No</t>
        </is>
      </c>
      <c r="V304" t="inlineStr">
        <is>
          <t>Bot tarafindan tespit edildi (2026-07-01)</t>
        </is>
      </c>
    </row>
    <row r="305">
      <c r="A305" t="inlineStr">
        <is>
          <t>T-0109</t>
        </is>
      </c>
      <c r="B305" t="inlineStr">
        <is>
          <t>Indraprastha Gas (IGL)</t>
        </is>
      </c>
      <c r="C305" t="inlineStr">
        <is>
          <t>Indraprastha Gas (IGL)</t>
        </is>
      </c>
      <c r="F305" t="inlineStr">
        <is>
          <t>New Lead</t>
        </is>
      </c>
      <c r="H305" t="inlineStr">
        <is>
          <t>RTPBQ_2_CP18759.pdf</t>
        </is>
      </c>
      <c r="K305" t="inlineStr">
        <is>
          <t>Not found</t>
        </is>
      </c>
      <c r="L305" t="inlineStr">
        <is>
          <t>Unknown</t>
        </is>
      </c>
      <c r="T305" t="inlineStr">
        <is>
          <t>https://tenders.iglonline.net/uploads/tender/RTPBQ_2_CP18759.pdf</t>
        </is>
      </c>
      <c r="U305" t="inlineStr">
        <is>
          <t>No</t>
        </is>
      </c>
      <c r="V305" t="inlineStr">
        <is>
          <t>Bot tarafindan tespit edildi (2026-07-01)</t>
        </is>
      </c>
    </row>
    <row r="306">
      <c r="A306" t="inlineStr">
        <is>
          <t>T-0110</t>
        </is>
      </c>
      <c r="B306" t="inlineStr">
        <is>
          <t>Indraprastha Gas (IGL)</t>
        </is>
      </c>
      <c r="C306" t="inlineStr">
        <is>
          <t>Indraprastha Gas (IGL)</t>
        </is>
      </c>
      <c r="F306" t="inlineStr">
        <is>
          <t>New Lead</t>
        </is>
      </c>
      <c r="H306" t="inlineStr">
        <is>
          <t>View Tender</t>
        </is>
      </c>
      <c r="K306" t="inlineStr">
        <is>
          <t>Not found</t>
        </is>
      </c>
      <c r="L306" t="inlineStr">
        <is>
          <t>Unknown</t>
        </is>
      </c>
      <c r="T306" t="inlineStr">
        <is>
          <t>https://tenders.iglonline.net/tenderDetail/517/Active Tenders And Corrigendum-Addendum</t>
        </is>
      </c>
      <c r="U306" t="inlineStr">
        <is>
          <t>No</t>
        </is>
      </c>
      <c r="V306" t="inlineStr">
        <is>
          <t>Bot tarafindan tespit edildi (2026-07-01)</t>
        </is>
      </c>
    </row>
    <row r="307">
      <c r="A307" t="inlineStr">
        <is>
          <t>T-0111</t>
        </is>
      </c>
      <c r="B307" t="inlineStr">
        <is>
          <t>Indraprastha Gas (IGL)</t>
        </is>
      </c>
      <c r="C307" t="inlineStr">
        <is>
          <t>Indraprastha Gas (IGL)</t>
        </is>
      </c>
      <c r="F307" t="inlineStr">
        <is>
          <t>New Lead</t>
        </is>
      </c>
      <c r="H307" t="inlineStr">
        <is>
          <t>CC18762_RTBQ.pdf</t>
        </is>
      </c>
      <c r="K307" t="inlineStr">
        <is>
          <t>Not found</t>
        </is>
      </c>
      <c r="L307" t="inlineStr">
        <is>
          <t>Unknown</t>
        </is>
      </c>
      <c r="T307" t="inlineStr">
        <is>
          <t>https://tenders.iglonline.net/uploads/tender/CC18762_RTBQ.pdf</t>
        </is>
      </c>
      <c r="U307" t="inlineStr">
        <is>
          <t>No</t>
        </is>
      </c>
      <c r="V307" t="inlineStr">
        <is>
          <t>Bot tarafindan tespit edildi (2026-07-01)</t>
        </is>
      </c>
    </row>
    <row r="308">
      <c r="A308" t="inlineStr">
        <is>
          <t>T-0112</t>
        </is>
      </c>
      <c r="B308" t="inlineStr">
        <is>
          <t>Indraprastha Gas (IGL)</t>
        </is>
      </c>
      <c r="C308" t="inlineStr">
        <is>
          <t>Indraprastha Gas (IGL)</t>
        </is>
      </c>
      <c r="F308" t="inlineStr">
        <is>
          <t>New Lead</t>
        </is>
      </c>
      <c r="H308" t="inlineStr">
        <is>
          <t>CC18762_Corrigendum_I.pdf</t>
        </is>
      </c>
      <c r="K308" t="inlineStr">
        <is>
          <t>Not found</t>
        </is>
      </c>
      <c r="L308" t="inlineStr">
        <is>
          <t>Unknown</t>
        </is>
      </c>
      <c r="T308" t="inlineStr">
        <is>
          <t>https://tenders.iglonline.net/uploads/tender/CC18762_Corrigendum_I.pdf</t>
        </is>
      </c>
      <c r="U308" t="inlineStr">
        <is>
          <t>No</t>
        </is>
      </c>
      <c r="V308" t="inlineStr">
        <is>
          <t>Bot tarafindan tespit edildi (2026-07-01)</t>
        </is>
      </c>
    </row>
    <row r="309">
      <c r="A309" t="inlineStr">
        <is>
          <t>T-0113</t>
        </is>
      </c>
      <c r="B309" t="inlineStr">
        <is>
          <t>Indraprastha Gas (IGL)</t>
        </is>
      </c>
      <c r="C309" t="inlineStr">
        <is>
          <t>Indraprastha Gas (IGL)</t>
        </is>
      </c>
      <c r="F309" t="inlineStr">
        <is>
          <t>New Lead</t>
        </is>
      </c>
      <c r="H309" t="inlineStr">
        <is>
          <t>CC18762_RTBQ_II.pdf</t>
        </is>
      </c>
      <c r="K309" t="inlineStr">
        <is>
          <t>Not found</t>
        </is>
      </c>
      <c r="L309" t="inlineStr">
        <is>
          <t>Unknown</t>
        </is>
      </c>
      <c r="T309" t="inlineStr">
        <is>
          <t>https://tenders.iglonline.net/uploads/tender/CC18762_RTBQ_II.pdf</t>
        </is>
      </c>
      <c r="U309" t="inlineStr">
        <is>
          <t>No</t>
        </is>
      </c>
      <c r="V309" t="inlineStr">
        <is>
          <t>Bot tarafindan tespit edildi (2026-07-01)</t>
        </is>
      </c>
    </row>
    <row r="310">
      <c r="A310" t="inlineStr">
        <is>
          <t>T-0114</t>
        </is>
      </c>
      <c r="B310" t="inlineStr">
        <is>
          <t>Indraprastha Gas (IGL)</t>
        </is>
      </c>
      <c r="C310" t="inlineStr">
        <is>
          <t>Indraprastha Gas (IGL)</t>
        </is>
      </c>
      <c r="F310" t="inlineStr">
        <is>
          <t>New Lead</t>
        </is>
      </c>
      <c r="H310" t="inlineStr">
        <is>
          <t>View Tender</t>
        </is>
      </c>
      <c r="K310" t="inlineStr">
        <is>
          <t>Not found</t>
        </is>
      </c>
      <c r="L310" t="inlineStr">
        <is>
          <t>Unknown</t>
        </is>
      </c>
      <c r="T310" t="inlineStr">
        <is>
          <t>https://tenders.iglonline.net/tenderDetail/516/Active Tenders And Corrigendum-Addendum</t>
        </is>
      </c>
      <c r="U310" t="inlineStr">
        <is>
          <t>No</t>
        </is>
      </c>
      <c r="V310" t="inlineStr">
        <is>
          <t>Bot tarafindan tespit edildi (2026-07-01)</t>
        </is>
      </c>
    </row>
    <row r="311">
      <c r="A311" t="inlineStr">
        <is>
          <t>T-0115</t>
        </is>
      </c>
      <c r="B311" t="inlineStr">
        <is>
          <t>Indraprastha Gas (IGL)</t>
        </is>
      </c>
      <c r="C311" t="inlineStr">
        <is>
          <t>Indraprastha Gas (IGL)</t>
        </is>
      </c>
      <c r="F311" t="inlineStr">
        <is>
          <t>New Lead</t>
        </is>
      </c>
      <c r="H311" t="inlineStr">
        <is>
          <t>View Tender</t>
        </is>
      </c>
      <c r="K311" t="inlineStr">
        <is>
          <t>Not found</t>
        </is>
      </c>
      <c r="L311" t="inlineStr">
        <is>
          <t>Unknown</t>
        </is>
      </c>
      <c r="T311" t="inlineStr">
        <is>
          <t>https://tenders.iglonline.net/tenderDetail/515/Active Tenders And Corrigendum-Addendum</t>
        </is>
      </c>
      <c r="U311" t="inlineStr">
        <is>
          <t>No</t>
        </is>
      </c>
      <c r="V311" t="inlineStr">
        <is>
          <t>Bot tarafindan tespit edildi (2026-07-01)</t>
        </is>
      </c>
    </row>
    <row r="312">
      <c r="A312" t="inlineStr">
        <is>
          <t>T-0116</t>
        </is>
      </c>
      <c r="B312" t="inlineStr">
        <is>
          <t>Indraprastha Gas (IGL)</t>
        </is>
      </c>
      <c r="C312" t="inlineStr">
        <is>
          <t>Indraprastha Gas (IGL)</t>
        </is>
      </c>
      <c r="F312" t="inlineStr">
        <is>
          <t>New Lead</t>
        </is>
      </c>
      <c r="H312" t="inlineStr">
        <is>
          <t>View Tender</t>
        </is>
      </c>
      <c r="K312" t="inlineStr">
        <is>
          <t>Not found</t>
        </is>
      </c>
      <c r="L312" t="inlineStr">
        <is>
          <t>Unknown</t>
        </is>
      </c>
      <c r="T312" t="inlineStr">
        <is>
          <t>https://tenders.iglonline.net/tenderDetail/514/Active Tenders And Corrigendum-Addendum</t>
        </is>
      </c>
      <c r="U312" t="inlineStr">
        <is>
          <t>No</t>
        </is>
      </c>
      <c r="V312" t="inlineStr">
        <is>
          <t>Bot tarafindan tespit edildi (2026-07-01)</t>
        </is>
      </c>
    </row>
    <row r="313">
      <c r="A313" t="inlineStr">
        <is>
          <t>T-0117</t>
        </is>
      </c>
      <c r="B313" t="inlineStr">
        <is>
          <t>Indraprastha Gas (IGL)</t>
        </is>
      </c>
      <c r="C313" t="inlineStr">
        <is>
          <t>Indraprastha Gas (IGL)</t>
        </is>
      </c>
      <c r="F313" t="inlineStr">
        <is>
          <t>New Lead</t>
        </is>
      </c>
      <c r="H313" t="inlineStr">
        <is>
          <t>View Tender</t>
        </is>
      </c>
      <c r="K313" t="inlineStr">
        <is>
          <t>Not found</t>
        </is>
      </c>
      <c r="L313" t="inlineStr">
        <is>
          <t>Unknown</t>
        </is>
      </c>
      <c r="T313" t="inlineStr">
        <is>
          <t>https://tenders.iglonline.net/tenderDetail/513/Active Tenders And Corrigendum-Addendum</t>
        </is>
      </c>
      <c r="U313" t="inlineStr">
        <is>
          <t>No</t>
        </is>
      </c>
      <c r="V313" t="inlineStr">
        <is>
          <t>Bot tarafindan tespit edildi (2026-07-01)</t>
        </is>
      </c>
    </row>
    <row r="314">
      <c r="A314" t="inlineStr">
        <is>
          <t>T-0118</t>
        </is>
      </c>
      <c r="B314" t="inlineStr">
        <is>
          <t>Indraprastha Gas (IGL)</t>
        </is>
      </c>
      <c r="C314" t="inlineStr">
        <is>
          <t>Indraprastha Gas (IGL)</t>
        </is>
      </c>
      <c r="F314" t="inlineStr">
        <is>
          <t>New Lead</t>
        </is>
      </c>
      <c r="H314" t="inlineStr">
        <is>
          <t>RTBQ CM18738.pdf</t>
        </is>
      </c>
      <c r="K314" t="inlineStr">
        <is>
          <t>Not found</t>
        </is>
      </c>
      <c r="L314" t="inlineStr">
        <is>
          <t>Unknown</t>
        </is>
      </c>
      <c r="T314" t="inlineStr">
        <is>
          <t>https://tenders.iglonline.net/uploads/tender/RTBQ CM18738.pdf</t>
        </is>
      </c>
      <c r="U314" t="inlineStr">
        <is>
          <t>No</t>
        </is>
      </c>
      <c r="V314" t="inlineStr">
        <is>
          <t>Bot tarafindan tespit edildi (2026-07-01)</t>
        </is>
      </c>
    </row>
    <row r="315">
      <c r="A315" t="inlineStr">
        <is>
          <t>T-0119</t>
        </is>
      </c>
      <c r="B315" t="inlineStr">
        <is>
          <t>Indraprastha Gas (IGL)</t>
        </is>
      </c>
      <c r="C315" t="inlineStr">
        <is>
          <t>Indraprastha Gas (IGL)</t>
        </is>
      </c>
      <c r="F315" t="inlineStr">
        <is>
          <t>New Lead</t>
        </is>
      </c>
      <c r="H315" t="inlineStr">
        <is>
          <t>CORRIGENDUM I CM18738.pdf</t>
        </is>
      </c>
      <c r="K315" t="inlineStr">
        <is>
          <t>Not found</t>
        </is>
      </c>
      <c r="L315" t="inlineStr">
        <is>
          <t>Unknown</t>
        </is>
      </c>
      <c r="T315" t="inlineStr">
        <is>
          <t>https://tenders.iglonline.net/uploads/tender/CORRIGENDUM I CM18738.pdf</t>
        </is>
      </c>
      <c r="U315" t="inlineStr">
        <is>
          <t>No</t>
        </is>
      </c>
      <c r="V315" t="inlineStr">
        <is>
          <t>Bot tarafindan tespit edildi (2026-07-01)</t>
        </is>
      </c>
    </row>
    <row r="316">
      <c r="A316" t="inlineStr">
        <is>
          <t>T-0120</t>
        </is>
      </c>
      <c r="B316" t="inlineStr">
        <is>
          <t>Indraprastha Gas (IGL)</t>
        </is>
      </c>
      <c r="C316" t="inlineStr">
        <is>
          <t>Indraprastha Gas (IGL)</t>
        </is>
      </c>
      <c r="F316" t="inlineStr">
        <is>
          <t>New Lead</t>
        </is>
      </c>
      <c r="H316" t="inlineStr">
        <is>
          <t>View Tender</t>
        </is>
      </c>
      <c r="K316" t="inlineStr">
        <is>
          <t>Not found</t>
        </is>
      </c>
      <c r="L316" t="inlineStr">
        <is>
          <t>Unknown</t>
        </is>
      </c>
      <c r="T316" t="inlineStr">
        <is>
          <t>https://tenders.iglonline.net/tenderDetail/512/Active Tenders And Corrigendum-Addendum</t>
        </is>
      </c>
      <c r="U316" t="inlineStr">
        <is>
          <t>No</t>
        </is>
      </c>
      <c r="V316" t="inlineStr">
        <is>
          <t>Bot tarafindan tespit edildi (2026-07-01)</t>
        </is>
      </c>
    </row>
    <row r="317">
      <c r="A317" t="inlineStr">
        <is>
          <t>T-0121</t>
        </is>
      </c>
      <c r="B317" t="inlineStr">
        <is>
          <t>Indraprastha Gas (IGL)</t>
        </is>
      </c>
      <c r="C317" t="inlineStr">
        <is>
          <t>Indraprastha Gas (IGL)</t>
        </is>
      </c>
      <c r="F317" t="inlineStr">
        <is>
          <t>New Lead</t>
        </is>
      </c>
      <c r="H317" t="inlineStr">
        <is>
          <t>View Tender</t>
        </is>
      </c>
      <c r="K317" t="inlineStr">
        <is>
          <t>Not found</t>
        </is>
      </c>
      <c r="L317" t="inlineStr">
        <is>
          <t>Unknown</t>
        </is>
      </c>
      <c r="T317" t="inlineStr">
        <is>
          <t>https://tenders.iglonline.net/tenderDetail/511/Active Tenders And Corrigendum-Addendum</t>
        </is>
      </c>
      <c r="U317" t="inlineStr">
        <is>
          <t>No</t>
        </is>
      </c>
      <c r="V317" t="inlineStr">
        <is>
          <t>Bot tarafindan tespit edildi (2026-07-01)</t>
        </is>
      </c>
    </row>
    <row r="318">
      <c r="A318" t="inlineStr">
        <is>
          <t>T-0122</t>
        </is>
      </c>
      <c r="B318" t="inlineStr">
        <is>
          <t>Indraprastha Gas (IGL)</t>
        </is>
      </c>
      <c r="C318" t="inlineStr">
        <is>
          <t>Indraprastha Gas (IGL)</t>
        </is>
      </c>
      <c r="D318" t="inlineStr">
        <is>
          <t>DOCUMENT</t>
        </is>
      </c>
      <c r="F318" t="inlineStr">
        <is>
          <t>Awarded</t>
        </is>
      </c>
      <c r="G318" t="inlineStr">
        <is>
          <t>Metering skid</t>
        </is>
      </c>
      <c r="H318" t="inlineStr">
        <is>
          <t>Open_Domestic Tender_Corrigendum_1.pdf</t>
        </is>
      </c>
      <c r="K318" t="inlineStr">
        <is>
          <t>whose bid has been determined to be substantially responsive and has been determined to be</t>
        </is>
      </c>
      <c r="L318" t="inlineStr">
        <is>
          <t>Unknown</t>
        </is>
      </c>
      <c r="T318" t="inlineStr">
        <is>
          <t>https://tenders.iglonline.net/uploads/tender/Open_Domestic Tender_Corrigendum_1.pdf</t>
        </is>
      </c>
      <c r="U318" t="inlineStr">
        <is>
          <t>No</t>
        </is>
      </c>
      <c r="V31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319">
      <c r="A319" t="inlineStr">
        <is>
          <t>T-0123</t>
        </is>
      </c>
      <c r="B319" t="inlineStr">
        <is>
          <t>Indraprastha Gas (IGL)</t>
        </is>
      </c>
      <c r="C319" t="inlineStr">
        <is>
          <t>Indraprastha Gas (IGL)</t>
        </is>
      </c>
      <c r="D319" t="inlineStr">
        <is>
          <t>QUERIES</t>
        </is>
      </c>
      <c r="E319" t="inlineStr">
        <is>
          <t>1/4-18</t>
        </is>
      </c>
      <c r="F319" t="inlineStr">
        <is>
          <t>Awarded</t>
        </is>
      </c>
      <c r="G319" t="inlineStr">
        <is>
          <t>Metering skid</t>
        </is>
      </c>
      <c r="H319" t="inlineStr">
        <is>
          <t>IGLET2CPCM18751_Reply to Bidders Pre Bid Queries.pdf</t>
        </is>
      </c>
      <c r="K319" t="inlineStr">
        <is>
          <t>Not found</t>
        </is>
      </c>
      <c r="L319" t="inlineStr">
        <is>
          <t>Unknown</t>
        </is>
      </c>
      <c r="M319" t="n">
        <v>1514724</v>
      </c>
      <c r="T319" t="inlineStr">
        <is>
          <t>https://tenders.iglonline.net/uploads/tender/IGLET2CPCM18751_Reply to Bidders Pre Bid Queries.pdf</t>
        </is>
      </c>
      <c r="U319" t="inlineStr">
        <is>
          <t>No</t>
        </is>
      </c>
      <c r="V319" t="inlineStr">
        <is>
          <t>Bot tarafindan tespit edildi (2026-07-01) | closing=1/4-18 | Bot enrich; date=2026-07-01; type=pdf; pdf_closing=1/4-18; score=230; pdf_conf=High; Bot tespit/zenginlestirme (2026-07-01); meta:score=35;priority=Low;source_type=html_table;closing_date=;equipment=Gas-related / review;reasons=equipment:Gas-related / review,document source</t>
        </is>
      </c>
    </row>
    <row r="320">
      <c r="A320" t="inlineStr">
        <is>
          <t>T-0124</t>
        </is>
      </c>
      <c r="B320" t="inlineStr">
        <is>
          <t>Indraprastha Gas (IGL)</t>
        </is>
      </c>
      <c r="C320" t="inlineStr">
        <is>
          <t>Indraprastha Gas (IGL)</t>
        </is>
      </c>
      <c r="F320" t="inlineStr">
        <is>
          <t>New Lead</t>
        </is>
      </c>
      <c r="H320" t="inlineStr">
        <is>
          <t>View Tender</t>
        </is>
      </c>
      <c r="K320" t="inlineStr">
        <is>
          <t>Not found</t>
        </is>
      </c>
      <c r="L320" t="inlineStr">
        <is>
          <t>Unknown</t>
        </is>
      </c>
      <c r="T320" t="inlineStr">
        <is>
          <t>https://tenders.iglonline.net/tenderDetail/510/Active Tenders And Corrigendum-Addendum</t>
        </is>
      </c>
      <c r="U320" t="inlineStr">
        <is>
          <t>No</t>
        </is>
      </c>
      <c r="V320" t="inlineStr">
        <is>
          <t>Bot tarafindan tespit edildi (2026-07-01)</t>
        </is>
      </c>
    </row>
    <row r="321">
      <c r="A321" t="inlineStr">
        <is>
          <t>T-0125</t>
        </is>
      </c>
      <c r="B321" t="inlineStr">
        <is>
          <t>Indraprastha Gas (IGL)</t>
        </is>
      </c>
      <c r="C321" t="inlineStr">
        <is>
          <t>Indraprastha Gas (IGL)</t>
        </is>
      </c>
      <c r="F321" t="inlineStr">
        <is>
          <t>New Lead</t>
        </is>
      </c>
      <c r="H321" t="inlineStr">
        <is>
          <t>View Tender</t>
        </is>
      </c>
      <c r="K321" t="inlineStr">
        <is>
          <t>Not found</t>
        </is>
      </c>
      <c r="L321" t="inlineStr">
        <is>
          <t>Unknown</t>
        </is>
      </c>
      <c r="T321" t="inlineStr">
        <is>
          <t>https://tenders.iglonline.net/tenderDetail/509/Active Tenders And Corrigendum-Addendum</t>
        </is>
      </c>
      <c r="U321" t="inlineStr">
        <is>
          <t>No</t>
        </is>
      </c>
      <c r="V321" t="inlineStr">
        <is>
          <t>Bot tarafindan tespit edildi (2026-07-01)</t>
        </is>
      </c>
    </row>
    <row r="322">
      <c r="A322" t="inlineStr">
        <is>
          <t>T-0126</t>
        </is>
      </c>
      <c r="B322" t="inlineStr">
        <is>
          <t>Indraprastha Gas (IGL)</t>
        </is>
      </c>
      <c r="C322" t="inlineStr">
        <is>
          <t>Indraprastha Gas (IGL)</t>
        </is>
      </c>
      <c r="F322" t="inlineStr">
        <is>
          <t>New Lead</t>
        </is>
      </c>
      <c r="H322" t="inlineStr">
        <is>
          <t>View Tender</t>
        </is>
      </c>
      <c r="K322" t="inlineStr">
        <is>
          <t>Not found</t>
        </is>
      </c>
      <c r="L322" t="inlineStr">
        <is>
          <t>Unknown</t>
        </is>
      </c>
      <c r="T322" t="inlineStr">
        <is>
          <t>https://tenders.iglonline.net/tenderDetail/508/Active Tenders And Corrigendum-Addendum</t>
        </is>
      </c>
      <c r="U322" t="inlineStr">
        <is>
          <t>No</t>
        </is>
      </c>
      <c r="V322" t="inlineStr">
        <is>
          <t>Bot tarafindan tespit edildi (2026-07-01)</t>
        </is>
      </c>
    </row>
    <row r="323">
      <c r="A323" t="inlineStr">
        <is>
          <t>T-0127</t>
        </is>
      </c>
      <c r="B323" t="inlineStr">
        <is>
          <t>Indraprastha Gas (IGL)</t>
        </is>
      </c>
      <c r="C323" t="inlineStr">
        <is>
          <t>Indraprastha Gas (IGL)</t>
        </is>
      </c>
      <c r="F323" t="inlineStr">
        <is>
          <t>New Lead</t>
        </is>
      </c>
      <c r="H323" t="inlineStr">
        <is>
          <t>RTBQ_CP18681.pdf</t>
        </is>
      </c>
      <c r="K323" t="inlineStr">
        <is>
          <t>Not found</t>
        </is>
      </c>
      <c r="L323" t="inlineStr">
        <is>
          <t>Unknown</t>
        </is>
      </c>
      <c r="T323" t="inlineStr">
        <is>
          <t>https://tenders.iglonline.net/uploads/tender/RTBQ_CP18681.pdf</t>
        </is>
      </c>
      <c r="U323" t="inlineStr">
        <is>
          <t>No</t>
        </is>
      </c>
      <c r="V323" t="inlineStr">
        <is>
          <t>Bot tarafindan tespit edildi (2026-07-01)</t>
        </is>
      </c>
    </row>
    <row r="324">
      <c r="A324" t="inlineStr">
        <is>
          <t>T-0128</t>
        </is>
      </c>
      <c r="B324" t="inlineStr">
        <is>
          <t>Indraprastha Gas (IGL)</t>
        </is>
      </c>
      <c r="C324" t="inlineStr">
        <is>
          <t>Indraprastha Gas (IGL)</t>
        </is>
      </c>
      <c r="F324" t="inlineStr">
        <is>
          <t>New Lead</t>
        </is>
      </c>
      <c r="H324" t="inlineStr">
        <is>
          <t>View Tender</t>
        </is>
      </c>
      <c r="K324" t="inlineStr">
        <is>
          <t>Not found</t>
        </is>
      </c>
      <c r="L324" t="inlineStr">
        <is>
          <t>Unknown</t>
        </is>
      </c>
      <c r="T324" t="inlineStr">
        <is>
          <t>https://tenders.iglonline.net/tenderDetail/507/Active Tenders And Corrigendum-Addendum</t>
        </is>
      </c>
      <c r="U324" t="inlineStr">
        <is>
          <t>No</t>
        </is>
      </c>
      <c r="V324" t="inlineStr">
        <is>
          <t>Bot tarafindan tespit edildi (2026-07-01)</t>
        </is>
      </c>
    </row>
    <row r="325">
      <c r="A325" t="inlineStr">
        <is>
          <t>T-0129</t>
        </is>
      </c>
      <c r="B325" t="inlineStr">
        <is>
          <t>Indraprastha Gas (IGL)</t>
        </is>
      </c>
      <c r="C325" t="inlineStr">
        <is>
          <t>Indraprastha Gas (IGL)</t>
        </is>
      </c>
      <c r="F325" t="inlineStr">
        <is>
          <t>New Lead</t>
        </is>
      </c>
      <c r="H325" t="inlineStr">
        <is>
          <t>RTPBQ_CM18731.pdf</t>
        </is>
      </c>
      <c r="K325" t="inlineStr">
        <is>
          <t>Not found</t>
        </is>
      </c>
      <c r="L325" t="inlineStr">
        <is>
          <t>Unknown</t>
        </is>
      </c>
      <c r="T325" t="inlineStr">
        <is>
          <t>https://tenders.iglonline.net/uploads/tender/RTPBQ_CM18731.pdf</t>
        </is>
      </c>
      <c r="U325" t="inlineStr">
        <is>
          <t>No</t>
        </is>
      </c>
      <c r="V325" t="inlineStr">
        <is>
          <t>Bot tarafindan tespit edildi (2026-07-01)</t>
        </is>
      </c>
    </row>
    <row r="326">
      <c r="A326" t="inlineStr">
        <is>
          <t>T-0130</t>
        </is>
      </c>
      <c r="B326" t="inlineStr">
        <is>
          <t>Indraprastha Gas (IGL)</t>
        </is>
      </c>
      <c r="C326" t="inlineStr">
        <is>
          <t>Indraprastha Gas (IGL)</t>
        </is>
      </c>
      <c r="F326" t="inlineStr">
        <is>
          <t>New Lead</t>
        </is>
      </c>
      <c r="H326" t="inlineStr">
        <is>
          <t>View Tender</t>
        </is>
      </c>
      <c r="K326" t="inlineStr">
        <is>
          <t>Not found</t>
        </is>
      </c>
      <c r="L326" t="inlineStr">
        <is>
          <t>Unknown</t>
        </is>
      </c>
      <c r="T326" t="inlineStr">
        <is>
          <t>https://tenders.iglonline.net/tenderDetail/506/Active Tenders And Corrigendum-Addendum</t>
        </is>
      </c>
      <c r="U326" t="inlineStr">
        <is>
          <t>No</t>
        </is>
      </c>
      <c r="V326" t="inlineStr">
        <is>
          <t>Bot tarafindan tespit edildi (2026-07-01)</t>
        </is>
      </c>
    </row>
    <row r="327">
      <c r="A327" t="inlineStr">
        <is>
          <t>T-0131</t>
        </is>
      </c>
      <c r="B327" t="inlineStr">
        <is>
          <t>Indraprastha Gas (IGL)</t>
        </is>
      </c>
      <c r="C327" t="inlineStr">
        <is>
          <t>Indraprastha Gas (IGL)</t>
        </is>
      </c>
      <c r="F327" t="inlineStr">
        <is>
          <t>New Lead</t>
        </is>
      </c>
      <c r="H327" t="inlineStr">
        <is>
          <t>View Tender</t>
        </is>
      </c>
      <c r="K327" t="inlineStr">
        <is>
          <t>Not found</t>
        </is>
      </c>
      <c r="L327" t="inlineStr">
        <is>
          <t>Unknown</t>
        </is>
      </c>
      <c r="T327" t="inlineStr">
        <is>
          <t>https://tenders.iglonline.net/tenderDetail/505/Active Tenders And Corrigendum-Addendum</t>
        </is>
      </c>
      <c r="U327" t="inlineStr">
        <is>
          <t>No</t>
        </is>
      </c>
      <c r="V327" t="inlineStr">
        <is>
          <t>Bot tarafindan tespit edildi (2026-07-01)</t>
        </is>
      </c>
    </row>
    <row r="328">
      <c r="A328" t="inlineStr">
        <is>
          <t>T-0132</t>
        </is>
      </c>
      <c r="B328" t="inlineStr">
        <is>
          <t>Indraprastha Gas (IGL)</t>
        </is>
      </c>
      <c r="C328" t="inlineStr">
        <is>
          <t>Indraprastha Gas (IGL)</t>
        </is>
      </c>
      <c r="F328" t="inlineStr">
        <is>
          <t>New Lead</t>
        </is>
      </c>
      <c r="H328" t="inlineStr">
        <is>
          <t>View Tender</t>
        </is>
      </c>
      <c r="K328" t="inlineStr">
        <is>
          <t>Not found</t>
        </is>
      </c>
      <c r="L328" t="inlineStr">
        <is>
          <t>Unknown</t>
        </is>
      </c>
      <c r="T328" t="inlineStr">
        <is>
          <t>https://tenders.iglonline.net/tenderDetail/504/Active Tenders And Corrigendum-Addendum</t>
        </is>
      </c>
      <c r="U328" t="inlineStr">
        <is>
          <t>No</t>
        </is>
      </c>
      <c r="V328" t="inlineStr">
        <is>
          <t>Bot tarafindan tespit edildi (2026-07-01)</t>
        </is>
      </c>
    </row>
    <row r="329">
      <c r="A329" t="inlineStr">
        <is>
          <t>T-0133</t>
        </is>
      </c>
      <c r="B329" t="inlineStr">
        <is>
          <t>Indraprastha Gas (IGL)</t>
        </is>
      </c>
      <c r="C329" t="inlineStr">
        <is>
          <t>Indraprastha Gas (IGL)</t>
        </is>
      </c>
      <c r="F329" t="inlineStr">
        <is>
          <t>New Lead</t>
        </is>
      </c>
      <c r="H329" t="inlineStr">
        <is>
          <t>View Tender</t>
        </is>
      </c>
      <c r="K329" t="inlineStr">
        <is>
          <t>Not found</t>
        </is>
      </c>
      <c r="L329" t="inlineStr">
        <is>
          <t>Unknown</t>
        </is>
      </c>
      <c r="T329" t="inlineStr">
        <is>
          <t>https://tenders.iglonline.net/tenderDetail/503/Active Tenders And Corrigendum-Addendum</t>
        </is>
      </c>
      <c r="U329" t="inlineStr">
        <is>
          <t>No</t>
        </is>
      </c>
      <c r="V329" t="inlineStr">
        <is>
          <t>Bot tarafindan tespit edildi (2026-07-01)</t>
        </is>
      </c>
    </row>
    <row r="330">
      <c r="A330" t="inlineStr">
        <is>
          <t>T-0134</t>
        </is>
      </c>
      <c r="B330" t="inlineStr">
        <is>
          <t>Indraprastha Gas (IGL)</t>
        </is>
      </c>
      <c r="C330" t="inlineStr">
        <is>
          <t>Indraprastha Gas (IGL)</t>
        </is>
      </c>
      <c r="F330" t="inlineStr">
        <is>
          <t>New Lead</t>
        </is>
      </c>
      <c r="H330" t="inlineStr">
        <is>
          <t>View Tender</t>
        </is>
      </c>
      <c r="K330" t="inlineStr">
        <is>
          <t>Not found</t>
        </is>
      </c>
      <c r="L330" t="inlineStr">
        <is>
          <t>Unknown</t>
        </is>
      </c>
      <c r="T330" t="inlineStr">
        <is>
          <t>https://tenders.iglonline.net/tenderDetail/502/Active Tenders And Corrigendum-Addendum</t>
        </is>
      </c>
      <c r="U330" t="inlineStr">
        <is>
          <t>No</t>
        </is>
      </c>
      <c r="V330" t="inlineStr">
        <is>
          <t>Bot tarafindan tespit edildi (2026-07-01)</t>
        </is>
      </c>
    </row>
    <row r="331">
      <c r="A331" t="inlineStr">
        <is>
          <t>T-0135</t>
        </is>
      </c>
      <c r="B331" t="inlineStr">
        <is>
          <t>Indraprastha Gas (IGL)</t>
        </is>
      </c>
      <c r="C331" t="inlineStr">
        <is>
          <t>Indraprastha Gas (IGL)</t>
        </is>
      </c>
      <c r="F331" t="inlineStr">
        <is>
          <t>New Lead</t>
        </is>
      </c>
      <c r="G331" t="inlineStr">
        <is>
          <t>Gas-related / review</t>
        </is>
      </c>
      <c r="H331" t="inlineStr">
        <is>
          <t>RTPBQ_CM18717.pdf</t>
        </is>
      </c>
      <c r="K331" t="inlineStr">
        <is>
          <t>Not found</t>
        </is>
      </c>
      <c r="L331" t="inlineStr">
        <is>
          <t>Unknown</t>
        </is>
      </c>
      <c r="T331" t="inlineStr">
        <is>
          <t>https://tenders.iglonline.net/uploads/tender/RTPBQ_CM18717.pdf</t>
        </is>
      </c>
      <c r="U331" t="inlineStr">
        <is>
          <t>No</t>
        </is>
      </c>
      <c r="V331" t="inlineStr">
        <is>
          <t>Bot tarafindan tespit edildi (2026-07-01); Bot tespit/zenginlestirme (2026-07-01); meta:score=35;priority=Low;source_type=html_table;closing_date=;equipment=Gas-related / review;reasons=equipment:Gas-related / review,document source</t>
        </is>
      </c>
    </row>
    <row r="332">
      <c r="A332" t="inlineStr">
        <is>
          <t>T-0136</t>
        </is>
      </c>
      <c r="B332" t="inlineStr">
        <is>
          <t>Indraprastha Gas (IGL)</t>
        </is>
      </c>
      <c r="C332" t="inlineStr">
        <is>
          <t>Indraprastha Gas (IGL)</t>
        </is>
      </c>
      <c r="F332" t="inlineStr">
        <is>
          <t>New Lead</t>
        </is>
      </c>
      <c r="H332" t="inlineStr">
        <is>
          <t>View Tender</t>
        </is>
      </c>
      <c r="K332" t="inlineStr">
        <is>
          <t>Not found</t>
        </is>
      </c>
      <c r="L332" t="inlineStr">
        <is>
          <t>Unknown</t>
        </is>
      </c>
      <c r="T332" t="inlineStr">
        <is>
          <t>https://tenders.iglonline.net/tenderDetail/501/Active Tenders And Corrigendum-Addendum</t>
        </is>
      </c>
      <c r="U332" t="inlineStr">
        <is>
          <t>No</t>
        </is>
      </c>
      <c r="V332" t="inlineStr">
        <is>
          <t>Bot tarafindan tespit edildi (2026-07-01)</t>
        </is>
      </c>
    </row>
    <row r="333">
      <c r="A333" t="inlineStr">
        <is>
          <t>T-0137</t>
        </is>
      </c>
      <c r="B333" t="inlineStr">
        <is>
          <t>Indraprastha Gas (IGL)</t>
        </is>
      </c>
      <c r="C333" t="inlineStr">
        <is>
          <t>Indraprastha Gas (IGL)</t>
        </is>
      </c>
      <c r="F333" t="inlineStr">
        <is>
          <t>New Lead</t>
        </is>
      </c>
      <c r="H333" t="inlineStr">
        <is>
          <t>RTBQ CM18715.pdf</t>
        </is>
      </c>
      <c r="K333" t="inlineStr">
        <is>
          <t>Not found</t>
        </is>
      </c>
      <c r="L333" t="inlineStr">
        <is>
          <t>Unknown</t>
        </is>
      </c>
      <c r="T333" t="inlineStr">
        <is>
          <t>https://tenders.iglonline.net/uploads/tender/RTBQ CM18715.pdf</t>
        </is>
      </c>
      <c r="U333" t="inlineStr">
        <is>
          <t>No</t>
        </is>
      </c>
      <c r="V333" t="inlineStr">
        <is>
          <t>Bot tarafindan tespit edildi (2026-07-01)</t>
        </is>
      </c>
    </row>
    <row r="334">
      <c r="A334" t="inlineStr">
        <is>
          <t>T-0138</t>
        </is>
      </c>
      <c r="B334" t="inlineStr">
        <is>
          <t>Indraprastha Gas (IGL)</t>
        </is>
      </c>
      <c r="C334" t="inlineStr">
        <is>
          <t>Indraprastha Gas (IGL)</t>
        </is>
      </c>
      <c r="F334" t="inlineStr">
        <is>
          <t>New Lead</t>
        </is>
      </c>
      <c r="H334" t="inlineStr">
        <is>
          <t>CORRIGENDUM_I_CM18715.pdf</t>
        </is>
      </c>
      <c r="K334" t="inlineStr">
        <is>
          <t>Not found</t>
        </is>
      </c>
      <c r="L334" t="inlineStr">
        <is>
          <t>Unknown</t>
        </is>
      </c>
      <c r="T334" t="inlineStr">
        <is>
          <t>https://tenders.iglonline.net/uploads/tender/CORRIGENDUM_I_CM18715.pdf</t>
        </is>
      </c>
      <c r="U334" t="inlineStr">
        <is>
          <t>No</t>
        </is>
      </c>
      <c r="V334" t="inlineStr">
        <is>
          <t>Bot tarafindan tespit edildi (2026-07-01)</t>
        </is>
      </c>
    </row>
    <row r="335">
      <c r="A335" t="inlineStr">
        <is>
          <t>T-0139</t>
        </is>
      </c>
      <c r="B335" t="inlineStr">
        <is>
          <t>Indraprastha Gas (IGL)</t>
        </is>
      </c>
      <c r="C335" t="inlineStr">
        <is>
          <t>Indraprastha Gas (IGL)</t>
        </is>
      </c>
      <c r="F335" t="inlineStr">
        <is>
          <t>New Lead</t>
        </is>
      </c>
      <c r="H335" t="inlineStr">
        <is>
          <t>View Tender</t>
        </is>
      </c>
      <c r="K335" t="inlineStr">
        <is>
          <t>Not found</t>
        </is>
      </c>
      <c r="L335" t="inlineStr">
        <is>
          <t>Unknown</t>
        </is>
      </c>
      <c r="T335" t="inlineStr">
        <is>
          <t>https://tenders.iglonline.net/tenderDetail/500/Active Tenders And Corrigendum-Addendum</t>
        </is>
      </c>
      <c r="U335" t="inlineStr">
        <is>
          <t>No</t>
        </is>
      </c>
      <c r="V335" t="inlineStr">
        <is>
          <t>Bot tarafindan tespit edildi (2026-07-01)</t>
        </is>
      </c>
    </row>
    <row r="336">
      <c r="A336" t="inlineStr">
        <is>
          <t>T-0140</t>
        </is>
      </c>
      <c r="B336" t="inlineStr">
        <is>
          <t>Indraprastha Gas (IGL)</t>
        </is>
      </c>
      <c r="C336" t="inlineStr">
        <is>
          <t>Indraprastha Gas (IGL)</t>
        </is>
      </c>
      <c r="F336" t="inlineStr">
        <is>
          <t>New Lead</t>
        </is>
      </c>
      <c r="H336" t="inlineStr">
        <is>
          <t>Corrigendum_I_CP18680.pdf</t>
        </is>
      </c>
      <c r="K336" t="inlineStr">
        <is>
          <t>Not found</t>
        </is>
      </c>
      <c r="L336" t="inlineStr">
        <is>
          <t>Unknown</t>
        </is>
      </c>
      <c r="T336" t="inlineStr">
        <is>
          <t>https://tenders.iglonline.net/uploads/tender/Corrigendum_I_CP18680.pdf</t>
        </is>
      </c>
      <c r="U336" t="inlineStr">
        <is>
          <t>No</t>
        </is>
      </c>
      <c r="V336" t="inlineStr">
        <is>
          <t>Bot tarafindan tespit edildi (2026-07-01)</t>
        </is>
      </c>
    </row>
    <row r="337">
      <c r="A337" t="inlineStr">
        <is>
          <t>T-0141</t>
        </is>
      </c>
      <c r="B337" t="inlineStr">
        <is>
          <t>Indraprastha Gas (IGL)</t>
        </is>
      </c>
      <c r="C337" t="inlineStr">
        <is>
          <t>Indraprastha Gas (IGL)</t>
        </is>
      </c>
      <c r="F337" t="inlineStr">
        <is>
          <t>New Lead</t>
        </is>
      </c>
      <c r="H337" t="inlineStr">
        <is>
          <t>View Tender</t>
        </is>
      </c>
      <c r="K337" t="inlineStr">
        <is>
          <t>Not found</t>
        </is>
      </c>
      <c r="L337" t="inlineStr">
        <is>
          <t>Unknown</t>
        </is>
      </c>
      <c r="T337" t="inlineStr">
        <is>
          <t>https://tenders.iglonline.net/tenderDetail/499/Active Tenders And Corrigendum-Addendum</t>
        </is>
      </c>
      <c r="U337" t="inlineStr">
        <is>
          <t>No</t>
        </is>
      </c>
      <c r="V337" t="inlineStr">
        <is>
          <t>Bot tarafindan tespit edildi (2026-07-01)</t>
        </is>
      </c>
    </row>
    <row r="338">
      <c r="A338" t="inlineStr">
        <is>
          <t>T-0142</t>
        </is>
      </c>
      <c r="B338" t="inlineStr">
        <is>
          <t>Indraprastha Gas (IGL)</t>
        </is>
      </c>
      <c r="C338" t="inlineStr">
        <is>
          <t>Indraprastha Gas (IGL)</t>
        </is>
      </c>
      <c r="D338" t="inlineStr">
        <is>
          <t>QUERIES</t>
        </is>
      </c>
      <c r="F338" t="inlineStr">
        <is>
          <t>Awarded</t>
        </is>
      </c>
      <c r="G338" t="inlineStr">
        <is>
          <t>Gas-related / review</t>
        </is>
      </c>
      <c r="H338" t="inlineStr">
        <is>
          <t>REPLY_TO_BIDDERS_PRE_BID_QUERIES_CC18700.pdf</t>
        </is>
      </c>
      <c r="K338" t="inlineStr">
        <is>
          <t>Not found</t>
        </is>
      </c>
      <c r="L338" t="inlineStr">
        <is>
          <t>Unknown</t>
        </is>
      </c>
      <c r="M338" t="n">
        <v>100</v>
      </c>
      <c r="T338" t="inlineStr">
        <is>
          <t>https://tenders.iglonline.net/uploads/tender/REPLY_TO_BIDDERS_PRE_BID_QUERIES_CC18700.pdf</t>
        </is>
      </c>
      <c r="U338" t="inlineStr">
        <is>
          <t>No</t>
        </is>
      </c>
      <c r="V33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39">
      <c r="A339" t="inlineStr">
        <is>
          <t>T-0143</t>
        </is>
      </c>
      <c r="B339" t="inlineStr">
        <is>
          <t>Indraprastha Gas (IGL)</t>
        </is>
      </c>
      <c r="C339" t="inlineStr">
        <is>
          <t>Indraprastha Gas (IGL)</t>
        </is>
      </c>
      <c r="D339" t="inlineStr">
        <is>
          <t>DOCUMENT</t>
        </is>
      </c>
      <c r="F339" t="inlineStr">
        <is>
          <t>Awarded</t>
        </is>
      </c>
      <c r="G339" t="inlineStr">
        <is>
          <t>Gas-related / review</t>
        </is>
      </c>
      <c r="H339" t="inlineStr">
        <is>
          <t>Corrigendum_I_CC18700.pdf</t>
        </is>
      </c>
      <c r="K339" t="inlineStr">
        <is>
          <t>Not found</t>
        </is>
      </c>
      <c r="L339" t="inlineStr">
        <is>
          <t>Unknown</t>
        </is>
      </c>
      <c r="T339" t="inlineStr">
        <is>
          <t>https://tenders.iglonline.net/uploads/tender/Corrigendum_I_CC18700.pdf</t>
        </is>
      </c>
      <c r="U339" t="inlineStr">
        <is>
          <t>No</t>
        </is>
      </c>
      <c r="V339"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0">
      <c r="A340" t="inlineStr">
        <is>
          <t>T-0144</t>
        </is>
      </c>
      <c r="B340" t="inlineStr">
        <is>
          <t>Indraprastha Gas (IGL)</t>
        </is>
      </c>
      <c r="C340" t="inlineStr">
        <is>
          <t>Indraprastha Gas (IGL)</t>
        </is>
      </c>
      <c r="D340" t="inlineStr">
        <is>
          <t>QUERIES</t>
        </is>
      </c>
      <c r="F340" t="inlineStr">
        <is>
          <t>Awarded</t>
        </is>
      </c>
      <c r="G340" t="inlineStr">
        <is>
          <t>Gas-related / review</t>
        </is>
      </c>
      <c r="H340" t="inlineStr">
        <is>
          <t>REPLY_TO_BIDDERS_PRE_BID_QUERIES_II_CC18700.pdf</t>
        </is>
      </c>
      <c r="K340" t="inlineStr">
        <is>
          <t>is permitted to Tender Conditions prevail deploy vehicles that are not registered in the bi</t>
        </is>
      </c>
      <c r="L340" t="inlineStr">
        <is>
          <t>Unknown</t>
        </is>
      </c>
      <c r="T340" t="inlineStr">
        <is>
          <t>https://tenders.iglonline.net/uploads/tender/REPLY_TO_BIDDERS_PRE_BID_QUERIES_II_CC18700.pdf</t>
        </is>
      </c>
      <c r="U340" t="inlineStr">
        <is>
          <t>No</t>
        </is>
      </c>
      <c r="V340"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1">
      <c r="A341" t="inlineStr">
        <is>
          <t>T-0145</t>
        </is>
      </c>
      <c r="B341" t="inlineStr">
        <is>
          <t>Indraprastha Gas (IGL)</t>
        </is>
      </c>
      <c r="C341" t="inlineStr">
        <is>
          <t>Indraprastha Gas (IGL)</t>
        </is>
      </c>
      <c r="F341" t="inlineStr">
        <is>
          <t>New Lead</t>
        </is>
      </c>
      <c r="G341" t="inlineStr">
        <is>
          <t>Service regulator</t>
        </is>
      </c>
      <c r="H341" t="inlineStr">
        <is>
          <t>View Tender</t>
        </is>
      </c>
      <c r="K341" t="inlineStr">
        <is>
          <t>Not found</t>
        </is>
      </c>
      <c r="L341" t="inlineStr">
        <is>
          <t>Unknown</t>
        </is>
      </c>
      <c r="T341" t="inlineStr">
        <is>
          <t>https://tenders.iglonline.net/tenderDetail/498/Active Tenders And Corrigendum-Addendum</t>
        </is>
      </c>
      <c r="U341" t="inlineStr">
        <is>
          <t>No</t>
        </is>
      </c>
      <c r="V341"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342">
      <c r="A342" t="inlineStr">
        <is>
          <t>T-0146</t>
        </is>
      </c>
      <c r="B342" t="inlineStr">
        <is>
          <t>Indraprastha Gas (IGL)</t>
        </is>
      </c>
      <c r="C342" t="inlineStr">
        <is>
          <t>Indraprastha Gas (IGL)</t>
        </is>
      </c>
      <c r="D342" t="inlineStr">
        <is>
          <t>Condition</t>
        </is>
      </c>
      <c r="F342" t="inlineStr">
        <is>
          <t>Awarded</t>
        </is>
      </c>
      <c r="G342" t="inlineStr">
        <is>
          <t>service regulator</t>
        </is>
      </c>
      <c r="H342" t="inlineStr">
        <is>
          <t>CP18692.pdf</t>
        </is>
      </c>
      <c r="K342" t="inlineStr">
        <is>
          <t>to furnish Filter orientation is not specified, and the filter body comes in two types</t>
        </is>
      </c>
      <c r="L342" t="inlineStr">
        <is>
          <t>Unknown</t>
        </is>
      </c>
      <c r="M342" t="n">
        <v>7</v>
      </c>
      <c r="T342" t="inlineStr">
        <is>
          <t>https://tenders.iglonline.net/uploads/tender/CP18692.pdf</t>
        </is>
      </c>
      <c r="U342" t="inlineStr">
        <is>
          <t>No</t>
        </is>
      </c>
      <c r="V34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regulator;quality_status=market_target;market_relevance=High;document_type=unknown;unit_price_inr=;amount_label=;matched_terms=Service / pressure regulator,Industrial / commercial regulator;reject_reasons=;scope=market_intelligence_only;excluded_scope=no_bid_or_offer_submission_automation</t>
        </is>
      </c>
    </row>
    <row r="343">
      <c r="A343" t="inlineStr">
        <is>
          <t>T-0147</t>
        </is>
      </c>
      <c r="B343" t="inlineStr">
        <is>
          <t>Indraprastha Gas (IGL)</t>
        </is>
      </c>
      <c r="C343" t="inlineStr">
        <is>
          <t>Indraprastha Gas (IGL)</t>
        </is>
      </c>
      <c r="D343" t="inlineStr">
        <is>
          <t>IGL/ET2/CP/CP18692</t>
        </is>
      </c>
      <c r="F343" t="inlineStr">
        <is>
          <t>Awarded</t>
        </is>
      </c>
      <c r="G343" t="inlineStr">
        <is>
          <t>service regulator</t>
        </is>
      </c>
      <c r="H343" t="inlineStr">
        <is>
          <t>Corrigendum_I_CP18692.pdf</t>
        </is>
      </c>
      <c r="K343" t="inlineStr">
        <is>
          <t>Not found</t>
        </is>
      </c>
      <c r="L343" t="inlineStr">
        <is>
          <t>Unknown</t>
        </is>
      </c>
      <c r="T343" t="inlineStr">
        <is>
          <t>https://tenders.iglonline.net/uploads/tender/Corrigendum_I_CP18692.pdf</t>
        </is>
      </c>
      <c r="U343" t="inlineStr">
        <is>
          <t>No</t>
        </is>
      </c>
      <c r="V343"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344">
      <c r="A344" t="inlineStr">
        <is>
          <t>T-0148</t>
        </is>
      </c>
      <c r="B344" t="inlineStr">
        <is>
          <t>Indraprastha Gas (IGL)</t>
        </is>
      </c>
      <c r="C344" t="inlineStr">
        <is>
          <t>Indraprastha Gas (IGL)</t>
        </is>
      </c>
      <c r="F344" t="inlineStr">
        <is>
          <t>New Lead</t>
        </is>
      </c>
      <c r="H344" t="inlineStr">
        <is>
          <t>View Tender</t>
        </is>
      </c>
      <c r="K344" t="inlineStr">
        <is>
          <t>Not found</t>
        </is>
      </c>
      <c r="L344" t="inlineStr">
        <is>
          <t>Unknown</t>
        </is>
      </c>
      <c r="T344" t="inlineStr">
        <is>
          <t>https://tenders.iglonline.net/tenderDetail/497/Active Tenders And Corrigendum-Addendum</t>
        </is>
      </c>
      <c r="U344" t="inlineStr">
        <is>
          <t>No</t>
        </is>
      </c>
      <c r="V344" t="inlineStr">
        <is>
          <t>Bot tarafindan tespit edildi (2026-07-01)</t>
        </is>
      </c>
    </row>
    <row r="345">
      <c r="A345" t="inlineStr">
        <is>
          <t>T-0149</t>
        </is>
      </c>
      <c r="B345" t="inlineStr">
        <is>
          <t>Indraprastha Gas (IGL)</t>
        </is>
      </c>
      <c r="C345" t="inlineStr">
        <is>
          <t>Indraprastha Gas (IGL)</t>
        </is>
      </c>
      <c r="F345" t="inlineStr">
        <is>
          <t>New Lead</t>
        </is>
      </c>
      <c r="H345" t="inlineStr">
        <is>
          <t>Corrigendum_1_CM18710.pdf</t>
        </is>
      </c>
      <c r="K345" t="inlineStr">
        <is>
          <t>Not found</t>
        </is>
      </c>
      <c r="L345" t="inlineStr">
        <is>
          <t>Unknown</t>
        </is>
      </c>
      <c r="T345" t="inlineStr">
        <is>
          <t>https://tenders.iglonline.net/uploads/tender/Corrigendum_1_CM18710.pdf</t>
        </is>
      </c>
      <c r="U345" t="inlineStr">
        <is>
          <t>No</t>
        </is>
      </c>
      <c r="V345" t="inlineStr">
        <is>
          <t>Bot tarafindan tespit edildi (2026-07-01)</t>
        </is>
      </c>
    </row>
    <row r="346">
      <c r="A346" t="inlineStr">
        <is>
          <t>T-0150</t>
        </is>
      </c>
      <c r="B346" t="inlineStr">
        <is>
          <t>Indraprastha Gas (IGL)</t>
        </is>
      </c>
      <c r="C346" t="inlineStr">
        <is>
          <t>Indraprastha Gas (IGL)</t>
        </is>
      </c>
      <c r="F346" t="inlineStr">
        <is>
          <t>New Lead</t>
        </is>
      </c>
      <c r="H346" t="inlineStr">
        <is>
          <t>RTPBQ_CM18710.pdf</t>
        </is>
      </c>
      <c r="K346" t="inlineStr">
        <is>
          <t>Not found</t>
        </is>
      </c>
      <c r="L346" t="inlineStr">
        <is>
          <t>Unknown</t>
        </is>
      </c>
      <c r="T346" t="inlineStr">
        <is>
          <t>https://tenders.iglonline.net/uploads/tender/RTPBQ_CM18710.pdf</t>
        </is>
      </c>
      <c r="U346" t="inlineStr">
        <is>
          <t>No</t>
        </is>
      </c>
      <c r="V346" t="inlineStr">
        <is>
          <t>Bot tarafindan tespit edildi (2026-07-01)</t>
        </is>
      </c>
    </row>
    <row r="347">
      <c r="A347" t="inlineStr">
        <is>
          <t>T-0151</t>
        </is>
      </c>
      <c r="B347" t="inlineStr">
        <is>
          <t>Indraprastha Gas (IGL)</t>
        </is>
      </c>
      <c r="C347" t="inlineStr">
        <is>
          <t>Indraprastha Gas (IGL)</t>
        </is>
      </c>
      <c r="F347" t="inlineStr">
        <is>
          <t>New Lead</t>
        </is>
      </c>
      <c r="H347" t="inlineStr">
        <is>
          <t>View Tender</t>
        </is>
      </c>
      <c r="K347" t="inlineStr">
        <is>
          <t>Not found</t>
        </is>
      </c>
      <c r="L347" t="inlineStr">
        <is>
          <t>Unknown</t>
        </is>
      </c>
      <c r="T347" t="inlineStr">
        <is>
          <t>https://tenders.iglonline.net/tenderDetail/496/Active Tenders And Corrigendum-Addendum</t>
        </is>
      </c>
      <c r="U347" t="inlineStr">
        <is>
          <t>No</t>
        </is>
      </c>
      <c r="V347" t="inlineStr">
        <is>
          <t>Bot tarafindan tespit edildi (2026-07-01)</t>
        </is>
      </c>
    </row>
    <row r="348">
      <c r="A348" t="inlineStr">
        <is>
          <t>T-0152</t>
        </is>
      </c>
      <c r="B348" t="inlineStr">
        <is>
          <t>Indraprastha Gas (IGL)</t>
        </is>
      </c>
      <c r="C348" t="inlineStr">
        <is>
          <t>Indraprastha Gas (IGL)</t>
        </is>
      </c>
      <c r="D348" t="inlineStr">
        <is>
          <t>IGL/ET2/CP/CC18708</t>
        </is>
      </c>
      <c r="F348" t="inlineStr">
        <is>
          <t>Awarded</t>
        </is>
      </c>
      <c r="G348" t="inlineStr">
        <is>
          <t>Gas-related / review</t>
        </is>
      </c>
      <c r="H348" t="inlineStr">
        <is>
          <t>Corrigendum_I_CC18708.pdf</t>
        </is>
      </c>
      <c r="K348" t="inlineStr">
        <is>
          <t>Not found</t>
        </is>
      </c>
      <c r="L348" t="inlineStr">
        <is>
          <t>Unknown</t>
        </is>
      </c>
      <c r="T348" t="inlineStr">
        <is>
          <t>https://tenders.iglonline.net/uploads/tender/Corrigendum_I_CC18708.pdf</t>
        </is>
      </c>
      <c r="U348" t="inlineStr">
        <is>
          <t>No</t>
        </is>
      </c>
      <c r="V34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9">
      <c r="A349" t="inlineStr">
        <is>
          <t>T-0153</t>
        </is>
      </c>
      <c r="B349" t="inlineStr">
        <is>
          <t>Indraprastha Gas (IGL)</t>
        </is>
      </c>
      <c r="C349" t="inlineStr">
        <is>
          <t>Indraprastha Gas (IGL)</t>
        </is>
      </c>
      <c r="F349" t="inlineStr">
        <is>
          <t>New Lead</t>
        </is>
      </c>
      <c r="H349" t="inlineStr">
        <is>
          <t>View Tender</t>
        </is>
      </c>
      <c r="K349" t="inlineStr">
        <is>
          <t>Not found</t>
        </is>
      </c>
      <c r="L349" t="inlineStr">
        <is>
          <t>Unknown</t>
        </is>
      </c>
      <c r="T349" t="inlineStr">
        <is>
          <t>https://tenders.iglonline.net/tenderDetail/495/Active Tenders And Corrigendum-Addendum</t>
        </is>
      </c>
      <c r="U349" t="inlineStr">
        <is>
          <t>No</t>
        </is>
      </c>
      <c r="V349" t="inlineStr">
        <is>
          <t>Bot tarafindan tespit edildi (2026-07-01)</t>
        </is>
      </c>
    </row>
    <row r="350">
      <c r="A350" t="inlineStr">
        <is>
          <t>T-0154</t>
        </is>
      </c>
      <c r="B350" t="inlineStr">
        <is>
          <t>Indraprastha Gas (IGL)</t>
        </is>
      </c>
      <c r="C350" t="inlineStr">
        <is>
          <t>Indraprastha Gas (IGL)</t>
        </is>
      </c>
      <c r="F350" t="inlineStr">
        <is>
          <t>New Lead</t>
        </is>
      </c>
      <c r="H350" t="inlineStr">
        <is>
          <t>View Tender</t>
        </is>
      </c>
      <c r="K350" t="inlineStr">
        <is>
          <t>Not found</t>
        </is>
      </c>
      <c r="L350" t="inlineStr">
        <is>
          <t>Unknown</t>
        </is>
      </c>
      <c r="T350" t="inlineStr">
        <is>
          <t>https://tenders.iglonline.net/tenderDetail/494/Active Tenders And Corrigendum-Addendum</t>
        </is>
      </c>
      <c r="U350" t="inlineStr">
        <is>
          <t>No</t>
        </is>
      </c>
      <c r="V350" t="inlineStr">
        <is>
          <t>Bot tarafindan tespit edildi (2026-07-01)</t>
        </is>
      </c>
    </row>
    <row r="351">
      <c r="A351" t="inlineStr">
        <is>
          <t>T-0155</t>
        </is>
      </c>
      <c r="B351" t="inlineStr">
        <is>
          <t>Indraprastha Gas (IGL)</t>
        </is>
      </c>
      <c r="C351" t="inlineStr">
        <is>
          <t>Indraprastha Gas (IGL)</t>
        </is>
      </c>
      <c r="F351" t="inlineStr">
        <is>
          <t>New Lead</t>
        </is>
      </c>
      <c r="H351" t="inlineStr">
        <is>
          <t>CP18674 (A).pdf</t>
        </is>
      </c>
      <c r="K351" t="inlineStr">
        <is>
          <t>Not found</t>
        </is>
      </c>
      <c r="L351" t="inlineStr">
        <is>
          <t>Unknown</t>
        </is>
      </c>
      <c r="T351" t="inlineStr">
        <is>
          <t>https://tenders.iglonline.net/uploads/tender/CP18674 (A).pdf</t>
        </is>
      </c>
      <c r="U351" t="inlineStr">
        <is>
          <t>No</t>
        </is>
      </c>
      <c r="V351" t="inlineStr">
        <is>
          <t>Bot tarafindan tespit edildi (2026-07-01)</t>
        </is>
      </c>
    </row>
    <row r="352">
      <c r="A352" t="inlineStr">
        <is>
          <t>T-0156</t>
        </is>
      </c>
      <c r="B352" t="inlineStr">
        <is>
          <t>Indraprastha Gas (IGL)</t>
        </is>
      </c>
      <c r="C352" t="inlineStr">
        <is>
          <t>Indraprastha Gas (IGL)</t>
        </is>
      </c>
      <c r="F352" t="inlineStr">
        <is>
          <t>New Lead</t>
        </is>
      </c>
      <c r="H352" t="inlineStr">
        <is>
          <t>View Tender</t>
        </is>
      </c>
      <c r="K352" t="inlineStr">
        <is>
          <t>Not found</t>
        </is>
      </c>
      <c r="L352" t="inlineStr">
        <is>
          <t>Unknown</t>
        </is>
      </c>
      <c r="T352" t="inlineStr">
        <is>
          <t>https://tenders.iglonline.net/tenderDetail/493/Active Tenders And Corrigendum-Addendum</t>
        </is>
      </c>
      <c r="U352" t="inlineStr">
        <is>
          <t>No</t>
        </is>
      </c>
      <c r="V352" t="inlineStr">
        <is>
          <t>Bot tarafindan tespit edildi (2026-07-01)</t>
        </is>
      </c>
    </row>
    <row r="353">
      <c r="A353" t="inlineStr">
        <is>
          <t>T-0157</t>
        </is>
      </c>
      <c r="B353" t="inlineStr">
        <is>
          <t>Indraprastha Gas (IGL)</t>
        </is>
      </c>
      <c r="C353" t="inlineStr">
        <is>
          <t>Indraprastha Gas (IGL)</t>
        </is>
      </c>
      <c r="F353" t="inlineStr">
        <is>
          <t>New Lead</t>
        </is>
      </c>
      <c r="H353" t="inlineStr">
        <is>
          <t>View Tender</t>
        </is>
      </c>
      <c r="K353" t="inlineStr">
        <is>
          <t>Not found</t>
        </is>
      </c>
      <c r="L353" t="inlineStr">
        <is>
          <t>Unknown</t>
        </is>
      </c>
      <c r="T353" t="inlineStr">
        <is>
          <t>https://tenders.iglonline.net/tenderDetail/492/Active Tenders And Corrigendum-Addendum</t>
        </is>
      </c>
      <c r="U353" t="inlineStr">
        <is>
          <t>No</t>
        </is>
      </c>
      <c r="V353" t="inlineStr">
        <is>
          <t>Bot tarafindan tespit edildi (2026-07-01)</t>
        </is>
      </c>
    </row>
    <row r="354">
      <c r="A354" t="inlineStr">
        <is>
          <t>T-0158</t>
        </is>
      </c>
      <c r="B354" t="inlineStr">
        <is>
          <t>Indraprastha Gas (IGL)</t>
        </is>
      </c>
      <c r="C354" t="inlineStr">
        <is>
          <t>Indraprastha Gas (IGL)</t>
        </is>
      </c>
      <c r="F354" t="inlineStr">
        <is>
          <t>New Lead</t>
        </is>
      </c>
      <c r="H354" t="inlineStr">
        <is>
          <t>View Tender</t>
        </is>
      </c>
      <c r="K354" t="inlineStr">
        <is>
          <t>Not found</t>
        </is>
      </c>
      <c r="L354" t="inlineStr">
        <is>
          <t>Unknown</t>
        </is>
      </c>
      <c r="T354" t="inlineStr">
        <is>
          <t>https://tenders.iglonline.net/tenderDetail/491/Active Tenders And Corrigendum-Addendum</t>
        </is>
      </c>
      <c r="U354" t="inlineStr">
        <is>
          <t>No</t>
        </is>
      </c>
      <c r="V354" t="inlineStr">
        <is>
          <t>Bot tarafindan tespit edildi (2026-07-01)</t>
        </is>
      </c>
    </row>
    <row r="355">
      <c r="A355" t="inlineStr">
        <is>
          <t>T-0159</t>
        </is>
      </c>
      <c r="B355" t="inlineStr">
        <is>
          <t>Indraprastha Gas (IGL)</t>
        </is>
      </c>
      <c r="C355" t="inlineStr">
        <is>
          <t>Indraprastha Gas (IGL)</t>
        </is>
      </c>
      <c r="F355" t="inlineStr">
        <is>
          <t>New Lead</t>
        </is>
      </c>
      <c r="G355" t="inlineStr">
        <is>
          <t>Gas-related / review</t>
        </is>
      </c>
      <c r="H355" t="inlineStr">
        <is>
          <t>Corrigendum_I_CP18664.pdf</t>
        </is>
      </c>
      <c r="K355" t="inlineStr">
        <is>
          <t>Not found</t>
        </is>
      </c>
      <c r="L355" t="inlineStr">
        <is>
          <t>Unknown</t>
        </is>
      </c>
      <c r="T355" t="inlineStr">
        <is>
          <t>https://tenders.iglonline.net/uploads/tender/Corrigendum_I_CP18664.pdf</t>
        </is>
      </c>
      <c r="U355" t="inlineStr">
        <is>
          <t>No</t>
        </is>
      </c>
      <c r="V355" t="inlineStr">
        <is>
          <t>Bot tarafindan tespit edildi (2026-07-01); Bot tespit/zenginlestirme (2026-07-01); meta:score=35;priority=Low;source_type=html_table;closing_date=;equipment=Gas-related / review;reasons=equipment:Gas-related / review,document source</t>
        </is>
      </c>
    </row>
    <row r="356">
      <c r="A356" t="inlineStr">
        <is>
          <t>T-0160</t>
        </is>
      </c>
      <c r="B356" t="inlineStr">
        <is>
          <t>Indraprastha Gas (IGL)</t>
        </is>
      </c>
      <c r="C356" t="inlineStr">
        <is>
          <t>Indraprastha Gas (IGL)</t>
        </is>
      </c>
      <c r="F356" t="inlineStr">
        <is>
          <t>New Lead</t>
        </is>
      </c>
      <c r="G356" t="inlineStr">
        <is>
          <t>Gas-related / review</t>
        </is>
      </c>
      <c r="H356" t="inlineStr">
        <is>
          <t>Corrigendum_II_CP18664 (A).pdf</t>
        </is>
      </c>
      <c r="K356" t="inlineStr">
        <is>
          <t>Not found</t>
        </is>
      </c>
      <c r="L356" t="inlineStr">
        <is>
          <t>Unknown</t>
        </is>
      </c>
      <c r="T356" t="inlineStr">
        <is>
          <t>https://tenders.iglonline.net/uploads/tender/Corrigendum_II_CP18664 (A).pdf</t>
        </is>
      </c>
      <c r="U356" t="inlineStr">
        <is>
          <t>No</t>
        </is>
      </c>
      <c r="V356" t="inlineStr">
        <is>
          <t>Bot tarafindan tespit edildi (2026-07-01); Bot tespit/zenginlestirme (2026-07-01); meta:score=35;priority=Low;source_type=html_table;closing_date=;equipment=Gas-related / review;reasons=equipment:Gas-related / review,document source</t>
        </is>
      </c>
    </row>
    <row r="357">
      <c r="A357" t="inlineStr">
        <is>
          <t>T-0161</t>
        </is>
      </c>
      <c r="B357" t="inlineStr">
        <is>
          <t>Indraprastha Gas (IGL)</t>
        </is>
      </c>
      <c r="C357" t="inlineStr">
        <is>
          <t>Indraprastha Gas (IGL)</t>
        </is>
      </c>
      <c r="F357" t="inlineStr">
        <is>
          <t>New Lead</t>
        </is>
      </c>
      <c r="G357" t="inlineStr">
        <is>
          <t>Gas-related / review</t>
        </is>
      </c>
      <c r="H357" t="inlineStr">
        <is>
          <t>RTBQ CP18664.pdf</t>
        </is>
      </c>
      <c r="K357" t="inlineStr">
        <is>
          <t>Not found</t>
        </is>
      </c>
      <c r="L357" t="inlineStr">
        <is>
          <t>Unknown</t>
        </is>
      </c>
      <c r="T357" t="inlineStr">
        <is>
          <t>https://tenders.iglonline.net/uploads/tender/RTBQ CP18664.pdf</t>
        </is>
      </c>
      <c r="U357" t="inlineStr">
        <is>
          <t>No</t>
        </is>
      </c>
      <c r="V357" t="inlineStr">
        <is>
          <t>Bot tarafindan tespit edildi (2026-07-01); Bot tespit/zenginlestirme (2026-07-01); meta:score=35;priority=Low;source_type=html_table;closing_date=;equipment=Gas-related / review;reasons=equipment:Gas-related / review,document source</t>
        </is>
      </c>
    </row>
    <row r="358">
      <c r="A358" t="inlineStr">
        <is>
          <t>T-0162</t>
        </is>
      </c>
      <c r="B358" t="inlineStr">
        <is>
          <t>Indraprastha Gas (IGL)</t>
        </is>
      </c>
      <c r="C358" t="inlineStr">
        <is>
          <t>Indraprastha Gas (IGL)</t>
        </is>
      </c>
      <c r="F358" t="inlineStr">
        <is>
          <t>New Lead</t>
        </is>
      </c>
      <c r="G358" t="inlineStr">
        <is>
          <t>Gas-related / review</t>
        </is>
      </c>
      <c r="H358" t="inlineStr">
        <is>
          <t>CP18664_(C)_Corrigendum_IV.pdf</t>
        </is>
      </c>
      <c r="K358" t="inlineStr">
        <is>
          <t>Not found</t>
        </is>
      </c>
      <c r="L358" t="inlineStr">
        <is>
          <t>Unknown</t>
        </is>
      </c>
      <c r="T358" t="inlineStr">
        <is>
          <t>https://tenders.iglonline.net/uploads/tender/CP18664_(C)_Corrigendum_IV.pdf</t>
        </is>
      </c>
      <c r="U358" t="inlineStr">
        <is>
          <t>No</t>
        </is>
      </c>
      <c r="V358" t="inlineStr">
        <is>
          <t>Bot tarafindan tespit edildi (2026-07-01); Bot tespit/zenginlestirme (2026-07-01); meta:score=35;priority=Low;source_type=html_table;closing_date=;equipment=Gas-related / review;reasons=equipment:Gas-related / review,document source</t>
        </is>
      </c>
    </row>
    <row r="359">
      <c r="A359" t="inlineStr">
        <is>
          <t>T-0163</t>
        </is>
      </c>
      <c r="B359" t="inlineStr">
        <is>
          <t>Indraprastha Gas (IGL)</t>
        </is>
      </c>
      <c r="C359" t="inlineStr">
        <is>
          <t>Indraprastha Gas (IGL)</t>
        </is>
      </c>
      <c r="F359" t="inlineStr">
        <is>
          <t>New Lead</t>
        </is>
      </c>
      <c r="H359" t="inlineStr">
        <is>
          <t>View Tender</t>
        </is>
      </c>
      <c r="K359" t="inlineStr">
        <is>
          <t>Not found</t>
        </is>
      </c>
      <c r="L359" t="inlineStr">
        <is>
          <t>Unknown</t>
        </is>
      </c>
      <c r="T359" t="inlineStr">
        <is>
          <t>https://tenders.iglonline.net/tenderDetail/490/Active Tenders And Corrigendum-Addendum</t>
        </is>
      </c>
      <c r="U359" t="inlineStr">
        <is>
          <t>No</t>
        </is>
      </c>
      <c r="V359" t="inlineStr">
        <is>
          <t>Bot tarafindan tespit edildi (2026-07-01)</t>
        </is>
      </c>
    </row>
    <row r="360">
      <c r="A360" t="inlineStr">
        <is>
          <t>T-0164</t>
        </is>
      </c>
      <c r="B360" t="inlineStr">
        <is>
          <t>Indraprastha Gas (IGL)</t>
        </is>
      </c>
      <c r="C360" t="inlineStr">
        <is>
          <t>Indraprastha Gas (IGL)</t>
        </is>
      </c>
      <c r="F360" t="inlineStr">
        <is>
          <t>New Lead</t>
        </is>
      </c>
      <c r="H360" t="inlineStr">
        <is>
          <t>Reply_To_Bidder_Queries_CC18678.pdf</t>
        </is>
      </c>
      <c r="K360" t="inlineStr">
        <is>
          <t>Not found</t>
        </is>
      </c>
      <c r="L360" t="inlineStr">
        <is>
          <t>Unknown</t>
        </is>
      </c>
      <c r="T360" t="inlineStr">
        <is>
          <t>https://tenders.iglonline.net/uploads/tender/Reply_To_Bidder_Queries_CC18678.pdf</t>
        </is>
      </c>
      <c r="U360" t="inlineStr">
        <is>
          <t>No</t>
        </is>
      </c>
      <c r="V360" t="inlineStr">
        <is>
          <t>Bot tarafindan tespit edildi (2026-07-01)</t>
        </is>
      </c>
    </row>
    <row r="361">
      <c r="A361" t="inlineStr">
        <is>
          <t>T-0165</t>
        </is>
      </c>
      <c r="B361" t="inlineStr">
        <is>
          <t>Indraprastha Gas (IGL)</t>
        </is>
      </c>
      <c r="C361" t="inlineStr">
        <is>
          <t>Indraprastha Gas (IGL)</t>
        </is>
      </c>
      <c r="F361" t="inlineStr">
        <is>
          <t>New Lead</t>
        </is>
      </c>
      <c r="H361" t="inlineStr">
        <is>
          <t>View Tender</t>
        </is>
      </c>
      <c r="K361" t="inlineStr">
        <is>
          <t>Not found</t>
        </is>
      </c>
      <c r="L361" t="inlineStr">
        <is>
          <t>Unknown</t>
        </is>
      </c>
      <c r="T361" t="inlineStr">
        <is>
          <t>https://tenders.iglonline.net/tenderDetail/489/Active Tenders And Corrigendum-Addendum</t>
        </is>
      </c>
      <c r="U361" t="inlineStr">
        <is>
          <t>No</t>
        </is>
      </c>
      <c r="V361" t="inlineStr">
        <is>
          <t>Bot tarafindan tespit edildi (2026-07-01)</t>
        </is>
      </c>
    </row>
    <row r="362">
      <c r="A362" t="inlineStr">
        <is>
          <t>T-0166</t>
        </is>
      </c>
      <c r="B362" t="inlineStr">
        <is>
          <t>Indraprastha Gas (IGL)</t>
        </is>
      </c>
      <c r="C362" t="inlineStr">
        <is>
          <t>Indraprastha Gas (IGL)</t>
        </is>
      </c>
      <c r="D362" t="inlineStr">
        <is>
          <t>DOCUMENT</t>
        </is>
      </c>
      <c r="F362" t="inlineStr">
        <is>
          <t>Awarded</t>
        </is>
      </c>
      <c r="G362" t="inlineStr">
        <is>
          <t>Gas-related / review</t>
        </is>
      </c>
      <c r="H362" t="inlineStr">
        <is>
          <t>Corrigendum_I_CC18688.pdf</t>
        </is>
      </c>
      <c r="K362" t="inlineStr">
        <is>
          <t>Not found</t>
        </is>
      </c>
      <c r="L362" t="inlineStr">
        <is>
          <t>Unknown</t>
        </is>
      </c>
      <c r="T362" t="inlineStr">
        <is>
          <t>https://tenders.iglonline.net/uploads/tender/Corrigendum_I_CC18688.pdf</t>
        </is>
      </c>
      <c r="U362" t="inlineStr">
        <is>
          <t>No</t>
        </is>
      </c>
      <c r="V362"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3">
      <c r="A363" t="inlineStr">
        <is>
          <t>T-0167</t>
        </is>
      </c>
      <c r="B363" t="inlineStr">
        <is>
          <t>Indraprastha Gas (IGL)</t>
        </is>
      </c>
      <c r="C363" t="inlineStr">
        <is>
          <t>Indraprastha Gas (IGL)</t>
        </is>
      </c>
      <c r="D363" t="inlineStr">
        <is>
          <t>CANCELLATION</t>
        </is>
      </c>
      <c r="F363" t="inlineStr">
        <is>
          <t>Awarded</t>
        </is>
      </c>
      <c r="G363" t="inlineStr">
        <is>
          <t>Gas-related / review</t>
        </is>
      </c>
      <c r="H363" t="inlineStr">
        <is>
          <t>Corrigendum for Cancellation CC18688.pdf</t>
        </is>
      </c>
      <c r="K363" t="inlineStr">
        <is>
          <t>Not found</t>
        </is>
      </c>
      <c r="L363" t="inlineStr">
        <is>
          <t>Unknown</t>
        </is>
      </c>
      <c r="T363" t="inlineStr">
        <is>
          <t>https://tenders.iglonline.net/uploads/tender/Corrigendum for Cancellation CC18688.pdf</t>
        </is>
      </c>
      <c r="U363" t="inlineStr">
        <is>
          <t>No</t>
        </is>
      </c>
      <c r="V3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4">
      <c r="A364" t="inlineStr">
        <is>
          <t>T-0168</t>
        </is>
      </c>
      <c r="B364" t="inlineStr">
        <is>
          <t>Indraprastha Gas (IGL)</t>
        </is>
      </c>
      <c r="C364" t="inlineStr">
        <is>
          <t>Indraprastha Gas (IGL)</t>
        </is>
      </c>
      <c r="F364" t="inlineStr">
        <is>
          <t>New Lead</t>
        </is>
      </c>
      <c r="H364" t="inlineStr">
        <is>
          <t>View Tender</t>
        </is>
      </c>
      <c r="K364" t="inlineStr">
        <is>
          <t>Not found</t>
        </is>
      </c>
      <c r="L364" t="inlineStr">
        <is>
          <t>Unknown</t>
        </is>
      </c>
      <c r="T364" t="inlineStr">
        <is>
          <t>https://tenders.iglonline.net/tenderDetail/488/Active Tenders And Corrigendum-Addendum</t>
        </is>
      </c>
      <c r="U364" t="inlineStr">
        <is>
          <t>No</t>
        </is>
      </c>
      <c r="V364" t="inlineStr">
        <is>
          <t>Bot tarafindan tespit edildi (2026-07-01)</t>
        </is>
      </c>
    </row>
    <row r="365">
      <c r="A365" t="inlineStr">
        <is>
          <t>T-0169</t>
        </is>
      </c>
      <c r="B365" t="inlineStr">
        <is>
          <t>Indraprastha Gas (IGL)</t>
        </is>
      </c>
      <c r="C365" t="inlineStr">
        <is>
          <t>Indraprastha Gas (IGL)</t>
        </is>
      </c>
      <c r="F365" t="inlineStr">
        <is>
          <t>New Lead</t>
        </is>
      </c>
      <c r="G365" t="inlineStr">
        <is>
          <t>Unclassified</t>
        </is>
      </c>
      <c r="H365" t="inlineStr">
        <is>
          <t>Corrigendum_I_CC18679.pdf</t>
        </is>
      </c>
      <c r="K365" t="inlineStr">
        <is>
          <t>Not found</t>
        </is>
      </c>
      <c r="L365" t="inlineStr">
        <is>
          <t>Unknown</t>
        </is>
      </c>
      <c r="T365" t="inlineStr">
        <is>
          <t>https://tenders.iglonline.net/uploads/tender/Corrigendum_I_CC18679.pdf</t>
        </is>
      </c>
      <c r="U365" t="inlineStr">
        <is>
          <t>No</t>
        </is>
      </c>
      <c r="V365" t="inlineStr">
        <is>
          <t>Bot tarafindan tespit edildi (2026-07-01); Bot tespit/zenginlestirme (2026-07-01); meta:score=55;priority=Medium;source_type=html_table;closing_date=;equipment=Unclassified;reasons=document source,quantity signal,tender reference signal</t>
        </is>
      </c>
    </row>
    <row r="366">
      <c r="A366" t="inlineStr">
        <is>
          <t>T-0170</t>
        </is>
      </c>
      <c r="B366" t="inlineStr">
        <is>
          <t>Indraprastha Gas (IGL)</t>
        </is>
      </c>
      <c r="C366" t="inlineStr">
        <is>
          <t>Indraprastha Gas (IGL)</t>
        </is>
      </c>
      <c r="F366" t="inlineStr">
        <is>
          <t>New Lead</t>
        </is>
      </c>
      <c r="H366" t="inlineStr">
        <is>
          <t>View Tender</t>
        </is>
      </c>
      <c r="K366" t="inlineStr">
        <is>
          <t>Not found</t>
        </is>
      </c>
      <c r="L366" t="inlineStr">
        <is>
          <t>Unknown</t>
        </is>
      </c>
      <c r="T366" t="inlineStr">
        <is>
          <t>https://tenders.iglonline.net/tenderDetail/487/Active Tenders And Corrigendum-Addendum</t>
        </is>
      </c>
      <c r="U366" t="inlineStr">
        <is>
          <t>No</t>
        </is>
      </c>
      <c r="V366" t="inlineStr">
        <is>
          <t>Bot tarafindan tespit edildi (2026-07-01)</t>
        </is>
      </c>
    </row>
    <row r="367">
      <c r="A367" t="inlineStr">
        <is>
          <t>T-0171</t>
        </is>
      </c>
      <c r="B367" t="inlineStr">
        <is>
          <t>Indraprastha Gas (IGL)</t>
        </is>
      </c>
      <c r="C367" t="inlineStr">
        <is>
          <t>Indraprastha Gas (IGL)</t>
        </is>
      </c>
      <c r="F367" t="inlineStr">
        <is>
          <t>New Lead</t>
        </is>
      </c>
      <c r="H367" t="inlineStr">
        <is>
          <t>RTPBQ_CM18670.pdf</t>
        </is>
      </c>
      <c r="K367" t="inlineStr">
        <is>
          <t>Not found</t>
        </is>
      </c>
      <c r="L367" t="inlineStr">
        <is>
          <t>Unknown</t>
        </is>
      </c>
      <c r="T367" t="inlineStr">
        <is>
          <t>https://tenders.iglonline.net/uploads/tender/RTPBQ_CM18670.pdf</t>
        </is>
      </c>
      <c r="U367" t="inlineStr">
        <is>
          <t>No</t>
        </is>
      </c>
      <c r="V367" t="inlineStr">
        <is>
          <t>Bot tarafindan tespit edildi (2026-07-01)</t>
        </is>
      </c>
    </row>
    <row r="368">
      <c r="A368" t="inlineStr">
        <is>
          <t>T-0172</t>
        </is>
      </c>
      <c r="B368" t="inlineStr">
        <is>
          <t>Indraprastha Gas (IGL)</t>
        </is>
      </c>
      <c r="C368" t="inlineStr">
        <is>
          <t>Indraprastha Gas (IGL)</t>
        </is>
      </c>
      <c r="F368" t="inlineStr">
        <is>
          <t>New Lead</t>
        </is>
      </c>
      <c r="H368" t="inlineStr">
        <is>
          <t>View Tender</t>
        </is>
      </c>
      <c r="K368" t="inlineStr">
        <is>
          <t>Not found</t>
        </is>
      </c>
      <c r="L368" t="inlineStr">
        <is>
          <t>Unknown</t>
        </is>
      </c>
      <c r="T368" t="inlineStr">
        <is>
          <t>https://tenders.iglonline.net/tenderDetail/486/Active Tenders And Corrigendum-Addendum</t>
        </is>
      </c>
      <c r="U368" t="inlineStr">
        <is>
          <t>No</t>
        </is>
      </c>
      <c r="V368" t="inlineStr">
        <is>
          <t>Bot tarafindan tespit edildi (2026-07-01)</t>
        </is>
      </c>
    </row>
    <row r="369">
      <c r="A369" t="inlineStr">
        <is>
          <t>T-0173</t>
        </is>
      </c>
      <c r="B369" t="inlineStr">
        <is>
          <t>Indraprastha Gas (IGL)</t>
        </is>
      </c>
      <c r="C369" t="inlineStr">
        <is>
          <t>Indraprastha Gas (IGL)</t>
        </is>
      </c>
      <c r="F369" t="inlineStr">
        <is>
          <t>New Lead</t>
        </is>
      </c>
      <c r="H369" t="inlineStr">
        <is>
          <t>View Tender</t>
        </is>
      </c>
      <c r="K369" t="inlineStr">
        <is>
          <t>Not found</t>
        </is>
      </c>
      <c r="L369" t="inlineStr">
        <is>
          <t>Unknown</t>
        </is>
      </c>
      <c r="T369" t="inlineStr">
        <is>
          <t>https://tenders.iglonline.net/tenderDetail/485/Active Tenders And Corrigendum-Addendum</t>
        </is>
      </c>
      <c r="U369" t="inlineStr">
        <is>
          <t>No</t>
        </is>
      </c>
      <c r="V369" t="inlineStr">
        <is>
          <t>Bot tarafindan tespit edildi (2026-07-01)</t>
        </is>
      </c>
    </row>
    <row r="370">
      <c r="A370" t="inlineStr">
        <is>
          <t>T-0174</t>
        </is>
      </c>
      <c r="B370" t="inlineStr">
        <is>
          <t>Indraprastha Gas (IGL)</t>
        </is>
      </c>
      <c r="C370" t="inlineStr">
        <is>
          <t>Indraprastha Gas (IGL)</t>
        </is>
      </c>
      <c r="F370" t="inlineStr">
        <is>
          <t>New Lead</t>
        </is>
      </c>
      <c r="H370" t="inlineStr">
        <is>
          <t>CORRIGENDUM_I_CM18642.pdf</t>
        </is>
      </c>
      <c r="K370" t="inlineStr">
        <is>
          <t>Not found</t>
        </is>
      </c>
      <c r="L370" t="inlineStr">
        <is>
          <t>Unknown</t>
        </is>
      </c>
      <c r="T370" t="inlineStr">
        <is>
          <t>https://tenders.iglonline.net/uploads/tender/CORRIGENDUM_I_CM18642.pdf</t>
        </is>
      </c>
      <c r="U370" t="inlineStr">
        <is>
          <t>No</t>
        </is>
      </c>
      <c r="V370" t="inlineStr">
        <is>
          <t>Bot tarafindan tespit edildi (2026-07-01)</t>
        </is>
      </c>
    </row>
    <row r="371">
      <c r="A371" t="inlineStr">
        <is>
          <t>T-0175</t>
        </is>
      </c>
      <c r="B371" t="inlineStr">
        <is>
          <t>Indraprastha Gas (IGL)</t>
        </is>
      </c>
      <c r="C371" t="inlineStr">
        <is>
          <t>Indraprastha Gas (IGL)</t>
        </is>
      </c>
      <c r="F371" t="inlineStr">
        <is>
          <t>New Lead</t>
        </is>
      </c>
      <c r="H371" t="inlineStr">
        <is>
          <t>Corrigendum_II_CM18642.pdf</t>
        </is>
      </c>
      <c r="K371" t="inlineStr">
        <is>
          <t>Not found</t>
        </is>
      </c>
      <c r="L371" t="inlineStr">
        <is>
          <t>Unknown</t>
        </is>
      </c>
      <c r="T371" t="inlineStr">
        <is>
          <t>https://tenders.iglonline.net/uploads/tender/Corrigendum_II_CM18642.pdf</t>
        </is>
      </c>
      <c r="U371" t="inlineStr">
        <is>
          <t>No</t>
        </is>
      </c>
      <c r="V371" t="inlineStr">
        <is>
          <t>Bot tarafindan tespit edildi (2026-07-01)</t>
        </is>
      </c>
    </row>
    <row r="372">
      <c r="A372" t="inlineStr">
        <is>
          <t>T-0176</t>
        </is>
      </c>
      <c r="B372" t="inlineStr">
        <is>
          <t>Indraprastha Gas (IGL)</t>
        </is>
      </c>
      <c r="C372" t="inlineStr">
        <is>
          <t>Indraprastha Gas (IGL)</t>
        </is>
      </c>
      <c r="F372" t="inlineStr">
        <is>
          <t>New Lead</t>
        </is>
      </c>
      <c r="H372" t="inlineStr">
        <is>
          <t>RTBQ_CM18642.pdf</t>
        </is>
      </c>
      <c r="K372" t="inlineStr">
        <is>
          <t>Not found</t>
        </is>
      </c>
      <c r="L372" t="inlineStr">
        <is>
          <t>Unknown</t>
        </is>
      </c>
      <c r="T372" t="inlineStr">
        <is>
          <t>https://tenders.iglonline.net/uploads/tender/RTBQ_CM18642.pdf</t>
        </is>
      </c>
      <c r="U372" t="inlineStr">
        <is>
          <t>No</t>
        </is>
      </c>
      <c r="V372" t="inlineStr">
        <is>
          <t>Bot tarafindan tespit edildi (2026-07-01)</t>
        </is>
      </c>
    </row>
    <row r="373">
      <c r="A373" t="inlineStr">
        <is>
          <t>T-0177</t>
        </is>
      </c>
      <c r="B373" t="inlineStr">
        <is>
          <t>Indraprastha Gas (IGL)</t>
        </is>
      </c>
      <c r="C373" t="inlineStr">
        <is>
          <t>Indraprastha Gas (IGL)</t>
        </is>
      </c>
      <c r="F373" t="inlineStr">
        <is>
          <t>New Lead</t>
        </is>
      </c>
      <c r="H373" t="inlineStr">
        <is>
          <t>View Tender</t>
        </is>
      </c>
      <c r="K373" t="inlineStr">
        <is>
          <t>Not found</t>
        </is>
      </c>
      <c r="L373" t="inlineStr">
        <is>
          <t>Unknown</t>
        </is>
      </c>
      <c r="T373" t="inlineStr">
        <is>
          <t>https://tenders.iglonline.net/tenderDetail/484/Active Tenders And Corrigendum-Addendum</t>
        </is>
      </c>
      <c r="U373" t="inlineStr">
        <is>
          <t>No</t>
        </is>
      </c>
      <c r="V373" t="inlineStr">
        <is>
          <t>Bot tarafindan tespit edildi (2026-07-01)</t>
        </is>
      </c>
    </row>
    <row r="374">
      <c r="A374" t="inlineStr">
        <is>
          <t>T-0178</t>
        </is>
      </c>
      <c r="B374" t="inlineStr">
        <is>
          <t>Indraprastha Gas (IGL)</t>
        </is>
      </c>
      <c r="C374" t="inlineStr">
        <is>
          <t>Indraprastha Gas (IGL)</t>
        </is>
      </c>
      <c r="D374" t="inlineStr">
        <is>
          <t>IGL/ET2/CP/CP18640</t>
        </is>
      </c>
      <c r="F374" t="inlineStr">
        <is>
          <t>Awarded</t>
        </is>
      </c>
      <c r="G374" t="inlineStr">
        <is>
          <t>Metering skid</t>
        </is>
      </c>
      <c r="H374" t="inlineStr">
        <is>
          <t>Corrigendum_1_CP18640.pdf</t>
        </is>
      </c>
      <c r="K374" t="inlineStr">
        <is>
          <t>Not found</t>
        </is>
      </c>
      <c r="L374" t="inlineStr">
        <is>
          <t>Unknown</t>
        </is>
      </c>
      <c r="T374" t="inlineStr">
        <is>
          <t>https://tenders.iglonline.net/uploads/tender/Corrigendum_1_CP18640.pdf</t>
        </is>
      </c>
      <c r="U374" t="inlineStr">
        <is>
          <t>No</t>
        </is>
      </c>
      <c r="V374" t="inlineStr">
        <is>
          <t>Bot tarafindan tespit edildi (2026-07-01) | Bot enrich; date=2026-07-01; type=pdf; score=230; pdf_conf=Low</t>
        </is>
      </c>
    </row>
    <row r="375">
      <c r="A375" t="inlineStr">
        <is>
          <t>T-0179</t>
        </is>
      </c>
      <c r="B375" t="inlineStr">
        <is>
          <t>Indraprastha Gas (IGL)</t>
        </is>
      </c>
      <c r="C375" t="inlineStr">
        <is>
          <t>Indraprastha Gas (IGL)</t>
        </is>
      </c>
      <c r="D375" t="inlineStr">
        <is>
          <t>IGL/ET2/CP/CP18640</t>
        </is>
      </c>
      <c r="F375" t="inlineStr">
        <is>
          <t>Awarded</t>
        </is>
      </c>
      <c r="H375" t="inlineStr">
        <is>
          <t>Corrigendum_II_CP18640_(A).pdf</t>
        </is>
      </c>
      <c r="K375" t="inlineStr">
        <is>
          <t>Not found</t>
        </is>
      </c>
      <c r="L375" t="inlineStr">
        <is>
          <t>Unknown</t>
        </is>
      </c>
      <c r="T375" t="inlineStr">
        <is>
          <t>https://tenders.iglonline.net/uploads/tender/Corrigendum_II_CP18640_(A).pdf</t>
        </is>
      </c>
      <c r="U375" t="inlineStr">
        <is>
          <t>No</t>
        </is>
      </c>
      <c r="V375" t="inlineStr">
        <is>
          <t>Bot tarafindan tespit edildi (2026-07-01) | Bot enrich; date=2026-07-01; type=pdf; score=230</t>
        </is>
      </c>
    </row>
    <row r="376">
      <c r="A376" t="inlineStr">
        <is>
          <t>T-0180</t>
        </is>
      </c>
      <c r="B376" t="inlineStr">
        <is>
          <t>Indraprastha Gas (IGL)</t>
        </is>
      </c>
      <c r="C376" t="inlineStr">
        <is>
          <t>Indraprastha Gas (IGL)</t>
        </is>
      </c>
      <c r="D376" t="inlineStr">
        <is>
          <t>IGL/ET2/CP/CP18640</t>
        </is>
      </c>
      <c r="F376" t="inlineStr">
        <is>
          <t>Awarded</t>
        </is>
      </c>
      <c r="H376" t="inlineStr">
        <is>
          <t>Corrigendum_III_CP18640 (B).pdf</t>
        </is>
      </c>
      <c r="K376" t="inlineStr">
        <is>
          <t>Not found</t>
        </is>
      </c>
      <c r="L376" t="inlineStr">
        <is>
          <t>Unknown</t>
        </is>
      </c>
      <c r="T376" t="inlineStr">
        <is>
          <t>https://tenders.iglonline.net/uploads/tender/Corrigendum_III_CP18640 (B).pdf</t>
        </is>
      </c>
      <c r="U376" t="inlineStr">
        <is>
          <t>No</t>
        </is>
      </c>
      <c r="V376" t="inlineStr">
        <is>
          <t>Bot tarafindan tespit edildi (2026-07-01) | Bot enrich; date=2026-07-01; type=pdf; score=230</t>
        </is>
      </c>
    </row>
    <row r="377">
      <c r="A377" t="inlineStr">
        <is>
          <t>T-0181</t>
        </is>
      </c>
      <c r="B377" t="inlineStr">
        <is>
          <t>Indraprastha Gas (IGL)</t>
        </is>
      </c>
      <c r="C377" t="inlineStr">
        <is>
          <t>Indraprastha Gas (IGL)</t>
        </is>
      </c>
      <c r="D377" t="inlineStr">
        <is>
          <t>IGL/ET2/CP/CP18640</t>
        </is>
      </c>
      <c r="F377" t="inlineStr">
        <is>
          <t>Awarded</t>
        </is>
      </c>
      <c r="H377" t="inlineStr">
        <is>
          <t>RTBQ CP18640.pdf</t>
        </is>
      </c>
      <c r="K377" t="inlineStr">
        <is>
          <t>Not found</t>
        </is>
      </c>
      <c r="L377" t="inlineStr">
        <is>
          <t>Unknown</t>
        </is>
      </c>
      <c r="T377" t="inlineStr">
        <is>
          <t>https://tenders.iglonline.net/uploads/tender/RTBQ CP18640.pdf</t>
        </is>
      </c>
      <c r="U377" t="inlineStr">
        <is>
          <t>No</t>
        </is>
      </c>
      <c r="V377" t="inlineStr">
        <is>
          <t>Bot tarafindan tespit edildi (2026-07-01) | Bot enrich; date=2026-07-01; type=pdf; score=230</t>
        </is>
      </c>
    </row>
    <row r="378">
      <c r="A378" t="inlineStr">
        <is>
          <t>T-0182</t>
        </is>
      </c>
      <c r="B378" t="inlineStr">
        <is>
          <t>Indraprastha Gas (IGL)</t>
        </is>
      </c>
      <c r="C378" t="inlineStr">
        <is>
          <t>Indraprastha Gas (IGL)</t>
        </is>
      </c>
      <c r="F378" t="inlineStr">
        <is>
          <t>New Lead</t>
        </is>
      </c>
      <c r="H378" t="inlineStr">
        <is>
          <t>CP18640(C)_Corrigendum_IV.pdf</t>
        </is>
      </c>
      <c r="K378" t="inlineStr">
        <is>
          <t>Not found</t>
        </is>
      </c>
      <c r="L378" t="inlineStr">
        <is>
          <t>Unknown</t>
        </is>
      </c>
      <c r="T378" t="inlineStr">
        <is>
          <t>https://tenders.iglonline.net/uploads/tender/CP18640(C)_Corrigendum_IV.pdf</t>
        </is>
      </c>
      <c r="U378" t="inlineStr">
        <is>
          <t>No</t>
        </is>
      </c>
      <c r="V378" t="inlineStr">
        <is>
          <t>Bot tarafindan tespit edildi (2026-07-01)</t>
        </is>
      </c>
    </row>
    <row r="379">
      <c r="A379" t="inlineStr">
        <is>
          <t>T-0183</t>
        </is>
      </c>
      <c r="B379" t="inlineStr">
        <is>
          <t>Indraprastha Gas (IGL)</t>
        </is>
      </c>
      <c r="C379" t="inlineStr">
        <is>
          <t>Indraprastha Gas (IGL)</t>
        </is>
      </c>
      <c r="F379" t="inlineStr">
        <is>
          <t>New Lead</t>
        </is>
      </c>
      <c r="H379" t="inlineStr">
        <is>
          <t>RTBQ_CP18640_2.pdf</t>
        </is>
      </c>
      <c r="K379" t="inlineStr">
        <is>
          <t>Not found</t>
        </is>
      </c>
      <c r="L379" t="inlineStr">
        <is>
          <t>Unknown</t>
        </is>
      </c>
      <c r="T379" t="inlineStr">
        <is>
          <t>https://tenders.iglonline.net/uploads/tender/RTBQ_CP18640_2.pdf</t>
        </is>
      </c>
      <c r="U379" t="inlineStr">
        <is>
          <t>No</t>
        </is>
      </c>
      <c r="V379" t="inlineStr">
        <is>
          <t>Bot tarafindan tespit edildi (2026-07-01)</t>
        </is>
      </c>
    </row>
    <row r="380">
      <c r="A380" t="inlineStr">
        <is>
          <t>T-0184</t>
        </is>
      </c>
      <c r="B380" t="inlineStr">
        <is>
          <t>Indraprastha Gas (IGL)</t>
        </is>
      </c>
      <c r="C380" t="inlineStr">
        <is>
          <t>Indraprastha Gas (IGL)</t>
        </is>
      </c>
      <c r="F380" t="inlineStr">
        <is>
          <t>New Lead</t>
        </is>
      </c>
      <c r="H380" t="inlineStr">
        <is>
          <t>CP18640_(D)_Corrigendum_V.pdf</t>
        </is>
      </c>
      <c r="K380" t="inlineStr">
        <is>
          <t>Not found</t>
        </is>
      </c>
      <c r="L380" t="inlineStr">
        <is>
          <t>Unknown</t>
        </is>
      </c>
      <c r="T380" t="inlineStr">
        <is>
          <t>https://tenders.iglonline.net/uploads/tender/CP18640_(D)_Corrigendum_V.pdf</t>
        </is>
      </c>
      <c r="U380" t="inlineStr">
        <is>
          <t>No</t>
        </is>
      </c>
      <c r="V380" t="inlineStr">
        <is>
          <t>Bot tarafindan tespit edildi (2026-07-01)</t>
        </is>
      </c>
    </row>
    <row r="381">
      <c r="A381" t="inlineStr">
        <is>
          <t>T-0185</t>
        </is>
      </c>
      <c r="B381" t="inlineStr">
        <is>
          <t>Indraprastha Gas (IGL)</t>
        </is>
      </c>
      <c r="C381" t="inlineStr">
        <is>
          <t>Indraprastha Gas (IGL)</t>
        </is>
      </c>
      <c r="F381" t="inlineStr">
        <is>
          <t>New Lead</t>
        </is>
      </c>
      <c r="H381" t="inlineStr">
        <is>
          <t>View Tender</t>
        </is>
      </c>
      <c r="K381" t="inlineStr">
        <is>
          <t>Not found</t>
        </is>
      </c>
      <c r="L381" t="inlineStr">
        <is>
          <t>Unknown</t>
        </is>
      </c>
      <c r="T381" t="inlineStr">
        <is>
          <t>https://tenders.iglonline.net/tenderDetail/483/Active Tenders And Corrigendum-Addendum</t>
        </is>
      </c>
      <c r="U381" t="inlineStr">
        <is>
          <t>No</t>
        </is>
      </c>
      <c r="V381" t="inlineStr">
        <is>
          <t>Bot tarafindan tespit edildi (2026-07-01)</t>
        </is>
      </c>
    </row>
    <row r="382">
      <c r="A382" t="inlineStr">
        <is>
          <t>T-0186</t>
        </is>
      </c>
      <c r="B382" t="inlineStr">
        <is>
          <t>Indraprastha Gas (IGL)</t>
        </is>
      </c>
      <c r="C382" t="inlineStr">
        <is>
          <t>Indraprastha Gas (IGL)</t>
        </is>
      </c>
      <c r="F382" t="inlineStr">
        <is>
          <t>New Lead</t>
        </is>
      </c>
      <c r="H382" t="inlineStr">
        <is>
          <t>Corrigendum_I_CC18641.pdf</t>
        </is>
      </c>
      <c r="K382" t="inlineStr">
        <is>
          <t>Not found</t>
        </is>
      </c>
      <c r="L382" t="inlineStr">
        <is>
          <t>Unknown</t>
        </is>
      </c>
      <c r="T382" t="inlineStr">
        <is>
          <t>https://tenders.iglonline.net/uploads/tender/Corrigendum_I_CC18641.pdf</t>
        </is>
      </c>
      <c r="U382" t="inlineStr">
        <is>
          <t>No</t>
        </is>
      </c>
      <c r="V382" t="inlineStr">
        <is>
          <t>Bot tarafindan tespit edildi (2026-07-01)</t>
        </is>
      </c>
    </row>
    <row r="383">
      <c r="A383" t="inlineStr">
        <is>
          <t>T-0187</t>
        </is>
      </c>
      <c r="B383" t="inlineStr">
        <is>
          <t>Indraprastha Gas (IGL)</t>
        </is>
      </c>
      <c r="C383" t="inlineStr">
        <is>
          <t>Indraprastha Gas (IGL)</t>
        </is>
      </c>
      <c r="F383" t="inlineStr">
        <is>
          <t>New Lead</t>
        </is>
      </c>
      <c r="H383" t="inlineStr">
        <is>
          <t>View Tender</t>
        </is>
      </c>
      <c r="K383" t="inlineStr">
        <is>
          <t>Not found</t>
        </is>
      </c>
      <c r="L383" t="inlineStr">
        <is>
          <t>Unknown</t>
        </is>
      </c>
      <c r="T383" t="inlineStr">
        <is>
          <t>https://tenders.iglonline.net/tenderDetail/482/Active Tenders And Corrigendum-Addendum</t>
        </is>
      </c>
      <c r="U383" t="inlineStr">
        <is>
          <t>No</t>
        </is>
      </c>
      <c r="V383" t="inlineStr">
        <is>
          <t>Bot tarafindan tespit edildi (2026-07-01)</t>
        </is>
      </c>
    </row>
    <row r="384">
      <c r="A384" t="inlineStr">
        <is>
          <t>T-0188</t>
        </is>
      </c>
      <c r="B384" t="inlineStr">
        <is>
          <t>Indraprastha Gas (IGL)</t>
        </is>
      </c>
      <c r="C384" t="inlineStr">
        <is>
          <t>Indraprastha Gas (IGL)</t>
        </is>
      </c>
      <c r="F384" t="inlineStr">
        <is>
          <t>New Lead</t>
        </is>
      </c>
      <c r="H384" t="inlineStr">
        <is>
          <t>View Tender</t>
        </is>
      </c>
      <c r="K384" t="inlineStr">
        <is>
          <t>Not found</t>
        </is>
      </c>
      <c r="L384" t="inlineStr">
        <is>
          <t>Unknown</t>
        </is>
      </c>
      <c r="T384" t="inlineStr">
        <is>
          <t>https://tenders.iglonline.net/tenderDetail/481/Active Tenders And Corrigendum-Addendum</t>
        </is>
      </c>
      <c r="U384" t="inlineStr">
        <is>
          <t>No</t>
        </is>
      </c>
      <c r="V384" t="inlineStr">
        <is>
          <t>Bot tarafindan tespit edildi (2026-07-01)</t>
        </is>
      </c>
    </row>
    <row r="385">
      <c r="A385" t="inlineStr">
        <is>
          <t>T-0189</t>
        </is>
      </c>
      <c r="B385" t="inlineStr">
        <is>
          <t>Indraprastha Gas (IGL)</t>
        </is>
      </c>
      <c r="C385" t="inlineStr">
        <is>
          <t>Indraprastha Gas (IGL)</t>
        </is>
      </c>
      <c r="F385" t="inlineStr">
        <is>
          <t>New Lead</t>
        </is>
      </c>
      <c r="H385" t="inlineStr">
        <is>
          <t>Corrigendum_I_CP18553.pdf</t>
        </is>
      </c>
      <c r="K385" t="inlineStr">
        <is>
          <t>Not found</t>
        </is>
      </c>
      <c r="L385" t="inlineStr">
        <is>
          <t>Unknown</t>
        </is>
      </c>
      <c r="T385" t="inlineStr">
        <is>
          <t>https://tenders.iglonline.net/uploads/tender/Corrigendum_I_CP18553.pdf</t>
        </is>
      </c>
      <c r="U385" t="inlineStr">
        <is>
          <t>No</t>
        </is>
      </c>
      <c r="V385" t="inlineStr">
        <is>
          <t>Bot tarafindan tespit edildi (2026-07-01)</t>
        </is>
      </c>
    </row>
    <row r="386">
      <c r="A386" t="inlineStr">
        <is>
          <t>T-0190</t>
        </is>
      </c>
      <c r="B386" t="inlineStr">
        <is>
          <t>Indraprastha Gas (IGL)</t>
        </is>
      </c>
      <c r="C386" t="inlineStr">
        <is>
          <t>Indraprastha Gas (IGL)</t>
        </is>
      </c>
      <c r="F386" t="inlineStr">
        <is>
          <t>New Lead</t>
        </is>
      </c>
      <c r="H386" t="inlineStr">
        <is>
          <t>Corrigendum_II_CP18553 (A).pdf</t>
        </is>
      </c>
      <c r="K386" t="inlineStr">
        <is>
          <t>Not found</t>
        </is>
      </c>
      <c r="L386" t="inlineStr">
        <is>
          <t>Unknown</t>
        </is>
      </c>
      <c r="T386" t="inlineStr">
        <is>
          <t>https://tenders.iglonline.net/uploads/tender/Corrigendum_II_CP18553 (A).pdf</t>
        </is>
      </c>
      <c r="U386" t="inlineStr">
        <is>
          <t>No</t>
        </is>
      </c>
      <c r="V386" t="inlineStr">
        <is>
          <t>Bot tarafindan tespit edildi (2026-07-01)</t>
        </is>
      </c>
    </row>
    <row r="387">
      <c r="A387" t="inlineStr">
        <is>
          <t>T-0191</t>
        </is>
      </c>
      <c r="B387" t="inlineStr">
        <is>
          <t>Indraprastha Gas (IGL)</t>
        </is>
      </c>
      <c r="C387" t="inlineStr">
        <is>
          <t>Indraprastha Gas (IGL)</t>
        </is>
      </c>
      <c r="F387" t="inlineStr">
        <is>
          <t>New Lead</t>
        </is>
      </c>
      <c r="H387" t="inlineStr">
        <is>
          <t>Corrigendum_III_CP18553 (B).pdf</t>
        </is>
      </c>
      <c r="K387" t="inlineStr">
        <is>
          <t>Not found</t>
        </is>
      </c>
      <c r="L387" t="inlineStr">
        <is>
          <t>Unknown</t>
        </is>
      </c>
      <c r="T387" t="inlineStr">
        <is>
          <t>https://tenders.iglonline.net/uploads/tender/Corrigendum_III_CP18553 (B).pdf</t>
        </is>
      </c>
      <c r="U387" t="inlineStr">
        <is>
          <t>No</t>
        </is>
      </c>
      <c r="V387" t="inlineStr">
        <is>
          <t>Bot tarafindan tespit edildi (2026-07-01)</t>
        </is>
      </c>
    </row>
    <row r="388">
      <c r="A388" t="inlineStr">
        <is>
          <t>T-0192</t>
        </is>
      </c>
      <c r="B388" t="inlineStr">
        <is>
          <t>Indraprastha Gas (IGL)</t>
        </is>
      </c>
      <c r="C388" t="inlineStr">
        <is>
          <t>Indraprastha Gas (IGL)</t>
        </is>
      </c>
      <c r="F388" t="inlineStr">
        <is>
          <t>New Lead</t>
        </is>
      </c>
      <c r="H388" t="inlineStr">
        <is>
          <t>RTBQ CP18553.pdf</t>
        </is>
      </c>
      <c r="K388" t="inlineStr">
        <is>
          <t>Not found</t>
        </is>
      </c>
      <c r="L388" t="inlineStr">
        <is>
          <t>Unknown</t>
        </is>
      </c>
      <c r="T388" t="inlineStr">
        <is>
          <t>https://tenders.iglonline.net/uploads/tender/RTBQ CP18553.pdf</t>
        </is>
      </c>
      <c r="U388" t="inlineStr">
        <is>
          <t>No</t>
        </is>
      </c>
      <c r="V388" t="inlineStr">
        <is>
          <t>Bot tarafindan tespit edildi (2026-07-01)</t>
        </is>
      </c>
    </row>
    <row r="389">
      <c r="A389" t="inlineStr">
        <is>
          <t>T-0193</t>
        </is>
      </c>
      <c r="B389" t="inlineStr">
        <is>
          <t>Indraprastha Gas (IGL)</t>
        </is>
      </c>
      <c r="C389" t="inlineStr">
        <is>
          <t>Indraprastha Gas (IGL)</t>
        </is>
      </c>
      <c r="F389" t="inlineStr">
        <is>
          <t>New Lead</t>
        </is>
      </c>
      <c r="H389" t="inlineStr">
        <is>
          <t>View Tender</t>
        </is>
      </c>
      <c r="K389" t="inlineStr">
        <is>
          <t>Not found</t>
        </is>
      </c>
      <c r="L389" t="inlineStr">
        <is>
          <t>Unknown</t>
        </is>
      </c>
      <c r="T389" t="inlineStr">
        <is>
          <t>https://tenders.iglonline.net/tenderDetail/480/Active Tenders And Corrigendum-Addendum</t>
        </is>
      </c>
      <c r="U389" t="inlineStr">
        <is>
          <t>No</t>
        </is>
      </c>
      <c r="V389" t="inlineStr">
        <is>
          <t>Bot tarafindan tespit edildi (2026-07-01)</t>
        </is>
      </c>
    </row>
    <row r="390">
      <c r="A390" t="inlineStr">
        <is>
          <t>T-0194</t>
        </is>
      </c>
      <c r="B390" t="inlineStr">
        <is>
          <t>Indraprastha Gas (IGL)</t>
        </is>
      </c>
      <c r="C390" t="inlineStr">
        <is>
          <t>Indraprastha Gas (IGL)</t>
        </is>
      </c>
      <c r="F390" t="inlineStr">
        <is>
          <t>New Lead</t>
        </is>
      </c>
      <c r="H390" t="inlineStr">
        <is>
          <t>View Tender</t>
        </is>
      </c>
      <c r="K390" t="inlineStr">
        <is>
          <t>Not found</t>
        </is>
      </c>
      <c r="L390" t="inlineStr">
        <is>
          <t>Unknown</t>
        </is>
      </c>
      <c r="T390" t="inlineStr">
        <is>
          <t>https://tenders.iglonline.net/tenderDetail/479/Active Tenders And Corrigendum-Addendum</t>
        </is>
      </c>
      <c r="U390" t="inlineStr">
        <is>
          <t>No</t>
        </is>
      </c>
      <c r="V390" t="inlineStr">
        <is>
          <t>Bot tarafindan tespit edildi (2026-07-01)</t>
        </is>
      </c>
    </row>
    <row r="391">
      <c r="A391" t="inlineStr">
        <is>
          <t>T-0195</t>
        </is>
      </c>
      <c r="B391" t="inlineStr">
        <is>
          <t>Indraprastha Gas (IGL)</t>
        </is>
      </c>
      <c r="C391" t="inlineStr">
        <is>
          <t>Indraprastha Gas (IGL)</t>
        </is>
      </c>
      <c r="F391" t="inlineStr">
        <is>
          <t>New Lead</t>
        </is>
      </c>
      <c r="H391" t="inlineStr">
        <is>
          <t>Corrigendum_1_CP18624.pdf</t>
        </is>
      </c>
      <c r="K391" t="inlineStr">
        <is>
          <t>Not found</t>
        </is>
      </c>
      <c r="L391" t="inlineStr">
        <is>
          <t>Unknown</t>
        </is>
      </c>
      <c r="T391" t="inlineStr">
        <is>
          <t>https://tenders.iglonline.net/uploads/tender/Corrigendum_1_CP18624.pdf</t>
        </is>
      </c>
      <c r="U391" t="inlineStr">
        <is>
          <t>No</t>
        </is>
      </c>
      <c r="V391" t="inlineStr">
        <is>
          <t>Bot tarafindan tespit edildi (2026-07-01)</t>
        </is>
      </c>
    </row>
    <row r="392">
      <c r="A392" t="inlineStr">
        <is>
          <t>T-0196</t>
        </is>
      </c>
      <c r="B392" t="inlineStr">
        <is>
          <t>Indraprastha Gas (IGL)</t>
        </is>
      </c>
      <c r="C392" t="inlineStr">
        <is>
          <t>Indraprastha Gas (IGL)</t>
        </is>
      </c>
      <c r="F392" t="inlineStr">
        <is>
          <t>New Lead</t>
        </is>
      </c>
      <c r="H392" t="inlineStr">
        <is>
          <t>Corrigendum_II_CP18624.pdf</t>
        </is>
      </c>
      <c r="K392" t="inlineStr">
        <is>
          <t>Not found</t>
        </is>
      </c>
      <c r="L392" t="inlineStr">
        <is>
          <t>Unknown</t>
        </is>
      </c>
      <c r="T392" t="inlineStr">
        <is>
          <t>https://tenders.iglonline.net/uploads/tender/Corrigendum_II_CP18624.pdf</t>
        </is>
      </c>
      <c r="U392" t="inlineStr">
        <is>
          <t>No</t>
        </is>
      </c>
      <c r="V392" t="inlineStr">
        <is>
          <t>Bot tarafindan tespit edildi (2026-07-01)</t>
        </is>
      </c>
    </row>
    <row r="393">
      <c r="A393" t="inlineStr">
        <is>
          <t>T-0197</t>
        </is>
      </c>
      <c r="B393" t="inlineStr">
        <is>
          <t>Indraprastha Gas (IGL)</t>
        </is>
      </c>
      <c r="C393" t="inlineStr">
        <is>
          <t>Indraprastha Gas (IGL)</t>
        </is>
      </c>
      <c r="F393" t="inlineStr">
        <is>
          <t>New Lead</t>
        </is>
      </c>
      <c r="H393" t="inlineStr">
        <is>
          <t>Corrigendum_III_CP18624 (A).pdf</t>
        </is>
      </c>
      <c r="K393" t="inlineStr">
        <is>
          <t>Not found</t>
        </is>
      </c>
      <c r="L393" t="inlineStr">
        <is>
          <t>Unknown</t>
        </is>
      </c>
      <c r="T393" t="inlineStr">
        <is>
          <t>https://tenders.iglonline.net/uploads/tender/Corrigendum_III_CP18624 (A).pdf</t>
        </is>
      </c>
      <c r="U393" t="inlineStr">
        <is>
          <t>No</t>
        </is>
      </c>
      <c r="V393" t="inlineStr">
        <is>
          <t>Bot tarafindan tespit edildi (2026-07-01)</t>
        </is>
      </c>
    </row>
    <row r="394">
      <c r="A394" t="inlineStr">
        <is>
          <t>T-0198</t>
        </is>
      </c>
      <c r="B394" t="inlineStr">
        <is>
          <t>Indraprastha Gas (IGL)</t>
        </is>
      </c>
      <c r="C394" t="inlineStr">
        <is>
          <t>Indraprastha Gas (IGL)</t>
        </is>
      </c>
      <c r="F394" t="inlineStr">
        <is>
          <t>New Lead</t>
        </is>
      </c>
      <c r="H394" t="inlineStr">
        <is>
          <t>Corrigendum_IV_CP18624_(B).pdf</t>
        </is>
      </c>
      <c r="K394" t="inlineStr">
        <is>
          <t>Not found</t>
        </is>
      </c>
      <c r="L394" t="inlineStr">
        <is>
          <t>Unknown</t>
        </is>
      </c>
      <c r="T394" t="inlineStr">
        <is>
          <t>https://tenders.iglonline.net/uploads/tender/Corrigendum_IV_CP18624_(B).pdf</t>
        </is>
      </c>
      <c r="U394" t="inlineStr">
        <is>
          <t>No</t>
        </is>
      </c>
      <c r="V394" t="inlineStr">
        <is>
          <t>Bot tarafindan tespit edildi (2026-07-01)</t>
        </is>
      </c>
    </row>
    <row r="395">
      <c r="A395" t="inlineStr">
        <is>
          <t>T-0199</t>
        </is>
      </c>
      <c r="B395" t="inlineStr">
        <is>
          <t>Indraprastha Gas (IGL)</t>
        </is>
      </c>
      <c r="C395" t="inlineStr">
        <is>
          <t>Indraprastha Gas (IGL)</t>
        </is>
      </c>
      <c r="F395" t="inlineStr">
        <is>
          <t>New Lead</t>
        </is>
      </c>
      <c r="H395" t="inlineStr">
        <is>
          <t>Corrigendum_V_CP18624 (C).pdf</t>
        </is>
      </c>
      <c r="K395" t="inlineStr">
        <is>
          <t>Not found</t>
        </is>
      </c>
      <c r="L395" t="inlineStr">
        <is>
          <t>Unknown</t>
        </is>
      </c>
      <c r="T395" t="inlineStr">
        <is>
          <t>https://tenders.iglonline.net/uploads/tender/Corrigendum_V_CP18624 (C).pdf</t>
        </is>
      </c>
      <c r="U395" t="inlineStr">
        <is>
          <t>No</t>
        </is>
      </c>
      <c r="V395" t="inlineStr">
        <is>
          <t>Bot tarafindan tespit edildi (2026-07-01)</t>
        </is>
      </c>
    </row>
    <row r="396">
      <c r="A396" t="inlineStr">
        <is>
          <t>T-0200</t>
        </is>
      </c>
      <c r="B396" t="inlineStr">
        <is>
          <t>Indraprastha Gas (IGL)</t>
        </is>
      </c>
      <c r="C396" t="inlineStr">
        <is>
          <t>Indraprastha Gas (IGL)</t>
        </is>
      </c>
      <c r="F396" t="inlineStr">
        <is>
          <t>New Lead</t>
        </is>
      </c>
      <c r="H396" t="inlineStr">
        <is>
          <t>Corrigendum_VI_CP18624.pdf</t>
        </is>
      </c>
      <c r="K396" t="inlineStr">
        <is>
          <t>Not found</t>
        </is>
      </c>
      <c r="L396" t="inlineStr">
        <is>
          <t>Unknown</t>
        </is>
      </c>
      <c r="T396" t="inlineStr">
        <is>
          <t>https://tenders.iglonline.net/uploads/tender/Corrigendum_VI_CP18624.pdf</t>
        </is>
      </c>
      <c r="U396" t="inlineStr">
        <is>
          <t>No</t>
        </is>
      </c>
      <c r="V396" t="inlineStr">
        <is>
          <t>Bot tarafindan tespit edildi (2026-07-01)</t>
        </is>
      </c>
    </row>
    <row r="397">
      <c r="A397" t="inlineStr">
        <is>
          <t>T-0201</t>
        </is>
      </c>
      <c r="B397" t="inlineStr">
        <is>
          <t>Indraprastha Gas (IGL)</t>
        </is>
      </c>
      <c r="C397" t="inlineStr">
        <is>
          <t>Indraprastha Gas (IGL)</t>
        </is>
      </c>
      <c r="F397" t="inlineStr">
        <is>
          <t>New Lead</t>
        </is>
      </c>
      <c r="H397" t="inlineStr">
        <is>
          <t>RTBQ_CP18624.pdf</t>
        </is>
      </c>
      <c r="K397" t="inlineStr">
        <is>
          <t>Not found</t>
        </is>
      </c>
      <c r="L397" t="inlineStr">
        <is>
          <t>Unknown</t>
        </is>
      </c>
      <c r="T397" t="inlineStr">
        <is>
          <t>https://tenders.iglonline.net/uploads/tender/RTBQ_CP18624.pdf</t>
        </is>
      </c>
      <c r="U397" t="inlineStr">
        <is>
          <t>No</t>
        </is>
      </c>
      <c r="V397" t="inlineStr">
        <is>
          <t>Bot tarafindan tespit edildi (2026-07-01)</t>
        </is>
      </c>
    </row>
    <row r="398">
      <c r="A398" t="inlineStr">
        <is>
          <t>T-0202</t>
        </is>
      </c>
      <c r="B398" t="inlineStr">
        <is>
          <t>Indraprastha Gas (IGL)</t>
        </is>
      </c>
      <c r="C398" t="inlineStr">
        <is>
          <t>Indraprastha Gas (IGL)</t>
        </is>
      </c>
      <c r="F398" t="inlineStr">
        <is>
          <t>New Lead</t>
        </is>
      </c>
      <c r="H398" t="inlineStr">
        <is>
          <t>Cancellation_Notice_CP18624.pdf</t>
        </is>
      </c>
      <c r="K398" t="inlineStr">
        <is>
          <t>Not found</t>
        </is>
      </c>
      <c r="L398" t="inlineStr">
        <is>
          <t>Unknown</t>
        </is>
      </c>
      <c r="T398" t="inlineStr">
        <is>
          <t>https://tenders.iglonline.net/uploads/tender/Cancellation_Notice_CP18624.pdf</t>
        </is>
      </c>
      <c r="U398" t="inlineStr">
        <is>
          <t>No</t>
        </is>
      </c>
      <c r="V398" t="inlineStr">
        <is>
          <t>Bot tarafindan tespit edildi (2026-07-01)</t>
        </is>
      </c>
    </row>
    <row r="399">
      <c r="A399" t="inlineStr">
        <is>
          <t>T-0203</t>
        </is>
      </c>
      <c r="B399" t="inlineStr">
        <is>
          <t>Indraprastha Gas (IGL)</t>
        </is>
      </c>
      <c r="C399" t="inlineStr">
        <is>
          <t>Indraprastha Gas (IGL)</t>
        </is>
      </c>
      <c r="F399" t="inlineStr">
        <is>
          <t>New Lead</t>
        </is>
      </c>
      <c r="G399" t="inlineStr">
        <is>
          <t>Regulating station</t>
        </is>
      </c>
      <c r="H399" t="inlineStr">
        <is>
          <t>View Tender</t>
        </is>
      </c>
      <c r="K399" t="inlineStr">
        <is>
          <t>Not found</t>
        </is>
      </c>
      <c r="L399" t="inlineStr">
        <is>
          <t>Unknown</t>
        </is>
      </c>
      <c r="T399" t="inlineStr">
        <is>
          <t>https://tenders.iglonline.net/tenderDetail/478/Active Tenders And Corrigendum-Addendum</t>
        </is>
      </c>
      <c r="U399" t="inlineStr">
        <is>
          <t>No</t>
        </is>
      </c>
      <c r="V39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0">
      <c r="A400" t="inlineStr">
        <is>
          <t>T-0204</t>
        </is>
      </c>
      <c r="B400" t="inlineStr">
        <is>
          <t>Indraprastha Gas (IGL)</t>
        </is>
      </c>
      <c r="C400" t="inlineStr">
        <is>
          <t>Indraprastha Gas (IGL)</t>
        </is>
      </c>
      <c r="D400" t="inlineStr">
        <is>
          <t>IGL/ET2/CP/CP18634</t>
        </is>
      </c>
      <c r="F400" t="inlineStr">
        <is>
          <t>Awarded</t>
        </is>
      </c>
      <c r="G400" t="inlineStr">
        <is>
          <t>MRS</t>
        </is>
      </c>
      <c r="H400" t="inlineStr">
        <is>
          <t>Corrigendum_I_CP18634 (A).pdf</t>
        </is>
      </c>
      <c r="K400" t="inlineStr">
        <is>
          <t>Not found</t>
        </is>
      </c>
      <c r="L400" t="inlineStr">
        <is>
          <t>Unknown</t>
        </is>
      </c>
      <c r="T400" t="inlineStr">
        <is>
          <t>https://tenders.iglonline.net/uploads/tender/Corrigendum_I_CP18634 (A).pdf</t>
        </is>
      </c>
      <c r="U400" t="inlineStr">
        <is>
          <t>No</t>
        </is>
      </c>
      <c r="V40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01">
      <c r="A401" t="inlineStr">
        <is>
          <t>T-0205</t>
        </is>
      </c>
      <c r="B401" t="inlineStr">
        <is>
          <t>Indraprastha Gas (IGL)</t>
        </is>
      </c>
      <c r="C401" t="inlineStr">
        <is>
          <t>Indraprastha Gas (IGL)</t>
        </is>
      </c>
      <c r="D401" t="inlineStr">
        <is>
          <t>IGL/ET2/CP/CP18634</t>
        </is>
      </c>
      <c r="F401" t="inlineStr">
        <is>
          <t>Awarded</t>
        </is>
      </c>
      <c r="G401" t="inlineStr">
        <is>
          <t>MRS</t>
        </is>
      </c>
      <c r="H401" t="inlineStr">
        <is>
          <t>RTBQ_CP18634.pdf</t>
        </is>
      </c>
      <c r="K401" t="inlineStr">
        <is>
          <t>Not found</t>
        </is>
      </c>
      <c r="L401" t="inlineStr">
        <is>
          <t>Unknown</t>
        </is>
      </c>
      <c r="T401" t="inlineStr">
        <is>
          <t>https://tenders.iglonline.net/uploads/tender/RTBQ_CP18634.pdf</t>
        </is>
      </c>
      <c r="U401" t="inlineStr">
        <is>
          <t>No</t>
        </is>
      </c>
      <c r="V40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2">
      <c r="A402" t="inlineStr">
        <is>
          <t>T-0206</t>
        </is>
      </c>
      <c r="B402" t="inlineStr">
        <is>
          <t>Indraprastha Gas (IGL)</t>
        </is>
      </c>
      <c r="C402" t="inlineStr">
        <is>
          <t>Indraprastha Gas (IGL)</t>
        </is>
      </c>
      <c r="F402" t="inlineStr">
        <is>
          <t>New Lead</t>
        </is>
      </c>
      <c r="H402" t="inlineStr">
        <is>
          <t>View Tender</t>
        </is>
      </c>
      <c r="K402" t="inlineStr">
        <is>
          <t>Not found</t>
        </is>
      </c>
      <c r="L402" t="inlineStr">
        <is>
          <t>Unknown</t>
        </is>
      </c>
      <c r="T402" t="inlineStr">
        <is>
          <t>https://tenders.iglonline.net/tenderDetail/477/Active Tenders And Corrigendum-Addendum</t>
        </is>
      </c>
      <c r="U402" t="inlineStr">
        <is>
          <t>No</t>
        </is>
      </c>
      <c r="V402" t="inlineStr">
        <is>
          <t>Bot tarafindan tespit edildi (2026-07-01)</t>
        </is>
      </c>
    </row>
    <row r="403">
      <c r="A403" t="inlineStr">
        <is>
          <t>T-0207</t>
        </is>
      </c>
      <c r="B403" t="inlineStr">
        <is>
          <t>Indraprastha Gas (IGL)</t>
        </is>
      </c>
      <c r="C403" t="inlineStr">
        <is>
          <t>Indraprastha Gas (IGL)</t>
        </is>
      </c>
      <c r="F403" t="inlineStr">
        <is>
          <t>New Lead</t>
        </is>
      </c>
      <c r="H403" t="inlineStr">
        <is>
          <t>Corrigendum-1_CM18655.pdf</t>
        </is>
      </c>
      <c r="K403" t="inlineStr">
        <is>
          <t>Not found</t>
        </is>
      </c>
      <c r="L403" t="inlineStr">
        <is>
          <t>Unknown</t>
        </is>
      </c>
      <c r="T403" t="inlineStr">
        <is>
          <t>https://tenders.iglonline.net/uploads/tender/Corrigendum-1_CM18655.pdf</t>
        </is>
      </c>
      <c r="U403" t="inlineStr">
        <is>
          <t>No</t>
        </is>
      </c>
      <c r="V403" t="inlineStr">
        <is>
          <t>Bot tarafindan tespit edildi (2026-07-01)</t>
        </is>
      </c>
    </row>
    <row r="404">
      <c r="A404" t="inlineStr">
        <is>
          <t>T-0208</t>
        </is>
      </c>
      <c r="B404" t="inlineStr">
        <is>
          <t>Indraprastha Gas (IGL)</t>
        </is>
      </c>
      <c r="C404" t="inlineStr">
        <is>
          <t>Indraprastha Gas (IGL)</t>
        </is>
      </c>
      <c r="F404" t="inlineStr">
        <is>
          <t>New Lead</t>
        </is>
      </c>
      <c r="H404" t="inlineStr">
        <is>
          <t>RTPBQ_CM18655.pdf</t>
        </is>
      </c>
      <c r="K404" t="inlineStr">
        <is>
          <t>Not found</t>
        </is>
      </c>
      <c r="L404" t="inlineStr">
        <is>
          <t>Unknown</t>
        </is>
      </c>
      <c r="T404" t="inlineStr">
        <is>
          <t>https://tenders.iglonline.net/uploads/tender/RTPBQ_CM18655.pdf</t>
        </is>
      </c>
      <c r="U404" t="inlineStr">
        <is>
          <t>No</t>
        </is>
      </c>
      <c r="V404" t="inlineStr">
        <is>
          <t>Bot tarafindan tespit edildi (2026-07-01)</t>
        </is>
      </c>
    </row>
    <row r="405">
      <c r="A405" t="inlineStr">
        <is>
          <t>T-0209</t>
        </is>
      </c>
      <c r="B405" t="inlineStr">
        <is>
          <t>Indraprastha Gas (IGL)</t>
        </is>
      </c>
      <c r="C405" t="inlineStr">
        <is>
          <t>Indraprastha Gas (IGL)</t>
        </is>
      </c>
      <c r="F405" t="inlineStr">
        <is>
          <t>New Lead</t>
        </is>
      </c>
      <c r="H405" t="inlineStr">
        <is>
          <t>View Tender</t>
        </is>
      </c>
      <c r="K405" t="inlineStr">
        <is>
          <t>Not found</t>
        </is>
      </c>
      <c r="L405" t="inlineStr">
        <is>
          <t>Unknown</t>
        </is>
      </c>
      <c r="T405" t="inlineStr">
        <is>
          <t>https://tenders.iglonline.net/tenderDetail/476/Active Tenders And Corrigendum-Addendum</t>
        </is>
      </c>
      <c r="U405" t="inlineStr">
        <is>
          <t>No</t>
        </is>
      </c>
      <c r="V405" t="inlineStr">
        <is>
          <t>Bot tarafindan tespit edildi (2026-07-01)</t>
        </is>
      </c>
    </row>
    <row r="406">
      <c r="A406" t="inlineStr">
        <is>
          <t>T-0210</t>
        </is>
      </c>
      <c r="B406" t="inlineStr">
        <is>
          <t>Indraprastha Gas (IGL)</t>
        </is>
      </c>
      <c r="C406" t="inlineStr">
        <is>
          <t>Indraprastha Gas (IGL)</t>
        </is>
      </c>
      <c r="F406" t="inlineStr">
        <is>
          <t>New Lead</t>
        </is>
      </c>
      <c r="H406" t="inlineStr">
        <is>
          <t>Corrigendum-1_CM18662.pdf</t>
        </is>
      </c>
      <c r="K406" t="inlineStr">
        <is>
          <t>Not found</t>
        </is>
      </c>
      <c r="L406" t="inlineStr">
        <is>
          <t>Unknown</t>
        </is>
      </c>
      <c r="T406" t="inlineStr">
        <is>
          <t>https://tenders.iglonline.net/uploads/tender/Corrigendum-1_CM18662.pdf</t>
        </is>
      </c>
      <c r="U406" t="inlineStr">
        <is>
          <t>No</t>
        </is>
      </c>
      <c r="V406" t="inlineStr">
        <is>
          <t>Bot tarafindan tespit edildi (2026-07-01)</t>
        </is>
      </c>
    </row>
    <row r="407">
      <c r="A407" t="inlineStr">
        <is>
          <t>T-0211</t>
        </is>
      </c>
      <c r="B407" t="inlineStr">
        <is>
          <t>Indraprastha Gas (IGL)</t>
        </is>
      </c>
      <c r="C407" t="inlineStr">
        <is>
          <t>Indraprastha Gas (IGL)</t>
        </is>
      </c>
      <c r="F407" t="inlineStr">
        <is>
          <t>New Lead</t>
        </is>
      </c>
      <c r="H407" t="inlineStr">
        <is>
          <t>RTPBQ_CM18662.pdf</t>
        </is>
      </c>
      <c r="K407" t="inlineStr">
        <is>
          <t>Not found</t>
        </is>
      </c>
      <c r="L407" t="inlineStr">
        <is>
          <t>Unknown</t>
        </is>
      </c>
      <c r="T407" t="inlineStr">
        <is>
          <t>https://tenders.iglonline.net/uploads/tender/RTPBQ_CM18662.pdf</t>
        </is>
      </c>
      <c r="U407" t="inlineStr">
        <is>
          <t>No</t>
        </is>
      </c>
      <c r="V407" t="inlineStr">
        <is>
          <t>Bot tarafindan tespit edildi (2026-07-01)</t>
        </is>
      </c>
    </row>
    <row r="408">
      <c r="A408" t="inlineStr">
        <is>
          <t>T-0212</t>
        </is>
      </c>
      <c r="B408" t="inlineStr">
        <is>
          <t>Indraprastha Gas (IGL)</t>
        </is>
      </c>
      <c r="C408" t="inlineStr">
        <is>
          <t>Indraprastha Gas (IGL)</t>
        </is>
      </c>
      <c r="F408" t="inlineStr">
        <is>
          <t>New Lead</t>
        </is>
      </c>
      <c r="H408" t="inlineStr">
        <is>
          <t>View Tender</t>
        </is>
      </c>
      <c r="K408" t="inlineStr">
        <is>
          <t>Not found</t>
        </is>
      </c>
      <c r="L408" t="inlineStr">
        <is>
          <t>Unknown</t>
        </is>
      </c>
      <c r="T408" t="inlineStr">
        <is>
          <t>https://tenders.iglonline.net/tenderDetail/475/Active Tenders And Corrigendum-Addendum</t>
        </is>
      </c>
      <c r="U408" t="inlineStr">
        <is>
          <t>No</t>
        </is>
      </c>
      <c r="V408" t="inlineStr">
        <is>
          <t>Bot tarafindan tespit edildi (2026-07-01)</t>
        </is>
      </c>
    </row>
    <row r="409">
      <c r="A409" t="inlineStr">
        <is>
          <t>T-0213</t>
        </is>
      </c>
      <c r="B409" t="inlineStr">
        <is>
          <t>Indraprastha Gas (IGL)</t>
        </is>
      </c>
      <c r="C409" t="inlineStr">
        <is>
          <t>Indraprastha Gas (IGL)</t>
        </is>
      </c>
      <c r="F409" t="inlineStr">
        <is>
          <t>New Lead</t>
        </is>
      </c>
      <c r="G409" t="inlineStr">
        <is>
          <t>Unclassified</t>
        </is>
      </c>
      <c r="H409" t="inlineStr">
        <is>
          <t>Corrigendum-I_CC18541.pdf</t>
        </is>
      </c>
      <c r="K409" t="inlineStr">
        <is>
          <t>Not found</t>
        </is>
      </c>
      <c r="L409" t="inlineStr">
        <is>
          <t>Unknown</t>
        </is>
      </c>
      <c r="T409" t="inlineStr">
        <is>
          <t>https://tenders.iglonline.net/uploads/tender/Corrigendum-I_CC18541.pdf</t>
        </is>
      </c>
      <c r="U409" t="inlineStr">
        <is>
          <t>No</t>
        </is>
      </c>
      <c r="V409" t="inlineStr">
        <is>
          <t>Bot tarafindan tespit edildi (2026-07-01); Bot tespit/zenginlestirme (2026-07-01); meta:score=40;priority=Medium;source_type=html_table;closing_date=;equipment=Unclassified;reasons=document source,quantity signal</t>
        </is>
      </c>
    </row>
    <row r="410">
      <c r="A410" t="inlineStr">
        <is>
          <t>T-0214</t>
        </is>
      </c>
      <c r="B410" t="inlineStr">
        <is>
          <t>Indraprastha Gas (IGL)</t>
        </is>
      </c>
      <c r="C410" t="inlineStr">
        <is>
          <t>Indraprastha Gas (IGL)</t>
        </is>
      </c>
      <c r="F410" t="inlineStr">
        <is>
          <t>New Lead</t>
        </is>
      </c>
      <c r="G410" t="inlineStr">
        <is>
          <t>Unclassified</t>
        </is>
      </c>
      <c r="H410" t="inlineStr">
        <is>
          <t>RTBQ_CC18541_Turboexpander.pdf</t>
        </is>
      </c>
      <c r="K410" t="inlineStr">
        <is>
          <t>Not found</t>
        </is>
      </c>
      <c r="L410" t="inlineStr">
        <is>
          <t>Unknown</t>
        </is>
      </c>
      <c r="T410" t="inlineStr">
        <is>
          <t>https://tenders.iglonline.net/uploads/tender/RTBQ_CC18541_Turboexpander.pdf</t>
        </is>
      </c>
      <c r="U410" t="inlineStr">
        <is>
          <t>No</t>
        </is>
      </c>
      <c r="V410" t="inlineStr">
        <is>
          <t>Bot tarafindan tespit edildi (2026-07-01); Bot tespit/zenginlestirme (2026-07-01); meta:score=40;priority=Medium;source_type=html_table;closing_date=;equipment=Unclassified;reasons=document source,quantity signal</t>
        </is>
      </c>
    </row>
    <row r="411">
      <c r="A411" t="inlineStr">
        <is>
          <t>T-0215</t>
        </is>
      </c>
      <c r="B411" t="inlineStr">
        <is>
          <t>Indraprastha Gas (IGL)</t>
        </is>
      </c>
      <c r="C411" t="inlineStr">
        <is>
          <t>Indraprastha Gas (IGL)</t>
        </is>
      </c>
      <c r="F411" t="inlineStr">
        <is>
          <t>New Lead</t>
        </is>
      </c>
      <c r="G411" t="inlineStr">
        <is>
          <t>Unclassified</t>
        </is>
      </c>
      <c r="H411" t="inlineStr">
        <is>
          <t>Corrigendum_II_CC18541.pdf</t>
        </is>
      </c>
      <c r="K411" t="inlineStr">
        <is>
          <t>Not found</t>
        </is>
      </c>
      <c r="L411" t="inlineStr">
        <is>
          <t>Unknown</t>
        </is>
      </c>
      <c r="T411" t="inlineStr">
        <is>
          <t>https://tenders.iglonline.net/uploads/tender/Corrigendum_II_CC18541.pdf</t>
        </is>
      </c>
      <c r="U411" t="inlineStr">
        <is>
          <t>No</t>
        </is>
      </c>
      <c r="V411" t="inlineStr">
        <is>
          <t>Bot tarafindan tespit edildi (2026-07-01); Bot tespit/zenginlestirme (2026-07-01); meta:score=40;priority=Medium;source_type=html_table;closing_date=;equipment=Unclassified;reasons=document source,quantity signal</t>
        </is>
      </c>
    </row>
    <row r="412">
      <c r="A412" t="inlineStr">
        <is>
          <t>T-0216</t>
        </is>
      </c>
      <c r="B412" t="inlineStr">
        <is>
          <t>Indraprastha Gas (IGL)</t>
        </is>
      </c>
      <c r="C412" t="inlineStr">
        <is>
          <t>Indraprastha Gas (IGL)</t>
        </is>
      </c>
      <c r="F412" t="inlineStr">
        <is>
          <t>New Lead</t>
        </is>
      </c>
      <c r="G412" t="inlineStr">
        <is>
          <t>Unclassified</t>
        </is>
      </c>
      <c r="H412" t="inlineStr">
        <is>
          <t>Corrigendum_III_CC18541.pdf</t>
        </is>
      </c>
      <c r="K412" t="inlineStr">
        <is>
          <t>Not found</t>
        </is>
      </c>
      <c r="L412" t="inlineStr">
        <is>
          <t>Unknown</t>
        </is>
      </c>
      <c r="T412" t="inlineStr">
        <is>
          <t>https://tenders.iglonline.net/uploads/tender/Corrigendum_III_CC18541.pdf</t>
        </is>
      </c>
      <c r="U412" t="inlineStr">
        <is>
          <t>No</t>
        </is>
      </c>
      <c r="V412" t="inlineStr">
        <is>
          <t>Bot tarafindan tespit edildi (2026-07-01); Bot tespit/zenginlestirme (2026-07-01); meta:score=40;priority=Medium;source_type=html_table;closing_date=;equipment=Unclassified;reasons=document source,quantity signal</t>
        </is>
      </c>
    </row>
    <row r="413">
      <c r="A413" t="inlineStr">
        <is>
          <t>T-0217</t>
        </is>
      </c>
      <c r="B413" t="inlineStr">
        <is>
          <t>Indraprastha Gas (IGL)</t>
        </is>
      </c>
      <c r="C413" t="inlineStr">
        <is>
          <t>Indraprastha Gas (IGL)</t>
        </is>
      </c>
      <c r="F413" t="inlineStr">
        <is>
          <t>New Lead</t>
        </is>
      </c>
      <c r="G413" t="inlineStr">
        <is>
          <t>Unclassified</t>
        </is>
      </c>
      <c r="H413" t="inlineStr">
        <is>
          <t>Corrigendum_IV_CC18541.pdf</t>
        </is>
      </c>
      <c r="K413" t="inlineStr">
        <is>
          <t>Not found</t>
        </is>
      </c>
      <c r="L413" t="inlineStr">
        <is>
          <t>Unknown</t>
        </is>
      </c>
      <c r="T413" t="inlineStr">
        <is>
          <t>https://tenders.iglonline.net/uploads/tender/Corrigendum_IV_CC18541.pdf</t>
        </is>
      </c>
      <c r="U413" t="inlineStr">
        <is>
          <t>No</t>
        </is>
      </c>
      <c r="V413" t="inlineStr">
        <is>
          <t>Bot tarafindan tespit edildi (2026-07-01); Bot tespit/zenginlestirme (2026-07-01); meta:score=40;priority=Medium;source_type=html_table;closing_date=;equipment=Unclassified;reasons=document source,quantity signal</t>
        </is>
      </c>
    </row>
    <row r="414">
      <c r="A414" t="inlineStr">
        <is>
          <t>T-0218</t>
        </is>
      </c>
      <c r="B414" t="inlineStr">
        <is>
          <t>Indraprastha Gas (IGL)</t>
        </is>
      </c>
      <c r="C414" t="inlineStr">
        <is>
          <t>Indraprastha Gas (IGL)</t>
        </is>
      </c>
      <c r="F414" t="inlineStr">
        <is>
          <t>New Lead</t>
        </is>
      </c>
      <c r="G414" t="inlineStr">
        <is>
          <t>Unclassified</t>
        </is>
      </c>
      <c r="H414" t="inlineStr">
        <is>
          <t>Corrigendum_V_CC18541unibtemp.pdf</t>
        </is>
      </c>
      <c r="K414" t="inlineStr">
        <is>
          <t>Not found</t>
        </is>
      </c>
      <c r="L414" t="inlineStr">
        <is>
          <t>Unknown</t>
        </is>
      </c>
      <c r="T414" t="inlineStr">
        <is>
          <t>https://tenders.iglonline.net/uploads/tender/Corrigendum_V_CC18541unibtemp.pdf</t>
        </is>
      </c>
      <c r="U414" t="inlineStr">
        <is>
          <t>No</t>
        </is>
      </c>
      <c r="V414" t="inlineStr">
        <is>
          <t>Bot tarafindan tespit edildi (2026-07-01); Bot tespit/zenginlestirme (2026-07-01); meta:score=40;priority=Medium;source_type=html_table;closing_date=;equipment=Unclassified;reasons=document source,quantity signal</t>
        </is>
      </c>
    </row>
    <row r="415">
      <c r="A415" t="inlineStr">
        <is>
          <t>T-0219</t>
        </is>
      </c>
      <c r="B415" t="inlineStr">
        <is>
          <t>Indraprastha Gas (IGL)</t>
        </is>
      </c>
      <c r="C415" t="inlineStr">
        <is>
          <t>Indraprastha Gas (IGL)</t>
        </is>
      </c>
      <c r="F415" t="inlineStr">
        <is>
          <t>New Lead</t>
        </is>
      </c>
      <c r="H415" t="inlineStr">
        <is>
          <t>View Tender</t>
        </is>
      </c>
      <c r="K415" t="inlineStr">
        <is>
          <t>Not found</t>
        </is>
      </c>
      <c r="L415" t="inlineStr">
        <is>
          <t>Unknown</t>
        </is>
      </c>
      <c r="T415" t="inlineStr">
        <is>
          <t>https://tenders.iglonline.net/tenderDetail/474/Active Tenders And Corrigendum-Addendum</t>
        </is>
      </c>
      <c r="U415" t="inlineStr">
        <is>
          <t>No</t>
        </is>
      </c>
      <c r="V415" t="inlineStr">
        <is>
          <t>Bot tarafindan tespit edildi (2026-07-01)</t>
        </is>
      </c>
    </row>
    <row r="416">
      <c r="A416" t="inlineStr">
        <is>
          <t>T-0220</t>
        </is>
      </c>
      <c r="B416" t="inlineStr">
        <is>
          <t>Indraprastha Gas (IGL)</t>
        </is>
      </c>
      <c r="C416" t="inlineStr">
        <is>
          <t>Indraprastha Gas (IGL)</t>
        </is>
      </c>
      <c r="F416" t="inlineStr">
        <is>
          <t>New Lead</t>
        </is>
      </c>
      <c r="G416" t="inlineStr">
        <is>
          <t>Gas-related / review</t>
        </is>
      </c>
      <c r="H416" t="inlineStr">
        <is>
          <t>Corrigendum_I_CC18636.pdf</t>
        </is>
      </c>
      <c r="K416" t="inlineStr">
        <is>
          <t>Not found</t>
        </is>
      </c>
      <c r="L416" t="inlineStr">
        <is>
          <t>Unknown</t>
        </is>
      </c>
      <c r="T416" t="inlineStr">
        <is>
          <t>https://tenders.iglonline.net/uploads/tender/Corrigendum_I_CC18636.pdf</t>
        </is>
      </c>
      <c r="U416" t="inlineStr">
        <is>
          <t>No</t>
        </is>
      </c>
      <c r="V416" t="inlineStr">
        <is>
          <t>Bot tarafindan tespit edildi (2026-07-01); Bot tespit/zenginlestirme (2026-07-01); meta:score=35;priority=Low;source_type=html_table;closing_date=;equipment=Gas-related / review;reasons=equipment:Gas-related / review,document source</t>
        </is>
      </c>
    </row>
    <row r="417">
      <c r="A417" t="inlineStr">
        <is>
          <t>T-0221</t>
        </is>
      </c>
      <c r="B417" t="inlineStr">
        <is>
          <t>Indraprastha Gas (IGL)</t>
        </is>
      </c>
      <c r="C417" t="inlineStr">
        <is>
          <t>Indraprastha Gas (IGL)</t>
        </is>
      </c>
      <c r="F417" t="inlineStr">
        <is>
          <t>New Lead</t>
        </is>
      </c>
      <c r="G417" t="inlineStr">
        <is>
          <t>Gas-related / review</t>
        </is>
      </c>
      <c r="H417" t="inlineStr">
        <is>
          <t>RTBQ_600_SCMH_CC18636.pdf</t>
        </is>
      </c>
      <c r="K417" t="inlineStr">
        <is>
          <t>Not found</t>
        </is>
      </c>
      <c r="L417" t="inlineStr">
        <is>
          <t>Unknown</t>
        </is>
      </c>
      <c r="T417" t="inlineStr">
        <is>
          <t>https://tenders.iglonline.net/uploads/tender/RTBQ_600_SCMH_CC18636.pdf</t>
        </is>
      </c>
      <c r="U417" t="inlineStr">
        <is>
          <t>No</t>
        </is>
      </c>
      <c r="V417" t="inlineStr">
        <is>
          <t>Bot tarafindan tespit edildi (2026-07-01); Bot tespit/zenginlestirme (2026-07-01); meta:score=35;priority=Low;source_type=html_table;closing_date=;equipment=Gas-related / review;reasons=equipment:Gas-related / review,document source</t>
        </is>
      </c>
    </row>
    <row r="418">
      <c r="A418" t="inlineStr">
        <is>
          <t>T-0222</t>
        </is>
      </c>
      <c r="B418" t="inlineStr">
        <is>
          <t>Indraprastha Gas (IGL)</t>
        </is>
      </c>
      <c r="C418" t="inlineStr">
        <is>
          <t>Indraprastha Gas (IGL)</t>
        </is>
      </c>
      <c r="F418" t="inlineStr">
        <is>
          <t>New Lead</t>
        </is>
      </c>
      <c r="G418" t="inlineStr">
        <is>
          <t>Gas-related / review</t>
        </is>
      </c>
      <c r="H418" t="inlineStr">
        <is>
          <t>Corrigendum_II_CC18636.pdf</t>
        </is>
      </c>
      <c r="K418" t="inlineStr">
        <is>
          <t>Not found</t>
        </is>
      </c>
      <c r="L418" t="inlineStr">
        <is>
          <t>Unknown</t>
        </is>
      </c>
      <c r="T418" t="inlineStr">
        <is>
          <t>https://tenders.iglonline.net/uploads/tender/Corrigendum_II_CC18636.pdf</t>
        </is>
      </c>
      <c r="U418" t="inlineStr">
        <is>
          <t>No</t>
        </is>
      </c>
      <c r="V418" t="inlineStr">
        <is>
          <t>Bot tarafindan tespit edildi (2026-07-01); Bot tespit/zenginlestirme (2026-07-01); meta:score=35;priority=Low;source_type=html_table;closing_date=;equipment=Gas-related / review;reasons=equipment:Gas-related / review,document source</t>
        </is>
      </c>
    </row>
    <row r="419">
      <c r="A419" t="inlineStr">
        <is>
          <t>T-0223</t>
        </is>
      </c>
      <c r="B419" t="inlineStr">
        <is>
          <t>Indraprastha Gas (IGL)</t>
        </is>
      </c>
      <c r="C419" t="inlineStr">
        <is>
          <t>Indraprastha Gas (IGL)</t>
        </is>
      </c>
      <c r="F419" t="inlineStr">
        <is>
          <t>New Lead</t>
        </is>
      </c>
      <c r="G419" t="inlineStr">
        <is>
          <t>Gas-related / review</t>
        </is>
      </c>
      <c r="H419" t="inlineStr">
        <is>
          <t>Corrigendum_ III_CC18636.pdf</t>
        </is>
      </c>
      <c r="K419" t="inlineStr">
        <is>
          <t>Not found</t>
        </is>
      </c>
      <c r="L419" t="inlineStr">
        <is>
          <t>Unknown</t>
        </is>
      </c>
      <c r="T419" t="inlineStr">
        <is>
          <t>https://tenders.iglonline.net/uploads/tender/Corrigendum_ III_CC18636.pdf</t>
        </is>
      </c>
      <c r="U419" t="inlineStr">
        <is>
          <t>No</t>
        </is>
      </c>
      <c r="V419" t="inlineStr">
        <is>
          <t>Bot tarafindan tespit edildi (2026-07-01); Bot tespit/zenginlestirme (2026-07-01); meta:score=35;priority=Low;source_type=html_table;closing_date=;equipment=Gas-related / review;reasons=equipment:Gas-related / review,document source</t>
        </is>
      </c>
    </row>
    <row r="420">
      <c r="A420" t="inlineStr">
        <is>
          <t>T-0224</t>
        </is>
      </c>
      <c r="B420" t="inlineStr">
        <is>
          <t>Indraprastha Gas (IGL)</t>
        </is>
      </c>
      <c r="C420" t="inlineStr">
        <is>
          <t>Indraprastha Gas (IGL)</t>
        </is>
      </c>
      <c r="F420" t="inlineStr">
        <is>
          <t>New Lead</t>
        </is>
      </c>
      <c r="G420" t="inlineStr">
        <is>
          <t>Gas-related / review</t>
        </is>
      </c>
      <c r="H420" t="inlineStr">
        <is>
          <t>Corrigendum_IV_CC18636.pdf</t>
        </is>
      </c>
      <c r="K420" t="inlineStr">
        <is>
          <t>Not found</t>
        </is>
      </c>
      <c r="L420" t="inlineStr">
        <is>
          <t>Unknown</t>
        </is>
      </c>
      <c r="T420" t="inlineStr">
        <is>
          <t>https://tenders.iglonline.net/uploads/tender/Corrigendum_IV_CC18636.pdf</t>
        </is>
      </c>
      <c r="U420" t="inlineStr">
        <is>
          <t>No</t>
        </is>
      </c>
      <c r="V420" t="inlineStr">
        <is>
          <t>Bot tarafindan tespit edildi (2026-07-01); Bot tespit/zenginlestirme (2026-07-01); meta:score=35;priority=Low;source_type=html_table;closing_date=;equipment=Gas-related / review;reasons=equipment:Gas-related / review,document source</t>
        </is>
      </c>
    </row>
    <row r="421">
      <c r="A421" t="inlineStr">
        <is>
          <t>T-0225</t>
        </is>
      </c>
      <c r="B421" t="inlineStr">
        <is>
          <t>Indraprastha Gas (IGL)</t>
        </is>
      </c>
      <c r="C421" t="inlineStr">
        <is>
          <t>Indraprastha Gas (IGL)</t>
        </is>
      </c>
      <c r="F421" t="inlineStr">
        <is>
          <t>New Lead</t>
        </is>
      </c>
      <c r="G421" t="inlineStr">
        <is>
          <t>Skid / gas train</t>
        </is>
      </c>
      <c r="H421" t="inlineStr">
        <is>
          <t>View Tender</t>
        </is>
      </c>
      <c r="K421" t="inlineStr">
        <is>
          <t>Not found</t>
        </is>
      </c>
      <c r="L421" t="inlineStr">
        <is>
          <t>Unknown</t>
        </is>
      </c>
      <c r="T421" t="inlineStr">
        <is>
          <t>https://tenders.iglonline.net/tenderDetail/473/Active Tenders And Corrigendum-Addendum</t>
        </is>
      </c>
      <c r="U421" t="inlineStr">
        <is>
          <t>No</t>
        </is>
      </c>
      <c r="V421"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train;reject_reasons=;scope=market_intelligence_only;excluded_scope=no_bid_or_offer_submission_automation</t>
        </is>
      </c>
    </row>
    <row r="422">
      <c r="A422" t="inlineStr">
        <is>
          <t>T-0226</t>
        </is>
      </c>
      <c r="B422" t="inlineStr">
        <is>
          <t>Indraprastha Gas (IGL)</t>
        </is>
      </c>
      <c r="C422" t="inlineStr">
        <is>
          <t>Indraprastha Gas (IGL)</t>
        </is>
      </c>
      <c r="D422" t="inlineStr">
        <is>
          <t>DOCUMENT</t>
        </is>
      </c>
      <c r="F422" t="inlineStr">
        <is>
          <t>Awarded</t>
        </is>
      </c>
      <c r="G422" t="inlineStr">
        <is>
          <t>metering skid</t>
        </is>
      </c>
      <c r="H422" t="inlineStr">
        <is>
          <t>Corrigendum_I_CC18616.pdf</t>
        </is>
      </c>
      <c r="K422" t="inlineStr">
        <is>
          <t>Not found</t>
        </is>
      </c>
      <c r="L422" t="inlineStr">
        <is>
          <t>Unknown</t>
        </is>
      </c>
      <c r="T422" t="inlineStr">
        <is>
          <t>https://tenders.iglonline.net/uploads/tender/Corrigendum_I_CC18616.pdf</t>
        </is>
      </c>
      <c r="U422" t="inlineStr">
        <is>
          <t>No</t>
        </is>
      </c>
      <c r="V42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train;reject_reasons=;scope=market_intelligence_only;excluded_scope=no_bid_or_offer_submission_automation</t>
        </is>
      </c>
    </row>
    <row r="423">
      <c r="A423" t="inlineStr">
        <is>
          <t>T-0227</t>
        </is>
      </c>
      <c r="B423" t="inlineStr">
        <is>
          <t>Indraprastha Gas (IGL)</t>
        </is>
      </c>
      <c r="C423" t="inlineStr">
        <is>
          <t>Indraprastha Gas (IGL)</t>
        </is>
      </c>
      <c r="D423" t="inlineStr">
        <is>
          <t>IGL/ET2/CP/CC18616</t>
        </is>
      </c>
      <c r="F423" t="inlineStr">
        <is>
          <t>Awarded</t>
        </is>
      </c>
      <c r="G423" t="inlineStr">
        <is>
          <t>metering skid</t>
        </is>
      </c>
      <c r="H423" t="inlineStr">
        <is>
          <t>Corrigendum_II_CC18616.pdf</t>
        </is>
      </c>
      <c r="K423" t="inlineStr">
        <is>
          <t>Not found</t>
        </is>
      </c>
      <c r="L423" t="inlineStr">
        <is>
          <t>Unknown</t>
        </is>
      </c>
      <c r="T423" t="inlineStr">
        <is>
          <t>https://tenders.iglonline.net/uploads/tender/Corrigendum_II_CC18616.pdf</t>
        </is>
      </c>
      <c r="U423" t="inlineStr">
        <is>
          <t>No</t>
        </is>
      </c>
      <c r="V42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424">
      <c r="A424" t="inlineStr">
        <is>
          <t>T-0228</t>
        </is>
      </c>
      <c r="B424" t="inlineStr">
        <is>
          <t>Indraprastha Gas (IGL)</t>
        </is>
      </c>
      <c r="C424" t="inlineStr">
        <is>
          <t>Indraprastha Gas (IGL)</t>
        </is>
      </c>
      <c r="F424" t="inlineStr">
        <is>
          <t>New Lead</t>
        </is>
      </c>
      <c r="H424" t="inlineStr">
        <is>
          <t>View Tender</t>
        </is>
      </c>
      <c r="K424" t="inlineStr">
        <is>
          <t>Not found</t>
        </is>
      </c>
      <c r="L424" t="inlineStr">
        <is>
          <t>Unknown</t>
        </is>
      </c>
      <c r="T424" t="inlineStr">
        <is>
          <t>https://tenders.iglonline.net/tenderDetail/471/Active Tenders And Corrigendum-Addendum</t>
        </is>
      </c>
      <c r="U424" t="inlineStr">
        <is>
          <t>No</t>
        </is>
      </c>
      <c r="V424" t="inlineStr">
        <is>
          <t>Bot tarafindan tespit edildi (2026-07-01)</t>
        </is>
      </c>
    </row>
    <row r="425">
      <c r="A425" t="inlineStr">
        <is>
          <t>T-0229</t>
        </is>
      </c>
      <c r="B425" t="inlineStr">
        <is>
          <t>Indraprastha Gas (IGL)</t>
        </is>
      </c>
      <c r="C425" t="inlineStr">
        <is>
          <t>Indraprastha Gas (IGL)</t>
        </is>
      </c>
      <c r="F425" t="inlineStr">
        <is>
          <t>New Lead</t>
        </is>
      </c>
      <c r="H425" t="inlineStr">
        <is>
          <t>CORRIGENDUM_I_CM18611.pdf</t>
        </is>
      </c>
      <c r="K425" t="inlineStr">
        <is>
          <t>Not found</t>
        </is>
      </c>
      <c r="L425" t="inlineStr">
        <is>
          <t>Unknown</t>
        </is>
      </c>
      <c r="T425" t="inlineStr">
        <is>
          <t>https://tenders.iglonline.net/uploads/tender/CORRIGENDUM_I_CM18611.pdf</t>
        </is>
      </c>
      <c r="U425" t="inlineStr">
        <is>
          <t>No</t>
        </is>
      </c>
      <c r="V425" t="inlineStr">
        <is>
          <t>Bot tarafindan tespit edildi (2026-07-01)</t>
        </is>
      </c>
    </row>
    <row r="426">
      <c r="A426" t="inlineStr">
        <is>
          <t>T-0230</t>
        </is>
      </c>
      <c r="B426" t="inlineStr">
        <is>
          <t>Indraprastha Gas (IGL)</t>
        </is>
      </c>
      <c r="C426" t="inlineStr">
        <is>
          <t>Indraprastha Gas (IGL)</t>
        </is>
      </c>
      <c r="F426" t="inlineStr">
        <is>
          <t>New Lead</t>
        </is>
      </c>
      <c r="H426" t="inlineStr">
        <is>
          <t>Replies to Pre Bid Queries_CM18611.pdf</t>
        </is>
      </c>
      <c r="K426" t="inlineStr">
        <is>
          <t>Not found</t>
        </is>
      </c>
      <c r="L426" t="inlineStr">
        <is>
          <t>Unknown</t>
        </is>
      </c>
      <c r="T426" t="inlineStr">
        <is>
          <t>https://tenders.iglonline.net/uploads/tender/Replies to Pre Bid Queries_CM18611.pdf</t>
        </is>
      </c>
      <c r="U426" t="inlineStr">
        <is>
          <t>No</t>
        </is>
      </c>
      <c r="V426" t="inlineStr">
        <is>
          <t>Bot tarafindan tespit edildi (2026-07-01)</t>
        </is>
      </c>
    </row>
    <row r="427">
      <c r="A427" t="inlineStr">
        <is>
          <t>T-0231</t>
        </is>
      </c>
      <c r="B427" t="inlineStr">
        <is>
          <t>Indraprastha Gas (IGL)</t>
        </is>
      </c>
      <c r="C427" t="inlineStr">
        <is>
          <t>Indraprastha Gas (IGL)</t>
        </is>
      </c>
      <c r="F427" t="inlineStr">
        <is>
          <t>New Lead</t>
        </is>
      </c>
      <c r="H427" t="inlineStr">
        <is>
          <t>View Tender</t>
        </is>
      </c>
      <c r="K427" t="inlineStr">
        <is>
          <t>Not found</t>
        </is>
      </c>
      <c r="L427" t="inlineStr">
        <is>
          <t>Unknown</t>
        </is>
      </c>
      <c r="T427" t="inlineStr">
        <is>
          <t>https://tenders.iglonline.net/tenderDetail/470/Active Tenders And Corrigendum-Addendum</t>
        </is>
      </c>
      <c r="U427" t="inlineStr">
        <is>
          <t>No</t>
        </is>
      </c>
      <c r="V427" t="inlineStr">
        <is>
          <t>Bot tarafindan tespit edildi (2026-07-01)</t>
        </is>
      </c>
    </row>
    <row r="428">
      <c r="A428" t="inlineStr">
        <is>
          <t>T-0232</t>
        </is>
      </c>
      <c r="B428" t="inlineStr">
        <is>
          <t>Indraprastha Gas (IGL)</t>
        </is>
      </c>
      <c r="C428" t="inlineStr">
        <is>
          <t>Indraprastha Gas (IGL)</t>
        </is>
      </c>
      <c r="F428" t="inlineStr">
        <is>
          <t>New Lead</t>
        </is>
      </c>
      <c r="H428" t="inlineStr">
        <is>
          <t>Corrigendum - I_Cp18569.pdf</t>
        </is>
      </c>
      <c r="K428" t="inlineStr">
        <is>
          <t>Not found</t>
        </is>
      </c>
      <c r="L428" t="inlineStr">
        <is>
          <t>Unknown</t>
        </is>
      </c>
      <c r="T428" t="inlineStr">
        <is>
          <t>https://tenders.iglonline.net/uploads/tender/Corrigendum - I_Cp18569.pdf</t>
        </is>
      </c>
      <c r="U428" t="inlineStr">
        <is>
          <t>No</t>
        </is>
      </c>
      <c r="V428" t="inlineStr">
        <is>
          <t>Bot tarafindan tespit edildi (2026-07-01)</t>
        </is>
      </c>
    </row>
    <row r="429">
      <c r="A429" t="inlineStr">
        <is>
          <t>T-0233</t>
        </is>
      </c>
      <c r="B429" t="inlineStr">
        <is>
          <t>Indraprastha Gas (IGL)</t>
        </is>
      </c>
      <c r="C429" t="inlineStr">
        <is>
          <t>Indraprastha Gas (IGL)</t>
        </is>
      </c>
      <c r="F429" t="inlineStr">
        <is>
          <t>New Lead</t>
        </is>
      </c>
      <c r="H429" t="inlineStr">
        <is>
          <t>Corrigendum_2_CP18569.pdf</t>
        </is>
      </c>
      <c r="K429" t="inlineStr">
        <is>
          <t>Not found</t>
        </is>
      </c>
      <c r="L429" t="inlineStr">
        <is>
          <t>Unknown</t>
        </is>
      </c>
      <c r="T429" t="inlineStr">
        <is>
          <t>https://tenders.iglonline.net/uploads/tender/Corrigendum_2_CP18569.pdf</t>
        </is>
      </c>
      <c r="U429" t="inlineStr">
        <is>
          <t>No</t>
        </is>
      </c>
      <c r="V429" t="inlineStr">
        <is>
          <t>Bot tarafindan tespit edildi (2026-07-01)</t>
        </is>
      </c>
    </row>
    <row r="430">
      <c r="A430" t="inlineStr">
        <is>
          <t>T-0234</t>
        </is>
      </c>
      <c r="B430" t="inlineStr">
        <is>
          <t>Indraprastha Gas (IGL)</t>
        </is>
      </c>
      <c r="C430" t="inlineStr">
        <is>
          <t>Indraprastha Gas (IGL)</t>
        </is>
      </c>
      <c r="F430" t="inlineStr">
        <is>
          <t>New Lead</t>
        </is>
      </c>
      <c r="H430" t="inlineStr">
        <is>
          <t>View Tender</t>
        </is>
      </c>
      <c r="K430" t="inlineStr">
        <is>
          <t>Not found</t>
        </is>
      </c>
      <c r="L430" t="inlineStr">
        <is>
          <t>Unknown</t>
        </is>
      </c>
      <c r="T430" t="inlineStr">
        <is>
          <t>https://tenders.iglonline.net/tenderDetail/469/Active Tenders And Corrigendum-Addendum</t>
        </is>
      </c>
      <c r="U430" t="inlineStr">
        <is>
          <t>No</t>
        </is>
      </c>
      <c r="V430" t="inlineStr">
        <is>
          <t>Bot tarafindan tespit edildi (2026-07-01)</t>
        </is>
      </c>
    </row>
    <row r="431">
      <c r="A431" t="inlineStr">
        <is>
          <t>T-0235</t>
        </is>
      </c>
      <c r="B431" t="inlineStr">
        <is>
          <t>Indraprastha Gas (IGL)</t>
        </is>
      </c>
      <c r="C431" t="inlineStr">
        <is>
          <t>Indraprastha Gas (IGL)</t>
        </is>
      </c>
      <c r="F431" t="inlineStr">
        <is>
          <t>New Lead</t>
        </is>
      </c>
      <c r="G431" t="inlineStr">
        <is>
          <t>Gas-related / review</t>
        </is>
      </c>
      <c r="H431" t="inlineStr">
        <is>
          <t>Corrigendum_ I_CC18620.pdf</t>
        </is>
      </c>
      <c r="K431" t="inlineStr">
        <is>
          <t>Not found</t>
        </is>
      </c>
      <c r="L431" t="inlineStr">
        <is>
          <t>Unknown</t>
        </is>
      </c>
      <c r="T431" t="inlineStr">
        <is>
          <t>https://tenders.iglonline.net/uploads/tender/Corrigendum_ I_CC18620.pdf</t>
        </is>
      </c>
      <c r="U431" t="inlineStr">
        <is>
          <t>No</t>
        </is>
      </c>
      <c r="V431" t="inlineStr">
        <is>
          <t>Bot tarafindan tespit edildi (2026-07-01); Bot tespit/zenginlestirme (2026-07-01); meta:score=35;priority=Low;source_type=html_table;closing_date=;equipment=Gas-related / review;reasons=equipment:Gas-related / review,document source</t>
        </is>
      </c>
    </row>
    <row r="432">
      <c r="A432" t="inlineStr">
        <is>
          <t>T-0236</t>
        </is>
      </c>
      <c r="B432" t="inlineStr">
        <is>
          <t>Indraprastha Gas (IGL)</t>
        </is>
      </c>
      <c r="C432" t="inlineStr">
        <is>
          <t>Indraprastha Gas (IGL)</t>
        </is>
      </c>
      <c r="F432" t="inlineStr">
        <is>
          <t>New Lead</t>
        </is>
      </c>
      <c r="G432" t="inlineStr">
        <is>
          <t>Gas-related / review</t>
        </is>
      </c>
      <c r="H432" t="inlineStr">
        <is>
          <t>Corrigendum_ II_CC18620.pdf</t>
        </is>
      </c>
      <c r="K432" t="inlineStr">
        <is>
          <t>Not found</t>
        </is>
      </c>
      <c r="L432" t="inlineStr">
        <is>
          <t>Unknown</t>
        </is>
      </c>
      <c r="T432" t="inlineStr">
        <is>
          <t>https://tenders.iglonline.net/uploads/tender/Corrigendum_ II_CC18620.pdf</t>
        </is>
      </c>
      <c r="U432" t="inlineStr">
        <is>
          <t>No</t>
        </is>
      </c>
      <c r="V432" t="inlineStr">
        <is>
          <t>Bot tarafindan tespit edildi (2026-07-01); Bot tespit/zenginlestirme (2026-07-01); meta:score=35;priority=Low;source_type=html_table;closing_date=;equipment=Gas-related / review;reasons=equipment:Gas-related / review,document source</t>
        </is>
      </c>
    </row>
    <row r="433">
      <c r="A433" t="inlineStr">
        <is>
          <t>T-0237</t>
        </is>
      </c>
      <c r="B433" t="inlineStr">
        <is>
          <t>Indraprastha Gas (IGL)</t>
        </is>
      </c>
      <c r="C433" t="inlineStr">
        <is>
          <t>Indraprastha Gas (IGL)</t>
        </is>
      </c>
      <c r="F433" t="inlineStr">
        <is>
          <t>New Lead</t>
        </is>
      </c>
      <c r="G433" t="inlineStr">
        <is>
          <t>Gas-related / review</t>
        </is>
      </c>
      <c r="H433" t="inlineStr">
        <is>
          <t>RTBQ-1 350 SCMH-CC18620.pdf</t>
        </is>
      </c>
      <c r="K433" t="inlineStr">
        <is>
          <t>Not found</t>
        </is>
      </c>
      <c r="L433" t="inlineStr">
        <is>
          <t>Unknown</t>
        </is>
      </c>
      <c r="T433" t="inlineStr">
        <is>
          <t>https://tenders.iglonline.net/uploads/tender/RTBQ-1 350 SCMH-CC18620.pdf</t>
        </is>
      </c>
      <c r="U433" t="inlineStr">
        <is>
          <t>No</t>
        </is>
      </c>
      <c r="V433" t="inlineStr">
        <is>
          <t>Bot tarafindan tespit edildi (2026-07-01); Bot tespit/zenginlestirme (2026-07-01); meta:score=35;priority=Low;source_type=html_table;closing_date=;equipment=Gas-related / review;reasons=equipment:Gas-related / review,document source</t>
        </is>
      </c>
    </row>
    <row r="434">
      <c r="A434" t="inlineStr">
        <is>
          <t>T-0238</t>
        </is>
      </c>
      <c r="B434" t="inlineStr">
        <is>
          <t>Indraprastha Gas (IGL)</t>
        </is>
      </c>
      <c r="C434" t="inlineStr">
        <is>
          <t>Indraprastha Gas (IGL)</t>
        </is>
      </c>
      <c r="F434" t="inlineStr">
        <is>
          <t>New Lead</t>
        </is>
      </c>
      <c r="G434" t="inlineStr">
        <is>
          <t>Gas-related / review</t>
        </is>
      </c>
      <c r="H434" t="inlineStr">
        <is>
          <t>Corrigendum_for_PBO_CC18620.pdf</t>
        </is>
      </c>
      <c r="K434" t="inlineStr">
        <is>
          <t>Not found</t>
        </is>
      </c>
      <c r="L434" t="inlineStr">
        <is>
          <t>Unknown</t>
        </is>
      </c>
      <c r="T434" t="inlineStr">
        <is>
          <t>https://tenders.iglonline.net/uploads/tender/Corrigendum_for_PBO_CC18620.pdf</t>
        </is>
      </c>
      <c r="U434" t="inlineStr">
        <is>
          <t>No</t>
        </is>
      </c>
      <c r="V434" t="inlineStr">
        <is>
          <t>Bot tarafindan tespit edildi (2026-07-01); Bot tespit/zenginlestirme (2026-07-01); meta:score=35;priority=Low;source_type=html_table;closing_date=;equipment=Gas-related / review;reasons=equipment:Gas-related / review,document source</t>
        </is>
      </c>
    </row>
    <row r="435">
      <c r="A435" t="inlineStr">
        <is>
          <t>T-0239</t>
        </is>
      </c>
      <c r="B435" t="inlineStr">
        <is>
          <t>Indraprastha Gas (IGL)</t>
        </is>
      </c>
      <c r="C435" t="inlineStr">
        <is>
          <t>Indraprastha Gas (IGL)</t>
        </is>
      </c>
      <c r="F435" t="inlineStr">
        <is>
          <t>New Lead</t>
        </is>
      </c>
      <c r="H435" t="inlineStr">
        <is>
          <t>View Tender</t>
        </is>
      </c>
      <c r="K435" t="inlineStr">
        <is>
          <t>Not found</t>
        </is>
      </c>
      <c r="L435" t="inlineStr">
        <is>
          <t>Unknown</t>
        </is>
      </c>
      <c r="T435" t="inlineStr">
        <is>
          <t>https://tenders.iglonline.net/tenderDetail/468/Active Tenders And Corrigendum-Addendum</t>
        </is>
      </c>
      <c r="U435" t="inlineStr">
        <is>
          <t>No</t>
        </is>
      </c>
      <c r="V435" t="inlineStr">
        <is>
          <t>Bot tarafindan tespit edildi (2026-07-01)</t>
        </is>
      </c>
    </row>
    <row r="436">
      <c r="A436" t="inlineStr">
        <is>
          <t>T-0240</t>
        </is>
      </c>
      <c r="B436" t="inlineStr">
        <is>
          <t>Indraprastha Gas (IGL)</t>
        </is>
      </c>
      <c r="C436" t="inlineStr">
        <is>
          <t>Indraprastha Gas (IGL)</t>
        </is>
      </c>
      <c r="D436" t="inlineStr">
        <is>
          <t>IGL/ET2/CP/CC18565</t>
        </is>
      </c>
      <c r="F436" t="inlineStr">
        <is>
          <t>New Lead</t>
        </is>
      </c>
      <c r="G436" t="inlineStr">
        <is>
          <t>Gas-related / review</t>
        </is>
      </c>
      <c r="H436" t="inlineStr">
        <is>
          <t>Corrigendum-I-CC18565.pdf</t>
        </is>
      </c>
      <c r="K436" t="inlineStr">
        <is>
          <t>Not found</t>
        </is>
      </c>
      <c r="L436" t="inlineStr">
        <is>
          <t>Unknown</t>
        </is>
      </c>
      <c r="T436" t="inlineStr">
        <is>
          <t>https://tenders.iglonline.net/uploads/tender/Corrigendum-I-CC18565.pdf</t>
        </is>
      </c>
      <c r="U436" t="inlineStr">
        <is>
          <t>No</t>
        </is>
      </c>
      <c r="V436" t="inlineStr">
        <is>
          <t>Bot tarafindan tespit edildi (2026-07-01); Bot tespit/zenginlestirme (2026-07-01); meta:score=55;priority=Medium;source_type=html_table;closing_date=;equipment=Gas-related / review;reasons=equipment:Gas-related / review,document source,quantity signal</t>
        </is>
      </c>
    </row>
    <row r="437">
      <c r="A437" t="inlineStr">
        <is>
          <t>T-0241</t>
        </is>
      </c>
      <c r="B437" t="inlineStr">
        <is>
          <t>Indraprastha Gas (IGL)</t>
        </is>
      </c>
      <c r="C437" t="inlineStr">
        <is>
          <t>Indraprastha Gas (IGL)</t>
        </is>
      </c>
      <c r="D437" t="inlineStr">
        <is>
          <t>IGL/ET2/CP/CC18565</t>
        </is>
      </c>
      <c r="F437" t="inlineStr">
        <is>
          <t>New Lead</t>
        </is>
      </c>
      <c r="G437" t="inlineStr">
        <is>
          <t>Gas-related / review</t>
        </is>
      </c>
      <c r="H437" t="inlineStr">
        <is>
          <t>RTBQ_CC18565.pdf</t>
        </is>
      </c>
      <c r="K437" t="inlineStr">
        <is>
          <t>shall submit structural drawing of the frame giving details of the steel, welding</t>
        </is>
      </c>
      <c r="L437" t="inlineStr">
        <is>
          <t>Unknown</t>
        </is>
      </c>
      <c r="M437" t="n">
        <v>184723000</v>
      </c>
      <c r="T437" t="inlineStr">
        <is>
          <t>https://tenders.iglonline.net/uploads/tender/RTBQ_CC18565.pdf</t>
        </is>
      </c>
      <c r="U437" t="inlineStr">
        <is>
          <t>No</t>
        </is>
      </c>
      <c r="V437" t="inlineStr">
        <is>
          <t>Bot tarafindan tespit edildi (2026-07-01); Bot tespit/zenginlestirme (2026-07-01); meta:score=55;priority=Medium;source_type=html_table;closing_date=;equipment=Gas-related / review;reasons=equipment:Gas-related / review,document source,quantity signal</t>
        </is>
      </c>
    </row>
    <row r="438">
      <c r="A438" t="inlineStr">
        <is>
          <t>T-0242</t>
        </is>
      </c>
      <c r="B438" t="inlineStr">
        <is>
          <t>Indraprastha Gas (IGL)</t>
        </is>
      </c>
      <c r="C438" t="inlineStr">
        <is>
          <t>Indraprastha Gas (IGL)</t>
        </is>
      </c>
      <c r="D438" t="inlineStr">
        <is>
          <t>IGL/ET2/CP/CC18565</t>
        </is>
      </c>
      <c r="F438" t="inlineStr">
        <is>
          <t>New Lead</t>
        </is>
      </c>
      <c r="G438" t="inlineStr">
        <is>
          <t>Gas-related / review</t>
        </is>
      </c>
      <c r="H438" t="inlineStr">
        <is>
          <t>Corrigendum_ II_CC18565.pdf</t>
        </is>
      </c>
      <c r="K438" t="inlineStr">
        <is>
          <t>Not found</t>
        </is>
      </c>
      <c r="L438" t="inlineStr">
        <is>
          <t>Unknown</t>
        </is>
      </c>
      <c r="T438" t="inlineStr">
        <is>
          <t>https://tenders.iglonline.net/uploads/tender/Corrigendum_ II_CC18565.pdf</t>
        </is>
      </c>
      <c r="U438" t="inlineStr">
        <is>
          <t>No</t>
        </is>
      </c>
      <c r="V438" t="inlineStr">
        <is>
          <t>Bot tarafindan tespit edildi (2026-07-01); Bot tespit/zenginlestirme (2026-07-01); meta:score=55;priority=Medium;source_type=html_table;closing_date=;equipment=Gas-related / review;reasons=equipment:Gas-related / review,document source,quantity signal</t>
        </is>
      </c>
    </row>
    <row r="439">
      <c r="A439" t="inlineStr">
        <is>
          <t>T-0243</t>
        </is>
      </c>
      <c r="B439" t="inlineStr">
        <is>
          <t>Indraprastha Gas (IGL)</t>
        </is>
      </c>
      <c r="C439" t="inlineStr">
        <is>
          <t>Indraprastha Gas (IGL)</t>
        </is>
      </c>
      <c r="F439" t="inlineStr">
        <is>
          <t>New Lead</t>
        </is>
      </c>
      <c r="H439" t="inlineStr">
        <is>
          <t>View Tender</t>
        </is>
      </c>
      <c r="K439" t="inlineStr">
        <is>
          <t>Not found</t>
        </is>
      </c>
      <c r="L439" t="inlineStr">
        <is>
          <t>Unknown</t>
        </is>
      </c>
      <c r="T439" t="inlineStr">
        <is>
          <t>https://tenders.iglonline.net/tenderDetail/467/Active Tenders And Corrigendum-Addendum</t>
        </is>
      </c>
      <c r="U439" t="inlineStr">
        <is>
          <t>No</t>
        </is>
      </c>
      <c r="V439" t="inlineStr">
        <is>
          <t>Bot tarafindan tespit edildi (2026-07-01)</t>
        </is>
      </c>
    </row>
    <row r="440">
      <c r="A440" t="inlineStr">
        <is>
          <t>T-0244</t>
        </is>
      </c>
      <c r="B440" t="inlineStr">
        <is>
          <t>Indraprastha Gas (IGL)</t>
        </is>
      </c>
      <c r="C440" t="inlineStr">
        <is>
          <t>Indraprastha Gas (IGL)</t>
        </is>
      </c>
      <c r="F440" t="inlineStr">
        <is>
          <t>New Lead</t>
        </is>
      </c>
      <c r="G440" t="inlineStr">
        <is>
          <t>Gas-related / review</t>
        </is>
      </c>
      <c r="H440" t="inlineStr">
        <is>
          <t>Corrigendum_for_PBO_CC18605.pdf</t>
        </is>
      </c>
      <c r="K440" t="inlineStr">
        <is>
          <t>Not found</t>
        </is>
      </c>
      <c r="L440" t="inlineStr">
        <is>
          <t>Unknown</t>
        </is>
      </c>
      <c r="T440" t="inlineStr">
        <is>
          <t>https://tenders.iglonline.net/uploads/tender/Corrigendum_for_PBO_CC18605.pdf</t>
        </is>
      </c>
      <c r="U440" t="inlineStr">
        <is>
          <t>No</t>
        </is>
      </c>
      <c r="V440" t="inlineStr">
        <is>
          <t>Bot tarafindan tespit edildi (2026-07-01); Bot tespit/zenginlestirme (2026-07-01); meta:score=35;priority=Low;source_type=html_table;closing_date=;equipment=Gas-related / review;reasons=equipment:Gas-related / review,document source</t>
        </is>
      </c>
    </row>
    <row r="441">
      <c r="A441" t="inlineStr">
        <is>
          <t>T-0245</t>
        </is>
      </c>
      <c r="B441" t="inlineStr">
        <is>
          <t>Indraprastha Gas (IGL)</t>
        </is>
      </c>
      <c r="C441" t="inlineStr">
        <is>
          <t>Indraprastha Gas (IGL)</t>
        </is>
      </c>
      <c r="F441" t="inlineStr">
        <is>
          <t>New Lead</t>
        </is>
      </c>
      <c r="H441" t="inlineStr">
        <is>
          <t>View Tender</t>
        </is>
      </c>
      <c r="K441" t="inlineStr">
        <is>
          <t>Not found</t>
        </is>
      </c>
      <c r="L441" t="inlineStr">
        <is>
          <t>Unknown</t>
        </is>
      </c>
      <c r="T441" t="inlineStr">
        <is>
          <t>https://tenders.iglonline.net/tenderDetail/466/Active Tenders And Corrigendum-Addendum</t>
        </is>
      </c>
      <c r="U441" t="inlineStr">
        <is>
          <t>No</t>
        </is>
      </c>
      <c r="V441" t="inlineStr">
        <is>
          <t>Bot tarafindan tespit edildi (2026-07-01)</t>
        </is>
      </c>
    </row>
    <row r="442">
      <c r="A442" t="inlineStr">
        <is>
          <t>T-0246</t>
        </is>
      </c>
      <c r="B442" t="inlineStr">
        <is>
          <t>Indraprastha Gas (IGL)</t>
        </is>
      </c>
      <c r="C442" t="inlineStr">
        <is>
          <t>Indraprastha Gas (IGL)</t>
        </is>
      </c>
      <c r="F442" t="inlineStr">
        <is>
          <t>New Lead</t>
        </is>
      </c>
      <c r="H442" t="inlineStr">
        <is>
          <t>View Tender</t>
        </is>
      </c>
      <c r="K442" t="inlineStr">
        <is>
          <t>Not found</t>
        </is>
      </c>
      <c r="L442" t="inlineStr">
        <is>
          <t>Unknown</t>
        </is>
      </c>
      <c r="T442" t="inlineStr">
        <is>
          <t>https://tenders.iglonline.net/tenderDetail/465/Active Tenders And Corrigendum-Addendum</t>
        </is>
      </c>
      <c r="U442" t="inlineStr">
        <is>
          <t>No</t>
        </is>
      </c>
      <c r="V442" t="inlineStr">
        <is>
          <t>Bot tarafindan tespit edildi (2026-07-01)</t>
        </is>
      </c>
    </row>
    <row r="443">
      <c r="A443" t="inlineStr">
        <is>
          <t>T-0247</t>
        </is>
      </c>
      <c r="B443" t="inlineStr">
        <is>
          <t>Indraprastha Gas (IGL)</t>
        </is>
      </c>
      <c r="C443" t="inlineStr">
        <is>
          <t>Indraprastha Gas (IGL)</t>
        </is>
      </c>
      <c r="F443" t="inlineStr">
        <is>
          <t>New Lead</t>
        </is>
      </c>
      <c r="G443" t="inlineStr">
        <is>
          <t>Gas-related / review</t>
        </is>
      </c>
      <c r="H443" t="inlineStr">
        <is>
          <t>RTBQ_CC18588_with drawings.pdf</t>
        </is>
      </c>
      <c r="K443" t="inlineStr">
        <is>
          <t>Not found</t>
        </is>
      </c>
      <c r="L443" t="inlineStr">
        <is>
          <t>Unknown</t>
        </is>
      </c>
      <c r="T443" t="inlineStr">
        <is>
          <t>https://tenders.iglonline.net/uploads/tender/RTBQ_CC18588_with drawings.pdf</t>
        </is>
      </c>
      <c r="U443" t="inlineStr">
        <is>
          <t>No</t>
        </is>
      </c>
      <c r="V443" t="inlineStr">
        <is>
          <t>Bot tarafindan tespit edildi (2026-07-01); Bot tespit/zenginlestirme (2026-07-01); meta:score=35;priority=Low;source_type=html_table;closing_date=;equipment=Gas-related / review;reasons=equipment:Gas-related / review,document source</t>
        </is>
      </c>
    </row>
    <row r="444">
      <c r="A444" t="inlineStr">
        <is>
          <t>T-0248</t>
        </is>
      </c>
      <c r="B444" t="inlineStr">
        <is>
          <t>Indraprastha Gas (IGL)</t>
        </is>
      </c>
      <c r="C444" t="inlineStr">
        <is>
          <t>Indraprastha Gas (IGL)</t>
        </is>
      </c>
      <c r="F444" t="inlineStr">
        <is>
          <t>New Lead</t>
        </is>
      </c>
      <c r="G444" t="inlineStr">
        <is>
          <t>Gas-related / review</t>
        </is>
      </c>
      <c r="H444" t="inlineStr">
        <is>
          <t>Corrigendum_I_CC18588.pdf</t>
        </is>
      </c>
      <c r="K444" t="inlineStr">
        <is>
          <t>Not found</t>
        </is>
      </c>
      <c r="L444" t="inlineStr">
        <is>
          <t>Unknown</t>
        </is>
      </c>
      <c r="T444" t="inlineStr">
        <is>
          <t>https://tenders.iglonline.net/uploads/tender/Corrigendum_I_CC18588.pdf</t>
        </is>
      </c>
      <c r="U444" t="inlineStr">
        <is>
          <t>No</t>
        </is>
      </c>
      <c r="V444" t="inlineStr">
        <is>
          <t>Bot tarafindan tespit edildi (2026-07-01); Bot tespit/zenginlestirme (2026-07-01); meta:score=35;priority=Low;source_type=html_table;closing_date=;equipment=Gas-related / review;reasons=equipment:Gas-related / review,document source</t>
        </is>
      </c>
    </row>
    <row r="445">
      <c r="A445" t="inlineStr">
        <is>
          <t>T-0249</t>
        </is>
      </c>
      <c r="B445" t="inlineStr">
        <is>
          <t>Indraprastha Gas (IGL)</t>
        </is>
      </c>
      <c r="C445" t="inlineStr">
        <is>
          <t>Indraprastha Gas (IGL)</t>
        </is>
      </c>
      <c r="F445" t="inlineStr">
        <is>
          <t>New Lead</t>
        </is>
      </c>
      <c r="H445" t="inlineStr">
        <is>
          <t>View Tender</t>
        </is>
      </c>
      <c r="K445" t="inlineStr">
        <is>
          <t>Not found</t>
        </is>
      </c>
      <c r="L445" t="inlineStr">
        <is>
          <t>Unknown</t>
        </is>
      </c>
      <c r="T445" t="inlineStr">
        <is>
          <t>https://tenders.iglonline.net/tenderDetail/464/Active Tenders And Corrigendum-Addendum</t>
        </is>
      </c>
      <c r="U445" t="inlineStr">
        <is>
          <t>No</t>
        </is>
      </c>
      <c r="V445" t="inlineStr">
        <is>
          <t>Bot tarafindan tespit edildi (2026-07-01)</t>
        </is>
      </c>
    </row>
    <row r="446">
      <c r="A446" t="inlineStr">
        <is>
          <t>T-0250</t>
        </is>
      </c>
      <c r="B446" t="inlineStr">
        <is>
          <t>Indraprastha Gas (IGL)</t>
        </is>
      </c>
      <c r="C446" t="inlineStr">
        <is>
          <t>Indraprastha Gas (IGL)</t>
        </is>
      </c>
      <c r="F446" t="inlineStr">
        <is>
          <t>New Lead</t>
        </is>
      </c>
      <c r="G446" t="inlineStr">
        <is>
          <t>Gas-related / review</t>
        </is>
      </c>
      <c r="H446" t="inlineStr">
        <is>
          <t>Corrigendum_I_CC18552.pdf</t>
        </is>
      </c>
      <c r="K446" t="inlineStr">
        <is>
          <t>Not found</t>
        </is>
      </c>
      <c r="L446" t="inlineStr">
        <is>
          <t>Unknown</t>
        </is>
      </c>
      <c r="T446" t="inlineStr">
        <is>
          <t>https://tenders.iglonline.net/uploads/tender/Corrigendum_I_CC18552.pdf</t>
        </is>
      </c>
      <c r="U446" t="inlineStr">
        <is>
          <t>No</t>
        </is>
      </c>
      <c r="V446" t="inlineStr">
        <is>
          <t>Bot tarafindan tespit edildi (2026-07-01); Bot tespit/zenginlestirme (2026-07-01); meta:score=35;priority=Low;source_type=html_table;closing_date=;equipment=Gas-related / review;reasons=equipment:Gas-related / review,document source</t>
        </is>
      </c>
    </row>
    <row r="447">
      <c r="A447" t="inlineStr">
        <is>
          <t>T-0251</t>
        </is>
      </c>
      <c r="B447" t="inlineStr">
        <is>
          <t>Indraprastha Gas (IGL)</t>
        </is>
      </c>
      <c r="C447" t="inlineStr">
        <is>
          <t>Indraprastha Gas (IGL)</t>
        </is>
      </c>
      <c r="F447" t="inlineStr">
        <is>
          <t>New Lead</t>
        </is>
      </c>
      <c r="G447" t="inlineStr">
        <is>
          <t>Gas-related / review</t>
        </is>
      </c>
      <c r="H447" t="inlineStr">
        <is>
          <t>RTBQ_CC18552.pdf</t>
        </is>
      </c>
      <c r="K447" t="inlineStr">
        <is>
          <t>Not found</t>
        </is>
      </c>
      <c r="L447" t="inlineStr">
        <is>
          <t>Unknown</t>
        </is>
      </c>
      <c r="T447" t="inlineStr">
        <is>
          <t>https://tenders.iglonline.net/uploads/tender/RTBQ_CC18552.pdf</t>
        </is>
      </c>
      <c r="U447" t="inlineStr">
        <is>
          <t>No</t>
        </is>
      </c>
      <c r="V447" t="inlineStr">
        <is>
          <t>Bot tarafindan tespit edildi (2026-07-01); Bot tespit/zenginlestirme (2026-07-01); meta:score=35;priority=Low;source_type=html_table;closing_date=;equipment=Gas-related / review;reasons=equipment:Gas-related / review,document source</t>
        </is>
      </c>
    </row>
    <row r="448">
      <c r="A448" t="inlineStr">
        <is>
          <t>T-0252</t>
        </is>
      </c>
      <c r="B448" t="inlineStr">
        <is>
          <t>Indraprastha Gas (IGL)</t>
        </is>
      </c>
      <c r="C448" t="inlineStr">
        <is>
          <t>Indraprastha Gas (IGL)</t>
        </is>
      </c>
      <c r="F448" t="inlineStr">
        <is>
          <t>New Lead</t>
        </is>
      </c>
      <c r="G448" t="inlineStr">
        <is>
          <t>Gas-related / review</t>
        </is>
      </c>
      <c r="H448" t="inlineStr">
        <is>
          <t>RTBQ IIunibtemp_CC18552.pdf</t>
        </is>
      </c>
      <c r="K448" t="inlineStr">
        <is>
          <t>Not found</t>
        </is>
      </c>
      <c r="L448" t="inlineStr">
        <is>
          <t>Unknown</t>
        </is>
      </c>
      <c r="T448" t="inlineStr">
        <is>
          <t>https://tenders.iglonline.net/uploads/tender/RTBQ IIunibtemp_CC18552.pdf</t>
        </is>
      </c>
      <c r="U448" t="inlineStr">
        <is>
          <t>No</t>
        </is>
      </c>
      <c r="V448" t="inlineStr">
        <is>
          <t>Bot tarafindan tespit edildi (2026-07-01); Bot tespit/zenginlestirme (2026-07-01); meta:score=35;priority=Low;source_type=html_table;closing_date=;equipment=Gas-related / review;reasons=equipment:Gas-related / review,document source</t>
        </is>
      </c>
    </row>
    <row r="449">
      <c r="A449" t="inlineStr">
        <is>
          <t>T-0253</t>
        </is>
      </c>
      <c r="B449" t="inlineStr">
        <is>
          <t>Indraprastha Gas (IGL)</t>
        </is>
      </c>
      <c r="C449" t="inlineStr">
        <is>
          <t>Indraprastha Gas (IGL)</t>
        </is>
      </c>
      <c r="F449" t="inlineStr">
        <is>
          <t>New Lead</t>
        </is>
      </c>
      <c r="G449" t="inlineStr">
        <is>
          <t>Gas-related / review</t>
        </is>
      </c>
      <c r="H449" t="inlineStr">
        <is>
          <t>RTBQ_III_CC18552.pdf</t>
        </is>
      </c>
      <c r="K449" t="inlineStr">
        <is>
          <t>Not found</t>
        </is>
      </c>
      <c r="L449" t="inlineStr">
        <is>
          <t>Unknown</t>
        </is>
      </c>
      <c r="T449" t="inlineStr">
        <is>
          <t>https://tenders.iglonline.net/uploads/tender/RTBQ_III_CC18552.pdf</t>
        </is>
      </c>
      <c r="U449" t="inlineStr">
        <is>
          <t>No</t>
        </is>
      </c>
      <c r="V449" t="inlineStr">
        <is>
          <t>Bot tarafindan tespit edildi (2026-07-01); Bot tespit/zenginlestirme (2026-07-01); meta:score=35;priority=Low;source_type=html_table;closing_date=;equipment=Gas-related / review;reasons=equipment:Gas-related / review,document source</t>
        </is>
      </c>
    </row>
    <row r="450">
      <c r="A450" t="inlineStr">
        <is>
          <t>T-0254</t>
        </is>
      </c>
      <c r="B450" t="inlineStr">
        <is>
          <t>Indraprastha Gas (IGL)</t>
        </is>
      </c>
      <c r="C450" t="inlineStr">
        <is>
          <t>Indraprastha Gas (IGL)</t>
        </is>
      </c>
      <c r="F450" t="inlineStr">
        <is>
          <t>New Lead</t>
        </is>
      </c>
      <c r="H450" t="inlineStr">
        <is>
          <t>View Tender</t>
        </is>
      </c>
      <c r="K450" t="inlineStr">
        <is>
          <t>Not found</t>
        </is>
      </c>
      <c r="L450" t="inlineStr">
        <is>
          <t>Unknown</t>
        </is>
      </c>
      <c r="T450" t="inlineStr">
        <is>
          <t>https://tenders.iglonline.net/tenderDetail/463/Active Tenders And Corrigendum-Addendum</t>
        </is>
      </c>
      <c r="U450" t="inlineStr">
        <is>
          <t>No</t>
        </is>
      </c>
      <c r="V450" t="inlineStr">
        <is>
          <t>Bot tarafindan tespit edildi (2026-07-01)</t>
        </is>
      </c>
    </row>
    <row r="451">
      <c r="A451" t="inlineStr">
        <is>
          <t>T-0255</t>
        </is>
      </c>
      <c r="B451" t="inlineStr">
        <is>
          <t>Indraprastha Gas (IGL)</t>
        </is>
      </c>
      <c r="C451" t="inlineStr">
        <is>
          <t>Indraprastha Gas (IGL)</t>
        </is>
      </c>
      <c r="F451" t="inlineStr">
        <is>
          <t>New Lead</t>
        </is>
      </c>
      <c r="H451" t="inlineStr">
        <is>
          <t>View Tender</t>
        </is>
      </c>
      <c r="K451" t="inlineStr">
        <is>
          <t>Not found</t>
        </is>
      </c>
      <c r="L451" t="inlineStr">
        <is>
          <t>Unknown</t>
        </is>
      </c>
      <c r="T451" t="inlineStr">
        <is>
          <t>https://tenders.iglonline.net/tenderDetail/461/Active Tenders And Corrigendum-Addendum</t>
        </is>
      </c>
      <c r="U451" t="inlineStr">
        <is>
          <t>No</t>
        </is>
      </c>
      <c r="V451" t="inlineStr">
        <is>
          <t>Bot tarafindan tespit edildi (2026-07-01)</t>
        </is>
      </c>
    </row>
    <row r="452">
      <c r="A452" t="inlineStr">
        <is>
          <t>T-0256</t>
        </is>
      </c>
      <c r="B452" t="inlineStr">
        <is>
          <t>Indraprastha Gas (IGL)</t>
        </is>
      </c>
      <c r="C452" t="inlineStr">
        <is>
          <t>Indraprastha Gas (IGL)</t>
        </is>
      </c>
      <c r="F452" t="inlineStr">
        <is>
          <t>New Lead</t>
        </is>
      </c>
      <c r="H452" t="inlineStr">
        <is>
          <t>Corrigendum_I_CC18568.pdf</t>
        </is>
      </c>
      <c r="K452" t="inlineStr">
        <is>
          <t>Not found</t>
        </is>
      </c>
      <c r="L452" t="inlineStr">
        <is>
          <t>Unknown</t>
        </is>
      </c>
      <c r="T452" t="inlineStr">
        <is>
          <t>https://tenders.iglonline.net/uploads/tender/Corrigendum_I_CC18568.pdf</t>
        </is>
      </c>
      <c r="U452" t="inlineStr">
        <is>
          <t>No</t>
        </is>
      </c>
      <c r="V452" t="inlineStr">
        <is>
          <t>Bot tarafindan tespit edildi (2026-07-01)</t>
        </is>
      </c>
    </row>
    <row r="453">
      <c r="A453" t="inlineStr">
        <is>
          <t>T-0257</t>
        </is>
      </c>
      <c r="B453" t="inlineStr">
        <is>
          <t>Indraprastha Gas (IGL)</t>
        </is>
      </c>
      <c r="C453" t="inlineStr">
        <is>
          <t>Indraprastha Gas (IGL)</t>
        </is>
      </c>
      <c r="F453" t="inlineStr">
        <is>
          <t>New Lead</t>
        </is>
      </c>
      <c r="H453" t="inlineStr">
        <is>
          <t>RTBQ_I_CC18568.pdf</t>
        </is>
      </c>
      <c r="K453" t="inlineStr">
        <is>
          <t>Not found</t>
        </is>
      </c>
      <c r="L453" t="inlineStr">
        <is>
          <t>Unknown</t>
        </is>
      </c>
      <c r="T453" t="inlineStr">
        <is>
          <t>https://tenders.iglonline.net/uploads/tender/RTBQ_I_CC18568.pdf</t>
        </is>
      </c>
      <c r="U453" t="inlineStr">
        <is>
          <t>No</t>
        </is>
      </c>
      <c r="V453" t="inlineStr">
        <is>
          <t>Bot tarafindan tespit edildi (2026-07-01)</t>
        </is>
      </c>
    </row>
    <row r="454">
      <c r="A454" t="inlineStr">
        <is>
          <t>T-0258</t>
        </is>
      </c>
      <c r="B454" t="inlineStr">
        <is>
          <t>Indraprastha Gas (IGL)</t>
        </is>
      </c>
      <c r="C454" t="inlineStr">
        <is>
          <t>Indraprastha Gas (IGL)</t>
        </is>
      </c>
      <c r="F454" t="inlineStr">
        <is>
          <t>New Lead</t>
        </is>
      </c>
      <c r="H454" t="inlineStr">
        <is>
          <t>Corrigendum_II_CC18568.pdf</t>
        </is>
      </c>
      <c r="K454" t="inlineStr">
        <is>
          <t>Not found</t>
        </is>
      </c>
      <c r="L454" t="inlineStr">
        <is>
          <t>Unknown</t>
        </is>
      </c>
      <c r="T454" t="inlineStr">
        <is>
          <t>https://tenders.iglonline.net/uploads/tender/Corrigendum_II_CC18568.pdf</t>
        </is>
      </c>
      <c r="U454" t="inlineStr">
        <is>
          <t>No</t>
        </is>
      </c>
      <c r="V454" t="inlineStr">
        <is>
          <t>Bot tarafindan tespit edildi (2026-07-01)</t>
        </is>
      </c>
    </row>
    <row r="455">
      <c r="A455" t="inlineStr">
        <is>
          <t>T-0259</t>
        </is>
      </c>
      <c r="B455" t="inlineStr">
        <is>
          <t>Indraprastha Gas (IGL)</t>
        </is>
      </c>
      <c r="C455" t="inlineStr">
        <is>
          <t>Indraprastha Gas (IGL)</t>
        </is>
      </c>
      <c r="F455" t="inlineStr">
        <is>
          <t>New Lead</t>
        </is>
      </c>
      <c r="H455" t="inlineStr">
        <is>
          <t>Corrigendum_III_CC18568.pdf</t>
        </is>
      </c>
      <c r="K455" t="inlineStr">
        <is>
          <t>Not found</t>
        </is>
      </c>
      <c r="L455" t="inlineStr">
        <is>
          <t>Unknown</t>
        </is>
      </c>
      <c r="T455" t="inlineStr">
        <is>
          <t>https://tenders.iglonline.net/uploads/tender/Corrigendum_III_CC18568.pdf</t>
        </is>
      </c>
      <c r="U455" t="inlineStr">
        <is>
          <t>No</t>
        </is>
      </c>
      <c r="V455" t="inlineStr">
        <is>
          <t>Bot tarafindan tespit edildi (2026-07-01)</t>
        </is>
      </c>
    </row>
    <row r="456">
      <c r="A456" t="inlineStr">
        <is>
          <t>T-0260</t>
        </is>
      </c>
      <c r="B456" t="inlineStr">
        <is>
          <t>Indraprastha Gas (IGL)</t>
        </is>
      </c>
      <c r="C456" t="inlineStr">
        <is>
          <t>Indraprastha Gas (IGL)</t>
        </is>
      </c>
      <c r="F456" t="inlineStr">
        <is>
          <t>New Lead</t>
        </is>
      </c>
      <c r="H456" t="inlineStr">
        <is>
          <t>View Tender</t>
        </is>
      </c>
      <c r="K456" t="inlineStr">
        <is>
          <t>Not found</t>
        </is>
      </c>
      <c r="L456" t="inlineStr">
        <is>
          <t>Unknown</t>
        </is>
      </c>
      <c r="T456" t="inlineStr">
        <is>
          <t>https://tenders.iglonline.net/tenderDetail/460/Active Tenders And Corrigendum-Addendum</t>
        </is>
      </c>
      <c r="U456" t="inlineStr">
        <is>
          <t>No</t>
        </is>
      </c>
      <c r="V456" t="inlineStr">
        <is>
          <t>Bot tarafindan tespit edildi (2026-07-01)</t>
        </is>
      </c>
    </row>
    <row r="457">
      <c r="A457" t="inlineStr">
        <is>
          <t>T-0261</t>
        </is>
      </c>
      <c r="B457" t="inlineStr">
        <is>
          <t>Indraprastha Gas (IGL)</t>
        </is>
      </c>
      <c r="C457" t="inlineStr">
        <is>
          <t>Indraprastha Gas (IGL)</t>
        </is>
      </c>
      <c r="F457" t="inlineStr">
        <is>
          <t>New Lead</t>
        </is>
      </c>
      <c r="H457" t="inlineStr">
        <is>
          <t>Corrigendum_I_CC18571.pdf</t>
        </is>
      </c>
      <c r="K457" t="inlineStr">
        <is>
          <t>Not found</t>
        </is>
      </c>
      <c r="L457" t="inlineStr">
        <is>
          <t>Unknown</t>
        </is>
      </c>
      <c r="T457" t="inlineStr">
        <is>
          <t>https://tenders.iglonline.net/uploads/tender/Corrigendum_I_CC18571.pdf</t>
        </is>
      </c>
      <c r="U457" t="inlineStr">
        <is>
          <t>No</t>
        </is>
      </c>
      <c r="V457" t="inlineStr">
        <is>
          <t>Bot tarafindan tespit edildi (2026-07-01)</t>
        </is>
      </c>
    </row>
    <row r="458">
      <c r="A458" t="inlineStr">
        <is>
          <t>T-0262</t>
        </is>
      </c>
      <c r="B458" t="inlineStr">
        <is>
          <t>Indraprastha Gas (IGL)</t>
        </is>
      </c>
      <c r="C458" t="inlineStr">
        <is>
          <t>Indraprastha Gas (IGL)</t>
        </is>
      </c>
      <c r="F458" t="inlineStr">
        <is>
          <t>New Lead</t>
        </is>
      </c>
      <c r="H458" t="inlineStr">
        <is>
          <t>View Tender</t>
        </is>
      </c>
      <c r="K458" t="inlineStr">
        <is>
          <t>Not found</t>
        </is>
      </c>
      <c r="L458" t="inlineStr">
        <is>
          <t>Unknown</t>
        </is>
      </c>
      <c r="T458" t="inlineStr">
        <is>
          <t>https://tenders.iglonline.net/tenderDetail/459/Active Tenders And Corrigendum-Addendum</t>
        </is>
      </c>
      <c r="U458" t="inlineStr">
        <is>
          <t>No</t>
        </is>
      </c>
      <c r="V458" t="inlineStr">
        <is>
          <t>Bot tarafindan tespit edildi (2026-07-01)</t>
        </is>
      </c>
    </row>
    <row r="459">
      <c r="A459" t="inlineStr">
        <is>
          <t>T-0263</t>
        </is>
      </c>
      <c r="B459" t="inlineStr">
        <is>
          <t>Indraprastha Gas (IGL)</t>
        </is>
      </c>
      <c r="C459" t="inlineStr">
        <is>
          <t>Indraprastha Gas (IGL)</t>
        </is>
      </c>
      <c r="F459" t="inlineStr">
        <is>
          <t>New Lead</t>
        </is>
      </c>
      <c r="G459" t="inlineStr">
        <is>
          <t>Unclassified</t>
        </is>
      </c>
      <c r="H459" t="inlineStr">
        <is>
          <t>Corrigendum_I_CC18577.pdf</t>
        </is>
      </c>
      <c r="K459" t="inlineStr">
        <is>
          <t>Not found</t>
        </is>
      </c>
      <c r="L459" t="inlineStr">
        <is>
          <t>Unknown</t>
        </is>
      </c>
      <c r="T459" t="inlineStr">
        <is>
          <t>https://tenders.iglonline.net/uploads/tender/Corrigendum_I_CC18577.pdf</t>
        </is>
      </c>
      <c r="U459" t="inlineStr">
        <is>
          <t>No</t>
        </is>
      </c>
      <c r="V459" t="inlineStr">
        <is>
          <t>Bot tarafindan tespit edildi (2026-07-01); Bot tespit/zenginlestirme (2026-07-01); meta:score=40;priority=Medium;source_type=html_table;closing_date=;equipment=Unclassified;reasons=document source,quantity signal</t>
        </is>
      </c>
    </row>
    <row r="460">
      <c r="A460" t="inlineStr">
        <is>
          <t>T-0264</t>
        </is>
      </c>
      <c r="B460" t="inlineStr">
        <is>
          <t>Indraprastha Gas (IGL)</t>
        </is>
      </c>
      <c r="C460" t="inlineStr">
        <is>
          <t>Indraprastha Gas (IGL)</t>
        </is>
      </c>
      <c r="F460" t="inlineStr">
        <is>
          <t>New Lead</t>
        </is>
      </c>
      <c r="G460" t="inlineStr">
        <is>
          <t>Unclassified</t>
        </is>
      </c>
      <c r="H460" t="inlineStr">
        <is>
          <t>RTBQ_CC18577.pdf</t>
        </is>
      </c>
      <c r="K460" t="inlineStr">
        <is>
          <t>Not found</t>
        </is>
      </c>
      <c r="L460" t="inlineStr">
        <is>
          <t>Unknown</t>
        </is>
      </c>
      <c r="T460" t="inlineStr">
        <is>
          <t>https://tenders.iglonline.net/uploads/tender/RTBQ_CC18577.pdf</t>
        </is>
      </c>
      <c r="U460" t="inlineStr">
        <is>
          <t>No</t>
        </is>
      </c>
      <c r="V460" t="inlineStr">
        <is>
          <t>Bot tarafindan tespit edildi (2026-07-01); Bot tespit/zenginlestirme (2026-07-01); meta:score=40;priority=Medium;source_type=html_table;closing_date=;equipment=Unclassified;reasons=document source,quantity signal</t>
        </is>
      </c>
    </row>
    <row r="461">
      <c r="A461" t="inlineStr">
        <is>
          <t>T-0265</t>
        </is>
      </c>
      <c r="B461" t="inlineStr">
        <is>
          <t>Indraprastha Gas (IGL)</t>
        </is>
      </c>
      <c r="C461" t="inlineStr">
        <is>
          <t>Indraprastha Gas (IGL)</t>
        </is>
      </c>
      <c r="F461" t="inlineStr">
        <is>
          <t>New Lead</t>
        </is>
      </c>
      <c r="H461" t="inlineStr">
        <is>
          <t>View Tender</t>
        </is>
      </c>
      <c r="K461" t="inlineStr">
        <is>
          <t>Not found</t>
        </is>
      </c>
      <c r="L461" t="inlineStr">
        <is>
          <t>Unknown</t>
        </is>
      </c>
      <c r="T461" t="inlineStr">
        <is>
          <t>https://tenders.iglonline.net/tenderDetail/458/Active Tenders And Corrigendum-Addendum</t>
        </is>
      </c>
      <c r="U461" t="inlineStr">
        <is>
          <t>No</t>
        </is>
      </c>
      <c r="V461" t="inlineStr">
        <is>
          <t>Bot tarafindan tespit edildi (2026-07-01)</t>
        </is>
      </c>
    </row>
    <row r="462">
      <c r="A462" t="inlineStr">
        <is>
          <t>T-0266</t>
        </is>
      </c>
      <c r="B462" t="inlineStr">
        <is>
          <t>Indraprastha Gas (IGL)</t>
        </is>
      </c>
      <c r="C462" t="inlineStr">
        <is>
          <t>Indraprastha Gas (IGL)</t>
        </is>
      </c>
      <c r="D462" t="inlineStr">
        <is>
          <t>IGL/ET2/CP/CP18542</t>
        </is>
      </c>
      <c r="F462" t="inlineStr">
        <is>
          <t>New Lead</t>
        </is>
      </c>
      <c r="G462" t="inlineStr">
        <is>
          <t>Unclassified</t>
        </is>
      </c>
      <c r="H462" t="inlineStr">
        <is>
          <t>RTBQ_CP18542.pdf</t>
        </is>
      </c>
      <c r="K462" t="inlineStr">
        <is>
          <t>shall supply spares and consumables required as part of 3 Tech</t>
        </is>
      </c>
      <c r="L462" t="inlineStr">
        <is>
          <t>Unknown</t>
        </is>
      </c>
      <c r="T462" t="inlineStr">
        <is>
          <t>https://tenders.iglonline.net/uploads/tender/RTBQ_CP18542.pdf</t>
        </is>
      </c>
      <c r="U462" t="inlineStr">
        <is>
          <t>No</t>
        </is>
      </c>
      <c r="V462" t="inlineStr">
        <is>
          <t>Bot tarafindan tespit edildi (2026-07-01); Bot tespit/zenginlestirme (2026-07-01); meta:score=55;priority=Medium;source_type=html_table;closing_date=;equipment=Unclassified;reasons=document source,quantity signal,tender reference signal</t>
        </is>
      </c>
    </row>
    <row r="463">
      <c r="A463" t="inlineStr">
        <is>
          <t>T-0267</t>
        </is>
      </c>
      <c r="B463" t="inlineStr">
        <is>
          <t>Indraprastha Gas (IGL)</t>
        </is>
      </c>
      <c r="C463" t="inlineStr">
        <is>
          <t>Indraprastha Gas (IGL)</t>
        </is>
      </c>
      <c r="D463" t="inlineStr">
        <is>
          <t>IGL/ET2/CP/CP18542</t>
        </is>
      </c>
      <c r="F463" t="inlineStr">
        <is>
          <t>New Lead</t>
        </is>
      </c>
      <c r="G463" t="inlineStr">
        <is>
          <t>Unclassified</t>
        </is>
      </c>
      <c r="H463" t="inlineStr">
        <is>
          <t>Corrigendum_1_CP18542.pdf</t>
        </is>
      </c>
      <c r="K463" t="inlineStr">
        <is>
          <t>Not found</t>
        </is>
      </c>
      <c r="L463" t="inlineStr">
        <is>
          <t>Unknown</t>
        </is>
      </c>
      <c r="T463" t="inlineStr">
        <is>
          <t>https://tenders.iglonline.net/uploads/tender/Corrigendum_1_CP18542.pdf</t>
        </is>
      </c>
      <c r="U463" t="inlineStr">
        <is>
          <t>No</t>
        </is>
      </c>
      <c r="V463" t="inlineStr">
        <is>
          <t>Bot tarafindan tespit edildi (2026-07-01); Bot tespit/zenginlestirme (2026-07-01); meta:score=55;priority=Medium;source_type=html_table;closing_date=;equipment=Unclassified;reasons=document source,quantity signal,tender reference signal</t>
        </is>
      </c>
    </row>
    <row r="464">
      <c r="A464" t="inlineStr">
        <is>
          <t>T-0268</t>
        </is>
      </c>
      <c r="B464" t="inlineStr">
        <is>
          <t>Indraprastha Gas (IGL)</t>
        </is>
      </c>
      <c r="C464" t="inlineStr">
        <is>
          <t>Indraprastha Gas (IGL)</t>
        </is>
      </c>
      <c r="F464" t="inlineStr">
        <is>
          <t>New Lead</t>
        </is>
      </c>
      <c r="H464" t="inlineStr">
        <is>
          <t>View Tender</t>
        </is>
      </c>
      <c r="K464" t="inlineStr">
        <is>
          <t>Not found</t>
        </is>
      </c>
      <c r="L464" t="inlineStr">
        <is>
          <t>Unknown</t>
        </is>
      </c>
      <c r="T464" t="inlineStr">
        <is>
          <t>https://tenders.iglonline.net/tenderDetail/457/Active Tenders And Corrigendum-Addendum</t>
        </is>
      </c>
      <c r="U464" t="inlineStr">
        <is>
          <t>No</t>
        </is>
      </c>
      <c r="V464" t="inlineStr">
        <is>
          <t>Bot tarafindan tespit edildi (2026-07-01)</t>
        </is>
      </c>
    </row>
    <row r="465">
      <c r="A465" t="inlineStr">
        <is>
          <t>T-0269</t>
        </is>
      </c>
      <c r="B465" t="inlineStr">
        <is>
          <t>Indraprastha Gas (IGL)</t>
        </is>
      </c>
      <c r="C465" t="inlineStr">
        <is>
          <t>Indraprastha Gas (IGL)</t>
        </is>
      </c>
      <c r="D465" t="inlineStr">
        <is>
          <t>IGL/ET2/CP/CC18554</t>
        </is>
      </c>
      <c r="F465" t="inlineStr">
        <is>
          <t>New Lead</t>
        </is>
      </c>
      <c r="G465" t="inlineStr">
        <is>
          <t>Gas-related / review</t>
        </is>
      </c>
      <c r="H465" t="inlineStr">
        <is>
          <t>RTBQ_CC18554.pdf</t>
        </is>
      </c>
      <c r="K465" t="inlineStr">
        <is>
          <t>fails to provide the required services attributed to him, then penalty per dispen</t>
        </is>
      </c>
      <c r="L465" t="inlineStr">
        <is>
          <t>Unknown</t>
        </is>
      </c>
      <c r="M465" t="n">
        <v>1500000</v>
      </c>
      <c r="T465" t="inlineStr">
        <is>
          <t>https://tenders.iglonline.net/uploads/tender/RTBQ_CC18554.pdf</t>
        </is>
      </c>
      <c r="U465" t="inlineStr">
        <is>
          <t>No</t>
        </is>
      </c>
      <c r="V465" t="inlineStr">
        <is>
          <t>Bot tarafindan tespit edildi (2026-07-01); Bot tespit/zenginlestirme (2026-07-01); meta:score=55;priority=Medium;source_type=html_table;closing_date=;equipment=Gas-related / review;reasons=equipment:Gas-related / review,document source,quantity signal</t>
        </is>
      </c>
    </row>
    <row r="466">
      <c r="A466" t="inlineStr">
        <is>
          <t>T-0270</t>
        </is>
      </c>
      <c r="B466" t="inlineStr">
        <is>
          <t>Indraprastha Gas (IGL)</t>
        </is>
      </c>
      <c r="C466" t="inlineStr">
        <is>
          <t>Indraprastha Gas (IGL)</t>
        </is>
      </c>
      <c r="D466" t="inlineStr">
        <is>
          <t>IGL/ET2/CP/CC18554</t>
        </is>
      </c>
      <c r="F466" t="inlineStr">
        <is>
          <t>New Lead</t>
        </is>
      </c>
      <c r="G466" t="inlineStr">
        <is>
          <t>Gas-related / review</t>
        </is>
      </c>
      <c r="H466" t="inlineStr">
        <is>
          <t>Corrigendum_I_CC18554.pdf</t>
        </is>
      </c>
      <c r="K466" t="inlineStr">
        <is>
          <t>Not found</t>
        </is>
      </c>
      <c r="L466" t="inlineStr">
        <is>
          <t>Unknown</t>
        </is>
      </c>
      <c r="M466" t="n">
        <v>16.09</v>
      </c>
      <c r="T466" t="inlineStr">
        <is>
          <t>https://tenders.iglonline.net/uploads/tender/Corrigendum_I_CC18554.pdf</t>
        </is>
      </c>
      <c r="U466" t="inlineStr">
        <is>
          <t>No</t>
        </is>
      </c>
      <c r="V466" t="inlineStr">
        <is>
          <t>Bot tarafindan tespit edildi (2026-07-01); Bot tespit/zenginlestirme (2026-07-01); meta:score=55;priority=Medium;source_type=html_table;closing_date=;equipment=Gas-related / review;reasons=equipment:Gas-related / review,document source,quantity signal</t>
        </is>
      </c>
    </row>
    <row r="467">
      <c r="A467" t="inlineStr">
        <is>
          <t>T-0271</t>
        </is>
      </c>
      <c r="B467" t="inlineStr">
        <is>
          <t>Indraprastha Gas (IGL)</t>
        </is>
      </c>
      <c r="C467" t="inlineStr">
        <is>
          <t>Indraprastha Gas (IGL)</t>
        </is>
      </c>
      <c r="D467" t="inlineStr">
        <is>
          <t>IGL/ET2/CP/CC18554</t>
        </is>
      </c>
      <c r="F467" t="inlineStr">
        <is>
          <t>New Lead</t>
        </is>
      </c>
      <c r="G467" t="inlineStr">
        <is>
          <t>Gas-related / review</t>
        </is>
      </c>
      <c r="H467" t="inlineStr">
        <is>
          <t>Corrigendum-II_CC18554.pdf</t>
        </is>
      </c>
      <c r="K467" t="inlineStr">
        <is>
          <t>Not found</t>
        </is>
      </c>
      <c r="L467" t="inlineStr">
        <is>
          <t>Unknown</t>
        </is>
      </c>
      <c r="M467" t="n">
        <v>18.09</v>
      </c>
      <c r="T467" t="inlineStr">
        <is>
          <t>https://tenders.iglonline.net/uploads/tender/Corrigendum-II_CC18554.pdf</t>
        </is>
      </c>
      <c r="U467" t="inlineStr">
        <is>
          <t>No</t>
        </is>
      </c>
      <c r="V467" t="inlineStr">
        <is>
          <t>Bot tarafindan tespit edildi (2026-07-01); Bot tespit/zenginlestirme (2026-07-01); meta:score=55;priority=Medium;source_type=html_table;closing_date=;equipment=Gas-related / review;reasons=equipment:Gas-related / review,document source,quantity signal</t>
        </is>
      </c>
    </row>
    <row r="468">
      <c r="A468" t="inlineStr">
        <is>
          <t>T-0272</t>
        </is>
      </c>
      <c r="B468" t="inlineStr">
        <is>
          <t>Indraprastha Gas (IGL)</t>
        </is>
      </c>
      <c r="C468" t="inlineStr">
        <is>
          <t>Indraprastha Gas (IGL)</t>
        </is>
      </c>
      <c r="D468" t="inlineStr">
        <is>
          <t>IGL/ET2/CP/CC18554</t>
        </is>
      </c>
      <c r="F468" t="inlineStr">
        <is>
          <t>New Lead</t>
        </is>
      </c>
      <c r="G468" t="inlineStr">
        <is>
          <t>Gas-related / review</t>
        </is>
      </c>
      <c r="H468" t="inlineStr">
        <is>
          <t>Corrigendum_III_CC18554.pdf</t>
        </is>
      </c>
      <c r="K468" t="inlineStr">
        <is>
          <t>Not found</t>
        </is>
      </c>
      <c r="L468" t="inlineStr">
        <is>
          <t>Unknown</t>
        </is>
      </c>
      <c r="M468" t="n">
        <v>25.09</v>
      </c>
      <c r="T468" t="inlineStr">
        <is>
          <t>https://tenders.iglonline.net/uploads/tender/Corrigendum_III_CC18554.pdf</t>
        </is>
      </c>
      <c r="U468" t="inlineStr">
        <is>
          <t>No</t>
        </is>
      </c>
      <c r="V468" t="inlineStr">
        <is>
          <t>Bot tarafindan tespit edildi (2026-07-01); Bot tespit/zenginlestirme (2026-07-01); meta:score=55;priority=Medium;source_type=html_table;closing_date=;equipment=Gas-related / review;reasons=equipment:Gas-related / review,document source,quantity signal</t>
        </is>
      </c>
    </row>
    <row r="469">
      <c r="A469" t="inlineStr">
        <is>
          <t>T-0273</t>
        </is>
      </c>
      <c r="B469" t="inlineStr">
        <is>
          <t>Indraprastha Gas (IGL)</t>
        </is>
      </c>
      <c r="C469" t="inlineStr">
        <is>
          <t>Indraprastha Gas (IGL)</t>
        </is>
      </c>
      <c r="D469" t="inlineStr">
        <is>
          <t>IGL/ET2/CP/CC18554</t>
        </is>
      </c>
      <c r="F469" t="inlineStr">
        <is>
          <t>New Lead</t>
        </is>
      </c>
      <c r="G469" t="inlineStr">
        <is>
          <t>Gas-related / review</t>
        </is>
      </c>
      <c r="H469" t="inlineStr">
        <is>
          <t>Corrigendum-IV_CC18554.pdf</t>
        </is>
      </c>
      <c r="K469" t="inlineStr">
        <is>
          <t>Not found</t>
        </is>
      </c>
      <c r="L469" t="inlineStr">
        <is>
          <t>Unknown</t>
        </is>
      </c>
      <c r="M469" t="n">
        <v>14.1</v>
      </c>
      <c r="T469" t="inlineStr">
        <is>
          <t>https://tenders.iglonline.net/uploads/tender/Corrigendum-IV_CC18554.pdf</t>
        </is>
      </c>
      <c r="U469" t="inlineStr">
        <is>
          <t>No</t>
        </is>
      </c>
      <c r="V469" t="inlineStr">
        <is>
          <t>Bot tarafindan tespit edildi (2026-07-01); Bot tespit/zenginlestirme (2026-07-01); meta:score=55;priority=Medium;source_type=html_table;closing_date=;equipment=Gas-related / review;reasons=equipment:Gas-related / review,document source,quantity signal</t>
        </is>
      </c>
    </row>
    <row r="470">
      <c r="A470" t="inlineStr">
        <is>
          <t>T-0274</t>
        </is>
      </c>
      <c r="B470" t="inlineStr">
        <is>
          <t>Indraprastha Gas (IGL)</t>
        </is>
      </c>
      <c r="C470" t="inlineStr">
        <is>
          <t>Indraprastha Gas (IGL)</t>
        </is>
      </c>
      <c r="D470" t="inlineStr">
        <is>
          <t>IGL/ET2/CP/CC18554</t>
        </is>
      </c>
      <c r="F470" t="inlineStr">
        <is>
          <t>New Lead</t>
        </is>
      </c>
      <c r="G470" t="inlineStr">
        <is>
          <t>Gas-related / review</t>
        </is>
      </c>
      <c r="H470" t="inlineStr">
        <is>
          <t>Corrigendum for PBO_CC18554.pdf</t>
        </is>
      </c>
      <c r="K470" t="inlineStr">
        <is>
          <t>Not found</t>
        </is>
      </c>
      <c r="L470" t="inlineStr">
        <is>
          <t>Unknown</t>
        </is>
      </c>
      <c r="T470" t="inlineStr">
        <is>
          <t>https://tenders.iglonline.net/uploads/tender/Corrigendum for PBO_CC18554.pdf</t>
        </is>
      </c>
      <c r="U470" t="inlineStr">
        <is>
          <t>No</t>
        </is>
      </c>
      <c r="V470" t="inlineStr">
        <is>
          <t>Bot tarafindan tespit edildi (2026-07-01); Bot tespit/zenginlestirme (2026-07-01); meta:score=55;priority=Medium;source_type=html_table;closing_date=;equipment=Gas-related / review;reasons=equipment:Gas-related / review,document source,quantity signal</t>
        </is>
      </c>
    </row>
    <row r="471">
      <c r="A471" t="inlineStr">
        <is>
          <t>T-0275</t>
        </is>
      </c>
      <c r="B471" t="inlineStr">
        <is>
          <t>Indraprastha Gas (IGL)</t>
        </is>
      </c>
      <c r="C471" t="inlineStr">
        <is>
          <t>Indraprastha Gas (IGL)</t>
        </is>
      </c>
      <c r="F471" t="inlineStr">
        <is>
          <t>New Lead</t>
        </is>
      </c>
      <c r="G471" t="inlineStr">
        <is>
          <t>Regulating station</t>
        </is>
      </c>
      <c r="H471" t="inlineStr">
        <is>
          <t>View Tender</t>
        </is>
      </c>
      <c r="K471" t="inlineStr">
        <is>
          <t>Not found</t>
        </is>
      </c>
      <c r="L471" t="inlineStr">
        <is>
          <t>Unknown</t>
        </is>
      </c>
      <c r="T471" t="inlineStr">
        <is>
          <t>https://tenders.iglonline.net/tenderDetail/454/Active Tenders And Corrigendum-Addendum</t>
        </is>
      </c>
      <c r="U471" t="inlineStr">
        <is>
          <t>No</t>
        </is>
      </c>
      <c r="V471"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72">
      <c r="A472" t="inlineStr">
        <is>
          <t>T-0276</t>
        </is>
      </c>
      <c r="B472" t="inlineStr">
        <is>
          <t>Indraprastha Gas (IGL)</t>
        </is>
      </c>
      <c r="C472" t="inlineStr">
        <is>
          <t>Indraprastha Gas (IGL)</t>
        </is>
      </c>
      <c r="D472" t="inlineStr">
        <is>
          <t>IGL/ET2/CP/CP18558</t>
        </is>
      </c>
      <c r="F472" t="inlineStr">
        <is>
          <t>Awarded</t>
        </is>
      </c>
      <c r="G472" t="inlineStr">
        <is>
          <t>MRS</t>
        </is>
      </c>
      <c r="H472" t="inlineStr">
        <is>
          <t>RTBQ_CP18558.pdf</t>
        </is>
      </c>
      <c r="K472" t="inlineStr">
        <is>
          <t>FLANGE N FLANGE for supply 1 of Flange and their fittings as currently also we are procurin</t>
        </is>
      </c>
      <c r="L472" t="inlineStr">
        <is>
          <t>Unknown</t>
        </is>
      </c>
      <c r="M472" t="n">
        <v>37000</v>
      </c>
      <c r="T472" t="inlineStr">
        <is>
          <t>https://tenders.iglonline.net/uploads/tender/RTBQ_CP18558.pdf</t>
        </is>
      </c>
      <c r="U472" t="inlineStr">
        <is>
          <t>No</t>
        </is>
      </c>
      <c r="V47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station;quality_status=market_target;market_relevance=High;document_type=boq;unit_price_inr=;amount_label=currency_near_total;matched_terms=Regulating / metering station,Gas filter station / filter equipment;reject_reasons=;scope=market_intelligence_only;excluded_scope=no_bid_or_offer_submission_automation</t>
        </is>
      </c>
    </row>
    <row r="473">
      <c r="A473" t="inlineStr">
        <is>
          <t>T-0277</t>
        </is>
      </c>
      <c r="B473" t="inlineStr">
        <is>
          <t>Indraprastha Gas (IGL)</t>
        </is>
      </c>
      <c r="C473" t="inlineStr">
        <is>
          <t>Indraprastha Gas (IGL)</t>
        </is>
      </c>
      <c r="D473" t="inlineStr">
        <is>
          <t>IGL/ET2/CP/CP18558</t>
        </is>
      </c>
      <c r="F473" t="inlineStr">
        <is>
          <t>Awarded</t>
        </is>
      </c>
      <c r="G473" t="inlineStr">
        <is>
          <t>MRS</t>
        </is>
      </c>
      <c r="H473" t="inlineStr">
        <is>
          <t>Corrigendum_1_CP18558.pdf</t>
        </is>
      </c>
      <c r="K473" t="inlineStr">
        <is>
          <t>Not found</t>
        </is>
      </c>
      <c r="L473" t="inlineStr">
        <is>
          <t>Unknown</t>
        </is>
      </c>
      <c r="T473" t="inlineStr">
        <is>
          <t>https://tenders.iglonline.net/uploads/tender/Corrigendum_1_CP18558.pdf</t>
        </is>
      </c>
      <c r="U473" t="inlineStr">
        <is>
          <t>No</t>
        </is>
      </c>
      <c r="V47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4">
      <c r="A474" t="inlineStr">
        <is>
          <t>T-0278</t>
        </is>
      </c>
      <c r="B474" t="inlineStr">
        <is>
          <t>Indraprastha Gas (IGL)</t>
        </is>
      </c>
      <c r="C474" t="inlineStr">
        <is>
          <t>Indraprastha Gas (IGL)</t>
        </is>
      </c>
      <c r="D474" t="inlineStr">
        <is>
          <t>IGL/ET2/CP/CP18558</t>
        </is>
      </c>
      <c r="F474" t="inlineStr">
        <is>
          <t>Awarded</t>
        </is>
      </c>
      <c r="G474" t="inlineStr">
        <is>
          <t>MRS</t>
        </is>
      </c>
      <c r="H474" t="inlineStr">
        <is>
          <t>Corrigendum_2_CP18558.pdf</t>
        </is>
      </c>
      <c r="K474" t="inlineStr">
        <is>
          <t>Not found</t>
        </is>
      </c>
      <c r="L474" t="inlineStr">
        <is>
          <t>Unknown</t>
        </is>
      </c>
      <c r="T474" t="inlineStr">
        <is>
          <t>https://tenders.iglonline.net/uploads/tender/Corrigendum_2_CP18558.pdf</t>
        </is>
      </c>
      <c r="U474" t="inlineStr">
        <is>
          <t>No</t>
        </is>
      </c>
      <c r="V47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5">
      <c r="A475" t="inlineStr">
        <is>
          <t>T-0279</t>
        </is>
      </c>
      <c r="B475" t="inlineStr">
        <is>
          <t>Indraprastha Gas (IGL)</t>
        </is>
      </c>
      <c r="C475" t="inlineStr">
        <is>
          <t>Indraprastha Gas (IGL)</t>
        </is>
      </c>
      <c r="F475" t="inlineStr">
        <is>
          <t>New Lead</t>
        </is>
      </c>
      <c r="H475" t="inlineStr">
        <is>
          <t>View Tender</t>
        </is>
      </c>
      <c r="K475" t="inlineStr">
        <is>
          <t>Not found</t>
        </is>
      </c>
      <c r="L475" t="inlineStr">
        <is>
          <t>Unknown</t>
        </is>
      </c>
      <c r="T475" t="inlineStr">
        <is>
          <t>https://tenders.iglonline.net/tenderDetail/453/Active Tenders And Corrigendum-Addendum</t>
        </is>
      </c>
      <c r="U475" t="inlineStr">
        <is>
          <t>No</t>
        </is>
      </c>
      <c r="V475" t="inlineStr">
        <is>
          <t>Bot tarafindan tespit edildi (2026-07-01)</t>
        </is>
      </c>
    </row>
    <row r="476">
      <c r="A476" t="inlineStr">
        <is>
          <t>T-0280</t>
        </is>
      </c>
      <c r="B476" t="inlineStr">
        <is>
          <t>Indraprastha Gas (IGL)</t>
        </is>
      </c>
      <c r="C476" t="inlineStr">
        <is>
          <t>Indraprastha Gas (IGL)</t>
        </is>
      </c>
      <c r="F476" t="inlineStr">
        <is>
          <t>New Lead</t>
        </is>
      </c>
      <c r="G476" t="inlineStr">
        <is>
          <t>Gas-related / review</t>
        </is>
      </c>
      <c r="H476" t="inlineStr">
        <is>
          <t>Corrigendum_II_CC18520.pdf</t>
        </is>
      </c>
      <c r="K476" t="inlineStr">
        <is>
          <t>Not found</t>
        </is>
      </c>
      <c r="L476" t="inlineStr">
        <is>
          <t>Unknown</t>
        </is>
      </c>
      <c r="T476" t="inlineStr">
        <is>
          <t>https://tenders.iglonline.net/uploads/tender/Corrigendum_II_CC18520.pdf</t>
        </is>
      </c>
      <c r="U476" t="inlineStr">
        <is>
          <t>No</t>
        </is>
      </c>
      <c r="V476" t="inlineStr">
        <is>
          <t>Bot tarafindan tespit edildi (2026-07-01); Bot tespit/zenginlestirme (2026-07-01); meta:score=35;priority=Low;source_type=html_table;closing_date=;equipment=Gas-related / review;reasons=equipment:Gas-related / review,document source</t>
        </is>
      </c>
    </row>
    <row r="477">
      <c r="A477" t="inlineStr">
        <is>
          <t>T-0281</t>
        </is>
      </c>
      <c r="B477" t="inlineStr">
        <is>
          <t>Indraprastha Gas (IGL)</t>
        </is>
      </c>
      <c r="C477" t="inlineStr">
        <is>
          <t>Indraprastha Gas (IGL)</t>
        </is>
      </c>
      <c r="F477" t="inlineStr">
        <is>
          <t>New Lead</t>
        </is>
      </c>
      <c r="G477" t="inlineStr">
        <is>
          <t>Gas-related / review</t>
        </is>
      </c>
      <c r="H477" t="inlineStr">
        <is>
          <t>Corrigendum_III_CC18520.pdf</t>
        </is>
      </c>
      <c r="K477" t="inlineStr">
        <is>
          <t>Not found</t>
        </is>
      </c>
      <c r="L477" t="inlineStr">
        <is>
          <t>Unknown</t>
        </is>
      </c>
      <c r="T477" t="inlineStr">
        <is>
          <t>https://tenders.iglonline.net/uploads/tender/Corrigendum_III_CC18520.pdf</t>
        </is>
      </c>
      <c r="U477" t="inlineStr">
        <is>
          <t>No</t>
        </is>
      </c>
      <c r="V477" t="inlineStr">
        <is>
          <t>Bot tarafindan tespit edildi (2026-07-01); Bot tespit/zenginlestirme (2026-07-01); meta:score=35;priority=Low;source_type=html_table;closing_date=;equipment=Gas-related / review;reasons=equipment:Gas-related / review,document source</t>
        </is>
      </c>
    </row>
    <row r="478">
      <c r="A478" t="inlineStr">
        <is>
          <t>T-0282</t>
        </is>
      </c>
      <c r="B478" t="inlineStr">
        <is>
          <t>Indraprastha Gas (IGL)</t>
        </is>
      </c>
      <c r="C478" t="inlineStr">
        <is>
          <t>Indraprastha Gas (IGL)</t>
        </is>
      </c>
      <c r="F478" t="inlineStr">
        <is>
          <t>New Lead</t>
        </is>
      </c>
      <c r="H478" t="inlineStr">
        <is>
          <t>View Tender</t>
        </is>
      </c>
      <c r="K478" t="inlineStr">
        <is>
          <t>Not found</t>
        </is>
      </c>
      <c r="L478" t="inlineStr">
        <is>
          <t>Unknown</t>
        </is>
      </c>
      <c r="T478" t="inlineStr">
        <is>
          <t>https://tenders.iglonline.net/tenderDetail/452/Active Tenders And Corrigendum-Addendum</t>
        </is>
      </c>
      <c r="U478" t="inlineStr">
        <is>
          <t>No</t>
        </is>
      </c>
      <c r="V478" t="inlineStr">
        <is>
          <t>Bot tarafindan tespit edildi (2026-07-01)</t>
        </is>
      </c>
    </row>
    <row r="479">
      <c r="A479" t="inlineStr">
        <is>
          <t>T-0283</t>
        </is>
      </c>
      <c r="B479" t="inlineStr">
        <is>
          <t>Indraprastha Gas (IGL)</t>
        </is>
      </c>
      <c r="C479" t="inlineStr">
        <is>
          <t>Indraprastha Gas (IGL)</t>
        </is>
      </c>
      <c r="F479" t="inlineStr">
        <is>
          <t>New Lead</t>
        </is>
      </c>
      <c r="H479" t="inlineStr">
        <is>
          <t>Corrigendum_1_CM18555.pdf</t>
        </is>
      </c>
      <c r="K479" t="inlineStr">
        <is>
          <t>Not found</t>
        </is>
      </c>
      <c r="L479" t="inlineStr">
        <is>
          <t>Unknown</t>
        </is>
      </c>
      <c r="T479" t="inlineStr">
        <is>
          <t>https://tenders.iglonline.net/uploads/tender/Corrigendum_1_CM18555.pdf</t>
        </is>
      </c>
      <c r="U479" t="inlineStr">
        <is>
          <t>No</t>
        </is>
      </c>
      <c r="V479" t="inlineStr">
        <is>
          <t>Bot tarafindan tespit edildi (2026-07-01)</t>
        </is>
      </c>
    </row>
    <row r="480">
      <c r="A480" t="inlineStr">
        <is>
          <t>T-0284</t>
        </is>
      </c>
      <c r="B480" t="inlineStr">
        <is>
          <t>Indraprastha Gas (IGL)</t>
        </is>
      </c>
      <c r="C480" t="inlineStr">
        <is>
          <t>Indraprastha Gas (IGL)</t>
        </is>
      </c>
      <c r="F480" t="inlineStr">
        <is>
          <t>New Lead</t>
        </is>
      </c>
      <c r="H480" t="inlineStr">
        <is>
          <t>Corrigendum_2_CM18555.pdf</t>
        </is>
      </c>
      <c r="K480" t="inlineStr">
        <is>
          <t>Not found</t>
        </is>
      </c>
      <c r="L480" t="inlineStr">
        <is>
          <t>Unknown</t>
        </is>
      </c>
      <c r="T480" t="inlineStr">
        <is>
          <t>https://tenders.iglonline.net/uploads/tender/Corrigendum_2_CM18555.pdf</t>
        </is>
      </c>
      <c r="U480" t="inlineStr">
        <is>
          <t>No</t>
        </is>
      </c>
      <c r="V480" t="inlineStr">
        <is>
          <t>Bot tarafindan tespit edildi (2026-07-01)</t>
        </is>
      </c>
    </row>
    <row r="481">
      <c r="A481" t="inlineStr">
        <is>
          <t>T-0285</t>
        </is>
      </c>
      <c r="B481" t="inlineStr">
        <is>
          <t>Indraprastha Gas (IGL)</t>
        </is>
      </c>
      <c r="C481" t="inlineStr">
        <is>
          <t>Indraprastha Gas (IGL)</t>
        </is>
      </c>
      <c r="F481" t="inlineStr">
        <is>
          <t>New Lead</t>
        </is>
      </c>
      <c r="H481" t="inlineStr">
        <is>
          <t>View Tender</t>
        </is>
      </c>
      <c r="K481" t="inlineStr">
        <is>
          <t>Not found</t>
        </is>
      </c>
      <c r="L481" t="inlineStr">
        <is>
          <t>Unknown</t>
        </is>
      </c>
      <c r="T481" t="inlineStr">
        <is>
          <t>https://tenders.iglonline.net/tenderDetail/451/Active Tenders And Corrigendum-Addendum</t>
        </is>
      </c>
      <c r="U481" t="inlineStr">
        <is>
          <t>No</t>
        </is>
      </c>
      <c r="V481" t="inlineStr">
        <is>
          <t>Bot tarafindan tespit edildi (2026-07-01)</t>
        </is>
      </c>
    </row>
    <row r="482">
      <c r="A482" t="inlineStr">
        <is>
          <t>T-0286</t>
        </is>
      </c>
      <c r="B482" t="inlineStr">
        <is>
          <t>Indraprastha Gas (IGL)</t>
        </is>
      </c>
      <c r="C482" t="inlineStr">
        <is>
          <t>Indraprastha Gas (IGL)</t>
        </is>
      </c>
      <c r="D482" t="inlineStr">
        <is>
          <t>IGL/ET2/CP/</t>
        </is>
      </c>
      <c r="F482" t="inlineStr">
        <is>
          <t>New Lead</t>
        </is>
      </c>
      <c r="G482" t="inlineStr">
        <is>
          <t>Unclassified</t>
        </is>
      </c>
      <c r="H482" t="inlineStr">
        <is>
          <t>Corrigendum _I_CP18529 (A).pdf</t>
        </is>
      </c>
      <c r="K482" t="inlineStr">
        <is>
          <t>Not found</t>
        </is>
      </c>
      <c r="L482" t="inlineStr">
        <is>
          <t>Unknown</t>
        </is>
      </c>
      <c r="T482" t="inlineStr">
        <is>
          <t>https://tenders.iglonline.net/uploads/tender/Corrigendum _I_CP18529 (A).pdf</t>
        </is>
      </c>
      <c r="U482" t="inlineStr">
        <is>
          <t>No</t>
        </is>
      </c>
      <c r="V482" t="inlineStr">
        <is>
          <t>Bot tarafindan tespit edildi (2026-07-01); Bot tespit/zenginlestirme (2026-07-01); meta:score=55;priority=Medium;source_type=html_table;closing_date=;equipment=Unclassified;reasons=document source,quantity signal,tender reference signal</t>
        </is>
      </c>
    </row>
    <row r="483">
      <c r="A483" t="inlineStr">
        <is>
          <t>T-0287</t>
        </is>
      </c>
      <c r="B483" t="inlineStr">
        <is>
          <t>Indraprastha Gas (IGL)</t>
        </is>
      </c>
      <c r="C483" t="inlineStr">
        <is>
          <t>Indraprastha Gas (IGL)</t>
        </is>
      </c>
      <c r="D483" t="inlineStr">
        <is>
          <t>IGL/ET2/CP/CP18529</t>
        </is>
      </c>
      <c r="F483" t="inlineStr">
        <is>
          <t>New Lead</t>
        </is>
      </c>
      <c r="G483" t="inlineStr">
        <is>
          <t>Unclassified</t>
        </is>
      </c>
      <c r="H483" t="inlineStr">
        <is>
          <t>Corrigendum_CP18529_3.pdf</t>
        </is>
      </c>
      <c r="K483" t="inlineStr">
        <is>
          <t>Not found</t>
        </is>
      </c>
      <c r="L483" t="inlineStr">
        <is>
          <t>Unknown</t>
        </is>
      </c>
      <c r="T483" t="inlineStr">
        <is>
          <t>https://tenders.iglonline.net/uploads/tender/Corrigendum_CP18529_3.pdf</t>
        </is>
      </c>
      <c r="U483" t="inlineStr">
        <is>
          <t>No</t>
        </is>
      </c>
      <c r="V483" t="inlineStr">
        <is>
          <t>Bot tarafindan tespit edildi (2026-07-01); Bot tespit/zenginlestirme (2026-07-01); meta:score=55;priority=Medium;source_type=html_table;closing_date=;equipment=Unclassified;reasons=document source,quantity signal,tender reference signal</t>
        </is>
      </c>
    </row>
    <row r="484">
      <c r="A484" t="inlineStr">
        <is>
          <t>T-0288</t>
        </is>
      </c>
      <c r="B484" t="inlineStr">
        <is>
          <t>Indraprastha Gas (IGL)</t>
        </is>
      </c>
      <c r="C484" t="inlineStr">
        <is>
          <t>Indraprastha Gas (IGL)</t>
        </is>
      </c>
      <c r="D484" t="inlineStr">
        <is>
          <t>IGL/ET2/CP/CP18529</t>
        </is>
      </c>
      <c r="F484" t="inlineStr">
        <is>
          <t>New Lead</t>
        </is>
      </c>
      <c r="G484" t="inlineStr">
        <is>
          <t>Unclassified</t>
        </is>
      </c>
      <c r="H484" t="inlineStr">
        <is>
          <t>RTBQ_CP18529.pdf</t>
        </is>
      </c>
      <c r="K484" t="inlineStr">
        <is>
          <t>shall ensure necessary cover for 1 water and duct entry inside the cabinet. Hence</t>
        </is>
      </c>
      <c r="L484" t="inlineStr">
        <is>
          <t>Unknown</t>
        </is>
      </c>
      <c r="T484" t="inlineStr">
        <is>
          <t>https://tenders.iglonline.net/uploads/tender/RTBQ_CP18529.pdf</t>
        </is>
      </c>
      <c r="U484" t="inlineStr">
        <is>
          <t>No</t>
        </is>
      </c>
      <c r="V484" t="inlineStr">
        <is>
          <t>Bot tarafindan tespit edildi (2026-07-01); Bot tespit/zenginlestirme (2026-07-01); meta:score=55;priority=Medium;source_type=html_table;closing_date=;equipment=Unclassified;reasons=document source,quantity signal,tender reference signal</t>
        </is>
      </c>
    </row>
    <row r="485">
      <c r="A485" t="inlineStr">
        <is>
          <t>T-0289</t>
        </is>
      </c>
      <c r="B485" t="inlineStr">
        <is>
          <t>Indraprastha Gas (IGL)</t>
        </is>
      </c>
      <c r="C485" t="inlineStr">
        <is>
          <t>Indraprastha Gas (IGL)</t>
        </is>
      </c>
      <c r="D485" t="inlineStr">
        <is>
          <t>IGL/ET2/CP/</t>
        </is>
      </c>
      <c r="F485" t="inlineStr">
        <is>
          <t>New Lead</t>
        </is>
      </c>
      <c r="G485" t="inlineStr">
        <is>
          <t>Unclassified</t>
        </is>
      </c>
      <c r="H485" t="inlineStr">
        <is>
          <t>Corrigendum-IV-CP18529 (C).pdf</t>
        </is>
      </c>
      <c r="K485" t="inlineStr">
        <is>
          <t>Not found</t>
        </is>
      </c>
      <c r="L485" t="inlineStr">
        <is>
          <t>Unknown</t>
        </is>
      </c>
      <c r="T485" t="inlineStr">
        <is>
          <t>https://tenders.iglonline.net/uploads/tender/Corrigendum-IV-CP18529 (C).pdf</t>
        </is>
      </c>
      <c r="U485" t="inlineStr">
        <is>
          <t>No</t>
        </is>
      </c>
      <c r="V485" t="inlineStr">
        <is>
          <t>Bot tarafindan tespit edildi (2026-07-01); Bot tespit/zenginlestirme (2026-07-01); meta:score=55;priority=Medium;source_type=html_table;closing_date=;equipment=Unclassified;reasons=document source,quantity signal,tender reference signal</t>
        </is>
      </c>
    </row>
    <row r="486">
      <c r="A486" t="inlineStr">
        <is>
          <t>T-0290</t>
        </is>
      </c>
      <c r="B486" t="inlineStr">
        <is>
          <t>Indraprastha Gas (IGL)</t>
        </is>
      </c>
      <c r="C486" t="inlineStr">
        <is>
          <t>Indraprastha Gas (IGL)</t>
        </is>
      </c>
      <c r="D486" t="inlineStr">
        <is>
          <t>IGL/ET2/CP/</t>
        </is>
      </c>
      <c r="F486" t="inlineStr">
        <is>
          <t>New Lead</t>
        </is>
      </c>
      <c r="G486" t="inlineStr">
        <is>
          <t>Unclassified</t>
        </is>
      </c>
      <c r="H486" t="inlineStr">
        <is>
          <t>Corrigendum-V-CP18529.pdf</t>
        </is>
      </c>
      <c r="K486" t="inlineStr">
        <is>
          <t>Not found</t>
        </is>
      </c>
      <c r="L486" t="inlineStr">
        <is>
          <t>Unknown</t>
        </is>
      </c>
      <c r="T486" t="inlineStr">
        <is>
          <t>https://tenders.iglonline.net/uploads/tender/Corrigendum-V-CP18529.pdf</t>
        </is>
      </c>
      <c r="U486" t="inlineStr">
        <is>
          <t>No</t>
        </is>
      </c>
      <c r="V486" t="inlineStr">
        <is>
          <t>Bot tarafindan tespit edildi (2026-07-01); Bot tespit/zenginlestirme (2026-07-01); meta:score=55;priority=Medium;source_type=html_table;closing_date=;equipment=Unclassified;reasons=document source,quantity signal,tender reference signal</t>
        </is>
      </c>
    </row>
    <row r="487">
      <c r="A487" t="inlineStr">
        <is>
          <t>T-0291</t>
        </is>
      </c>
      <c r="B487" t="inlineStr">
        <is>
          <t>Indraprastha Gas (IGL)</t>
        </is>
      </c>
      <c r="C487" t="inlineStr">
        <is>
          <t>Indraprastha Gas (IGL)</t>
        </is>
      </c>
      <c r="F487" t="inlineStr">
        <is>
          <t>New Lead</t>
        </is>
      </c>
      <c r="H487" t="inlineStr">
        <is>
          <t>View Tender</t>
        </is>
      </c>
      <c r="K487" t="inlineStr">
        <is>
          <t>Not found</t>
        </is>
      </c>
      <c r="L487" t="inlineStr">
        <is>
          <t>Unknown</t>
        </is>
      </c>
      <c r="T487" t="inlineStr">
        <is>
          <t>https://tenders.iglonline.net/tenderDetail/450/Active Tenders And Corrigendum-Addendum</t>
        </is>
      </c>
      <c r="U487" t="inlineStr">
        <is>
          <t>No</t>
        </is>
      </c>
      <c r="V487" t="inlineStr">
        <is>
          <t>Bot tarafindan tespit edildi (2026-07-01)</t>
        </is>
      </c>
    </row>
    <row r="488">
      <c r="A488" t="inlineStr">
        <is>
          <t>T-0292</t>
        </is>
      </c>
      <c r="B488" t="inlineStr">
        <is>
          <t>Indraprastha Gas (IGL)</t>
        </is>
      </c>
      <c r="C488" t="inlineStr">
        <is>
          <t>Indraprastha Gas (IGL)</t>
        </is>
      </c>
      <c r="F488" t="inlineStr">
        <is>
          <t>New Lead</t>
        </is>
      </c>
      <c r="H488" t="inlineStr">
        <is>
          <t>View Tender</t>
        </is>
      </c>
      <c r="K488" t="inlineStr">
        <is>
          <t>Not found</t>
        </is>
      </c>
      <c r="L488" t="inlineStr">
        <is>
          <t>Unknown</t>
        </is>
      </c>
      <c r="T488" t="inlineStr">
        <is>
          <t>https://tenders.iglonline.net/tenderDetail/449/Active Tenders And Corrigendum-Addendum</t>
        </is>
      </c>
      <c r="U488" t="inlineStr">
        <is>
          <t>No</t>
        </is>
      </c>
      <c r="V488" t="inlineStr">
        <is>
          <t>Bot tarafindan tespit edildi (2026-07-01)</t>
        </is>
      </c>
    </row>
    <row r="489">
      <c r="A489" t="inlineStr">
        <is>
          <t>T-0293</t>
        </is>
      </c>
      <c r="B489" t="inlineStr">
        <is>
          <t>Indraprastha Gas (IGL)</t>
        </is>
      </c>
      <c r="C489" t="inlineStr">
        <is>
          <t>Indraprastha Gas (IGL)</t>
        </is>
      </c>
      <c r="F489" t="inlineStr">
        <is>
          <t>New Lead</t>
        </is>
      </c>
      <c r="H489" t="inlineStr">
        <is>
          <t>View Tender</t>
        </is>
      </c>
      <c r="K489" t="inlineStr">
        <is>
          <t>Not found</t>
        </is>
      </c>
      <c r="L489" t="inlineStr">
        <is>
          <t>Unknown</t>
        </is>
      </c>
      <c r="T489" t="inlineStr">
        <is>
          <t>https://tenders.iglonline.net/tenderDetail/448/Active Tenders And Corrigendum-Addendum</t>
        </is>
      </c>
      <c r="U489" t="inlineStr">
        <is>
          <t>No</t>
        </is>
      </c>
      <c r="V489" t="inlineStr">
        <is>
          <t>Bot tarafindan tespit edildi (2026-07-01)</t>
        </is>
      </c>
    </row>
    <row r="490">
      <c r="A490" t="inlineStr">
        <is>
          <t>T-0294</t>
        </is>
      </c>
      <c r="B490" t="inlineStr">
        <is>
          <t>Indraprastha Gas (IGL)</t>
        </is>
      </c>
      <c r="C490" t="inlineStr">
        <is>
          <t>Indraprastha Gas (IGL)</t>
        </is>
      </c>
      <c r="D490" t="inlineStr">
        <is>
          <t>Loading</t>
        </is>
      </c>
      <c r="F490" t="inlineStr">
        <is>
          <t>Awarded</t>
        </is>
      </c>
      <c r="G490" t="inlineStr">
        <is>
          <t>FRS</t>
        </is>
      </c>
      <c r="H490" t="inlineStr">
        <is>
          <t>RTBQ_CP18517_v1.pdf</t>
        </is>
      </c>
      <c r="K490" t="inlineStr">
        <is>
          <t>after filter. During line sizing calculation of 9000 FRS gas velocity is going slightly abo</t>
        </is>
      </c>
      <c r="L490" t="inlineStr">
        <is>
          <t>Unknown</t>
        </is>
      </c>
      <c r="M490" t="n">
        <v>485</v>
      </c>
      <c r="T490" t="inlineStr">
        <is>
          <t>https://tenders.iglonline.net/uploads/tender/RTBQ_CP18517_v1.pdf</t>
        </is>
      </c>
      <c r="U490" t="inlineStr">
        <is>
          <t>No</t>
        </is>
      </c>
      <c r="V490" t="inlineStr">
        <is>
          <t>Bot tarafindan tespit edildi (2026-07-01) | Bot enrich; date=2026-07-01; type=pdf; score=330; pdf_conf=Medium</t>
        </is>
      </c>
    </row>
    <row r="491">
      <c r="A491" t="inlineStr">
        <is>
          <t>T-0295</t>
        </is>
      </c>
      <c r="B491" t="inlineStr">
        <is>
          <t>Indraprastha Gas (IGL)</t>
        </is>
      </c>
      <c r="C491" t="inlineStr">
        <is>
          <t>Indraprastha Gas (IGL)</t>
        </is>
      </c>
      <c r="D491" t="inlineStr">
        <is>
          <t>IGL/ET2/CP/CP18517</t>
        </is>
      </c>
      <c r="F491" t="inlineStr">
        <is>
          <t>Awarded</t>
        </is>
      </c>
      <c r="G491" t="inlineStr">
        <is>
          <t>FRS</t>
        </is>
      </c>
      <c r="H491" t="inlineStr">
        <is>
          <t>CP18517_Corrigendum_I.pdf</t>
        </is>
      </c>
      <c r="K491" t="inlineStr">
        <is>
          <t>Not found</t>
        </is>
      </c>
      <c r="L491" t="inlineStr">
        <is>
          <t>Unknown</t>
        </is>
      </c>
      <c r="T491" t="inlineStr">
        <is>
          <t>https://tenders.iglonline.net/uploads/tender/CP18517_Corrigendum_I.pdf</t>
        </is>
      </c>
      <c r="U491" t="inlineStr">
        <is>
          <t>No</t>
        </is>
      </c>
      <c r="V491" t="inlineStr">
        <is>
          <t>Bot tarafindan tespit edildi (2026-07-01) | Bot enrich; date=2026-07-01; type=pdf; score=330; pdf_conf=Low</t>
        </is>
      </c>
    </row>
    <row r="492">
      <c r="A492" t="inlineStr">
        <is>
          <t>T-0296</t>
        </is>
      </c>
      <c r="B492" t="inlineStr">
        <is>
          <t>Indraprastha Gas (IGL)</t>
        </is>
      </c>
      <c r="C492" t="inlineStr">
        <is>
          <t>Indraprastha Gas (IGL)</t>
        </is>
      </c>
      <c r="F492" t="inlineStr">
        <is>
          <t>New Lead</t>
        </is>
      </c>
      <c r="H492" t="inlineStr">
        <is>
          <t>View Tender</t>
        </is>
      </c>
      <c r="K492" t="inlineStr">
        <is>
          <t>Not found</t>
        </is>
      </c>
      <c r="L492" t="inlineStr">
        <is>
          <t>Unknown</t>
        </is>
      </c>
      <c r="T492" t="inlineStr">
        <is>
          <t>https://tenders.iglonline.net/tenderDetail/447/Active Tenders And Corrigendum-Addendum</t>
        </is>
      </c>
      <c r="U492" t="inlineStr">
        <is>
          <t>No</t>
        </is>
      </c>
      <c r="V492" t="inlineStr">
        <is>
          <t>Bot tarafindan tespit edildi (2026-07-01)</t>
        </is>
      </c>
    </row>
    <row r="493">
      <c r="A493" t="inlineStr">
        <is>
          <t>T-0297</t>
        </is>
      </c>
      <c r="B493" t="inlineStr">
        <is>
          <t>Indraprastha Gas (IGL)</t>
        </is>
      </c>
      <c r="C493" t="inlineStr">
        <is>
          <t>Indraprastha Gas (IGL)</t>
        </is>
      </c>
      <c r="F493" t="inlineStr">
        <is>
          <t>New Lead</t>
        </is>
      </c>
      <c r="H493" t="inlineStr">
        <is>
          <t>RTBQ_1_CP18393_Procurement of Squeeze Off Tools-Final.pdf</t>
        </is>
      </c>
      <c r="K493" t="inlineStr">
        <is>
          <t>Not found</t>
        </is>
      </c>
      <c r="L493" t="inlineStr">
        <is>
          <t>Unknown</t>
        </is>
      </c>
      <c r="T493" t="inlineStr">
        <is>
          <t>https://tenders.iglonline.net/uploads/tender/RTBQ_1_CP18393_Procurement of Squeeze Off Tools-Final.pdf</t>
        </is>
      </c>
      <c r="U493" t="inlineStr">
        <is>
          <t>No</t>
        </is>
      </c>
      <c r="V493" t="inlineStr">
        <is>
          <t>Bot tarafindan tespit edildi (2026-07-01)</t>
        </is>
      </c>
    </row>
    <row r="494">
      <c r="A494" t="inlineStr">
        <is>
          <t>T-0298</t>
        </is>
      </c>
      <c r="B494" t="inlineStr">
        <is>
          <t>Indraprastha Gas (IGL)</t>
        </is>
      </c>
      <c r="C494" t="inlineStr">
        <is>
          <t>Indraprastha Gas (IGL)</t>
        </is>
      </c>
      <c r="F494" t="inlineStr">
        <is>
          <t>New Lead</t>
        </is>
      </c>
      <c r="H494" t="inlineStr">
        <is>
          <t>Corrigendum_I_CP18393.pdf</t>
        </is>
      </c>
      <c r="K494" t="inlineStr">
        <is>
          <t>Not found</t>
        </is>
      </c>
      <c r="L494" t="inlineStr">
        <is>
          <t>Unknown</t>
        </is>
      </c>
      <c r="T494" t="inlineStr">
        <is>
          <t>https://tenders.iglonline.net/uploads/tender/Corrigendum_I_CP18393.pdf</t>
        </is>
      </c>
      <c r="U494" t="inlineStr">
        <is>
          <t>No</t>
        </is>
      </c>
      <c r="V494" t="inlineStr">
        <is>
          <t>Bot tarafindan tespit edildi (2026-07-01)</t>
        </is>
      </c>
    </row>
    <row r="495">
      <c r="A495" t="inlineStr">
        <is>
          <t>T-0299</t>
        </is>
      </c>
      <c r="B495" t="inlineStr">
        <is>
          <t>Indraprastha Gas (IGL)</t>
        </is>
      </c>
      <c r="C495" t="inlineStr">
        <is>
          <t>Indraprastha Gas (IGL)</t>
        </is>
      </c>
      <c r="F495" t="inlineStr">
        <is>
          <t>New Lead</t>
        </is>
      </c>
      <c r="H495" t="inlineStr">
        <is>
          <t>Cancellation_Notice_CP18393.pdf</t>
        </is>
      </c>
      <c r="K495" t="inlineStr">
        <is>
          <t>Not found</t>
        </is>
      </c>
      <c r="L495" t="inlineStr">
        <is>
          <t>Unknown</t>
        </is>
      </c>
      <c r="T495" t="inlineStr">
        <is>
          <t>https://tenders.iglonline.net/uploads/tender/Cancellation_Notice_CP18393.pdf</t>
        </is>
      </c>
      <c r="U495" t="inlineStr">
        <is>
          <t>No</t>
        </is>
      </c>
      <c r="V495" t="inlineStr">
        <is>
          <t>Bot tarafindan tespit edildi (2026-07-01)</t>
        </is>
      </c>
    </row>
    <row r="496">
      <c r="A496" t="inlineStr">
        <is>
          <t>T-0300</t>
        </is>
      </c>
      <c r="B496" t="inlineStr">
        <is>
          <t>Indraprastha Gas (IGL)</t>
        </is>
      </c>
      <c r="C496" t="inlineStr">
        <is>
          <t>Indraprastha Gas (IGL)</t>
        </is>
      </c>
      <c r="F496" t="inlineStr">
        <is>
          <t>New Lead</t>
        </is>
      </c>
      <c r="H496" t="inlineStr">
        <is>
          <t>View Tender</t>
        </is>
      </c>
      <c r="K496" t="inlineStr">
        <is>
          <t>Not found</t>
        </is>
      </c>
      <c r="L496" t="inlineStr">
        <is>
          <t>Unknown</t>
        </is>
      </c>
      <c r="T496" t="inlineStr">
        <is>
          <t>https://tenders.iglonline.net/tenderDetail/446/Active Tenders And Corrigendum-Addendum</t>
        </is>
      </c>
      <c r="U496" t="inlineStr">
        <is>
          <t>No</t>
        </is>
      </c>
      <c r="V496" t="inlineStr">
        <is>
          <t>Bot tarafindan tespit edildi (2026-07-01)</t>
        </is>
      </c>
    </row>
    <row r="497">
      <c r="A497" t="inlineStr">
        <is>
          <t>T-0301</t>
        </is>
      </c>
      <c r="B497" t="inlineStr">
        <is>
          <t>Indraprastha Gas (IGL)</t>
        </is>
      </c>
      <c r="C497" t="inlineStr">
        <is>
          <t>Indraprastha Gas (IGL)</t>
        </is>
      </c>
      <c r="F497" t="inlineStr">
        <is>
          <t>New Lead</t>
        </is>
      </c>
      <c r="G497" t="inlineStr">
        <is>
          <t>Gas-related / review</t>
        </is>
      </c>
      <c r="H497" t="inlineStr">
        <is>
          <t>Corrigendum _I_CP18540.pdf</t>
        </is>
      </c>
      <c r="K497" t="inlineStr">
        <is>
          <t>Not found</t>
        </is>
      </c>
      <c r="L497" t="inlineStr">
        <is>
          <t>Unknown</t>
        </is>
      </c>
      <c r="T497" t="inlineStr">
        <is>
          <t>https://tenders.iglonline.net/uploads/tender/Corrigendum _I_CP18540.pdf</t>
        </is>
      </c>
      <c r="U497" t="inlineStr">
        <is>
          <t>No</t>
        </is>
      </c>
      <c r="V497" t="inlineStr">
        <is>
          <t>Bot tarafindan tespit edildi (2026-07-01); Bot tespit/zenginlestirme (2026-07-01); meta:score=35;priority=Low;source_type=html_table;closing_date=;equipment=Gas-related / review;reasons=equipment:Gas-related / review,document source</t>
        </is>
      </c>
    </row>
    <row r="498">
      <c r="A498" t="inlineStr">
        <is>
          <t>T-0302</t>
        </is>
      </c>
      <c r="B498" t="inlineStr">
        <is>
          <t>Indraprastha Gas (IGL)</t>
        </is>
      </c>
      <c r="C498" t="inlineStr">
        <is>
          <t>Indraprastha Gas (IGL)</t>
        </is>
      </c>
      <c r="F498" t="inlineStr">
        <is>
          <t>New Lead</t>
        </is>
      </c>
      <c r="G498" t="inlineStr">
        <is>
          <t>Gas-related / review</t>
        </is>
      </c>
      <c r="H498" t="inlineStr">
        <is>
          <t>RTBQ_1_CP18540_Laser Methane-F.pdf</t>
        </is>
      </c>
      <c r="K498" t="inlineStr">
        <is>
          <t>Not found</t>
        </is>
      </c>
      <c r="L498" t="inlineStr">
        <is>
          <t>Unknown</t>
        </is>
      </c>
      <c r="T498" t="inlineStr">
        <is>
          <t>https://tenders.iglonline.net/uploads/tender/RTBQ_1_CP18540_Laser Methane-F.pdf</t>
        </is>
      </c>
      <c r="U498" t="inlineStr">
        <is>
          <t>No</t>
        </is>
      </c>
      <c r="V498" t="inlineStr">
        <is>
          <t>Bot tarafindan tespit edildi (2026-07-01); Bot tespit/zenginlestirme (2026-07-01); meta:score=35;priority=Low;source_type=html_table;closing_date=;equipment=Gas-related / review;reasons=equipment:Gas-related / review,document source</t>
        </is>
      </c>
    </row>
    <row r="499">
      <c r="A499" t="inlineStr">
        <is>
          <t>T-0303</t>
        </is>
      </c>
      <c r="B499" t="inlineStr">
        <is>
          <t>Indraprastha Gas (IGL)</t>
        </is>
      </c>
      <c r="C499" t="inlineStr">
        <is>
          <t>Indraprastha Gas (IGL)</t>
        </is>
      </c>
      <c r="F499" t="inlineStr">
        <is>
          <t>New Lead</t>
        </is>
      </c>
      <c r="H499" t="inlineStr">
        <is>
          <t>View Tender</t>
        </is>
      </c>
      <c r="K499" t="inlineStr">
        <is>
          <t>Not found</t>
        </is>
      </c>
      <c r="L499" t="inlineStr">
        <is>
          <t>Unknown</t>
        </is>
      </c>
      <c r="T499" t="inlineStr">
        <is>
          <t>https://tenders.iglonline.net/tenderDetail/445/Active Tenders And Corrigendum-Addendum</t>
        </is>
      </c>
      <c r="U499" t="inlineStr">
        <is>
          <t>No</t>
        </is>
      </c>
      <c r="V499" t="inlineStr">
        <is>
          <t>Bot tarafindan tespit edildi (2026-07-01)</t>
        </is>
      </c>
    </row>
    <row r="500">
      <c r="A500" t="inlineStr">
        <is>
          <t>T-0304</t>
        </is>
      </c>
      <c r="B500" t="inlineStr">
        <is>
          <t>Indraprastha Gas (IGL)</t>
        </is>
      </c>
      <c r="C500" t="inlineStr">
        <is>
          <t>Indraprastha Gas (IGL)</t>
        </is>
      </c>
      <c r="F500" t="inlineStr">
        <is>
          <t>New Lead</t>
        </is>
      </c>
      <c r="H500" t="inlineStr">
        <is>
          <t>Tender_CP18546.pdf</t>
        </is>
      </c>
      <c r="K500" t="inlineStr">
        <is>
          <t>Not found</t>
        </is>
      </c>
      <c r="L500" t="inlineStr">
        <is>
          <t>Unknown</t>
        </is>
      </c>
      <c r="T500" t="inlineStr">
        <is>
          <t>https://tenders.iglonline.net/uploads/tender/Tender_CP18546.pdf</t>
        </is>
      </c>
      <c r="U500" t="inlineStr">
        <is>
          <t>No</t>
        </is>
      </c>
      <c r="V500" t="inlineStr">
        <is>
          <t>Bot tarafindan tespit edildi (2026-07-01)</t>
        </is>
      </c>
    </row>
    <row r="501">
      <c r="A501" t="inlineStr">
        <is>
          <t>T-0305</t>
        </is>
      </c>
      <c r="B501" t="inlineStr">
        <is>
          <t>Indraprastha Gas (IGL)</t>
        </is>
      </c>
      <c r="C501" t="inlineStr">
        <is>
          <t>Indraprastha Gas (IGL)</t>
        </is>
      </c>
      <c r="F501" t="inlineStr">
        <is>
          <t>New Lead</t>
        </is>
      </c>
      <c r="H501" t="inlineStr">
        <is>
          <t>Corrigendum_1_CP18546.pdf</t>
        </is>
      </c>
      <c r="K501" t="inlineStr">
        <is>
          <t>Not found</t>
        </is>
      </c>
      <c r="L501" t="inlineStr">
        <is>
          <t>Unknown</t>
        </is>
      </c>
      <c r="T501" t="inlineStr">
        <is>
          <t>https://tenders.iglonline.net/uploads/tender/Corrigendum_1_CP18546.pdf</t>
        </is>
      </c>
      <c r="U501" t="inlineStr">
        <is>
          <t>No</t>
        </is>
      </c>
      <c r="V501" t="inlineStr">
        <is>
          <t>Bot tarafindan tespit edildi (2026-07-01)</t>
        </is>
      </c>
    </row>
    <row r="502">
      <c r="A502" t="inlineStr">
        <is>
          <t>T-0306</t>
        </is>
      </c>
      <c r="B502" t="inlineStr">
        <is>
          <t>Indraprastha Gas (IGL)</t>
        </is>
      </c>
      <c r="C502" t="inlineStr">
        <is>
          <t>Indraprastha Gas (IGL)</t>
        </is>
      </c>
      <c r="F502" t="inlineStr">
        <is>
          <t>New Lead</t>
        </is>
      </c>
      <c r="H502" t="inlineStr">
        <is>
          <t>View Tender</t>
        </is>
      </c>
      <c r="K502" t="inlineStr">
        <is>
          <t>Not found</t>
        </is>
      </c>
      <c r="L502" t="inlineStr">
        <is>
          <t>Unknown</t>
        </is>
      </c>
      <c r="T502" t="inlineStr">
        <is>
          <t>https://tenders.iglonline.net/tenderDetail/444/Active Tenders And Corrigendum-Addendum</t>
        </is>
      </c>
      <c r="U502" t="inlineStr">
        <is>
          <t>No</t>
        </is>
      </c>
      <c r="V502" t="inlineStr">
        <is>
          <t>Bot tarafindan tespit edildi (2026-07-01)</t>
        </is>
      </c>
    </row>
    <row r="503">
      <c r="A503" t="inlineStr">
        <is>
          <t>T-0307</t>
        </is>
      </c>
      <c r="B503" t="inlineStr">
        <is>
          <t>Indraprastha Gas (IGL)</t>
        </is>
      </c>
      <c r="C503" t="inlineStr">
        <is>
          <t>Indraprastha Gas (IGL)</t>
        </is>
      </c>
      <c r="F503" t="inlineStr">
        <is>
          <t>New Lead</t>
        </is>
      </c>
      <c r="H503" t="inlineStr">
        <is>
          <t>Tender_CP18547.pdf</t>
        </is>
      </c>
      <c r="K503" t="inlineStr">
        <is>
          <t>Not found</t>
        </is>
      </c>
      <c r="L503" t="inlineStr">
        <is>
          <t>Unknown</t>
        </is>
      </c>
      <c r="T503" t="inlineStr">
        <is>
          <t>https://tenders.iglonline.net/uploads/tender/Tender_CP18547.pdf</t>
        </is>
      </c>
      <c r="U503" t="inlineStr">
        <is>
          <t>No</t>
        </is>
      </c>
      <c r="V503" t="inlineStr">
        <is>
          <t>Bot tarafindan tespit edildi (2026-07-01)</t>
        </is>
      </c>
    </row>
    <row r="504">
      <c r="A504" t="inlineStr">
        <is>
          <t>T-0308</t>
        </is>
      </c>
      <c r="B504" t="inlineStr">
        <is>
          <t>Indraprastha Gas (IGL)</t>
        </is>
      </c>
      <c r="C504" t="inlineStr">
        <is>
          <t>Indraprastha Gas (IGL)</t>
        </is>
      </c>
      <c r="F504" t="inlineStr">
        <is>
          <t>New Lead</t>
        </is>
      </c>
      <c r="H504" t="inlineStr">
        <is>
          <t>RTBQ CP18547.pdf</t>
        </is>
      </c>
      <c r="K504" t="inlineStr">
        <is>
          <t>Not found</t>
        </is>
      </c>
      <c r="L504" t="inlineStr">
        <is>
          <t>Unknown</t>
        </is>
      </c>
      <c r="T504" t="inlineStr">
        <is>
          <t>https://tenders.iglonline.net/uploads/tender/RTBQ CP18547.pdf</t>
        </is>
      </c>
      <c r="U504" t="inlineStr">
        <is>
          <t>No</t>
        </is>
      </c>
      <c r="V504" t="inlineStr">
        <is>
          <t>Bot tarafindan tespit edildi (2026-07-01)</t>
        </is>
      </c>
    </row>
    <row r="505">
      <c r="A505" t="inlineStr">
        <is>
          <t>T-0309</t>
        </is>
      </c>
      <c r="B505" t="inlineStr">
        <is>
          <t>Indraprastha Gas (IGL)</t>
        </is>
      </c>
      <c r="C505" t="inlineStr">
        <is>
          <t>Indraprastha Gas (IGL)</t>
        </is>
      </c>
      <c r="F505" t="inlineStr">
        <is>
          <t>New Lead</t>
        </is>
      </c>
      <c r="H505" t="inlineStr">
        <is>
          <t>View Tender</t>
        </is>
      </c>
      <c r="K505" t="inlineStr">
        <is>
          <t>Not found</t>
        </is>
      </c>
      <c r="L505" t="inlineStr">
        <is>
          <t>Unknown</t>
        </is>
      </c>
      <c r="T505" t="inlineStr">
        <is>
          <t>https://tenders.iglonline.net/tenderDetail/443/Active Tenders And Corrigendum-Addendum</t>
        </is>
      </c>
      <c r="U505" t="inlineStr">
        <is>
          <t>No</t>
        </is>
      </c>
      <c r="V505" t="inlineStr">
        <is>
          <t>Bot tarafindan tespit edildi (2026-07-01)</t>
        </is>
      </c>
    </row>
    <row r="506">
      <c r="A506" t="inlineStr">
        <is>
          <t>T-0310</t>
        </is>
      </c>
      <c r="B506" t="inlineStr">
        <is>
          <t>Indraprastha Gas (IGL)</t>
        </is>
      </c>
      <c r="C506" t="inlineStr">
        <is>
          <t>Indraprastha Gas (IGL)</t>
        </is>
      </c>
      <c r="F506" t="inlineStr">
        <is>
          <t>New Lead</t>
        </is>
      </c>
      <c r="H506" t="inlineStr">
        <is>
          <t>Tender_Doc_CC18414.pdf</t>
        </is>
      </c>
      <c r="K506" t="inlineStr">
        <is>
          <t>Not found</t>
        </is>
      </c>
      <c r="L506" t="inlineStr">
        <is>
          <t>Unknown</t>
        </is>
      </c>
      <c r="T506" t="inlineStr">
        <is>
          <t>https://tenders.iglonline.net/uploads/tender/Tender_Doc_CC18414.pdf</t>
        </is>
      </c>
      <c r="U506" t="inlineStr">
        <is>
          <t>No</t>
        </is>
      </c>
      <c r="V506" t="inlineStr">
        <is>
          <t>Bot tarafindan tespit edildi (2026-07-01)</t>
        </is>
      </c>
    </row>
    <row r="507">
      <c r="A507" t="inlineStr">
        <is>
          <t>T-0311</t>
        </is>
      </c>
      <c r="B507" t="inlineStr">
        <is>
          <t>Indraprastha Gas (IGL)</t>
        </is>
      </c>
      <c r="C507" t="inlineStr">
        <is>
          <t>Indraprastha Gas (IGL)</t>
        </is>
      </c>
      <c r="F507" t="inlineStr">
        <is>
          <t>New Lead</t>
        </is>
      </c>
      <c r="H507" t="inlineStr">
        <is>
          <t>View Tender</t>
        </is>
      </c>
      <c r="K507" t="inlineStr">
        <is>
          <t>Not found</t>
        </is>
      </c>
      <c r="L507" t="inlineStr">
        <is>
          <t>Unknown</t>
        </is>
      </c>
      <c r="T507" t="inlineStr">
        <is>
          <t>https://tenders.iglonline.net/tenderDetail/442/Active Tenders And Corrigendum-Addendum</t>
        </is>
      </c>
      <c r="U507" t="inlineStr">
        <is>
          <t>No</t>
        </is>
      </c>
      <c r="V507" t="inlineStr">
        <is>
          <t>Bot tarafindan tespit edildi (2026-07-01)</t>
        </is>
      </c>
    </row>
    <row r="508">
      <c r="A508" t="inlineStr">
        <is>
          <t>T-0312</t>
        </is>
      </c>
      <c r="B508" t="inlineStr">
        <is>
          <t>Indraprastha Gas (IGL)</t>
        </is>
      </c>
      <c r="C508" t="inlineStr">
        <is>
          <t>Indraprastha Gas (IGL)</t>
        </is>
      </c>
      <c r="F508" t="inlineStr">
        <is>
          <t>New Lead</t>
        </is>
      </c>
      <c r="G508" t="inlineStr">
        <is>
          <t>Gas-related / review</t>
        </is>
      </c>
      <c r="H508" t="inlineStr">
        <is>
          <t>Tender_CC18543_Dismantling_and_Shifting.pdf</t>
        </is>
      </c>
      <c r="K508" t="inlineStr">
        <is>
          <t>Not found</t>
        </is>
      </c>
      <c r="L508" t="inlineStr">
        <is>
          <t>Unknown</t>
        </is>
      </c>
      <c r="T508" t="inlineStr">
        <is>
          <t>https://tenders.iglonline.net/uploads/tender/Tender_CC18543_Dismantling_and_Shifting.pdf</t>
        </is>
      </c>
      <c r="U508" t="inlineStr">
        <is>
          <t>No</t>
        </is>
      </c>
      <c r="V508" t="inlineStr">
        <is>
          <t>Bot tarafindan tespit edildi (2026-07-01); Bot tespit/zenginlestirme (2026-07-01); meta:score=35;priority=Low;source_type=html_table;closing_date=;equipment=Gas-related / review;reasons=equipment:Gas-related / review,document source</t>
        </is>
      </c>
    </row>
    <row r="509">
      <c r="A509" t="inlineStr">
        <is>
          <t>T-0313</t>
        </is>
      </c>
      <c r="B509" t="inlineStr">
        <is>
          <t>Indraprastha Gas (IGL)</t>
        </is>
      </c>
      <c r="C509" t="inlineStr">
        <is>
          <t>Indraprastha Gas (IGL)</t>
        </is>
      </c>
      <c r="F509" t="inlineStr">
        <is>
          <t>New Lead</t>
        </is>
      </c>
      <c r="H509" t="inlineStr">
        <is>
          <t>View Tender</t>
        </is>
      </c>
      <c r="K509" t="inlineStr">
        <is>
          <t>Not found</t>
        </is>
      </c>
      <c r="L509" t="inlineStr">
        <is>
          <t>Unknown</t>
        </is>
      </c>
      <c r="T509" t="inlineStr">
        <is>
          <t>https://tenders.iglonline.net/tenderDetail/441/Active Tenders And Corrigendum-Addendum</t>
        </is>
      </c>
      <c r="U509" t="inlineStr">
        <is>
          <t>No</t>
        </is>
      </c>
      <c r="V509" t="inlineStr">
        <is>
          <t>Bot tarafindan tespit edildi (2026-07-01)</t>
        </is>
      </c>
    </row>
    <row r="510">
      <c r="A510" t="inlineStr">
        <is>
          <t>T-0314</t>
        </is>
      </c>
      <c r="B510" t="inlineStr">
        <is>
          <t>Indraprastha Gas (IGL)</t>
        </is>
      </c>
      <c r="C510" t="inlineStr">
        <is>
          <t>Indraprastha Gas (IGL)</t>
        </is>
      </c>
      <c r="F510" t="inlineStr">
        <is>
          <t>New Lead</t>
        </is>
      </c>
      <c r="H510" t="inlineStr">
        <is>
          <t>Tender_Document_CM18548.pdf</t>
        </is>
      </c>
      <c r="K510" t="inlineStr">
        <is>
          <t>Not found</t>
        </is>
      </c>
      <c r="L510" t="inlineStr">
        <is>
          <t>Unknown</t>
        </is>
      </c>
      <c r="T510" t="inlineStr">
        <is>
          <t>https://tenders.iglonline.net/uploads/tender/Tender_Document_CM18548.pdf</t>
        </is>
      </c>
      <c r="U510" t="inlineStr">
        <is>
          <t>No</t>
        </is>
      </c>
      <c r="V510" t="inlineStr">
        <is>
          <t>Bot tarafindan tespit edildi (2026-07-01)</t>
        </is>
      </c>
    </row>
    <row r="511">
      <c r="A511" t="inlineStr">
        <is>
          <t>T-0315</t>
        </is>
      </c>
      <c r="B511" t="inlineStr">
        <is>
          <t>Indraprastha Gas (IGL)</t>
        </is>
      </c>
      <c r="C511" t="inlineStr">
        <is>
          <t>Indraprastha Gas (IGL)</t>
        </is>
      </c>
      <c r="F511" t="inlineStr">
        <is>
          <t>New Lead</t>
        </is>
      </c>
      <c r="H511" t="inlineStr">
        <is>
          <t>RTPBQ_CM18548.pdf</t>
        </is>
      </c>
      <c r="K511" t="inlineStr">
        <is>
          <t>Not found</t>
        </is>
      </c>
      <c r="L511" t="inlineStr">
        <is>
          <t>Unknown</t>
        </is>
      </c>
      <c r="T511" t="inlineStr">
        <is>
          <t>https://tenders.iglonline.net/uploads/tender/RTPBQ_CM18548.pdf</t>
        </is>
      </c>
      <c r="U511" t="inlineStr">
        <is>
          <t>No</t>
        </is>
      </c>
      <c r="V511" t="inlineStr">
        <is>
          <t>Bot tarafindan tespit edildi (2026-07-01)</t>
        </is>
      </c>
    </row>
    <row r="512">
      <c r="A512" t="inlineStr">
        <is>
          <t>T-0316</t>
        </is>
      </c>
      <c r="B512" t="inlineStr">
        <is>
          <t>Indraprastha Gas (IGL)</t>
        </is>
      </c>
      <c r="C512" t="inlineStr">
        <is>
          <t>Indraprastha Gas (IGL)</t>
        </is>
      </c>
      <c r="F512" t="inlineStr">
        <is>
          <t>New Lead</t>
        </is>
      </c>
      <c r="G512" t="inlineStr">
        <is>
          <t>Regulating station</t>
        </is>
      </c>
      <c r="H512" t="inlineStr">
        <is>
          <t>View Tender</t>
        </is>
      </c>
      <c r="K512" t="inlineStr">
        <is>
          <t>Not found</t>
        </is>
      </c>
      <c r="L512" t="inlineStr">
        <is>
          <t>Unknown</t>
        </is>
      </c>
      <c r="T512" t="inlineStr">
        <is>
          <t>https://tenders.iglonline.net/tenderDetail/440/Active Tenders And Corrigendum-Addendum</t>
        </is>
      </c>
      <c r="U512" t="inlineStr">
        <is>
          <t>No</t>
        </is>
      </c>
      <c r="V51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513">
      <c r="A513" t="inlineStr">
        <is>
          <t>T-0317</t>
        </is>
      </c>
      <c r="B513" t="inlineStr">
        <is>
          <t>Indraprastha Gas (IGL)</t>
        </is>
      </c>
      <c r="C513" t="inlineStr">
        <is>
          <t>Indraprastha Gas (IGL)</t>
        </is>
      </c>
      <c r="D513" t="inlineStr">
        <is>
          <t>Loading</t>
        </is>
      </c>
      <c r="E513" t="inlineStr">
        <is>
          <t>10-03-33</t>
        </is>
      </c>
      <c r="F513" t="inlineStr">
        <is>
          <t>Awarded</t>
        </is>
      </c>
      <c r="G513" t="inlineStr">
        <is>
          <t>MRS</t>
        </is>
      </c>
      <c r="H513" t="inlineStr">
        <is>
          <t>Technical_Volume_CP18519.pdf</t>
        </is>
      </c>
      <c r="K513" t="inlineStr">
        <is>
          <t>Bharat Petroleum Corporation Limited (BPCL) and Govt. of National Capital Territory of Delh</t>
        </is>
      </c>
      <c r="L513" t="inlineStr">
        <is>
          <t>Unknown</t>
        </is>
      </c>
      <c r="M513" t="n">
        <v>44</v>
      </c>
      <c r="T513" t="inlineStr">
        <is>
          <t>https://tenders.iglonline.net/uploads/tender/Technical_Volume_CP18519.pdf</t>
        </is>
      </c>
      <c r="U513" t="inlineStr">
        <is>
          <t>No</t>
        </is>
      </c>
      <c r="V51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station,Skid / gas train;reject_reasons=employment/corporate,non-product service,retail/cng station noise,civil/electrical only;scope=market_intelligence_only;excluded_scope=no_bid_or_offer_submission_automation</t>
        </is>
      </c>
    </row>
    <row r="514">
      <c r="A514" t="inlineStr">
        <is>
          <t>T-0318</t>
        </is>
      </c>
      <c r="B514" t="inlineStr">
        <is>
          <t>Indraprastha Gas (IGL)</t>
        </is>
      </c>
      <c r="C514" t="inlineStr">
        <is>
          <t>Indraprastha Gas (IGL)</t>
        </is>
      </c>
      <c r="D514" t="inlineStr">
        <is>
          <t>DOCUMENT</t>
        </is>
      </c>
      <c r="F514" t="inlineStr">
        <is>
          <t>Awarded</t>
        </is>
      </c>
      <c r="G514" t="inlineStr">
        <is>
          <t>MRS</t>
        </is>
      </c>
      <c r="H514" t="inlineStr">
        <is>
          <t>Commercial_Volume_CP18519.pdf</t>
        </is>
      </c>
      <c r="K514" t="inlineStr">
        <is>
          <t>TO INFORM .......................................................................</t>
        </is>
      </c>
      <c r="L514" t="inlineStr">
        <is>
          <t>Unknown</t>
        </is>
      </c>
      <c r="M514" t="n">
        <v>2000000</v>
      </c>
      <c r="T514" t="inlineStr">
        <is>
          <t>https://tenders.iglonline.net/uploads/tender/Commercial_Volume_CP18519.pdf</t>
        </is>
      </c>
      <c r="U514" t="inlineStr">
        <is>
          <t>No</t>
        </is>
      </c>
      <c r="V514"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5">
      <c r="A515" t="inlineStr">
        <is>
          <t>T-0319</t>
        </is>
      </c>
      <c r="B515" t="inlineStr">
        <is>
          <t>Indraprastha Gas (IGL)</t>
        </is>
      </c>
      <c r="C515" t="inlineStr">
        <is>
          <t>Indraprastha Gas (IGL)</t>
        </is>
      </c>
      <c r="D515" t="inlineStr">
        <is>
          <t>DOCUMENT</t>
        </is>
      </c>
      <c r="F515" t="inlineStr">
        <is>
          <t>Awarded</t>
        </is>
      </c>
      <c r="G515" t="inlineStr">
        <is>
          <t>MRS</t>
        </is>
      </c>
      <c r="H515" t="inlineStr">
        <is>
          <t>Commercial_Volume_CP18519_new.pdf</t>
        </is>
      </c>
      <c r="K515" t="inlineStr">
        <is>
          <t>TO INFORM .......................................................................</t>
        </is>
      </c>
      <c r="L515" t="inlineStr">
        <is>
          <t>Unknown</t>
        </is>
      </c>
      <c r="M515" t="n">
        <v>2000000</v>
      </c>
      <c r="T515" t="inlineStr">
        <is>
          <t>https://tenders.iglonline.net/uploads/tender/Commercial_Volume_CP18519_new.pdf</t>
        </is>
      </c>
      <c r="U515" t="inlineStr">
        <is>
          <t>No</t>
        </is>
      </c>
      <c r="V51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6">
      <c r="A516" t="inlineStr">
        <is>
          <t>T-0320</t>
        </is>
      </c>
      <c r="B516" t="inlineStr">
        <is>
          <t>Indraprastha Gas (IGL)</t>
        </is>
      </c>
      <c r="C516" t="inlineStr">
        <is>
          <t>Indraprastha Gas (IGL)</t>
        </is>
      </c>
      <c r="D516" t="inlineStr">
        <is>
          <t>QUERIES</t>
        </is>
      </c>
      <c r="F516" t="inlineStr">
        <is>
          <t>Awarded</t>
        </is>
      </c>
      <c r="G516" t="inlineStr">
        <is>
          <t>MRS</t>
        </is>
      </c>
      <c r="H516" t="inlineStr">
        <is>
          <t>RTBQ_CP18519.pdf</t>
        </is>
      </c>
      <c r="K516" t="inlineStr">
        <is>
          <t>Astron Brass 31 General</t>
        </is>
      </c>
      <c r="L516" t="inlineStr">
        <is>
          <t>Unknown</t>
        </is>
      </c>
      <c r="T516" t="inlineStr">
        <is>
          <t>https://tenders.iglonline.net/uploads/tender/RTBQ_CP18519.pdf</t>
        </is>
      </c>
      <c r="U516" t="inlineStr">
        <is>
          <t>No</t>
        </is>
      </c>
      <c r="V516"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station;reject_reasons=employment/corporate,non-product service;scope=market_intelligence_only;excluded_scope=no_bid_or_offer_submission_automation</t>
        </is>
      </c>
    </row>
    <row r="517">
      <c r="A517" t="inlineStr">
        <is>
          <t>T-0321</t>
        </is>
      </c>
      <c r="B517" t="inlineStr">
        <is>
          <t>Indraprastha Gas (IGL)</t>
        </is>
      </c>
      <c r="C517" t="inlineStr">
        <is>
          <t>Indraprastha Gas (IGL)</t>
        </is>
      </c>
      <c r="D517" t="inlineStr">
        <is>
          <t>DOCUMENT</t>
        </is>
      </c>
      <c r="F517" t="inlineStr">
        <is>
          <t>Awarded</t>
        </is>
      </c>
      <c r="G517" t="inlineStr">
        <is>
          <t>MRS</t>
        </is>
      </c>
      <c r="H517" t="inlineStr">
        <is>
          <t>Corrigendum_1_CP18519.pdf</t>
        </is>
      </c>
      <c r="K517" t="inlineStr">
        <is>
          <t>after gas charging shall be paid as per SOR 4. Construction of RCC structure for</t>
        </is>
      </c>
      <c r="L517" t="inlineStr">
        <is>
          <t>Unknown</t>
        </is>
      </c>
      <c r="T517" t="inlineStr">
        <is>
          <t>https://tenders.iglonline.net/uploads/tender/Corrigendum_1_CP18519.pdf</t>
        </is>
      </c>
      <c r="U517" t="inlineStr">
        <is>
          <t>No</t>
        </is>
      </c>
      <c r="V51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518">
      <c r="A518" t="inlineStr">
        <is>
          <t>T-0322</t>
        </is>
      </c>
      <c r="B518" t="inlineStr">
        <is>
          <t>Indraprastha Gas (IGL)</t>
        </is>
      </c>
      <c r="C518" t="inlineStr">
        <is>
          <t>Indraprastha Gas (IGL)</t>
        </is>
      </c>
      <c r="F518" t="inlineStr">
        <is>
          <t>New Lead</t>
        </is>
      </c>
      <c r="H518" t="inlineStr">
        <is>
          <t>View Tender</t>
        </is>
      </c>
      <c r="K518" t="inlineStr">
        <is>
          <t>Not found</t>
        </is>
      </c>
      <c r="L518" t="inlineStr">
        <is>
          <t>Unknown</t>
        </is>
      </c>
      <c r="T518" t="inlineStr">
        <is>
          <t>https://tenders.iglonline.net/tenderDetail/439/Active Tenders And Corrigendum-Addendum</t>
        </is>
      </c>
      <c r="U518" t="inlineStr">
        <is>
          <t>No</t>
        </is>
      </c>
      <c r="V518" t="inlineStr">
        <is>
          <t>Bot tarafindan tespit edildi (2026-07-01)</t>
        </is>
      </c>
    </row>
    <row r="519">
      <c r="A519" t="inlineStr">
        <is>
          <t>T-0323</t>
        </is>
      </c>
      <c r="B519" t="inlineStr">
        <is>
          <t>Indraprastha Gas (IGL)</t>
        </is>
      </c>
      <c r="C519" t="inlineStr">
        <is>
          <t>Indraprastha Gas (IGL)</t>
        </is>
      </c>
      <c r="F519" t="inlineStr">
        <is>
          <t>New Lead</t>
        </is>
      </c>
      <c r="H519" t="inlineStr">
        <is>
          <t>Tender_CP18492.pdf</t>
        </is>
      </c>
      <c r="K519" t="inlineStr">
        <is>
          <t>Not found</t>
        </is>
      </c>
      <c r="L519" t="inlineStr">
        <is>
          <t>Unknown</t>
        </is>
      </c>
      <c r="T519" t="inlineStr">
        <is>
          <t>https://tenders.iglonline.net/uploads/tender/Tender_CP18492.pdf</t>
        </is>
      </c>
      <c r="U519" t="inlineStr">
        <is>
          <t>No</t>
        </is>
      </c>
      <c r="V519" t="inlineStr">
        <is>
          <t>Bot tarafindan tespit edildi (2026-07-01)</t>
        </is>
      </c>
    </row>
    <row r="520">
      <c r="A520" t="inlineStr">
        <is>
          <t>T-0324</t>
        </is>
      </c>
      <c r="B520" t="inlineStr">
        <is>
          <t>Indraprastha Gas (IGL)</t>
        </is>
      </c>
      <c r="C520" t="inlineStr">
        <is>
          <t>Indraprastha Gas (IGL)</t>
        </is>
      </c>
      <c r="F520" t="inlineStr">
        <is>
          <t>New Lead</t>
        </is>
      </c>
      <c r="H520" t="inlineStr">
        <is>
          <t>RTBQ CP18492_F.pdf</t>
        </is>
      </c>
      <c r="K520" t="inlineStr">
        <is>
          <t>Not found</t>
        </is>
      </c>
      <c r="L520" t="inlineStr">
        <is>
          <t>Unknown</t>
        </is>
      </c>
      <c r="T520" t="inlineStr">
        <is>
          <t>https://tenders.iglonline.net/uploads/tender/RTBQ CP18492_F.pdf</t>
        </is>
      </c>
      <c r="U520" t="inlineStr">
        <is>
          <t>No</t>
        </is>
      </c>
      <c r="V520" t="inlineStr">
        <is>
          <t>Bot tarafindan tespit edildi (2026-07-01)</t>
        </is>
      </c>
    </row>
    <row r="521">
      <c r="A521" t="inlineStr">
        <is>
          <t>T-0325</t>
        </is>
      </c>
      <c r="B521" t="inlineStr">
        <is>
          <t>Indraprastha Gas (IGL)</t>
        </is>
      </c>
      <c r="C521" t="inlineStr">
        <is>
          <t>Indraprastha Gas (IGL)</t>
        </is>
      </c>
      <c r="F521" t="inlineStr">
        <is>
          <t>New Lead</t>
        </is>
      </c>
      <c r="H521" t="inlineStr">
        <is>
          <t>Corrigendum_I_CP18492.pdf</t>
        </is>
      </c>
      <c r="K521" t="inlineStr">
        <is>
          <t>Not found</t>
        </is>
      </c>
      <c r="L521" t="inlineStr">
        <is>
          <t>Unknown</t>
        </is>
      </c>
      <c r="T521" t="inlineStr">
        <is>
          <t>https://tenders.iglonline.net/uploads/tender/Corrigendum_I_CP18492.pdf</t>
        </is>
      </c>
      <c r="U521" t="inlineStr">
        <is>
          <t>No</t>
        </is>
      </c>
      <c r="V521" t="inlineStr">
        <is>
          <t>Bot tarafindan tespit edildi (2026-07-01)</t>
        </is>
      </c>
    </row>
    <row r="522">
      <c r="A522" t="inlineStr">
        <is>
          <t>T-0326</t>
        </is>
      </c>
      <c r="B522" t="inlineStr">
        <is>
          <t>Indraprastha Gas (IGL)</t>
        </is>
      </c>
      <c r="C522" t="inlineStr">
        <is>
          <t>Indraprastha Gas (IGL)</t>
        </is>
      </c>
      <c r="F522" t="inlineStr">
        <is>
          <t>New Lead</t>
        </is>
      </c>
      <c r="H522" t="inlineStr">
        <is>
          <t>View Tender</t>
        </is>
      </c>
      <c r="K522" t="inlineStr">
        <is>
          <t>Not found</t>
        </is>
      </c>
      <c r="L522" t="inlineStr">
        <is>
          <t>Unknown</t>
        </is>
      </c>
      <c r="T522" t="inlineStr">
        <is>
          <t>https://tenders.iglonline.net/tenderDetail/438/Active Tenders And Corrigendum-Addendum</t>
        </is>
      </c>
      <c r="U522" t="inlineStr">
        <is>
          <t>No</t>
        </is>
      </c>
      <c r="V522" t="inlineStr">
        <is>
          <t>Bot tarafindan tespit edildi (2026-07-01)</t>
        </is>
      </c>
    </row>
    <row r="523">
      <c r="A523" t="inlineStr">
        <is>
          <t>T-0327</t>
        </is>
      </c>
      <c r="B523" t="inlineStr">
        <is>
          <t>Indraprastha Gas (IGL)</t>
        </is>
      </c>
      <c r="C523" t="inlineStr">
        <is>
          <t>Indraprastha Gas (IGL)</t>
        </is>
      </c>
      <c r="F523" t="inlineStr">
        <is>
          <t>New Lead</t>
        </is>
      </c>
      <c r="H523" t="inlineStr">
        <is>
          <t>Comm_Vol_CP18502.pdf</t>
        </is>
      </c>
      <c r="K523" t="inlineStr">
        <is>
          <t>Not found</t>
        </is>
      </c>
      <c r="L523" t="inlineStr">
        <is>
          <t>Unknown</t>
        </is>
      </c>
      <c r="T523" t="inlineStr">
        <is>
          <t>https://tenders.iglonline.net/uploads/tender/Comm_Vol_CP18502.pdf</t>
        </is>
      </c>
      <c r="U523" t="inlineStr">
        <is>
          <t>No</t>
        </is>
      </c>
      <c r="V523" t="inlineStr">
        <is>
          <t>Bot tarafindan tespit edildi (2026-07-01)</t>
        </is>
      </c>
    </row>
    <row r="524">
      <c r="A524" t="inlineStr">
        <is>
          <t>T-0328</t>
        </is>
      </c>
      <c r="B524" t="inlineStr">
        <is>
          <t>Indraprastha Gas (IGL)</t>
        </is>
      </c>
      <c r="C524" t="inlineStr">
        <is>
          <t>Indraprastha Gas (IGL)</t>
        </is>
      </c>
      <c r="F524" t="inlineStr">
        <is>
          <t>New Lead</t>
        </is>
      </c>
      <c r="H524" t="inlineStr">
        <is>
          <t>Tech_Vol_CP18502.pdf</t>
        </is>
      </c>
      <c r="K524" t="inlineStr">
        <is>
          <t>Not found</t>
        </is>
      </c>
      <c r="L524" t="inlineStr">
        <is>
          <t>Unknown</t>
        </is>
      </c>
      <c r="T524" t="inlineStr">
        <is>
          <t>https://tenders.iglonline.net/uploads/tender/Tech_Vol_CP18502.pdf</t>
        </is>
      </c>
      <c r="U524" t="inlineStr">
        <is>
          <t>No</t>
        </is>
      </c>
      <c r="V524" t="inlineStr">
        <is>
          <t>Bot tarafindan tespit edildi (2026-07-01)</t>
        </is>
      </c>
    </row>
    <row r="525">
      <c r="A525" t="inlineStr">
        <is>
          <t>T-0329</t>
        </is>
      </c>
      <c r="B525" t="inlineStr">
        <is>
          <t>Indraprastha Gas (IGL)</t>
        </is>
      </c>
      <c r="C525" t="inlineStr">
        <is>
          <t>Indraprastha Gas (IGL)</t>
        </is>
      </c>
      <c r="F525" t="inlineStr">
        <is>
          <t>New Lead</t>
        </is>
      </c>
      <c r="H525" t="inlineStr">
        <is>
          <t>RTBQ CP18502.pdf</t>
        </is>
      </c>
      <c r="K525" t="inlineStr">
        <is>
          <t>Not found</t>
        </is>
      </c>
      <c r="L525" t="inlineStr">
        <is>
          <t>Unknown</t>
        </is>
      </c>
      <c r="T525" t="inlineStr">
        <is>
          <t>https://tenders.iglonline.net/uploads/tender/RTBQ CP18502.pdf</t>
        </is>
      </c>
      <c r="U525" t="inlineStr">
        <is>
          <t>No</t>
        </is>
      </c>
      <c r="V525" t="inlineStr">
        <is>
          <t>Bot tarafindan tespit edildi (2026-07-01)</t>
        </is>
      </c>
    </row>
    <row r="526">
      <c r="A526" t="inlineStr">
        <is>
          <t>T-0330</t>
        </is>
      </c>
      <c r="B526" t="inlineStr">
        <is>
          <t>Indraprastha Gas (IGL)</t>
        </is>
      </c>
      <c r="C526" t="inlineStr">
        <is>
          <t>Indraprastha Gas (IGL)</t>
        </is>
      </c>
      <c r="F526" t="inlineStr">
        <is>
          <t>New Lead</t>
        </is>
      </c>
      <c r="H526" t="inlineStr">
        <is>
          <t>View Tender</t>
        </is>
      </c>
      <c r="K526" t="inlineStr">
        <is>
          <t>Not found</t>
        </is>
      </c>
      <c r="L526" t="inlineStr">
        <is>
          <t>Unknown</t>
        </is>
      </c>
      <c r="T526" t="inlineStr">
        <is>
          <t>https://tenders.iglonline.net/tenderDetail/437/Active Tenders And Corrigendum-Addendum</t>
        </is>
      </c>
      <c r="U526" t="inlineStr">
        <is>
          <t>No</t>
        </is>
      </c>
      <c r="V526" t="inlineStr">
        <is>
          <t>Bot tarafindan tespit edildi (2026-07-01)</t>
        </is>
      </c>
    </row>
    <row r="527">
      <c r="A527" t="inlineStr">
        <is>
          <t>T-0331</t>
        </is>
      </c>
      <c r="B527" t="inlineStr">
        <is>
          <t>Indraprastha Gas (IGL)</t>
        </is>
      </c>
      <c r="C527" t="inlineStr">
        <is>
          <t>Indraprastha Gas (IGL)</t>
        </is>
      </c>
      <c r="F527" t="inlineStr">
        <is>
          <t>New Lead</t>
        </is>
      </c>
      <c r="G527" t="inlineStr">
        <is>
          <t>Unclassified</t>
        </is>
      </c>
      <c r="H527" t="inlineStr">
        <is>
          <t>Tender_Doc_Hiring_Vehicle.pdf</t>
        </is>
      </c>
      <c r="K527" t="inlineStr">
        <is>
          <t>Not found</t>
        </is>
      </c>
      <c r="L527" t="inlineStr">
        <is>
          <t>Unknown</t>
        </is>
      </c>
      <c r="T527" t="inlineStr">
        <is>
          <t>https://tenders.iglonline.net/uploads/tender/Tender_Doc_Hiring_Vehicle.pdf</t>
        </is>
      </c>
      <c r="U527" t="inlineStr">
        <is>
          <t>No</t>
        </is>
      </c>
      <c r="V527" t="inlineStr">
        <is>
          <t>Bot tarafindan tespit edildi (2026-07-01); Bot tespit/zenginlestirme (2026-07-01); meta:score=40;priority=Medium;source_type=html_table;closing_date=;equipment=Unclassified;reasons=document source,quantity signal</t>
        </is>
      </c>
    </row>
    <row r="528">
      <c r="A528" t="inlineStr">
        <is>
          <t>T-0332</t>
        </is>
      </c>
      <c r="B528" t="inlineStr">
        <is>
          <t>Indraprastha Gas (IGL)</t>
        </is>
      </c>
      <c r="C528" t="inlineStr">
        <is>
          <t>Indraprastha Gas (IGL)</t>
        </is>
      </c>
      <c r="F528" t="inlineStr">
        <is>
          <t>New Lead</t>
        </is>
      </c>
      <c r="H528" t="inlineStr">
        <is>
          <t>View Tender</t>
        </is>
      </c>
      <c r="K528" t="inlineStr">
        <is>
          <t>Not found</t>
        </is>
      </c>
      <c r="L528" t="inlineStr">
        <is>
          <t>Unknown</t>
        </is>
      </c>
      <c r="T528" t="inlineStr">
        <is>
          <t>https://tenders.iglonline.net/tenderDetail/436/Active Tenders And Corrigendum-Addendum</t>
        </is>
      </c>
      <c r="U528" t="inlineStr">
        <is>
          <t>No</t>
        </is>
      </c>
      <c r="V528" t="inlineStr">
        <is>
          <t>Bot tarafindan tespit edildi (2026-07-01)</t>
        </is>
      </c>
    </row>
    <row r="529">
      <c r="A529" t="inlineStr">
        <is>
          <t>T-0333</t>
        </is>
      </c>
      <c r="B529" t="inlineStr">
        <is>
          <t>Indraprastha Gas (IGL)</t>
        </is>
      </c>
      <c r="C529" t="inlineStr">
        <is>
          <t>Indraprastha Gas (IGL)</t>
        </is>
      </c>
      <c r="F529" t="inlineStr">
        <is>
          <t>New Lead</t>
        </is>
      </c>
      <c r="G529" t="inlineStr">
        <is>
          <t>Gas-related / review</t>
        </is>
      </c>
      <c r="H529" t="inlineStr">
        <is>
          <t>Tender_CM18513.pdf</t>
        </is>
      </c>
      <c r="K529" t="inlineStr">
        <is>
          <t>Not found</t>
        </is>
      </c>
      <c r="L529" t="inlineStr">
        <is>
          <t>Unknown</t>
        </is>
      </c>
      <c r="T529" t="inlineStr">
        <is>
          <t>https://tenders.iglonline.net/uploads/tender/Tender_CM18513.pdf</t>
        </is>
      </c>
      <c r="U529" t="inlineStr">
        <is>
          <t>No</t>
        </is>
      </c>
      <c r="V529" t="inlineStr">
        <is>
          <t>Bot tarafindan tespit edildi (2026-07-01); Bot tespit/zenginlestirme (2026-07-01); meta:score=35;priority=Low;source_type=html_table;closing_date=;equipment=Gas-related / review;reasons=equipment:Gas-related / review,document source</t>
        </is>
      </c>
    </row>
    <row r="530">
      <c r="A530" t="inlineStr">
        <is>
          <t>T-0334</t>
        </is>
      </c>
      <c r="B530" t="inlineStr">
        <is>
          <t>Indraprastha Gas (IGL)</t>
        </is>
      </c>
      <c r="C530" t="inlineStr">
        <is>
          <t>Indraprastha Gas (IGL)</t>
        </is>
      </c>
      <c r="F530" t="inlineStr">
        <is>
          <t>New Lead</t>
        </is>
      </c>
      <c r="G530" t="inlineStr">
        <is>
          <t>Gas-related / review</t>
        </is>
      </c>
      <c r="H530" t="inlineStr">
        <is>
          <t>Corrigendum-1-CM18513.pdf</t>
        </is>
      </c>
      <c r="K530" t="inlineStr">
        <is>
          <t>Not found</t>
        </is>
      </c>
      <c r="L530" t="inlineStr">
        <is>
          <t>Unknown</t>
        </is>
      </c>
      <c r="T530" t="inlineStr">
        <is>
          <t>https://tenders.iglonline.net/uploads/tender/Corrigendum-1-CM18513.pdf</t>
        </is>
      </c>
      <c r="U530" t="inlineStr">
        <is>
          <t>No</t>
        </is>
      </c>
      <c r="V530" t="inlineStr">
        <is>
          <t>Bot tarafindan tespit edildi (2026-07-01); Bot tespit/zenginlestirme (2026-07-01); meta:score=35;priority=Low;source_type=html_table;closing_date=;equipment=Gas-related / review;reasons=equipment:Gas-related / review,document source</t>
        </is>
      </c>
    </row>
    <row r="531">
      <c r="A531" t="inlineStr">
        <is>
          <t>T-0335</t>
        </is>
      </c>
      <c r="B531" t="inlineStr">
        <is>
          <t>Indraprastha Gas (IGL)</t>
        </is>
      </c>
      <c r="C531" t="inlineStr">
        <is>
          <t>Indraprastha Gas (IGL)</t>
        </is>
      </c>
      <c r="F531" t="inlineStr">
        <is>
          <t>New Lead</t>
        </is>
      </c>
      <c r="H531" t="inlineStr">
        <is>
          <t>View Tender</t>
        </is>
      </c>
      <c r="K531" t="inlineStr">
        <is>
          <t>Not found</t>
        </is>
      </c>
      <c r="L531" t="inlineStr">
        <is>
          <t>Unknown</t>
        </is>
      </c>
      <c r="T531" t="inlineStr">
        <is>
          <t>https://tenders.iglonline.net/tenderDetail/435/Active Tenders And Corrigendum-Addendum</t>
        </is>
      </c>
      <c r="U531" t="inlineStr">
        <is>
          <t>No</t>
        </is>
      </c>
      <c r="V531" t="inlineStr">
        <is>
          <t>Bot tarafindan tespit edildi (2026-07-01)</t>
        </is>
      </c>
    </row>
    <row r="532">
      <c r="A532" t="inlineStr">
        <is>
          <t>T-0336</t>
        </is>
      </c>
      <c r="B532" t="inlineStr">
        <is>
          <t>Indraprastha Gas (IGL)</t>
        </is>
      </c>
      <c r="C532" t="inlineStr">
        <is>
          <t>Indraprastha Gas (IGL)</t>
        </is>
      </c>
      <c r="F532" t="inlineStr">
        <is>
          <t>New Lead</t>
        </is>
      </c>
      <c r="H532" t="inlineStr">
        <is>
          <t>Tender_CC18506.pdf</t>
        </is>
      </c>
      <c r="K532" t="inlineStr">
        <is>
          <t>Not found</t>
        </is>
      </c>
      <c r="L532" t="inlineStr">
        <is>
          <t>Unknown</t>
        </is>
      </c>
      <c r="T532" t="inlineStr">
        <is>
          <t>https://tenders.iglonline.net/uploads/tender/Tender_CC18506.pdf</t>
        </is>
      </c>
      <c r="U532" t="inlineStr">
        <is>
          <t>No</t>
        </is>
      </c>
      <c r="V532" t="inlineStr">
        <is>
          <t>Bot tarafindan tespit edildi (2026-07-01)</t>
        </is>
      </c>
    </row>
    <row r="533">
      <c r="A533" t="inlineStr">
        <is>
          <t>T-0337</t>
        </is>
      </c>
      <c r="B533" t="inlineStr">
        <is>
          <t>Indraprastha Gas (IGL)</t>
        </is>
      </c>
      <c r="C533" t="inlineStr">
        <is>
          <t>Indraprastha Gas (IGL)</t>
        </is>
      </c>
      <c r="F533" t="inlineStr">
        <is>
          <t>New Lead</t>
        </is>
      </c>
      <c r="H533" t="inlineStr">
        <is>
          <t>View Tender</t>
        </is>
      </c>
      <c r="K533" t="inlineStr">
        <is>
          <t>Not found</t>
        </is>
      </c>
      <c r="L533" t="inlineStr">
        <is>
          <t>Unknown</t>
        </is>
      </c>
      <c r="T533" t="inlineStr">
        <is>
          <t>https://tenders.iglonline.net/tenderDetail/434/Active Tenders And Corrigendum-Addendum</t>
        </is>
      </c>
      <c r="U533" t="inlineStr">
        <is>
          <t>No</t>
        </is>
      </c>
      <c r="V533" t="inlineStr">
        <is>
          <t>Bot tarafindan tespit edildi (2026-07-01)</t>
        </is>
      </c>
    </row>
    <row r="534">
      <c r="A534" t="inlineStr">
        <is>
          <t>T-0338</t>
        </is>
      </c>
      <c r="B534" t="inlineStr">
        <is>
          <t>Indraprastha Gas (IGL)</t>
        </is>
      </c>
      <c r="C534" t="inlineStr">
        <is>
          <t>Indraprastha Gas (IGL)</t>
        </is>
      </c>
      <c r="F534" t="inlineStr">
        <is>
          <t>New Lead</t>
        </is>
      </c>
      <c r="G534" t="inlineStr">
        <is>
          <t>Gas-related / review</t>
        </is>
      </c>
      <c r="H534" t="inlineStr">
        <is>
          <t>Tender Document_CM18515.pdf</t>
        </is>
      </c>
      <c r="K534" t="inlineStr">
        <is>
          <t>Not found</t>
        </is>
      </c>
      <c r="L534" t="inlineStr">
        <is>
          <t>Unknown</t>
        </is>
      </c>
      <c r="T534" t="inlineStr">
        <is>
          <t>https://tenders.iglonline.net/uploads/tender/Tender Document_CM18515.pdf</t>
        </is>
      </c>
      <c r="U534" t="inlineStr">
        <is>
          <t>No</t>
        </is>
      </c>
      <c r="V534" t="inlineStr">
        <is>
          <t>Bot tarafindan tespit edildi (2026-07-01); Bot tespit/zenginlestirme (2026-07-01); meta:score=35;priority=Low;source_type=html_table;closing_date=;equipment=Gas-related / review;reasons=equipment:Gas-related / review,document source</t>
        </is>
      </c>
    </row>
    <row r="535">
      <c r="A535" t="inlineStr">
        <is>
          <t>T-0339</t>
        </is>
      </c>
      <c r="B535" t="inlineStr">
        <is>
          <t>Indraprastha Gas (IGL)</t>
        </is>
      </c>
      <c r="C535" t="inlineStr">
        <is>
          <t>Indraprastha Gas (IGL)</t>
        </is>
      </c>
      <c r="F535" t="inlineStr">
        <is>
          <t>New Lead</t>
        </is>
      </c>
      <c r="G535" t="inlineStr">
        <is>
          <t>Gas-related / review</t>
        </is>
      </c>
      <c r="H535" t="inlineStr">
        <is>
          <t>RTPBQ_CM18515.pdf</t>
        </is>
      </c>
      <c r="K535" t="inlineStr">
        <is>
          <t>Not found</t>
        </is>
      </c>
      <c r="L535" t="inlineStr">
        <is>
          <t>Unknown</t>
        </is>
      </c>
      <c r="T535" t="inlineStr">
        <is>
          <t>https://tenders.iglonline.net/uploads/tender/RTPBQ_CM18515.pdf</t>
        </is>
      </c>
      <c r="U535" t="inlineStr">
        <is>
          <t>No</t>
        </is>
      </c>
      <c r="V535" t="inlineStr">
        <is>
          <t>Bot tarafindan tespit edildi (2026-07-01); Bot tespit/zenginlestirme (2026-07-01); meta:score=35;priority=Low;source_type=html_table;closing_date=;equipment=Gas-related / review;reasons=equipment:Gas-related / review,document source</t>
        </is>
      </c>
    </row>
    <row r="536">
      <c r="A536" t="inlineStr">
        <is>
          <t>T-0340</t>
        </is>
      </c>
      <c r="B536" t="inlineStr">
        <is>
          <t>Indraprastha Gas (IGL)</t>
        </is>
      </c>
      <c r="C536" t="inlineStr">
        <is>
          <t>Indraprastha Gas (IGL)</t>
        </is>
      </c>
      <c r="F536" t="inlineStr">
        <is>
          <t>New Lead</t>
        </is>
      </c>
      <c r="H536" t="inlineStr">
        <is>
          <t>View Tender</t>
        </is>
      </c>
      <c r="K536" t="inlineStr">
        <is>
          <t>Not found</t>
        </is>
      </c>
      <c r="L536" t="inlineStr">
        <is>
          <t>Unknown</t>
        </is>
      </c>
      <c r="T536" t="inlineStr">
        <is>
          <t>https://tenders.iglonline.net/tenderDetail/433/Active Tenders And Corrigendum-Addendum</t>
        </is>
      </c>
      <c r="U536" t="inlineStr">
        <is>
          <t>No</t>
        </is>
      </c>
      <c r="V536" t="inlineStr">
        <is>
          <t>Bot tarafindan tespit edildi (2026-07-01)</t>
        </is>
      </c>
    </row>
    <row r="537">
      <c r="A537" t="inlineStr">
        <is>
          <t>T-0341</t>
        </is>
      </c>
      <c r="B537" t="inlineStr">
        <is>
          <t>Indraprastha Gas (IGL)</t>
        </is>
      </c>
      <c r="C537" t="inlineStr">
        <is>
          <t>Indraprastha Gas (IGL)</t>
        </is>
      </c>
      <c r="F537" t="inlineStr">
        <is>
          <t>New Lead</t>
        </is>
      </c>
      <c r="G537" t="inlineStr">
        <is>
          <t>Unclassified</t>
        </is>
      </c>
      <c r="H537" t="inlineStr">
        <is>
          <t>Tender Document_CM18483.pdf</t>
        </is>
      </c>
      <c r="K537" t="inlineStr">
        <is>
          <t>Not found</t>
        </is>
      </c>
      <c r="L537" t="inlineStr">
        <is>
          <t>Unknown</t>
        </is>
      </c>
      <c r="T537" t="inlineStr">
        <is>
          <t>https://tenders.iglonline.net/uploads/tender/Tender Document_CM18483.pdf</t>
        </is>
      </c>
      <c r="U537" t="inlineStr">
        <is>
          <t>No</t>
        </is>
      </c>
      <c r="V537" t="inlineStr">
        <is>
          <t>Bot tarafindan tespit edildi (2026-07-01); Bot tespit/zenginlestirme (2026-07-01); meta:score=40;priority=Medium;source_type=html_table;closing_date=;equipment=Unclassified;reasons=document source,quantity signal</t>
        </is>
      </c>
    </row>
    <row r="538">
      <c r="A538" t="inlineStr">
        <is>
          <t>T-0342</t>
        </is>
      </c>
      <c r="B538" t="inlineStr">
        <is>
          <t>Indraprastha Gas (IGL)</t>
        </is>
      </c>
      <c r="C538" t="inlineStr">
        <is>
          <t>Indraprastha Gas (IGL)</t>
        </is>
      </c>
      <c r="F538" t="inlineStr">
        <is>
          <t>New Lead</t>
        </is>
      </c>
      <c r="H538" t="inlineStr">
        <is>
          <t>View Tender</t>
        </is>
      </c>
      <c r="K538" t="inlineStr">
        <is>
          <t>Not found</t>
        </is>
      </c>
      <c r="L538" t="inlineStr">
        <is>
          <t>Unknown</t>
        </is>
      </c>
      <c r="T538" t="inlineStr">
        <is>
          <t>https://tenders.iglonline.net/tenderDetail/432/Active Tenders And Corrigendum-Addendum</t>
        </is>
      </c>
      <c r="U538" t="inlineStr">
        <is>
          <t>No</t>
        </is>
      </c>
      <c r="V538" t="inlineStr">
        <is>
          <t>Bot tarafindan tespit edildi (2026-07-01)</t>
        </is>
      </c>
    </row>
    <row r="539">
      <c r="A539" t="inlineStr">
        <is>
          <t>T-0343</t>
        </is>
      </c>
      <c r="B539" t="inlineStr">
        <is>
          <t>Indraprastha Gas (IGL)</t>
        </is>
      </c>
      <c r="C539" t="inlineStr">
        <is>
          <t>Indraprastha Gas (IGL)</t>
        </is>
      </c>
      <c r="F539" t="inlineStr">
        <is>
          <t>New Lead</t>
        </is>
      </c>
      <c r="G539" t="inlineStr">
        <is>
          <t>Gas-related / review</t>
        </is>
      </c>
      <c r="H539" t="inlineStr">
        <is>
          <t>Tender CM18514.pdf</t>
        </is>
      </c>
      <c r="K539" t="inlineStr">
        <is>
          <t>Not found</t>
        </is>
      </c>
      <c r="L539" t="inlineStr">
        <is>
          <t>Unknown</t>
        </is>
      </c>
      <c r="T539" t="inlineStr">
        <is>
          <t>https://tenders.iglonline.net/uploads/tender/Tender CM18514.pdf</t>
        </is>
      </c>
      <c r="U539" t="inlineStr">
        <is>
          <t>No</t>
        </is>
      </c>
      <c r="V539" t="inlineStr">
        <is>
          <t>Bot tarafindan tespit edildi (2026-07-01); Bot tespit/zenginlestirme (2026-07-01); meta:score=35;priority=Low;source_type=html_table;closing_date=;equipment=Gas-related / review;reasons=equipment:Gas-related / review,document source</t>
        </is>
      </c>
    </row>
    <row r="540">
      <c r="A540" t="inlineStr">
        <is>
          <t>T-0344</t>
        </is>
      </c>
      <c r="B540" t="inlineStr">
        <is>
          <t>Indraprastha Gas (IGL)</t>
        </is>
      </c>
      <c r="C540" t="inlineStr">
        <is>
          <t>Indraprastha Gas (IGL)</t>
        </is>
      </c>
      <c r="F540" t="inlineStr">
        <is>
          <t>New Lead</t>
        </is>
      </c>
      <c r="G540" t="inlineStr">
        <is>
          <t>Gas-related / review</t>
        </is>
      </c>
      <c r="H540" t="inlineStr">
        <is>
          <t>RTPBQ_CM18514.pdf</t>
        </is>
      </c>
      <c r="K540" t="inlineStr">
        <is>
          <t>Not found</t>
        </is>
      </c>
      <c r="L540" t="inlineStr">
        <is>
          <t>Unknown</t>
        </is>
      </c>
      <c r="T540" t="inlineStr">
        <is>
          <t>https://tenders.iglonline.net/uploads/tender/RTPBQ_CM18514.pdf</t>
        </is>
      </c>
      <c r="U540" t="inlineStr">
        <is>
          <t>No</t>
        </is>
      </c>
      <c r="V540" t="inlineStr">
        <is>
          <t>Bot tarafindan tespit edildi (2026-07-01); Bot tespit/zenginlestirme (2026-07-01); meta:score=35;priority=Low;source_type=html_table;closing_date=;equipment=Gas-related / review;reasons=equipment:Gas-related / review,document source</t>
        </is>
      </c>
    </row>
    <row r="541">
      <c r="A541" t="inlineStr">
        <is>
          <t>T-0345</t>
        </is>
      </c>
      <c r="B541" t="inlineStr">
        <is>
          <t>Indraprastha Gas (IGL)</t>
        </is>
      </c>
      <c r="C541" t="inlineStr">
        <is>
          <t>Indraprastha Gas (IGL)</t>
        </is>
      </c>
      <c r="F541" t="inlineStr">
        <is>
          <t>New Lead</t>
        </is>
      </c>
      <c r="G541" t="inlineStr">
        <is>
          <t>Gas-related / review</t>
        </is>
      </c>
      <c r="H541" t="inlineStr">
        <is>
          <t>Corrigendum_1_CM18514.pdf</t>
        </is>
      </c>
      <c r="K541" t="inlineStr">
        <is>
          <t>Not found</t>
        </is>
      </c>
      <c r="L541" t="inlineStr">
        <is>
          <t>Unknown</t>
        </is>
      </c>
      <c r="T541" t="inlineStr">
        <is>
          <t>https://tenders.iglonline.net/uploads/tender/Corrigendum_1_CM18514.pdf</t>
        </is>
      </c>
      <c r="U541" t="inlineStr">
        <is>
          <t>No</t>
        </is>
      </c>
      <c r="V541" t="inlineStr">
        <is>
          <t>Bot tarafindan tespit edildi (2026-07-01); Bot tespit/zenginlestirme (2026-07-01); meta:score=35;priority=Low;source_type=html_table;closing_date=;equipment=Gas-related / review;reasons=equipment:Gas-related / review,document source</t>
        </is>
      </c>
    </row>
    <row r="542">
      <c r="A542" t="inlineStr">
        <is>
          <t>T-0346</t>
        </is>
      </c>
      <c r="B542" t="inlineStr">
        <is>
          <t>Indraprastha Gas (IGL)</t>
        </is>
      </c>
      <c r="C542" t="inlineStr">
        <is>
          <t>Indraprastha Gas (IGL)</t>
        </is>
      </c>
      <c r="F542" t="inlineStr">
        <is>
          <t>New Lead</t>
        </is>
      </c>
      <c r="G542" t="inlineStr">
        <is>
          <t>Gas-related / review</t>
        </is>
      </c>
      <c r="H542" t="inlineStr">
        <is>
          <t>Corrigendum_3_CM18514.pdf</t>
        </is>
      </c>
      <c r="K542" t="inlineStr">
        <is>
          <t>Not found</t>
        </is>
      </c>
      <c r="L542" t="inlineStr">
        <is>
          <t>Unknown</t>
        </is>
      </c>
      <c r="T542" t="inlineStr">
        <is>
          <t>https://tenders.iglonline.net/uploads/tender/Corrigendum_3_CM18514.pdf</t>
        </is>
      </c>
      <c r="U542" t="inlineStr">
        <is>
          <t>No</t>
        </is>
      </c>
      <c r="V542" t="inlineStr">
        <is>
          <t>Bot tarafindan tespit edildi (2026-07-01); Bot tespit/zenginlestirme (2026-07-01); meta:score=35;priority=Low;source_type=html_table;closing_date=;equipment=Gas-related / review;reasons=equipment:Gas-related / review,document source</t>
        </is>
      </c>
    </row>
    <row r="543">
      <c r="A543" t="inlineStr">
        <is>
          <t>T-0347</t>
        </is>
      </c>
      <c r="B543" t="inlineStr">
        <is>
          <t>Indraprastha Gas (IGL)</t>
        </is>
      </c>
      <c r="C543" t="inlineStr">
        <is>
          <t>Indraprastha Gas (IGL)</t>
        </is>
      </c>
      <c r="F543" t="inlineStr">
        <is>
          <t>New Lead</t>
        </is>
      </c>
      <c r="H543" t="inlineStr">
        <is>
          <t>View Tender</t>
        </is>
      </c>
      <c r="K543" t="inlineStr">
        <is>
          <t>Not found</t>
        </is>
      </c>
      <c r="L543" t="inlineStr">
        <is>
          <t>Unknown</t>
        </is>
      </c>
      <c r="T543" t="inlineStr">
        <is>
          <t>https://tenders.iglonline.net/tenderDetail/431/Active Tenders And Corrigendum-Addendum</t>
        </is>
      </c>
      <c r="U543" t="inlineStr">
        <is>
          <t>No</t>
        </is>
      </c>
      <c r="V543" t="inlineStr">
        <is>
          <t>Bot tarafindan tespit edildi (2026-07-01)</t>
        </is>
      </c>
    </row>
    <row r="544">
      <c r="A544" t="inlineStr">
        <is>
          <t>T-0348</t>
        </is>
      </c>
      <c r="B544" t="inlineStr">
        <is>
          <t>Indraprastha Gas (IGL)</t>
        </is>
      </c>
      <c r="C544" t="inlineStr">
        <is>
          <t>Indraprastha Gas (IGL)</t>
        </is>
      </c>
      <c r="F544" t="inlineStr">
        <is>
          <t>New Lead</t>
        </is>
      </c>
      <c r="H544" t="inlineStr">
        <is>
          <t>Tender_CM18493.pdf</t>
        </is>
      </c>
      <c r="K544" t="inlineStr">
        <is>
          <t>Not found</t>
        </is>
      </c>
      <c r="L544" t="inlineStr">
        <is>
          <t>Unknown</t>
        </is>
      </c>
      <c r="T544" t="inlineStr">
        <is>
          <t>https://tenders.iglonline.net/uploads/tender/Tender_CM18493.pdf</t>
        </is>
      </c>
      <c r="U544" t="inlineStr">
        <is>
          <t>No</t>
        </is>
      </c>
      <c r="V544" t="inlineStr">
        <is>
          <t>Bot tarafindan tespit edildi (2026-07-01)</t>
        </is>
      </c>
    </row>
    <row r="545">
      <c r="A545" t="inlineStr">
        <is>
          <t>T-0349</t>
        </is>
      </c>
      <c r="B545" t="inlineStr">
        <is>
          <t>Indraprastha Gas (IGL)</t>
        </is>
      </c>
      <c r="C545" t="inlineStr">
        <is>
          <t>Indraprastha Gas (IGL)</t>
        </is>
      </c>
      <c r="F545" t="inlineStr">
        <is>
          <t>New Lead</t>
        </is>
      </c>
      <c r="H545" t="inlineStr">
        <is>
          <t>Pre_bid_queries_CCTV_CM18493.pdf</t>
        </is>
      </c>
      <c r="K545" t="inlineStr">
        <is>
          <t>Not found</t>
        </is>
      </c>
      <c r="L545" t="inlineStr">
        <is>
          <t>Unknown</t>
        </is>
      </c>
      <c r="T545" t="inlineStr">
        <is>
          <t>https://tenders.iglonline.net/uploads/tender/Pre_bid_queries_CCTV_CM18493.pdf</t>
        </is>
      </c>
      <c r="U545" t="inlineStr">
        <is>
          <t>No</t>
        </is>
      </c>
      <c r="V545" t="inlineStr">
        <is>
          <t>Bot tarafindan tespit edildi (2026-07-01)</t>
        </is>
      </c>
    </row>
    <row r="546">
      <c r="A546" t="inlineStr">
        <is>
          <t>T-0350</t>
        </is>
      </c>
      <c r="B546" t="inlineStr">
        <is>
          <t>Indraprastha Gas (IGL)</t>
        </is>
      </c>
      <c r="C546" t="inlineStr">
        <is>
          <t>Indraprastha Gas (IGL)</t>
        </is>
      </c>
      <c r="F546" t="inlineStr">
        <is>
          <t>New Lead</t>
        </is>
      </c>
      <c r="H546" t="inlineStr">
        <is>
          <t>View Tender</t>
        </is>
      </c>
      <c r="K546" t="inlineStr">
        <is>
          <t>Not found</t>
        </is>
      </c>
      <c r="L546" t="inlineStr">
        <is>
          <t>Unknown</t>
        </is>
      </c>
      <c r="T546" t="inlineStr">
        <is>
          <t>https://tenders.iglonline.net/tenderDetail/430/Active Tenders And Corrigendum-Addendum</t>
        </is>
      </c>
      <c r="U546" t="inlineStr">
        <is>
          <t>No</t>
        </is>
      </c>
      <c r="V546" t="inlineStr">
        <is>
          <t>Bot tarafindan tespit edildi (2026-07-01)</t>
        </is>
      </c>
    </row>
    <row r="547">
      <c r="A547" t="inlineStr">
        <is>
          <t>T-0351</t>
        </is>
      </c>
      <c r="B547" t="inlineStr">
        <is>
          <t>Indraprastha Gas (IGL)</t>
        </is>
      </c>
      <c r="C547" t="inlineStr">
        <is>
          <t>Indraprastha Gas (IGL)</t>
        </is>
      </c>
      <c r="F547" t="inlineStr">
        <is>
          <t>New Lead</t>
        </is>
      </c>
      <c r="G547" t="inlineStr">
        <is>
          <t>Gas-related / review</t>
        </is>
      </c>
      <c r="H547" t="inlineStr">
        <is>
          <t>Tender_CP18495_Technical Volume_Part II.pdf</t>
        </is>
      </c>
      <c r="K547" t="inlineStr">
        <is>
          <t>Not found</t>
        </is>
      </c>
      <c r="L547" t="inlineStr">
        <is>
          <t>Unknown</t>
        </is>
      </c>
      <c r="T547" t="inlineStr">
        <is>
          <t>https://tenders.iglonline.net/uploads/tender/Tender_CP18495_Technical Volume_Part II.pdf</t>
        </is>
      </c>
      <c r="U547" t="inlineStr">
        <is>
          <t>No</t>
        </is>
      </c>
      <c r="V547" t="inlineStr">
        <is>
          <t>Bot tarafindan tespit edildi (2026-07-01); Bot tespit/zenginlestirme (2026-07-01); meta:score=35;priority=Low;source_type=html_table;closing_date=;equipment=Gas-related / review;reasons=equipment:Gas-related / review,document source</t>
        </is>
      </c>
    </row>
    <row r="548">
      <c r="A548" t="inlineStr">
        <is>
          <t>T-0352</t>
        </is>
      </c>
      <c r="B548" t="inlineStr">
        <is>
          <t>Indraprastha Gas (IGL)</t>
        </is>
      </c>
      <c r="C548" t="inlineStr">
        <is>
          <t>Indraprastha Gas (IGL)</t>
        </is>
      </c>
      <c r="F548" t="inlineStr">
        <is>
          <t>New Lead</t>
        </is>
      </c>
      <c r="G548" t="inlineStr">
        <is>
          <t>Gas-related / review</t>
        </is>
      </c>
      <c r="H548" t="inlineStr">
        <is>
          <t>Tender_CP18495_Commercial Vol_Part I.pdf</t>
        </is>
      </c>
      <c r="K548" t="inlineStr">
        <is>
          <t>Not found</t>
        </is>
      </c>
      <c r="L548" t="inlineStr">
        <is>
          <t>Unknown</t>
        </is>
      </c>
      <c r="T548" t="inlineStr">
        <is>
          <t>https://tenders.iglonline.net/uploads/tender/Tender_CP18495_Commercial Vol_Part I.pdf</t>
        </is>
      </c>
      <c r="U548" t="inlineStr">
        <is>
          <t>No</t>
        </is>
      </c>
      <c r="V548" t="inlineStr">
        <is>
          <t>Bot tarafindan tespit edildi (2026-07-01); Bot tespit/zenginlestirme (2026-07-01); meta:score=35;priority=Low;source_type=html_table;closing_date=;equipment=Gas-related / review;reasons=equipment:Gas-related / review,document source</t>
        </is>
      </c>
    </row>
    <row r="549">
      <c r="A549" t="inlineStr">
        <is>
          <t>T-0353</t>
        </is>
      </c>
      <c r="B549" t="inlineStr">
        <is>
          <t>Indraprastha Gas (IGL)</t>
        </is>
      </c>
      <c r="C549" t="inlineStr">
        <is>
          <t>Indraprastha Gas (IGL)</t>
        </is>
      </c>
      <c r="F549" t="inlineStr">
        <is>
          <t>New Lead</t>
        </is>
      </c>
      <c r="G549" t="inlineStr">
        <is>
          <t>Gas-related / review</t>
        </is>
      </c>
      <c r="H549" t="inlineStr">
        <is>
          <t>Corrigendum_1_CP18495.pdf</t>
        </is>
      </c>
      <c r="K549" t="inlineStr">
        <is>
          <t>Not found</t>
        </is>
      </c>
      <c r="L549" t="inlineStr">
        <is>
          <t>Unknown</t>
        </is>
      </c>
      <c r="T549" t="inlineStr">
        <is>
          <t>https://tenders.iglonline.net/uploads/tender/Corrigendum_1_CP18495.pdf</t>
        </is>
      </c>
      <c r="U549" t="inlineStr">
        <is>
          <t>No</t>
        </is>
      </c>
      <c r="V549" t="inlineStr">
        <is>
          <t>Bot tarafindan tespit edildi (2026-07-01); Bot tespit/zenginlestirme (2026-07-01); meta:score=35;priority=Low;source_type=html_table;closing_date=;equipment=Gas-related / review;reasons=equipment:Gas-related / review,document source</t>
        </is>
      </c>
    </row>
    <row r="550">
      <c r="A550" t="inlineStr">
        <is>
          <t>T-0354</t>
        </is>
      </c>
      <c r="B550" t="inlineStr">
        <is>
          <t>Indraprastha Gas (IGL)</t>
        </is>
      </c>
      <c r="C550" t="inlineStr">
        <is>
          <t>Indraprastha Gas (IGL)</t>
        </is>
      </c>
      <c r="F550" t="inlineStr">
        <is>
          <t>New Lead</t>
        </is>
      </c>
      <c r="H550" t="inlineStr">
        <is>
          <t>View Tender</t>
        </is>
      </c>
      <c r="K550" t="inlineStr">
        <is>
          <t>Not found</t>
        </is>
      </c>
      <c r="L550" t="inlineStr">
        <is>
          <t>Unknown</t>
        </is>
      </c>
      <c r="T550" t="inlineStr">
        <is>
          <t>https://tenders.iglonline.net/tenderDetail/429/Active Tenders And Corrigendum-Addendum</t>
        </is>
      </c>
      <c r="U550" t="inlineStr">
        <is>
          <t>No</t>
        </is>
      </c>
      <c r="V550" t="inlineStr">
        <is>
          <t>Bot tarafindan tespit edildi (2026-07-01)</t>
        </is>
      </c>
    </row>
    <row r="551">
      <c r="A551" t="inlineStr">
        <is>
          <t>T-0355</t>
        </is>
      </c>
      <c r="B551" t="inlineStr">
        <is>
          <t>Indraprastha Gas (IGL)</t>
        </is>
      </c>
      <c r="C551" t="inlineStr">
        <is>
          <t>Indraprastha Gas (IGL)</t>
        </is>
      </c>
      <c r="F551" t="inlineStr">
        <is>
          <t>New Lead</t>
        </is>
      </c>
      <c r="H551" t="inlineStr">
        <is>
          <t>Tender_CM18500.pdf</t>
        </is>
      </c>
      <c r="K551" t="inlineStr">
        <is>
          <t>Not found</t>
        </is>
      </c>
      <c r="L551" t="inlineStr">
        <is>
          <t>Unknown</t>
        </is>
      </c>
      <c r="T551" t="inlineStr">
        <is>
          <t>https://tenders.iglonline.net/uploads/tender/Tender_CM18500.pdf</t>
        </is>
      </c>
      <c r="U551" t="inlineStr">
        <is>
          <t>No</t>
        </is>
      </c>
      <c r="V551" t="inlineStr">
        <is>
          <t>Bot tarafindan tespit edildi (2026-07-01)</t>
        </is>
      </c>
    </row>
    <row r="552">
      <c r="A552" t="inlineStr">
        <is>
          <t>T-0356</t>
        </is>
      </c>
      <c r="B552" t="inlineStr">
        <is>
          <t>Indraprastha Gas (IGL)</t>
        </is>
      </c>
      <c r="C552" t="inlineStr">
        <is>
          <t>Indraprastha Gas (IGL)</t>
        </is>
      </c>
      <c r="F552" t="inlineStr">
        <is>
          <t>New Lead</t>
        </is>
      </c>
      <c r="H552" t="inlineStr">
        <is>
          <t>Pre bid Replies_CM18500.pdf</t>
        </is>
      </c>
      <c r="K552" t="inlineStr">
        <is>
          <t>Not found</t>
        </is>
      </c>
      <c r="L552" t="inlineStr">
        <is>
          <t>Unknown</t>
        </is>
      </c>
      <c r="T552" t="inlineStr">
        <is>
          <t>https://tenders.iglonline.net/uploads/tender/Pre bid Replies_CM18500.pdf</t>
        </is>
      </c>
      <c r="U552" t="inlineStr">
        <is>
          <t>No</t>
        </is>
      </c>
      <c r="V552" t="inlineStr">
        <is>
          <t>Bot tarafindan tespit edildi (2026-07-01)</t>
        </is>
      </c>
    </row>
    <row r="553">
      <c r="A553" t="inlineStr">
        <is>
          <t>T-0357</t>
        </is>
      </c>
      <c r="B553" t="inlineStr">
        <is>
          <t>Indraprastha Gas (IGL)</t>
        </is>
      </c>
      <c r="C553" t="inlineStr">
        <is>
          <t>Indraprastha Gas (IGL)</t>
        </is>
      </c>
      <c r="F553" t="inlineStr">
        <is>
          <t>New Lead</t>
        </is>
      </c>
      <c r="H553" t="inlineStr">
        <is>
          <t>View Tender</t>
        </is>
      </c>
      <c r="K553" t="inlineStr">
        <is>
          <t>Not found</t>
        </is>
      </c>
      <c r="L553" t="inlineStr">
        <is>
          <t>Unknown</t>
        </is>
      </c>
      <c r="T553" t="inlineStr">
        <is>
          <t>https://tenders.iglonline.net/tenderDetail/428/Active Tenders And Corrigendum-Addendum</t>
        </is>
      </c>
      <c r="U553" t="inlineStr">
        <is>
          <t>No</t>
        </is>
      </c>
      <c r="V553" t="inlineStr">
        <is>
          <t>Bot tarafindan tespit edildi (2026-07-01)</t>
        </is>
      </c>
    </row>
    <row r="554">
      <c r="A554" t="inlineStr">
        <is>
          <t>T-0358</t>
        </is>
      </c>
      <c r="B554" t="inlineStr">
        <is>
          <t>Indraprastha Gas (IGL)</t>
        </is>
      </c>
      <c r="C554" t="inlineStr">
        <is>
          <t>Indraprastha Gas (IGL)</t>
        </is>
      </c>
      <c r="F554" t="inlineStr">
        <is>
          <t>New Lead</t>
        </is>
      </c>
      <c r="H554" t="inlineStr">
        <is>
          <t>Tender_Doc_CC18489_FD.pdf</t>
        </is>
      </c>
      <c r="K554" t="inlineStr">
        <is>
          <t>Not found</t>
        </is>
      </c>
      <c r="L554" t="inlineStr">
        <is>
          <t>Unknown</t>
        </is>
      </c>
      <c r="T554" t="inlineStr">
        <is>
          <t>https://tenders.iglonline.net/uploads/tender/Tender_Doc_CC18489_FD.pdf</t>
        </is>
      </c>
      <c r="U554" t="inlineStr">
        <is>
          <t>No</t>
        </is>
      </c>
      <c r="V554" t="inlineStr">
        <is>
          <t>Bot tarafindan tespit edildi (2026-07-01)</t>
        </is>
      </c>
    </row>
    <row r="555">
      <c r="A555" t="inlineStr">
        <is>
          <t>T-0359</t>
        </is>
      </c>
      <c r="B555" t="inlineStr">
        <is>
          <t>Indraprastha Gas (IGL)</t>
        </is>
      </c>
      <c r="C555" t="inlineStr">
        <is>
          <t>Indraprastha Gas (IGL)</t>
        </is>
      </c>
      <c r="F555" t="inlineStr">
        <is>
          <t>New Lead</t>
        </is>
      </c>
      <c r="H555" t="inlineStr">
        <is>
          <t>Corrigendum_I_CC18489.pdf</t>
        </is>
      </c>
      <c r="K555" t="inlineStr">
        <is>
          <t>Not found</t>
        </is>
      </c>
      <c r="L555" t="inlineStr">
        <is>
          <t>Unknown</t>
        </is>
      </c>
      <c r="T555" t="inlineStr">
        <is>
          <t>https://tenders.iglonline.net/uploads/tender/Corrigendum_I_CC18489.pdf</t>
        </is>
      </c>
      <c r="U555" t="inlineStr">
        <is>
          <t>No</t>
        </is>
      </c>
      <c r="V555" t="inlineStr">
        <is>
          <t>Bot tarafindan tespit edildi (2026-07-01)</t>
        </is>
      </c>
    </row>
    <row r="556">
      <c r="A556" t="inlineStr">
        <is>
          <t>T-0360</t>
        </is>
      </c>
      <c r="B556" t="inlineStr">
        <is>
          <t>Indraprastha Gas (IGL)</t>
        </is>
      </c>
      <c r="C556" t="inlineStr">
        <is>
          <t>Indraprastha Gas (IGL)</t>
        </is>
      </c>
      <c r="F556" t="inlineStr">
        <is>
          <t>New Lead</t>
        </is>
      </c>
      <c r="H556" t="inlineStr">
        <is>
          <t>RTBQ_CC18489.pdf</t>
        </is>
      </c>
      <c r="K556" t="inlineStr">
        <is>
          <t>Not found</t>
        </is>
      </c>
      <c r="L556" t="inlineStr">
        <is>
          <t>Unknown</t>
        </is>
      </c>
      <c r="T556" t="inlineStr">
        <is>
          <t>https://tenders.iglonline.net/uploads/tender/RTBQ_CC18489.pdf</t>
        </is>
      </c>
      <c r="U556" t="inlineStr">
        <is>
          <t>No</t>
        </is>
      </c>
      <c r="V556" t="inlineStr">
        <is>
          <t>Bot tarafindan tespit edildi (2026-07-01)</t>
        </is>
      </c>
    </row>
    <row r="557">
      <c r="A557" t="inlineStr">
        <is>
          <t>T-0361</t>
        </is>
      </c>
      <c r="B557" t="inlineStr">
        <is>
          <t>Indraprastha Gas (IGL)</t>
        </is>
      </c>
      <c r="C557" t="inlineStr">
        <is>
          <t>Indraprastha Gas (IGL)</t>
        </is>
      </c>
      <c r="F557" t="inlineStr">
        <is>
          <t>New Lead</t>
        </is>
      </c>
      <c r="H557" t="inlineStr">
        <is>
          <t>View Tender</t>
        </is>
      </c>
      <c r="K557" t="inlineStr">
        <is>
          <t>Not found</t>
        </is>
      </c>
      <c r="L557" t="inlineStr">
        <is>
          <t>Unknown</t>
        </is>
      </c>
      <c r="T557" t="inlineStr">
        <is>
          <t>https://tenders.iglonline.net/tenderDetail/427/Active Tenders And Corrigendum-Addendum</t>
        </is>
      </c>
      <c r="U557" t="inlineStr">
        <is>
          <t>No</t>
        </is>
      </c>
      <c r="V557" t="inlineStr">
        <is>
          <t>Bot tarafindan tespit edildi (2026-07-01)</t>
        </is>
      </c>
    </row>
    <row r="558">
      <c r="A558" t="inlineStr">
        <is>
          <t>T-0362</t>
        </is>
      </c>
      <c r="B558" t="inlineStr">
        <is>
          <t>Indraprastha Gas (IGL)</t>
        </is>
      </c>
      <c r="C558" t="inlineStr">
        <is>
          <t>Indraprastha Gas (IGL)</t>
        </is>
      </c>
      <c r="F558" t="inlineStr">
        <is>
          <t>New Lead</t>
        </is>
      </c>
      <c r="H558" t="inlineStr">
        <is>
          <t>Tender_Document_CC18505_Kaka_Nagar.pdf</t>
        </is>
      </c>
      <c r="K558" t="inlineStr">
        <is>
          <t>Not found</t>
        </is>
      </c>
      <c r="L558" t="inlineStr">
        <is>
          <t>Unknown</t>
        </is>
      </c>
      <c r="T558" t="inlineStr">
        <is>
          <t>https://tenders.iglonline.net/uploads/tender/Tender_Document_CC18505_Kaka_Nagar.pdf</t>
        </is>
      </c>
      <c r="U558" t="inlineStr">
        <is>
          <t>No</t>
        </is>
      </c>
      <c r="V558" t="inlineStr">
        <is>
          <t>Bot tarafindan tespit edildi (2026-07-01)</t>
        </is>
      </c>
    </row>
    <row r="559">
      <c r="A559" t="inlineStr">
        <is>
          <t>T-0363</t>
        </is>
      </c>
      <c r="B559" t="inlineStr">
        <is>
          <t>Indraprastha Gas (IGL)</t>
        </is>
      </c>
      <c r="C559" t="inlineStr">
        <is>
          <t>Indraprastha Gas (IGL)</t>
        </is>
      </c>
      <c r="F559" t="inlineStr">
        <is>
          <t>New Lead</t>
        </is>
      </c>
      <c r="H559" t="inlineStr">
        <is>
          <t>PBO_Corrigendum_CC18505.pdf</t>
        </is>
      </c>
      <c r="K559" t="inlineStr">
        <is>
          <t>Not found</t>
        </is>
      </c>
      <c r="L559" t="inlineStr">
        <is>
          <t>Unknown</t>
        </is>
      </c>
      <c r="T559" t="inlineStr">
        <is>
          <t>https://tenders.iglonline.net/uploads/tender/PBO_Corrigendum_CC18505.pdf</t>
        </is>
      </c>
      <c r="U559" t="inlineStr">
        <is>
          <t>No</t>
        </is>
      </c>
      <c r="V559" t="inlineStr">
        <is>
          <t>Bot tarafindan tespit edildi (2026-07-01)</t>
        </is>
      </c>
    </row>
    <row r="560">
      <c r="A560" t="inlineStr">
        <is>
          <t>T-0364</t>
        </is>
      </c>
      <c r="B560" t="inlineStr">
        <is>
          <t>Indraprastha Gas (IGL)</t>
        </is>
      </c>
      <c r="C560" t="inlineStr">
        <is>
          <t>Indraprastha Gas (IGL)</t>
        </is>
      </c>
      <c r="F560" t="inlineStr">
        <is>
          <t>New Lead</t>
        </is>
      </c>
      <c r="H560" t="inlineStr">
        <is>
          <t>View Tender</t>
        </is>
      </c>
      <c r="K560" t="inlineStr">
        <is>
          <t>Not found</t>
        </is>
      </c>
      <c r="L560" t="inlineStr">
        <is>
          <t>Unknown</t>
        </is>
      </c>
      <c r="T560" t="inlineStr">
        <is>
          <t>https://tenders.iglonline.net/tenderDetail/426/Active Tenders And Corrigendum-Addendum</t>
        </is>
      </c>
      <c r="U560" t="inlineStr">
        <is>
          <t>No</t>
        </is>
      </c>
      <c r="V560" t="inlineStr">
        <is>
          <t>Bot tarafindan tespit edildi (2026-07-01)</t>
        </is>
      </c>
    </row>
    <row r="561">
      <c r="A561" t="inlineStr">
        <is>
          <t>T-0365</t>
        </is>
      </c>
      <c r="B561" t="inlineStr">
        <is>
          <t>Indraprastha Gas (IGL)</t>
        </is>
      </c>
      <c r="C561" t="inlineStr">
        <is>
          <t>Indraprastha Gas (IGL)</t>
        </is>
      </c>
      <c r="D561" t="inlineStr">
        <is>
          <t>oring</t>
        </is>
      </c>
      <c r="F561" t="inlineStr">
        <is>
          <t>New Lead</t>
        </is>
      </c>
      <c r="G561" t="inlineStr">
        <is>
          <t>Unclassified</t>
        </is>
      </c>
      <c r="H561" t="inlineStr">
        <is>
          <t>Tender_CP18467.pdf</t>
        </is>
      </c>
      <c r="K561" t="inlineStr">
        <is>
          <t>Not found</t>
        </is>
      </c>
      <c r="L561" t="inlineStr">
        <is>
          <t>Unknown</t>
        </is>
      </c>
      <c r="T561" t="inlineStr">
        <is>
          <t>https://tenders.iglonline.net/uploads/tender/Tender_CP18467.pdf</t>
        </is>
      </c>
      <c r="U561" t="inlineStr">
        <is>
          <t>No</t>
        </is>
      </c>
      <c r="V561" t="inlineStr">
        <is>
          <t>Bot tarafindan tespit edildi (2026-07-01); Bot tespit/zenginlestirme (2026-07-01); meta:score=35;priority=Low;source_type=html_table;closing_date=;equipment=Unclassified;reasons=document source,tender reference signal</t>
        </is>
      </c>
    </row>
    <row r="562">
      <c r="A562" t="inlineStr">
        <is>
          <t>T-0366</t>
        </is>
      </c>
      <c r="B562" t="inlineStr">
        <is>
          <t>Indraprastha Gas (IGL)</t>
        </is>
      </c>
      <c r="C562" t="inlineStr">
        <is>
          <t>Indraprastha Gas (IGL)</t>
        </is>
      </c>
      <c r="D562" t="inlineStr">
        <is>
          <t>oring</t>
        </is>
      </c>
      <c r="F562" t="inlineStr">
        <is>
          <t>New Lead</t>
        </is>
      </c>
      <c r="G562" t="inlineStr">
        <is>
          <t>Unclassified</t>
        </is>
      </c>
      <c r="H562" t="inlineStr">
        <is>
          <t>CP18467.pdf</t>
        </is>
      </c>
      <c r="K562" t="inlineStr">
        <is>
          <t>Not found</t>
        </is>
      </c>
      <c r="L562" t="inlineStr">
        <is>
          <t>Unknown</t>
        </is>
      </c>
      <c r="T562" t="inlineStr">
        <is>
          <t>https://tenders.iglonline.net/uploads/tender/CP18467.pdf</t>
        </is>
      </c>
      <c r="U562" t="inlineStr">
        <is>
          <t>No</t>
        </is>
      </c>
      <c r="V562" t="inlineStr">
        <is>
          <t>Bot tarafindan tespit edildi (2026-07-01); Bot tespit/zenginlestirme (2026-07-01); meta:score=35;priority=Low;source_type=html_table;closing_date=;equipment=Unclassified;reasons=document source,tender reference signal</t>
        </is>
      </c>
    </row>
    <row r="563">
      <c r="A563" t="inlineStr">
        <is>
          <t>T-0367</t>
        </is>
      </c>
      <c r="B563" t="inlineStr">
        <is>
          <t>Indraprastha Gas (IGL)</t>
        </is>
      </c>
      <c r="C563" t="inlineStr">
        <is>
          <t>Indraprastha Gas (IGL)</t>
        </is>
      </c>
      <c r="D563" t="inlineStr">
        <is>
          <t>oring</t>
        </is>
      </c>
      <c r="F563" t="inlineStr">
        <is>
          <t>New Lead</t>
        </is>
      </c>
      <c r="G563" t="inlineStr">
        <is>
          <t>Unclassified</t>
        </is>
      </c>
      <c r="H563" t="inlineStr">
        <is>
          <t>RTBQ CP18467.pdf</t>
        </is>
      </c>
      <c r="K563" t="inlineStr">
        <is>
          <t>Not found</t>
        </is>
      </c>
      <c r="L563" t="inlineStr">
        <is>
          <t>Unknown</t>
        </is>
      </c>
      <c r="T563" t="inlineStr">
        <is>
          <t>https://tenders.iglonline.net/uploads/tender/RTBQ CP18467.pdf</t>
        </is>
      </c>
      <c r="U563" t="inlineStr">
        <is>
          <t>No</t>
        </is>
      </c>
      <c r="V563" t="inlineStr">
        <is>
          <t>Bot tarafindan tespit edildi (2026-07-01); Bot tespit/zenginlestirme (2026-07-01); meta:score=35;priority=Low;source_type=html_table;closing_date=;equipment=Unclassified;reasons=document source,tender reference signal</t>
        </is>
      </c>
    </row>
    <row r="564">
      <c r="A564" t="inlineStr">
        <is>
          <t>T-0368</t>
        </is>
      </c>
      <c r="B564" t="inlineStr">
        <is>
          <t>Indraprastha Gas (IGL)</t>
        </is>
      </c>
      <c r="C564" t="inlineStr">
        <is>
          <t>Indraprastha Gas (IGL)</t>
        </is>
      </c>
      <c r="F564" t="inlineStr">
        <is>
          <t>New Lead</t>
        </is>
      </c>
      <c r="H564" t="inlineStr">
        <is>
          <t>View Tender</t>
        </is>
      </c>
      <c r="K564" t="inlineStr">
        <is>
          <t>Not found</t>
        </is>
      </c>
      <c r="L564" t="inlineStr">
        <is>
          <t>Unknown</t>
        </is>
      </c>
      <c r="T564" t="inlineStr">
        <is>
          <t>https://tenders.iglonline.net/tenderDetail/425/Active Tenders And Corrigendum-Addendum</t>
        </is>
      </c>
      <c r="U564" t="inlineStr">
        <is>
          <t>No</t>
        </is>
      </c>
      <c r="V564" t="inlineStr">
        <is>
          <t>Bot tarafindan tespit edildi (2026-07-01)</t>
        </is>
      </c>
    </row>
    <row r="565">
      <c r="A565" t="inlineStr">
        <is>
          <t>T-0369</t>
        </is>
      </c>
      <c r="B565" t="inlineStr">
        <is>
          <t>Indraprastha Gas (IGL)</t>
        </is>
      </c>
      <c r="C565" t="inlineStr">
        <is>
          <t>Indraprastha Gas (IGL)</t>
        </is>
      </c>
      <c r="F565" t="inlineStr">
        <is>
          <t>New Lead</t>
        </is>
      </c>
      <c r="H565" t="inlineStr">
        <is>
          <t>Comm_Vol_CP18455.pdf</t>
        </is>
      </c>
      <c r="K565" t="inlineStr">
        <is>
          <t>Not found</t>
        </is>
      </c>
      <c r="L565" t="inlineStr">
        <is>
          <t>Unknown</t>
        </is>
      </c>
      <c r="T565" t="inlineStr">
        <is>
          <t>https://tenders.iglonline.net/uploads/tender/Comm_Vol_CP18455.pdf</t>
        </is>
      </c>
      <c r="U565" t="inlineStr">
        <is>
          <t>No</t>
        </is>
      </c>
      <c r="V565" t="inlineStr">
        <is>
          <t>Bot tarafindan tespit edildi (2026-07-01)</t>
        </is>
      </c>
    </row>
    <row r="566">
      <c r="A566" t="inlineStr">
        <is>
          <t>T-0370</t>
        </is>
      </c>
      <c r="B566" t="inlineStr">
        <is>
          <t>Indraprastha Gas (IGL)</t>
        </is>
      </c>
      <c r="C566" t="inlineStr">
        <is>
          <t>Indraprastha Gas (IGL)</t>
        </is>
      </c>
      <c r="F566" t="inlineStr">
        <is>
          <t>New Lead</t>
        </is>
      </c>
      <c r="H566" t="inlineStr">
        <is>
          <t>CP18455_Technical_Vol_II_of_II.pdf</t>
        </is>
      </c>
      <c r="K566" t="inlineStr">
        <is>
          <t>Not found</t>
        </is>
      </c>
      <c r="L566" t="inlineStr">
        <is>
          <t>Unknown</t>
        </is>
      </c>
      <c r="T566" t="inlineStr">
        <is>
          <t>https://tenders.iglonline.net/uploads/tender/CP18455_Technical_Vol_II_of_II.pdf</t>
        </is>
      </c>
      <c r="U566" t="inlineStr">
        <is>
          <t>No</t>
        </is>
      </c>
      <c r="V566" t="inlineStr">
        <is>
          <t>Bot tarafindan tespit edildi (2026-07-01)</t>
        </is>
      </c>
    </row>
    <row r="567">
      <c r="A567" t="inlineStr">
        <is>
          <t>T-0371</t>
        </is>
      </c>
      <c r="B567" t="inlineStr">
        <is>
          <t>Indraprastha Gas (IGL)</t>
        </is>
      </c>
      <c r="C567" t="inlineStr">
        <is>
          <t>Indraprastha Gas (IGL)</t>
        </is>
      </c>
      <c r="F567" t="inlineStr">
        <is>
          <t>New Lead</t>
        </is>
      </c>
      <c r="H567" t="inlineStr">
        <is>
          <t>RTBQ CP18455.pdf</t>
        </is>
      </c>
      <c r="K567" t="inlineStr">
        <is>
          <t>Not found</t>
        </is>
      </c>
      <c r="L567" t="inlineStr">
        <is>
          <t>Unknown</t>
        </is>
      </c>
      <c r="T567" t="inlineStr">
        <is>
          <t>https://tenders.iglonline.net/uploads/tender/RTBQ CP18455.pdf</t>
        </is>
      </c>
      <c r="U567" t="inlineStr">
        <is>
          <t>No</t>
        </is>
      </c>
      <c r="V567" t="inlineStr">
        <is>
          <t>Bot tarafindan tespit edildi (2026-07-01)</t>
        </is>
      </c>
    </row>
    <row r="568">
      <c r="A568" t="inlineStr">
        <is>
          <t>T-0372</t>
        </is>
      </c>
      <c r="B568" t="inlineStr">
        <is>
          <t>Indraprastha Gas (IGL)</t>
        </is>
      </c>
      <c r="C568" t="inlineStr">
        <is>
          <t>Indraprastha Gas (IGL)</t>
        </is>
      </c>
      <c r="F568" t="inlineStr">
        <is>
          <t>New Lead</t>
        </is>
      </c>
      <c r="H568" t="inlineStr">
        <is>
          <t>RTBQ 2 CP18455.pdf</t>
        </is>
      </c>
      <c r="K568" t="inlineStr">
        <is>
          <t>Not found</t>
        </is>
      </c>
      <c r="L568" t="inlineStr">
        <is>
          <t>Unknown</t>
        </is>
      </c>
      <c r="T568" t="inlineStr">
        <is>
          <t>https://tenders.iglonline.net/uploads/tender/RTBQ 2 CP18455.pdf</t>
        </is>
      </c>
      <c r="U568" t="inlineStr">
        <is>
          <t>No</t>
        </is>
      </c>
      <c r="V568" t="inlineStr">
        <is>
          <t>Bot tarafindan tespit edildi (2026-07-01)</t>
        </is>
      </c>
    </row>
    <row r="569">
      <c r="A569" t="inlineStr">
        <is>
          <t>T-0373</t>
        </is>
      </c>
      <c r="B569" t="inlineStr">
        <is>
          <t>Indraprastha Gas (IGL)</t>
        </is>
      </c>
      <c r="C569" t="inlineStr">
        <is>
          <t>Indraprastha Gas (IGL)</t>
        </is>
      </c>
      <c r="F569" t="inlineStr">
        <is>
          <t>New Lead</t>
        </is>
      </c>
      <c r="H569" t="inlineStr">
        <is>
          <t>Corrigendum_I_CP18455.pdf</t>
        </is>
      </c>
      <c r="K569" t="inlineStr">
        <is>
          <t>Not found</t>
        </is>
      </c>
      <c r="L569" t="inlineStr">
        <is>
          <t>Unknown</t>
        </is>
      </c>
      <c r="T569" t="inlineStr">
        <is>
          <t>https://tenders.iglonline.net/uploads/tender/Corrigendum_I_CP18455.pdf</t>
        </is>
      </c>
      <c r="U569" t="inlineStr">
        <is>
          <t>No</t>
        </is>
      </c>
      <c r="V569" t="inlineStr">
        <is>
          <t>Bot tarafindan tespit edildi (2026-07-01)</t>
        </is>
      </c>
    </row>
    <row r="570">
      <c r="A570" t="inlineStr">
        <is>
          <t>T-0374</t>
        </is>
      </c>
      <c r="B570" t="inlineStr">
        <is>
          <t>Indraprastha Gas (IGL)</t>
        </is>
      </c>
      <c r="C570" t="inlineStr">
        <is>
          <t>Indraprastha Gas (IGL)</t>
        </is>
      </c>
      <c r="F570" t="inlineStr">
        <is>
          <t>New Lead</t>
        </is>
      </c>
      <c r="H570" t="inlineStr">
        <is>
          <t>View Tender</t>
        </is>
      </c>
      <c r="K570" t="inlineStr">
        <is>
          <t>Not found</t>
        </is>
      </c>
      <c r="L570" t="inlineStr">
        <is>
          <t>Unknown</t>
        </is>
      </c>
      <c r="T570" t="inlineStr">
        <is>
          <t>https://tenders.iglonline.net/tenderDetail/424/Active Tenders And Corrigendum-Addendum</t>
        </is>
      </c>
      <c r="U570" t="inlineStr">
        <is>
          <t>No</t>
        </is>
      </c>
      <c r="V570" t="inlineStr">
        <is>
          <t>Bot tarafindan tespit edildi (2026-07-01)</t>
        </is>
      </c>
    </row>
    <row r="571">
      <c r="A571" t="inlineStr">
        <is>
          <t>T-0375</t>
        </is>
      </c>
      <c r="B571" t="inlineStr">
        <is>
          <t>Indraprastha Gas (IGL)</t>
        </is>
      </c>
      <c r="C571" t="inlineStr">
        <is>
          <t>Indraprastha Gas (IGL)</t>
        </is>
      </c>
      <c r="F571" t="inlineStr">
        <is>
          <t>New Lead</t>
        </is>
      </c>
      <c r="H571" t="inlineStr">
        <is>
          <t>Tender_Doc_CP18494.pdf</t>
        </is>
      </c>
      <c r="K571" t="inlineStr">
        <is>
          <t>Not found</t>
        </is>
      </c>
      <c r="L571" t="inlineStr">
        <is>
          <t>Unknown</t>
        </is>
      </c>
      <c r="T571" t="inlineStr">
        <is>
          <t>https://tenders.iglonline.net/uploads/tender/Tender_Doc_CP18494.pdf</t>
        </is>
      </c>
      <c r="U571" t="inlineStr">
        <is>
          <t>No</t>
        </is>
      </c>
      <c r="V571" t="inlineStr">
        <is>
          <t>Bot tarafindan tespit edildi (2026-07-01)</t>
        </is>
      </c>
    </row>
    <row r="572">
      <c r="A572" t="inlineStr">
        <is>
          <t>T-0376</t>
        </is>
      </c>
      <c r="B572" t="inlineStr">
        <is>
          <t>Indraprastha Gas (IGL)</t>
        </is>
      </c>
      <c r="C572" t="inlineStr">
        <is>
          <t>Indraprastha Gas (IGL)</t>
        </is>
      </c>
      <c r="F572" t="inlineStr">
        <is>
          <t>New Lead</t>
        </is>
      </c>
      <c r="H572" t="inlineStr">
        <is>
          <t>Corrigendum_1_CP18494.pdf</t>
        </is>
      </c>
      <c r="K572" t="inlineStr">
        <is>
          <t>Not found</t>
        </is>
      </c>
      <c r="L572" t="inlineStr">
        <is>
          <t>Unknown</t>
        </is>
      </c>
      <c r="T572" t="inlineStr">
        <is>
          <t>https://tenders.iglonline.net/uploads/tender/Corrigendum_1_CP18494.pdf</t>
        </is>
      </c>
      <c r="U572" t="inlineStr">
        <is>
          <t>No</t>
        </is>
      </c>
      <c r="V572" t="inlineStr">
        <is>
          <t>Bot tarafindan tespit edildi (2026-07-01)</t>
        </is>
      </c>
    </row>
    <row r="573">
      <c r="A573" t="inlineStr">
        <is>
          <t>T-0377</t>
        </is>
      </c>
      <c r="B573" t="inlineStr">
        <is>
          <t>Indraprastha Gas (IGL)</t>
        </is>
      </c>
      <c r="C573" t="inlineStr">
        <is>
          <t>Indraprastha Gas (IGL)</t>
        </is>
      </c>
      <c r="F573" t="inlineStr">
        <is>
          <t>New Lead</t>
        </is>
      </c>
      <c r="H573" t="inlineStr">
        <is>
          <t>Corrigendum_II_CP18494.pdf</t>
        </is>
      </c>
      <c r="K573" t="inlineStr">
        <is>
          <t>Not found</t>
        </is>
      </c>
      <c r="L573" t="inlineStr">
        <is>
          <t>Unknown</t>
        </is>
      </c>
      <c r="T573" t="inlineStr">
        <is>
          <t>https://tenders.iglonline.net/uploads/tender/Corrigendum_II_CP18494.pdf</t>
        </is>
      </c>
      <c r="U573" t="inlineStr">
        <is>
          <t>No</t>
        </is>
      </c>
      <c r="V573" t="inlineStr">
        <is>
          <t>Bot tarafindan tespit edildi (2026-07-01)</t>
        </is>
      </c>
    </row>
    <row r="574">
      <c r="A574" t="inlineStr">
        <is>
          <t>T-0378</t>
        </is>
      </c>
      <c r="B574" t="inlineStr">
        <is>
          <t>Indraprastha Gas (IGL)</t>
        </is>
      </c>
      <c r="C574" t="inlineStr">
        <is>
          <t>Indraprastha Gas (IGL)</t>
        </is>
      </c>
      <c r="F574" t="inlineStr">
        <is>
          <t>New Lead</t>
        </is>
      </c>
      <c r="H574" t="inlineStr">
        <is>
          <t>View Tender</t>
        </is>
      </c>
      <c r="K574" t="inlineStr">
        <is>
          <t>Not found</t>
        </is>
      </c>
      <c r="L574" t="inlineStr">
        <is>
          <t>Unknown</t>
        </is>
      </c>
      <c r="T574" t="inlineStr">
        <is>
          <t>https://tenders.iglonline.net/tenderDetail/423/Active Tenders And Corrigendum-Addendum</t>
        </is>
      </c>
      <c r="U574" t="inlineStr">
        <is>
          <t>No</t>
        </is>
      </c>
      <c r="V574" t="inlineStr">
        <is>
          <t>Bot tarafindan tespit edildi (2026-07-01)</t>
        </is>
      </c>
    </row>
    <row r="575">
      <c r="A575" t="inlineStr">
        <is>
          <t>T-0379</t>
        </is>
      </c>
      <c r="B575" t="inlineStr">
        <is>
          <t>Indraprastha Gas (IGL)</t>
        </is>
      </c>
      <c r="C575" t="inlineStr">
        <is>
          <t>Indraprastha Gas (IGL)</t>
        </is>
      </c>
      <c r="F575" t="inlineStr">
        <is>
          <t>New Lead</t>
        </is>
      </c>
      <c r="G575" t="inlineStr">
        <is>
          <t>Gas-related / review</t>
        </is>
      </c>
      <c r="H575" t="inlineStr">
        <is>
          <t>Tender_ CC18420_30 KVA Gas Generator.pdf</t>
        </is>
      </c>
      <c r="K575" t="inlineStr">
        <is>
          <t>Not found</t>
        </is>
      </c>
      <c r="L575" t="inlineStr">
        <is>
          <t>Unknown</t>
        </is>
      </c>
      <c r="T575" t="inlineStr">
        <is>
          <t>https://tenders.iglonline.net/uploads/tender/Tender_ CC18420_30 KVA Gas Generator.pdf</t>
        </is>
      </c>
      <c r="U575" t="inlineStr">
        <is>
          <t>No</t>
        </is>
      </c>
      <c r="V575" t="inlineStr">
        <is>
          <t>Bot tarafindan tespit edildi (2026-07-01); Bot tespit/zenginlestirme (2026-07-01); meta:score=35;priority=Low;source_type=html_table;closing_date=;equipment=Gas-related / review;reasons=equipment:Gas-related / review,document source</t>
        </is>
      </c>
    </row>
    <row r="576">
      <c r="A576" t="inlineStr">
        <is>
          <t>T-0380</t>
        </is>
      </c>
      <c r="B576" t="inlineStr">
        <is>
          <t>Indraprastha Gas (IGL)</t>
        </is>
      </c>
      <c r="C576" t="inlineStr">
        <is>
          <t>Indraprastha Gas (IGL)</t>
        </is>
      </c>
      <c r="F576" t="inlineStr">
        <is>
          <t>New Lead</t>
        </is>
      </c>
      <c r="G576" t="inlineStr">
        <is>
          <t>Gas-related / review</t>
        </is>
      </c>
      <c r="H576" t="inlineStr">
        <is>
          <t>Corrigendum_I_CC18420.pdf</t>
        </is>
      </c>
      <c r="K576" t="inlineStr">
        <is>
          <t>Not found</t>
        </is>
      </c>
      <c r="L576" t="inlineStr">
        <is>
          <t>Unknown</t>
        </is>
      </c>
      <c r="T576" t="inlineStr">
        <is>
          <t>https://tenders.iglonline.net/uploads/tender/Corrigendum_I_CC18420.pdf</t>
        </is>
      </c>
      <c r="U576" t="inlineStr">
        <is>
          <t>No</t>
        </is>
      </c>
      <c r="V576" t="inlineStr">
        <is>
          <t>Bot tarafindan tespit edildi (2026-07-01); Bot tespit/zenginlestirme (2026-07-01); meta:score=35;priority=Low;source_type=html_table;closing_date=;equipment=Gas-related / review;reasons=equipment:Gas-related / review,document source</t>
        </is>
      </c>
    </row>
    <row r="577">
      <c r="A577" t="inlineStr">
        <is>
          <t>T-0381</t>
        </is>
      </c>
      <c r="B577" t="inlineStr">
        <is>
          <t>Indraprastha Gas (IGL)</t>
        </is>
      </c>
      <c r="C577" t="inlineStr">
        <is>
          <t>Indraprastha Gas (IGL)</t>
        </is>
      </c>
      <c r="F577" t="inlineStr">
        <is>
          <t>New Lead</t>
        </is>
      </c>
      <c r="G577" t="inlineStr">
        <is>
          <t>Gas-related / review</t>
        </is>
      </c>
      <c r="H577" t="inlineStr">
        <is>
          <t>RTBQ_CC18420.pdf</t>
        </is>
      </c>
      <c r="K577" t="inlineStr">
        <is>
          <t>Not found</t>
        </is>
      </c>
      <c r="L577" t="inlineStr">
        <is>
          <t>Unknown</t>
        </is>
      </c>
      <c r="T577" t="inlineStr">
        <is>
          <t>https://tenders.iglonline.net/uploads/tender/RTBQ_CC18420.pdf</t>
        </is>
      </c>
      <c r="U577" t="inlineStr">
        <is>
          <t>No</t>
        </is>
      </c>
      <c r="V577" t="inlineStr">
        <is>
          <t>Bot tarafindan tespit edildi (2026-07-01); Bot tespit/zenginlestirme (2026-07-01); meta:score=35;priority=Low;source_type=html_table;closing_date=;equipment=Gas-related / review;reasons=equipment:Gas-related / review,document source</t>
        </is>
      </c>
    </row>
    <row r="578">
      <c r="A578" t="inlineStr">
        <is>
          <t>T-0382</t>
        </is>
      </c>
      <c r="B578" t="inlineStr">
        <is>
          <t>Indraprastha Gas (IGL)</t>
        </is>
      </c>
      <c r="C578" t="inlineStr">
        <is>
          <t>Indraprastha Gas (IGL)</t>
        </is>
      </c>
      <c r="F578" t="inlineStr">
        <is>
          <t>New Lead</t>
        </is>
      </c>
      <c r="G578" t="inlineStr">
        <is>
          <t>Gas-related / review</t>
        </is>
      </c>
      <c r="H578" t="inlineStr">
        <is>
          <t>Corrigendum_II_CC18420.pdf</t>
        </is>
      </c>
      <c r="K578" t="inlineStr">
        <is>
          <t>Not found</t>
        </is>
      </c>
      <c r="L578" t="inlineStr">
        <is>
          <t>Unknown</t>
        </is>
      </c>
      <c r="T578" t="inlineStr">
        <is>
          <t>https://tenders.iglonline.net/uploads/tender/Corrigendum_II_CC18420.pdf</t>
        </is>
      </c>
      <c r="U578" t="inlineStr">
        <is>
          <t>No</t>
        </is>
      </c>
      <c r="V578" t="inlineStr">
        <is>
          <t>Bot tarafindan tespit edildi (2026-07-01); Bot tespit/zenginlestirme (2026-07-01); meta:score=35;priority=Low;source_type=html_table;closing_date=;equipment=Gas-related / review;reasons=equipment:Gas-related / review,document source</t>
        </is>
      </c>
    </row>
    <row r="579">
      <c r="A579" t="inlineStr">
        <is>
          <t>T-0383</t>
        </is>
      </c>
      <c r="B579" t="inlineStr">
        <is>
          <t>Indraprastha Gas (IGL)</t>
        </is>
      </c>
      <c r="C579" t="inlineStr">
        <is>
          <t>Indraprastha Gas (IGL)</t>
        </is>
      </c>
      <c r="F579" t="inlineStr">
        <is>
          <t>New Lead</t>
        </is>
      </c>
      <c r="H579" t="inlineStr">
        <is>
          <t>View Tender</t>
        </is>
      </c>
      <c r="K579" t="inlineStr">
        <is>
          <t>Not found</t>
        </is>
      </c>
      <c r="L579" t="inlineStr">
        <is>
          <t>Unknown</t>
        </is>
      </c>
      <c r="T579" t="inlineStr">
        <is>
          <t>https://tenders.iglonline.net/tenderDetail/422/Active Tenders And Corrigendum-Addendum</t>
        </is>
      </c>
      <c r="U579" t="inlineStr">
        <is>
          <t>No</t>
        </is>
      </c>
      <c r="V579" t="inlineStr">
        <is>
          <t>Bot tarafindan tespit edildi (2026-07-01)</t>
        </is>
      </c>
    </row>
    <row r="580">
      <c r="A580" t="inlineStr">
        <is>
          <t>T-0384</t>
        </is>
      </c>
      <c r="B580" t="inlineStr">
        <is>
          <t>Indraprastha Gas (IGL)</t>
        </is>
      </c>
      <c r="C580" t="inlineStr">
        <is>
          <t>Indraprastha Gas (IGL)</t>
        </is>
      </c>
      <c r="F580" t="inlineStr">
        <is>
          <t>New Lead</t>
        </is>
      </c>
      <c r="H580" t="inlineStr">
        <is>
          <t>Tender CC18497_Electrical Maintenance.pdf</t>
        </is>
      </c>
      <c r="K580" t="inlineStr">
        <is>
          <t>Not found</t>
        </is>
      </c>
      <c r="L580" t="inlineStr">
        <is>
          <t>Unknown</t>
        </is>
      </c>
      <c r="T580" t="inlineStr">
        <is>
          <t>https://tenders.iglonline.net/uploads/tender/Tender CC18497_Electrical Maintenance.pdf</t>
        </is>
      </c>
      <c r="U580" t="inlineStr">
        <is>
          <t>No</t>
        </is>
      </c>
      <c r="V580" t="inlineStr">
        <is>
          <t>Bot tarafindan tespit edildi (2026-07-01)</t>
        </is>
      </c>
    </row>
    <row r="581">
      <c r="A581" t="inlineStr">
        <is>
          <t>T-0385</t>
        </is>
      </c>
      <c r="B581" t="inlineStr">
        <is>
          <t>Indraprastha Gas (IGL)</t>
        </is>
      </c>
      <c r="C581" t="inlineStr">
        <is>
          <t>Indraprastha Gas (IGL)</t>
        </is>
      </c>
      <c r="F581" t="inlineStr">
        <is>
          <t>New Lead</t>
        </is>
      </c>
      <c r="H581" t="inlineStr">
        <is>
          <t>View Tender</t>
        </is>
      </c>
      <c r="K581" t="inlineStr">
        <is>
          <t>Not found</t>
        </is>
      </c>
      <c r="L581" t="inlineStr">
        <is>
          <t>Unknown</t>
        </is>
      </c>
      <c r="T581" t="inlineStr">
        <is>
          <t>https://tenders.iglonline.net/tenderDetail/421/Active Tenders And Corrigendum-Addendum</t>
        </is>
      </c>
      <c r="U581" t="inlineStr">
        <is>
          <t>No</t>
        </is>
      </c>
      <c r="V581" t="inlineStr">
        <is>
          <t>Bot tarafindan tespit edildi (2026-07-01)</t>
        </is>
      </c>
    </row>
    <row r="582">
      <c r="A582" t="inlineStr">
        <is>
          <t>T-0386</t>
        </is>
      </c>
      <c r="B582" t="inlineStr">
        <is>
          <t>Indraprastha Gas (IGL)</t>
        </is>
      </c>
      <c r="C582" t="inlineStr">
        <is>
          <t>Indraprastha Gas (IGL)</t>
        </is>
      </c>
      <c r="F582" t="inlineStr">
        <is>
          <t>New Lead</t>
        </is>
      </c>
      <c r="H582" t="inlineStr">
        <is>
          <t>Comm_Vol_CP18456.pdf</t>
        </is>
      </c>
      <c r="K582" t="inlineStr">
        <is>
          <t>Not found</t>
        </is>
      </c>
      <c r="L582" t="inlineStr">
        <is>
          <t>Unknown</t>
        </is>
      </c>
      <c r="T582" t="inlineStr">
        <is>
          <t>https://tenders.iglonline.net/uploads/tender/Comm_Vol_CP18456.pdf</t>
        </is>
      </c>
      <c r="U582" t="inlineStr">
        <is>
          <t>No</t>
        </is>
      </c>
      <c r="V582" t="inlineStr">
        <is>
          <t>Bot tarafindan tespit edildi (2026-07-01)</t>
        </is>
      </c>
    </row>
    <row r="583">
      <c r="A583" t="inlineStr">
        <is>
          <t>T-0387</t>
        </is>
      </c>
      <c r="B583" t="inlineStr">
        <is>
          <t>Indraprastha Gas (IGL)</t>
        </is>
      </c>
      <c r="C583" t="inlineStr">
        <is>
          <t>Indraprastha Gas (IGL)</t>
        </is>
      </c>
      <c r="F583" t="inlineStr">
        <is>
          <t>New Lead</t>
        </is>
      </c>
      <c r="H583" t="inlineStr">
        <is>
          <t>Tech_Vol_CP18456.pdf</t>
        </is>
      </c>
      <c r="K583" t="inlineStr">
        <is>
          <t>Not found</t>
        </is>
      </c>
      <c r="L583" t="inlineStr">
        <is>
          <t>Unknown</t>
        </is>
      </c>
      <c r="T583" t="inlineStr">
        <is>
          <t>https://tenders.iglonline.net/uploads/tender/Tech_Vol_CP18456.pdf</t>
        </is>
      </c>
      <c r="U583" t="inlineStr">
        <is>
          <t>No</t>
        </is>
      </c>
      <c r="V583" t="inlineStr">
        <is>
          <t>Bot tarafindan tespit edildi (2026-07-01)</t>
        </is>
      </c>
    </row>
    <row r="584">
      <c r="A584" t="inlineStr">
        <is>
          <t>T-0388</t>
        </is>
      </c>
      <c r="B584" t="inlineStr">
        <is>
          <t>Indraprastha Gas (IGL)</t>
        </is>
      </c>
      <c r="C584" t="inlineStr">
        <is>
          <t>Indraprastha Gas (IGL)</t>
        </is>
      </c>
      <c r="F584" t="inlineStr">
        <is>
          <t>New Lead</t>
        </is>
      </c>
      <c r="H584" t="inlineStr">
        <is>
          <t>View Tender</t>
        </is>
      </c>
      <c r="K584" t="inlineStr">
        <is>
          <t>Not found</t>
        </is>
      </c>
      <c r="L584" t="inlineStr">
        <is>
          <t>Unknown</t>
        </is>
      </c>
      <c r="T584" t="inlineStr">
        <is>
          <t>https://tenders.iglonline.net/tenderDetail/420/Active Tenders And Corrigendum-Addendum</t>
        </is>
      </c>
      <c r="U584" t="inlineStr">
        <is>
          <t>No</t>
        </is>
      </c>
      <c r="V584" t="inlineStr">
        <is>
          <t>Bot tarafindan tespit edildi (2026-07-01)</t>
        </is>
      </c>
    </row>
    <row r="585">
      <c r="A585" t="inlineStr">
        <is>
          <t>T-0389</t>
        </is>
      </c>
      <c r="B585" t="inlineStr">
        <is>
          <t>Indraprastha Gas (IGL)</t>
        </is>
      </c>
      <c r="C585" t="inlineStr">
        <is>
          <t>Indraprastha Gas (IGL)</t>
        </is>
      </c>
      <c r="F585" t="inlineStr">
        <is>
          <t>New Lead</t>
        </is>
      </c>
      <c r="H585" t="inlineStr">
        <is>
          <t>Tender_Doc_CC18421.pdf</t>
        </is>
      </c>
      <c r="K585" t="inlineStr">
        <is>
          <t>Not found</t>
        </is>
      </c>
      <c r="L585" t="inlineStr">
        <is>
          <t>Unknown</t>
        </is>
      </c>
      <c r="T585" t="inlineStr">
        <is>
          <t>https://tenders.iglonline.net/uploads/tender/Tender_Doc_CC18421.pdf</t>
        </is>
      </c>
      <c r="U585" t="inlineStr">
        <is>
          <t>No</t>
        </is>
      </c>
      <c r="V585" t="inlineStr">
        <is>
          <t>Bot tarafindan tespit edildi (2026-07-01)</t>
        </is>
      </c>
    </row>
    <row r="586">
      <c r="A586" t="inlineStr">
        <is>
          <t>T-0390</t>
        </is>
      </c>
      <c r="B586" t="inlineStr">
        <is>
          <t>Indraprastha Gas (IGL)</t>
        </is>
      </c>
      <c r="C586" t="inlineStr">
        <is>
          <t>Indraprastha Gas (IGL)</t>
        </is>
      </c>
      <c r="F586" t="inlineStr">
        <is>
          <t>New Lead</t>
        </is>
      </c>
      <c r="H586" t="inlineStr">
        <is>
          <t>Reply to Bidders Query_CC18421.pdf</t>
        </is>
      </c>
      <c r="K586" t="inlineStr">
        <is>
          <t>Not found</t>
        </is>
      </c>
      <c r="L586" t="inlineStr">
        <is>
          <t>Unknown</t>
        </is>
      </c>
      <c r="T586" t="inlineStr">
        <is>
          <t>https://tenders.iglonline.net/uploads/tender/Reply to Bidders Query_CC18421.pdf</t>
        </is>
      </c>
      <c r="U586" t="inlineStr">
        <is>
          <t>No</t>
        </is>
      </c>
      <c r="V586" t="inlineStr">
        <is>
          <t>Bot tarafindan tespit edildi (2026-07-01)</t>
        </is>
      </c>
    </row>
    <row r="587">
      <c r="A587" t="inlineStr">
        <is>
          <t>T-0391</t>
        </is>
      </c>
      <c r="B587" t="inlineStr">
        <is>
          <t>Indraprastha Gas (IGL)</t>
        </is>
      </c>
      <c r="C587" t="inlineStr">
        <is>
          <t>Indraprastha Gas (IGL)</t>
        </is>
      </c>
      <c r="F587" t="inlineStr">
        <is>
          <t>New Lead</t>
        </is>
      </c>
      <c r="H587" t="inlineStr">
        <is>
          <t>Corrigendum_I_CC18421.pdf</t>
        </is>
      </c>
      <c r="K587" t="inlineStr">
        <is>
          <t>Not found</t>
        </is>
      </c>
      <c r="L587" t="inlineStr">
        <is>
          <t>Unknown</t>
        </is>
      </c>
      <c r="T587" t="inlineStr">
        <is>
          <t>https://tenders.iglonline.net/uploads/tender/Corrigendum_I_CC18421.pdf</t>
        </is>
      </c>
      <c r="U587" t="inlineStr">
        <is>
          <t>No</t>
        </is>
      </c>
      <c r="V587" t="inlineStr">
        <is>
          <t>Bot tarafindan tespit edildi (2026-07-01)</t>
        </is>
      </c>
    </row>
    <row r="588">
      <c r="A588" t="inlineStr">
        <is>
          <t>T-0392</t>
        </is>
      </c>
      <c r="B588" t="inlineStr">
        <is>
          <t>Indraprastha Gas (IGL)</t>
        </is>
      </c>
      <c r="C588" t="inlineStr">
        <is>
          <t>Indraprastha Gas (IGL)</t>
        </is>
      </c>
      <c r="F588" t="inlineStr">
        <is>
          <t>New Lead</t>
        </is>
      </c>
      <c r="H588" t="inlineStr">
        <is>
          <t>View Tender</t>
        </is>
      </c>
      <c r="K588" t="inlineStr">
        <is>
          <t>Not found</t>
        </is>
      </c>
      <c r="L588" t="inlineStr">
        <is>
          <t>Unknown</t>
        </is>
      </c>
      <c r="T588" t="inlineStr">
        <is>
          <t>https://tenders.iglonline.net/tenderDetail/419/Active Tenders And Corrigendum-Addendum</t>
        </is>
      </c>
      <c r="U588" t="inlineStr">
        <is>
          <t>No</t>
        </is>
      </c>
      <c r="V588" t="inlineStr">
        <is>
          <t>Bot tarafindan tespit edildi (2026-07-01)</t>
        </is>
      </c>
    </row>
    <row r="589">
      <c r="A589" t="inlineStr">
        <is>
          <t>T-0393</t>
        </is>
      </c>
      <c r="B589" t="inlineStr">
        <is>
          <t>Indraprastha Gas (IGL)</t>
        </is>
      </c>
      <c r="C589" t="inlineStr">
        <is>
          <t>Indraprastha Gas (IGL)</t>
        </is>
      </c>
      <c r="F589" t="inlineStr">
        <is>
          <t>New Lead</t>
        </is>
      </c>
      <c r="H589" t="inlineStr">
        <is>
          <t>Tender CC18461_Housekeeping.pdf</t>
        </is>
      </c>
      <c r="K589" t="inlineStr">
        <is>
          <t>Not found</t>
        </is>
      </c>
      <c r="L589" t="inlineStr">
        <is>
          <t>Unknown</t>
        </is>
      </c>
      <c r="T589" t="inlineStr">
        <is>
          <t>https://tenders.iglonline.net/uploads/tender/Tender CC18461_Housekeeping.pdf</t>
        </is>
      </c>
      <c r="U589" t="inlineStr">
        <is>
          <t>No</t>
        </is>
      </c>
      <c r="V589" t="inlineStr">
        <is>
          <t>Bot tarafindan tespit edildi (2026-07-01)</t>
        </is>
      </c>
    </row>
    <row r="590">
      <c r="A590" t="inlineStr">
        <is>
          <t>T-0394</t>
        </is>
      </c>
      <c r="B590" t="inlineStr">
        <is>
          <t>Indraprastha Gas (IGL)</t>
        </is>
      </c>
      <c r="C590" t="inlineStr">
        <is>
          <t>Indraprastha Gas (IGL)</t>
        </is>
      </c>
      <c r="F590" t="inlineStr">
        <is>
          <t>New Lead</t>
        </is>
      </c>
      <c r="H590" t="inlineStr">
        <is>
          <t>Corrigendum-I-CC18461.pdf</t>
        </is>
      </c>
      <c r="K590" t="inlineStr">
        <is>
          <t>Not found</t>
        </is>
      </c>
      <c r="L590" t="inlineStr">
        <is>
          <t>Unknown</t>
        </is>
      </c>
      <c r="T590" t="inlineStr">
        <is>
          <t>https://tenders.iglonline.net/uploads/tender/Corrigendum-I-CC18461.pdf</t>
        </is>
      </c>
      <c r="U590" t="inlineStr">
        <is>
          <t>No</t>
        </is>
      </c>
      <c r="V590" t="inlineStr">
        <is>
          <t>Bot tarafindan tespit edildi (2026-07-01)</t>
        </is>
      </c>
    </row>
    <row r="591">
      <c r="A591" t="inlineStr">
        <is>
          <t>T-0395</t>
        </is>
      </c>
      <c r="B591" t="inlineStr">
        <is>
          <t>Indraprastha Gas (IGL)</t>
        </is>
      </c>
      <c r="C591" t="inlineStr">
        <is>
          <t>Indraprastha Gas (IGL)</t>
        </is>
      </c>
      <c r="F591" t="inlineStr">
        <is>
          <t>New Lead</t>
        </is>
      </c>
      <c r="H591" t="inlineStr">
        <is>
          <t>View Tender</t>
        </is>
      </c>
      <c r="K591" t="inlineStr">
        <is>
          <t>Not found</t>
        </is>
      </c>
      <c r="L591" t="inlineStr">
        <is>
          <t>Unknown</t>
        </is>
      </c>
      <c r="T591" t="inlineStr">
        <is>
          <t>https://tenders.iglonline.net/tenderDetail/418/Active Tenders And Corrigendum-Addendum</t>
        </is>
      </c>
      <c r="U591" t="inlineStr">
        <is>
          <t>No</t>
        </is>
      </c>
      <c r="V591" t="inlineStr">
        <is>
          <t>Bot tarafindan tespit edildi (2026-07-01)</t>
        </is>
      </c>
    </row>
    <row r="592">
      <c r="A592" t="inlineStr">
        <is>
          <t>T-0396</t>
        </is>
      </c>
      <c r="B592" t="inlineStr">
        <is>
          <t>Indraprastha Gas (IGL)</t>
        </is>
      </c>
      <c r="C592" t="inlineStr">
        <is>
          <t>Indraprastha Gas (IGL)</t>
        </is>
      </c>
      <c r="F592" t="inlineStr">
        <is>
          <t>New Lead</t>
        </is>
      </c>
      <c r="H592" t="inlineStr">
        <is>
          <t>Tender_CC18415.pdf</t>
        </is>
      </c>
      <c r="K592" t="inlineStr">
        <is>
          <t>Not found</t>
        </is>
      </c>
      <c r="L592" t="inlineStr">
        <is>
          <t>Unknown</t>
        </is>
      </c>
      <c r="T592" t="inlineStr">
        <is>
          <t>https://tenders.iglonline.net/uploads/tender/Tender_CC18415.pdf</t>
        </is>
      </c>
      <c r="U592" t="inlineStr">
        <is>
          <t>No</t>
        </is>
      </c>
      <c r="V592" t="inlineStr">
        <is>
          <t>Bot tarafindan tespit edildi (2026-07-01)</t>
        </is>
      </c>
    </row>
    <row r="593">
      <c r="A593" t="inlineStr">
        <is>
          <t>T-0397</t>
        </is>
      </c>
      <c r="B593" t="inlineStr">
        <is>
          <t>Indraprastha Gas (IGL)</t>
        </is>
      </c>
      <c r="C593" t="inlineStr">
        <is>
          <t>Indraprastha Gas (IGL)</t>
        </is>
      </c>
      <c r="F593" t="inlineStr">
        <is>
          <t>New Lead</t>
        </is>
      </c>
      <c r="H593" t="inlineStr">
        <is>
          <t>Corrigendum_I_CC18415.pdf</t>
        </is>
      </c>
      <c r="K593" t="inlineStr">
        <is>
          <t>Not found</t>
        </is>
      </c>
      <c r="L593" t="inlineStr">
        <is>
          <t>Unknown</t>
        </is>
      </c>
      <c r="T593" t="inlineStr">
        <is>
          <t>https://tenders.iglonline.net/uploads/tender/Corrigendum_I_CC18415.pdf</t>
        </is>
      </c>
      <c r="U593" t="inlineStr">
        <is>
          <t>No</t>
        </is>
      </c>
      <c r="V593" t="inlineStr">
        <is>
          <t>Bot tarafindan tespit edildi (2026-07-01)</t>
        </is>
      </c>
    </row>
    <row r="594">
      <c r="A594" t="inlineStr">
        <is>
          <t>T-0398</t>
        </is>
      </c>
      <c r="B594" t="inlineStr">
        <is>
          <t>Indraprastha Gas (IGL)</t>
        </is>
      </c>
      <c r="C594" t="inlineStr">
        <is>
          <t>Indraprastha Gas (IGL)</t>
        </is>
      </c>
      <c r="F594" t="inlineStr">
        <is>
          <t>New Lead</t>
        </is>
      </c>
      <c r="H594" t="inlineStr">
        <is>
          <t>View Tender</t>
        </is>
      </c>
      <c r="K594" t="inlineStr">
        <is>
          <t>Not found</t>
        </is>
      </c>
      <c r="L594" t="inlineStr">
        <is>
          <t>Unknown</t>
        </is>
      </c>
      <c r="T594" t="inlineStr">
        <is>
          <t>https://tenders.iglonline.net/tenderDetail/417/Active Tenders And Corrigendum-Addendum</t>
        </is>
      </c>
      <c r="U594" t="inlineStr">
        <is>
          <t>No</t>
        </is>
      </c>
      <c r="V594" t="inlineStr">
        <is>
          <t>Bot tarafindan tespit edildi (2026-07-01)</t>
        </is>
      </c>
    </row>
    <row r="595">
      <c r="A595" t="inlineStr">
        <is>
          <t>T-0399</t>
        </is>
      </c>
      <c r="B595" t="inlineStr">
        <is>
          <t>Indraprastha Gas (IGL)</t>
        </is>
      </c>
      <c r="C595" t="inlineStr">
        <is>
          <t>Indraprastha Gas (IGL)</t>
        </is>
      </c>
      <c r="F595" t="inlineStr">
        <is>
          <t>New Lead</t>
        </is>
      </c>
      <c r="H595" t="inlineStr">
        <is>
          <t>Tender CM18479.pdf</t>
        </is>
      </c>
      <c r="K595" t="inlineStr">
        <is>
          <t>Not found</t>
        </is>
      </c>
      <c r="L595" t="inlineStr">
        <is>
          <t>Unknown</t>
        </is>
      </c>
      <c r="T595" t="inlineStr">
        <is>
          <t>https://tenders.iglonline.net/uploads/tender/Tender CM18479.pdf</t>
        </is>
      </c>
      <c r="U595" t="inlineStr">
        <is>
          <t>No</t>
        </is>
      </c>
      <c r="V595" t="inlineStr">
        <is>
          <t>Bot tarafindan tespit edildi (2026-07-01)</t>
        </is>
      </c>
    </row>
    <row r="596">
      <c r="A596" t="inlineStr">
        <is>
          <t>T-0400</t>
        </is>
      </c>
      <c r="B596" t="inlineStr">
        <is>
          <t>Indraprastha Gas (IGL)</t>
        </is>
      </c>
      <c r="C596" t="inlineStr">
        <is>
          <t>Indraprastha Gas (IGL)</t>
        </is>
      </c>
      <c r="F596" t="inlineStr">
        <is>
          <t>New Lead</t>
        </is>
      </c>
      <c r="H596" t="inlineStr">
        <is>
          <t>Corrigendum_1_CM18479.pdf</t>
        </is>
      </c>
      <c r="K596" t="inlineStr">
        <is>
          <t>Not found</t>
        </is>
      </c>
      <c r="L596" t="inlineStr">
        <is>
          <t>Unknown</t>
        </is>
      </c>
      <c r="T596" t="inlineStr">
        <is>
          <t>https://tenders.iglonline.net/uploads/tender/Corrigendum_1_CM18479.pdf</t>
        </is>
      </c>
      <c r="U596" t="inlineStr">
        <is>
          <t>No</t>
        </is>
      </c>
      <c r="V596" t="inlineStr">
        <is>
          <t>Bot tarafindan tespit edildi (2026-07-01)</t>
        </is>
      </c>
    </row>
    <row r="597">
      <c r="A597" t="inlineStr">
        <is>
          <t>T-0401</t>
        </is>
      </c>
      <c r="B597" t="inlineStr">
        <is>
          <t>Indraprastha Gas (IGL)</t>
        </is>
      </c>
      <c r="C597" t="inlineStr">
        <is>
          <t>Indraprastha Gas (IGL)</t>
        </is>
      </c>
      <c r="F597" t="inlineStr">
        <is>
          <t>New Lead</t>
        </is>
      </c>
      <c r="H597" t="inlineStr">
        <is>
          <t>View Tender</t>
        </is>
      </c>
      <c r="K597" t="inlineStr">
        <is>
          <t>Not found</t>
        </is>
      </c>
      <c r="L597" t="inlineStr">
        <is>
          <t>Unknown</t>
        </is>
      </c>
      <c r="T597" t="inlineStr">
        <is>
          <t>https://tenders.iglonline.net/tenderDetail/416/Active Tenders And Corrigendum-Addendum</t>
        </is>
      </c>
      <c r="U597" t="inlineStr">
        <is>
          <t>No</t>
        </is>
      </c>
      <c r="V597" t="inlineStr">
        <is>
          <t>Bot tarafindan tespit edildi (2026-07-01)</t>
        </is>
      </c>
    </row>
    <row r="598">
      <c r="A598" t="inlineStr">
        <is>
          <t>T-0402</t>
        </is>
      </c>
      <c r="B598" t="inlineStr">
        <is>
          <t>Indraprastha Gas (IGL)</t>
        </is>
      </c>
      <c r="C598" t="inlineStr">
        <is>
          <t>Indraprastha Gas (IGL)</t>
        </is>
      </c>
      <c r="F598" t="inlineStr">
        <is>
          <t>New Lead</t>
        </is>
      </c>
      <c r="H598" t="inlineStr">
        <is>
          <t>Tender_Doc_CP18396-merged.pdf</t>
        </is>
      </c>
      <c r="K598" t="inlineStr">
        <is>
          <t>Not found</t>
        </is>
      </c>
      <c r="L598" t="inlineStr">
        <is>
          <t>Unknown</t>
        </is>
      </c>
      <c r="T598" t="inlineStr">
        <is>
          <t>https://tenders.iglonline.net/uploads/tender/Tender_Doc_CP18396-merged.pdf</t>
        </is>
      </c>
      <c r="U598" t="inlineStr">
        <is>
          <t>No</t>
        </is>
      </c>
      <c r="V598" t="inlineStr">
        <is>
          <t>Bot tarafindan tespit edildi (2026-07-01)</t>
        </is>
      </c>
    </row>
    <row r="599">
      <c r="A599" t="inlineStr">
        <is>
          <t>T-0403</t>
        </is>
      </c>
      <c r="B599" t="inlineStr">
        <is>
          <t>Indraprastha Gas (IGL)</t>
        </is>
      </c>
      <c r="C599" t="inlineStr">
        <is>
          <t>Indraprastha Gas (IGL)</t>
        </is>
      </c>
      <c r="F599" t="inlineStr">
        <is>
          <t>New Lead</t>
        </is>
      </c>
      <c r="H599" t="inlineStr">
        <is>
          <t>View Tender</t>
        </is>
      </c>
      <c r="K599" t="inlineStr">
        <is>
          <t>Not found</t>
        </is>
      </c>
      <c r="L599" t="inlineStr">
        <is>
          <t>Unknown</t>
        </is>
      </c>
      <c r="T599" t="inlineStr">
        <is>
          <t>https://tenders.iglonline.net/tenderDetail/415/Active Tenders And Corrigendum-Addendum</t>
        </is>
      </c>
      <c r="U599" t="inlineStr">
        <is>
          <t>No</t>
        </is>
      </c>
      <c r="V599" t="inlineStr">
        <is>
          <t>Bot tarafindan tespit edildi (2026-07-01)</t>
        </is>
      </c>
    </row>
    <row r="600">
      <c r="A600" t="inlineStr">
        <is>
          <t>T-0404</t>
        </is>
      </c>
      <c r="B600" t="inlineStr">
        <is>
          <t>Indraprastha Gas (IGL)</t>
        </is>
      </c>
      <c r="C600" t="inlineStr">
        <is>
          <t>Indraprastha Gas (IGL)</t>
        </is>
      </c>
      <c r="F600" t="inlineStr">
        <is>
          <t>New Lead</t>
        </is>
      </c>
      <c r="H600" t="inlineStr">
        <is>
          <t>Tech_Vol_CP18448.pdf</t>
        </is>
      </c>
      <c r="K600" t="inlineStr">
        <is>
          <t>Not found</t>
        </is>
      </c>
      <c r="L600" t="inlineStr">
        <is>
          <t>Unknown</t>
        </is>
      </c>
      <c r="T600" t="inlineStr">
        <is>
          <t>https://tenders.iglonline.net/uploads/tender/Tech_Vol_CP18448.pdf</t>
        </is>
      </c>
      <c r="U600" t="inlineStr">
        <is>
          <t>No</t>
        </is>
      </c>
      <c r="V600" t="inlineStr">
        <is>
          <t>Bot tarafindan tespit edildi (2026-07-01)</t>
        </is>
      </c>
    </row>
    <row r="601">
      <c r="A601" t="inlineStr">
        <is>
          <t>T-0405</t>
        </is>
      </c>
      <c r="B601" t="inlineStr">
        <is>
          <t>Indraprastha Gas (IGL)</t>
        </is>
      </c>
      <c r="C601" t="inlineStr">
        <is>
          <t>Indraprastha Gas (IGL)</t>
        </is>
      </c>
      <c r="F601" t="inlineStr">
        <is>
          <t>New Lead</t>
        </is>
      </c>
      <c r="H601" t="inlineStr">
        <is>
          <t>Comm_Vol_CP18448.pdf</t>
        </is>
      </c>
      <c r="K601" t="inlineStr">
        <is>
          <t>Not found</t>
        </is>
      </c>
      <c r="L601" t="inlineStr">
        <is>
          <t>Unknown</t>
        </is>
      </c>
      <c r="T601" t="inlineStr">
        <is>
          <t>https://tenders.iglonline.net/uploads/tender/Comm_Vol_CP18448.pdf</t>
        </is>
      </c>
      <c r="U601" t="inlineStr">
        <is>
          <t>No</t>
        </is>
      </c>
      <c r="V601" t="inlineStr">
        <is>
          <t>Bot tarafindan tespit edildi (2026-07-01)</t>
        </is>
      </c>
    </row>
    <row r="602">
      <c r="A602" t="inlineStr">
        <is>
          <t>T-0406</t>
        </is>
      </c>
      <c r="B602" t="inlineStr">
        <is>
          <t>Indraprastha Gas (IGL)</t>
        </is>
      </c>
      <c r="C602" t="inlineStr">
        <is>
          <t>Indraprastha Gas (IGL)</t>
        </is>
      </c>
      <c r="F602" t="inlineStr">
        <is>
          <t>New Lead</t>
        </is>
      </c>
      <c r="H602" t="inlineStr">
        <is>
          <t>View Tender</t>
        </is>
      </c>
      <c r="K602" t="inlineStr">
        <is>
          <t>Not found</t>
        </is>
      </c>
      <c r="L602" t="inlineStr">
        <is>
          <t>Unknown</t>
        </is>
      </c>
      <c r="T602" t="inlineStr">
        <is>
          <t>https://tenders.iglonline.net/tenderDetail/414/Active Tenders And Corrigendum-Addendum</t>
        </is>
      </c>
      <c r="U602" t="inlineStr">
        <is>
          <t>No</t>
        </is>
      </c>
      <c r="V602" t="inlineStr">
        <is>
          <t>Bot tarafindan tespit edildi (2026-07-01)</t>
        </is>
      </c>
    </row>
    <row r="603">
      <c r="A603" t="inlineStr">
        <is>
          <t>T-0407</t>
        </is>
      </c>
      <c r="B603" t="inlineStr">
        <is>
          <t>Indraprastha Gas (IGL)</t>
        </is>
      </c>
      <c r="C603" t="inlineStr">
        <is>
          <t>Indraprastha Gas (IGL)</t>
        </is>
      </c>
      <c r="F603" t="inlineStr">
        <is>
          <t>New Lead</t>
        </is>
      </c>
      <c r="H603" t="inlineStr">
        <is>
          <t>Tender_CM18469.pdf</t>
        </is>
      </c>
      <c r="K603" t="inlineStr">
        <is>
          <t>Not found</t>
        </is>
      </c>
      <c r="L603" t="inlineStr">
        <is>
          <t>Unknown</t>
        </is>
      </c>
      <c r="T603" t="inlineStr">
        <is>
          <t>https://tenders.iglonline.net/uploads/tender/Tender_CM18469.pdf</t>
        </is>
      </c>
      <c r="U603" t="inlineStr">
        <is>
          <t>No</t>
        </is>
      </c>
      <c r="V603" t="inlineStr">
        <is>
          <t>Bot tarafindan tespit edildi (2026-07-01)</t>
        </is>
      </c>
    </row>
    <row r="604">
      <c r="A604" t="inlineStr">
        <is>
          <t>T-0408</t>
        </is>
      </c>
      <c r="B604" t="inlineStr">
        <is>
          <t>Indraprastha Gas (IGL)</t>
        </is>
      </c>
      <c r="C604" t="inlineStr">
        <is>
          <t>Indraprastha Gas (IGL)</t>
        </is>
      </c>
      <c r="F604" t="inlineStr">
        <is>
          <t>New Lead</t>
        </is>
      </c>
      <c r="H604" t="inlineStr">
        <is>
          <t>Pre_bid_replies.pdf</t>
        </is>
      </c>
      <c r="K604" t="inlineStr">
        <is>
          <t>Not found</t>
        </is>
      </c>
      <c r="L604" t="inlineStr">
        <is>
          <t>Unknown</t>
        </is>
      </c>
      <c r="T604" t="inlineStr">
        <is>
          <t>https://tenders.iglonline.net/uploads/tender/Pre_bid_replies.pdf</t>
        </is>
      </c>
      <c r="U604" t="inlineStr">
        <is>
          <t>No</t>
        </is>
      </c>
      <c r="V604" t="inlineStr">
        <is>
          <t>Bot tarafindan tespit edildi (2026-07-01)</t>
        </is>
      </c>
    </row>
    <row r="605">
      <c r="A605" t="inlineStr">
        <is>
          <t>T-0409</t>
        </is>
      </c>
      <c r="B605" t="inlineStr">
        <is>
          <t>Indraprastha Gas (IGL)</t>
        </is>
      </c>
      <c r="C605" t="inlineStr">
        <is>
          <t>Indraprastha Gas (IGL)</t>
        </is>
      </c>
      <c r="F605" t="inlineStr">
        <is>
          <t>New Lead</t>
        </is>
      </c>
      <c r="H605" t="inlineStr">
        <is>
          <t>CORRIGENDUM I_CM18469.pdf</t>
        </is>
      </c>
      <c r="K605" t="inlineStr">
        <is>
          <t>Not found</t>
        </is>
      </c>
      <c r="L605" t="inlineStr">
        <is>
          <t>Unknown</t>
        </is>
      </c>
      <c r="T605" t="inlineStr">
        <is>
          <t>https://tenders.iglonline.net/uploads/tender/CORRIGENDUM I_CM18469.pdf</t>
        </is>
      </c>
      <c r="U605" t="inlineStr">
        <is>
          <t>No</t>
        </is>
      </c>
      <c r="V605" t="inlineStr">
        <is>
          <t>Bot tarafindan tespit edildi (2026-07-01)</t>
        </is>
      </c>
    </row>
    <row r="606">
      <c r="A606" t="inlineStr">
        <is>
          <t>T-0410</t>
        </is>
      </c>
      <c r="B606" t="inlineStr">
        <is>
          <t>Indraprastha Gas (IGL)</t>
        </is>
      </c>
      <c r="C606" t="inlineStr">
        <is>
          <t>Indraprastha Gas (IGL)</t>
        </is>
      </c>
      <c r="F606" t="inlineStr">
        <is>
          <t>New Lead</t>
        </is>
      </c>
      <c r="H606" t="inlineStr">
        <is>
          <t>View Tender</t>
        </is>
      </c>
      <c r="K606" t="inlineStr">
        <is>
          <t>Not found</t>
        </is>
      </c>
      <c r="L606" t="inlineStr">
        <is>
          <t>Unknown</t>
        </is>
      </c>
      <c r="T606" t="inlineStr">
        <is>
          <t>https://tenders.iglonline.net/tenderDetail/413/Active Tenders And Corrigendum-Addendum</t>
        </is>
      </c>
      <c r="U606" t="inlineStr">
        <is>
          <t>No</t>
        </is>
      </c>
      <c r="V606" t="inlineStr">
        <is>
          <t>Bot tarafindan tespit edildi (2026-07-01)</t>
        </is>
      </c>
    </row>
    <row r="607">
      <c r="A607" t="inlineStr">
        <is>
          <t>T-0411</t>
        </is>
      </c>
      <c r="B607" t="inlineStr">
        <is>
          <t>Indraprastha Gas (IGL)</t>
        </is>
      </c>
      <c r="C607" t="inlineStr">
        <is>
          <t>Indraprastha Gas (IGL)</t>
        </is>
      </c>
      <c r="F607" t="inlineStr">
        <is>
          <t>New Lead</t>
        </is>
      </c>
      <c r="H607" t="inlineStr">
        <is>
          <t>Tender_CP18449.pdf</t>
        </is>
      </c>
      <c r="K607" t="inlineStr">
        <is>
          <t>Not found</t>
        </is>
      </c>
      <c r="L607" t="inlineStr">
        <is>
          <t>Unknown</t>
        </is>
      </c>
      <c r="T607" t="inlineStr">
        <is>
          <t>https://tenders.iglonline.net/uploads/tender/Tender_CP18449.pdf</t>
        </is>
      </c>
      <c r="U607" t="inlineStr">
        <is>
          <t>No</t>
        </is>
      </c>
      <c r="V607" t="inlineStr">
        <is>
          <t>Bot tarafindan tespit edildi (2026-07-01)</t>
        </is>
      </c>
    </row>
    <row r="608">
      <c r="A608" t="inlineStr">
        <is>
          <t>T-0412</t>
        </is>
      </c>
      <c r="B608" t="inlineStr">
        <is>
          <t>Indraprastha Gas (IGL)</t>
        </is>
      </c>
      <c r="C608" t="inlineStr">
        <is>
          <t>Indraprastha Gas (IGL)</t>
        </is>
      </c>
      <c r="F608" t="inlineStr">
        <is>
          <t>New Lead</t>
        </is>
      </c>
      <c r="H608" t="inlineStr">
        <is>
          <t>RTBQ_CP18449.pdf</t>
        </is>
      </c>
      <c r="K608" t="inlineStr">
        <is>
          <t>Not found</t>
        </is>
      </c>
      <c r="L608" t="inlineStr">
        <is>
          <t>Unknown</t>
        </is>
      </c>
      <c r="T608" t="inlineStr">
        <is>
          <t>https://tenders.iglonline.net/uploads/tender/RTBQ_CP18449.pdf</t>
        </is>
      </c>
      <c r="U608" t="inlineStr">
        <is>
          <t>No</t>
        </is>
      </c>
      <c r="V608" t="inlineStr">
        <is>
          <t>Bot tarafindan tespit edildi (2026-07-01)</t>
        </is>
      </c>
    </row>
    <row r="609">
      <c r="A609" t="inlineStr">
        <is>
          <t>T-0413</t>
        </is>
      </c>
      <c r="B609" t="inlineStr">
        <is>
          <t>Indraprastha Gas (IGL)</t>
        </is>
      </c>
      <c r="C609" t="inlineStr">
        <is>
          <t>Indraprastha Gas (IGL)</t>
        </is>
      </c>
      <c r="F609" t="inlineStr">
        <is>
          <t>New Lead</t>
        </is>
      </c>
      <c r="H609" t="inlineStr">
        <is>
          <t>View Tender</t>
        </is>
      </c>
      <c r="K609" t="inlineStr">
        <is>
          <t>Not found</t>
        </is>
      </c>
      <c r="L609" t="inlineStr">
        <is>
          <t>Unknown</t>
        </is>
      </c>
      <c r="T609" t="inlineStr">
        <is>
          <t>https://tenders.iglonline.net/tenderDetail/412/Active Tenders And Corrigendum-Addendum</t>
        </is>
      </c>
      <c r="U609" t="inlineStr">
        <is>
          <t>No</t>
        </is>
      </c>
      <c r="V609" t="inlineStr">
        <is>
          <t>Bot tarafindan tespit edildi (2026-07-01)</t>
        </is>
      </c>
    </row>
    <row r="610">
      <c r="A610" t="inlineStr">
        <is>
          <t>T-0414</t>
        </is>
      </c>
      <c r="B610" t="inlineStr">
        <is>
          <t>Indraprastha Gas (IGL)</t>
        </is>
      </c>
      <c r="C610" t="inlineStr">
        <is>
          <t>Indraprastha Gas (IGL)</t>
        </is>
      </c>
      <c r="F610" t="inlineStr">
        <is>
          <t>New Lead</t>
        </is>
      </c>
      <c r="H610" t="inlineStr">
        <is>
          <t>Tender_Doc_CC18466.pdf</t>
        </is>
      </c>
      <c r="K610" t="inlineStr">
        <is>
          <t>Not found</t>
        </is>
      </c>
      <c r="L610" t="inlineStr">
        <is>
          <t>Unknown</t>
        </is>
      </c>
      <c r="T610" t="inlineStr">
        <is>
          <t>https://tenders.iglonline.net/uploads/tender/Tender_Doc_CC18466.pdf</t>
        </is>
      </c>
      <c r="U610" t="inlineStr">
        <is>
          <t>No</t>
        </is>
      </c>
      <c r="V610" t="inlineStr">
        <is>
          <t>Bot tarafindan tespit edildi (2026-07-01)</t>
        </is>
      </c>
    </row>
    <row r="611">
      <c r="A611" t="inlineStr">
        <is>
          <t>T-0415</t>
        </is>
      </c>
      <c r="B611" t="inlineStr">
        <is>
          <t>Indraprastha Gas (IGL)</t>
        </is>
      </c>
      <c r="C611" t="inlineStr">
        <is>
          <t>Indraprastha Gas (IGL)</t>
        </is>
      </c>
      <c r="F611" t="inlineStr">
        <is>
          <t>New Lead</t>
        </is>
      </c>
      <c r="H611" t="inlineStr">
        <is>
          <t>Corrigendum_I_CC18466.pdf</t>
        </is>
      </c>
      <c r="K611" t="inlineStr">
        <is>
          <t>Not found</t>
        </is>
      </c>
      <c r="L611" t="inlineStr">
        <is>
          <t>Unknown</t>
        </is>
      </c>
      <c r="T611" t="inlineStr">
        <is>
          <t>https://tenders.iglonline.net/uploads/tender/Corrigendum_I_CC18466.pdf</t>
        </is>
      </c>
      <c r="U611" t="inlineStr">
        <is>
          <t>No</t>
        </is>
      </c>
      <c r="V611" t="inlineStr">
        <is>
          <t>Bot tarafindan tespit edildi (2026-07-01)</t>
        </is>
      </c>
    </row>
    <row r="612">
      <c r="A612" t="inlineStr">
        <is>
          <t>T-0416</t>
        </is>
      </c>
      <c r="B612" t="inlineStr">
        <is>
          <t>Indraprastha Gas (IGL)</t>
        </is>
      </c>
      <c r="C612" t="inlineStr">
        <is>
          <t>Indraprastha Gas (IGL)</t>
        </is>
      </c>
      <c r="F612" t="inlineStr">
        <is>
          <t>New Lead</t>
        </is>
      </c>
      <c r="H612" t="inlineStr">
        <is>
          <t>View Tender</t>
        </is>
      </c>
      <c r="K612" t="inlineStr">
        <is>
          <t>Not found</t>
        </is>
      </c>
      <c r="L612" t="inlineStr">
        <is>
          <t>Unknown</t>
        </is>
      </c>
      <c r="T612" t="inlineStr">
        <is>
          <t>https://tenders.iglonline.net/tenderDetail/411/Active Tenders And Corrigendum-Addendum</t>
        </is>
      </c>
      <c r="U612" t="inlineStr">
        <is>
          <t>No</t>
        </is>
      </c>
      <c r="V612" t="inlineStr">
        <is>
          <t>Bot tarafindan tespit edildi (2026-07-01)</t>
        </is>
      </c>
    </row>
    <row r="613">
      <c r="A613" t="inlineStr">
        <is>
          <t>T-0417</t>
        </is>
      </c>
      <c r="B613" t="inlineStr">
        <is>
          <t>Indraprastha Gas (IGL)</t>
        </is>
      </c>
      <c r="C613" t="inlineStr">
        <is>
          <t>Indraprastha Gas (IGL)</t>
        </is>
      </c>
      <c r="F613" t="inlineStr">
        <is>
          <t>New Lead</t>
        </is>
      </c>
      <c r="H613" t="inlineStr">
        <is>
          <t>Tender CC18476_Dismantling of Canopy.pdf</t>
        </is>
      </c>
      <c r="K613" t="inlineStr">
        <is>
          <t>Not found</t>
        </is>
      </c>
      <c r="L613" t="inlineStr">
        <is>
          <t>Unknown</t>
        </is>
      </c>
      <c r="T613" t="inlineStr">
        <is>
          <t>https://tenders.iglonline.net/uploads/tender/Tender CC18476_Dismantling of Canopy.pdf</t>
        </is>
      </c>
      <c r="U613" t="inlineStr">
        <is>
          <t>No</t>
        </is>
      </c>
      <c r="V613" t="inlineStr">
        <is>
          <t>Bot tarafindan tespit edildi (2026-07-01)</t>
        </is>
      </c>
    </row>
    <row r="614">
      <c r="A614" t="inlineStr">
        <is>
          <t>T-0418</t>
        </is>
      </c>
      <c r="B614" t="inlineStr">
        <is>
          <t>Indraprastha Gas (IGL)</t>
        </is>
      </c>
      <c r="C614" t="inlineStr">
        <is>
          <t>Indraprastha Gas (IGL)</t>
        </is>
      </c>
      <c r="F614" t="inlineStr">
        <is>
          <t>New Lead</t>
        </is>
      </c>
      <c r="H614" t="inlineStr">
        <is>
          <t>View Tender</t>
        </is>
      </c>
      <c r="K614" t="inlineStr">
        <is>
          <t>Not found</t>
        </is>
      </c>
      <c r="L614" t="inlineStr">
        <is>
          <t>Unknown</t>
        </is>
      </c>
      <c r="T614" t="inlineStr">
        <is>
          <t>https://tenders.iglonline.net/tenderDetail/410/Active Tenders And Corrigendum-Addendum</t>
        </is>
      </c>
      <c r="U614" t="inlineStr">
        <is>
          <t>No</t>
        </is>
      </c>
      <c r="V614" t="inlineStr">
        <is>
          <t>Bot tarafindan tespit edildi (2026-07-01)</t>
        </is>
      </c>
    </row>
    <row r="615">
      <c r="A615" t="inlineStr">
        <is>
          <t>T-0419</t>
        </is>
      </c>
      <c r="B615" t="inlineStr">
        <is>
          <t>Indraprastha Gas (IGL)</t>
        </is>
      </c>
      <c r="C615" t="inlineStr">
        <is>
          <t>Indraprastha Gas (IGL)</t>
        </is>
      </c>
      <c r="F615" t="inlineStr">
        <is>
          <t>New Lead</t>
        </is>
      </c>
      <c r="G615" t="inlineStr">
        <is>
          <t>Gas-related / review</t>
        </is>
      </c>
      <c r="H615" t="inlineStr">
        <is>
          <t>Comm_Vol_CP18457_v5-merged.pdf</t>
        </is>
      </c>
      <c r="K615" t="inlineStr">
        <is>
          <t>Not found</t>
        </is>
      </c>
      <c r="L615" t="inlineStr">
        <is>
          <t>Unknown</t>
        </is>
      </c>
      <c r="T615" t="inlineStr">
        <is>
          <t>https://tenders.iglonline.net/uploads/tender/Comm_Vol_CP18457_v5-merged.pdf</t>
        </is>
      </c>
      <c r="U615" t="inlineStr">
        <is>
          <t>No</t>
        </is>
      </c>
      <c r="V615" t="inlineStr">
        <is>
          <t>Bot tarafindan tespit edildi (2026-07-01); Bot tespit/zenginlestirme (2026-07-01); meta:score=35;priority=Low;source_type=html_table;closing_date=;equipment=Gas-related / review;reasons=equipment:Gas-related / review,document source</t>
        </is>
      </c>
    </row>
    <row r="616">
      <c r="A616" t="inlineStr">
        <is>
          <t>T-0420</t>
        </is>
      </c>
      <c r="B616" t="inlineStr">
        <is>
          <t>Indraprastha Gas (IGL)</t>
        </is>
      </c>
      <c r="C616" t="inlineStr">
        <is>
          <t>Indraprastha Gas (IGL)</t>
        </is>
      </c>
      <c r="F616" t="inlineStr">
        <is>
          <t>New Lead</t>
        </is>
      </c>
      <c r="G616" t="inlineStr">
        <is>
          <t>Gas-related / review</t>
        </is>
      </c>
      <c r="H616" t="inlineStr">
        <is>
          <t>Tech_Vol_CP18457_v2.pdf</t>
        </is>
      </c>
      <c r="K616" t="inlineStr">
        <is>
          <t>Not found</t>
        </is>
      </c>
      <c r="L616" t="inlineStr">
        <is>
          <t>Unknown</t>
        </is>
      </c>
      <c r="T616" t="inlineStr">
        <is>
          <t>https://tenders.iglonline.net/uploads/tender/Tech_Vol_CP18457_v2.pdf</t>
        </is>
      </c>
      <c r="U616" t="inlineStr">
        <is>
          <t>No</t>
        </is>
      </c>
      <c r="V616" t="inlineStr">
        <is>
          <t>Bot tarafindan tespit edildi (2026-07-01); Bot tespit/zenginlestirme (2026-07-01); meta:score=35;priority=Low;source_type=html_table;closing_date=;equipment=Gas-related / review;reasons=equipment:Gas-related / review,document source</t>
        </is>
      </c>
    </row>
    <row r="617">
      <c r="A617" t="inlineStr">
        <is>
          <t>T-0421</t>
        </is>
      </c>
      <c r="B617" t="inlineStr">
        <is>
          <t>Indraprastha Gas (IGL)</t>
        </is>
      </c>
      <c r="C617" t="inlineStr">
        <is>
          <t>Indraprastha Gas (IGL)</t>
        </is>
      </c>
      <c r="F617" t="inlineStr">
        <is>
          <t>New Lead</t>
        </is>
      </c>
      <c r="H617" t="inlineStr">
        <is>
          <t>View Tender</t>
        </is>
      </c>
      <c r="K617" t="inlineStr">
        <is>
          <t>Not found</t>
        </is>
      </c>
      <c r="L617" t="inlineStr">
        <is>
          <t>Unknown</t>
        </is>
      </c>
      <c r="T617" t="inlineStr">
        <is>
          <t>https://tenders.iglonline.net/tenderDetail/409/Active Tenders And Corrigendum-Addendum</t>
        </is>
      </c>
      <c r="U617" t="inlineStr">
        <is>
          <t>No</t>
        </is>
      </c>
      <c r="V617" t="inlineStr">
        <is>
          <t>Bot tarafindan tespit edildi (2026-07-01)</t>
        </is>
      </c>
    </row>
    <row r="618">
      <c r="A618" t="inlineStr">
        <is>
          <t>T-0422</t>
        </is>
      </c>
      <c r="B618" t="inlineStr">
        <is>
          <t>Indraprastha Gas (IGL)</t>
        </is>
      </c>
      <c r="C618" t="inlineStr">
        <is>
          <t>Indraprastha Gas (IGL)</t>
        </is>
      </c>
      <c r="F618" t="inlineStr">
        <is>
          <t>New Lead</t>
        </is>
      </c>
      <c r="G618" t="inlineStr">
        <is>
          <t>Gas-related / review</t>
        </is>
      </c>
      <c r="H618" t="inlineStr">
        <is>
          <t>Tender Document_CM18463.pdf</t>
        </is>
      </c>
      <c r="K618" t="inlineStr">
        <is>
          <t>Not found</t>
        </is>
      </c>
      <c r="L618" t="inlineStr">
        <is>
          <t>Unknown</t>
        </is>
      </c>
      <c r="T618" t="inlineStr">
        <is>
          <t>https://tenders.iglonline.net/uploads/tender/Tender Document_CM18463.pdf</t>
        </is>
      </c>
      <c r="U618" t="inlineStr">
        <is>
          <t>No</t>
        </is>
      </c>
      <c r="V618" t="inlineStr">
        <is>
          <t>Bot tarafindan tespit edildi (2026-07-01); Bot tespit/zenginlestirme (2026-07-01); meta:score=35;priority=Low;source_type=html_table;closing_date=;equipment=Gas-related / review;reasons=equipment:Gas-related / review,document source</t>
        </is>
      </c>
    </row>
    <row r="619">
      <c r="A619" t="inlineStr">
        <is>
          <t>T-0423</t>
        </is>
      </c>
      <c r="B619" t="inlineStr">
        <is>
          <t>Indraprastha Gas (IGL)</t>
        </is>
      </c>
      <c r="C619" t="inlineStr">
        <is>
          <t>Indraprastha Gas (IGL)</t>
        </is>
      </c>
      <c r="F619" t="inlineStr">
        <is>
          <t>New Lead</t>
        </is>
      </c>
      <c r="G619" t="inlineStr">
        <is>
          <t>Gas-related / review</t>
        </is>
      </c>
      <c r="H619" t="inlineStr">
        <is>
          <t>Corrigendum_1_CM18463.pdf</t>
        </is>
      </c>
      <c r="K619" t="inlineStr">
        <is>
          <t>Not found</t>
        </is>
      </c>
      <c r="L619" t="inlineStr">
        <is>
          <t>Unknown</t>
        </is>
      </c>
      <c r="T619" t="inlineStr">
        <is>
          <t>https://tenders.iglonline.net/uploads/tender/Corrigendum_1_CM18463.pdf</t>
        </is>
      </c>
      <c r="U619" t="inlineStr">
        <is>
          <t>No</t>
        </is>
      </c>
      <c r="V619" t="inlineStr">
        <is>
          <t>Bot tarafindan tespit edildi (2026-07-01); Bot tespit/zenginlestirme (2026-07-01); meta:score=35;priority=Low;source_type=html_table;closing_date=;equipment=Gas-related / review;reasons=equipment:Gas-related / review,document source</t>
        </is>
      </c>
    </row>
    <row r="620">
      <c r="A620" t="inlineStr">
        <is>
          <t>T-0424</t>
        </is>
      </c>
      <c r="B620" t="inlineStr">
        <is>
          <t>Indraprastha Gas (IGL)</t>
        </is>
      </c>
      <c r="C620" t="inlineStr">
        <is>
          <t>Indraprastha Gas (IGL)</t>
        </is>
      </c>
      <c r="F620" t="inlineStr">
        <is>
          <t>New Lead</t>
        </is>
      </c>
      <c r="H620" t="inlineStr">
        <is>
          <t>View Tender</t>
        </is>
      </c>
      <c r="K620" t="inlineStr">
        <is>
          <t>Not found</t>
        </is>
      </c>
      <c r="L620" t="inlineStr">
        <is>
          <t>Unknown</t>
        </is>
      </c>
      <c r="T620" t="inlineStr">
        <is>
          <t>https://tenders.iglonline.net/tenderDetail/408/Active Tenders And Corrigendum-Addendum</t>
        </is>
      </c>
      <c r="U620" t="inlineStr">
        <is>
          <t>No</t>
        </is>
      </c>
      <c r="V620" t="inlineStr">
        <is>
          <t>Bot tarafindan tespit edildi (2026-07-01)</t>
        </is>
      </c>
    </row>
    <row r="621">
      <c r="A621" t="inlineStr">
        <is>
          <t>T-0425</t>
        </is>
      </c>
      <c r="B621" t="inlineStr">
        <is>
          <t>Indraprastha Gas (IGL)</t>
        </is>
      </c>
      <c r="C621" t="inlineStr">
        <is>
          <t>Indraprastha Gas (IGL)</t>
        </is>
      </c>
      <c r="F621" t="inlineStr">
        <is>
          <t>New Lead</t>
        </is>
      </c>
      <c r="G621" t="inlineStr">
        <is>
          <t>Gas-related / review</t>
        </is>
      </c>
      <c r="H621" t="inlineStr">
        <is>
          <t>Tender_CC18441.pdf</t>
        </is>
      </c>
      <c r="K621" t="inlineStr">
        <is>
          <t>Not found</t>
        </is>
      </c>
      <c r="L621" t="inlineStr">
        <is>
          <t>Unknown</t>
        </is>
      </c>
      <c r="T621" t="inlineStr">
        <is>
          <t>https://tenders.iglonline.net/uploads/tender/Tender_CC18441.pdf</t>
        </is>
      </c>
      <c r="U621" t="inlineStr">
        <is>
          <t>No</t>
        </is>
      </c>
      <c r="V621" t="inlineStr">
        <is>
          <t>Bot tarafindan tespit edildi (2026-07-01); Bot tespit/zenginlestirme (2026-07-01); meta:score=35;priority=Low;source_type=html_table;closing_date=;equipment=Gas-related / review;reasons=equipment:Gas-related / review,document source</t>
        </is>
      </c>
    </row>
    <row r="622">
      <c r="A622" t="inlineStr">
        <is>
          <t>T-0426</t>
        </is>
      </c>
      <c r="B622" t="inlineStr">
        <is>
          <t>Indraprastha Gas (IGL)</t>
        </is>
      </c>
      <c r="C622" t="inlineStr">
        <is>
          <t>Indraprastha Gas (IGL)</t>
        </is>
      </c>
      <c r="F622" t="inlineStr">
        <is>
          <t>New Lead</t>
        </is>
      </c>
      <c r="G622" t="inlineStr">
        <is>
          <t>Gas-related / review</t>
        </is>
      </c>
      <c r="H622" t="inlineStr">
        <is>
          <t>Pre Bid Replies CC18441.pdf</t>
        </is>
      </c>
      <c r="K622" t="inlineStr">
        <is>
          <t>Not found</t>
        </is>
      </c>
      <c r="L622" t="inlineStr">
        <is>
          <t>Unknown</t>
        </is>
      </c>
      <c r="T622" t="inlineStr">
        <is>
          <t>https://tenders.iglonline.net/uploads/tender/Pre Bid Replies CC18441.pdf</t>
        </is>
      </c>
      <c r="U622" t="inlineStr">
        <is>
          <t>No</t>
        </is>
      </c>
      <c r="V622" t="inlineStr">
        <is>
          <t>Bot tarafindan tespit edildi (2026-07-01); Bot tespit/zenginlestirme (2026-07-01); meta:score=35;priority=Low;source_type=html_table;closing_date=;equipment=Gas-related / review;reasons=equipment:Gas-related / review,document source</t>
        </is>
      </c>
    </row>
    <row r="623">
      <c r="A623" t="inlineStr">
        <is>
          <t>T-0427</t>
        </is>
      </c>
      <c r="B623" t="inlineStr">
        <is>
          <t>Indraprastha Gas (IGL)</t>
        </is>
      </c>
      <c r="C623" t="inlineStr">
        <is>
          <t>Indraprastha Gas (IGL)</t>
        </is>
      </c>
      <c r="F623" t="inlineStr">
        <is>
          <t>New Lead</t>
        </is>
      </c>
      <c r="H623" t="inlineStr">
        <is>
          <t>View Tender</t>
        </is>
      </c>
      <c r="K623" t="inlineStr">
        <is>
          <t>Not found</t>
        </is>
      </c>
      <c r="L623" t="inlineStr">
        <is>
          <t>Unknown</t>
        </is>
      </c>
      <c r="T623" t="inlineStr">
        <is>
          <t>https://tenders.iglonline.net/tenderDetail/407/Active Tenders And Corrigendum-Addendum</t>
        </is>
      </c>
      <c r="U623" t="inlineStr">
        <is>
          <t>No</t>
        </is>
      </c>
      <c r="V623" t="inlineStr">
        <is>
          <t>Bot tarafindan tespit edildi (2026-07-01)</t>
        </is>
      </c>
    </row>
    <row r="624">
      <c r="A624" t="inlineStr">
        <is>
          <t>T-0428</t>
        </is>
      </c>
      <c r="B624" t="inlineStr">
        <is>
          <t>Indraprastha Gas (IGL)</t>
        </is>
      </c>
      <c r="C624" t="inlineStr">
        <is>
          <t>Indraprastha Gas (IGL)</t>
        </is>
      </c>
      <c r="F624" t="inlineStr">
        <is>
          <t>New Lead</t>
        </is>
      </c>
      <c r="G624" t="inlineStr">
        <is>
          <t>Gas-related / review</t>
        </is>
      </c>
      <c r="H624" t="inlineStr">
        <is>
          <t>Tender_CP18446-merged.pdf</t>
        </is>
      </c>
      <c r="K624" t="inlineStr">
        <is>
          <t>Not found</t>
        </is>
      </c>
      <c r="L624" t="inlineStr">
        <is>
          <t>Unknown</t>
        </is>
      </c>
      <c r="T624" t="inlineStr">
        <is>
          <t>https://tenders.iglonline.net/uploads/tender/Tender_CP18446-merged.pdf</t>
        </is>
      </c>
      <c r="U624" t="inlineStr">
        <is>
          <t>No</t>
        </is>
      </c>
      <c r="V624" t="inlineStr">
        <is>
          <t>Bot tarafindan tespit edildi (2026-07-01); Bot tespit/zenginlestirme (2026-07-01); meta:score=35;priority=Low;source_type=html_table;closing_date=;equipment=Gas-related / review;reasons=equipment:Gas-related / review,document source</t>
        </is>
      </c>
    </row>
    <row r="625">
      <c r="A625" t="inlineStr">
        <is>
          <t>T-0429</t>
        </is>
      </c>
      <c r="B625" t="inlineStr">
        <is>
          <t>Indraprastha Gas (IGL)</t>
        </is>
      </c>
      <c r="C625" t="inlineStr">
        <is>
          <t>Indraprastha Gas (IGL)</t>
        </is>
      </c>
      <c r="F625" t="inlineStr">
        <is>
          <t>New Lead</t>
        </is>
      </c>
      <c r="G625" t="inlineStr">
        <is>
          <t>Gas-related / review</t>
        </is>
      </c>
      <c r="H625" t="inlineStr">
        <is>
          <t>RTBQ CP18446.pdf</t>
        </is>
      </c>
      <c r="K625" t="inlineStr">
        <is>
          <t>Not found</t>
        </is>
      </c>
      <c r="L625" t="inlineStr">
        <is>
          <t>Unknown</t>
        </is>
      </c>
      <c r="T625" t="inlineStr">
        <is>
          <t>https://tenders.iglonline.net/uploads/tender/RTBQ CP18446.pdf</t>
        </is>
      </c>
      <c r="U625" t="inlineStr">
        <is>
          <t>No</t>
        </is>
      </c>
      <c r="V625" t="inlineStr">
        <is>
          <t>Bot tarafindan tespit edildi (2026-07-01); Bot tespit/zenginlestirme (2026-07-01); meta:score=35;priority=Low;source_type=html_table;closing_date=;equipment=Gas-related / review;reasons=equipment:Gas-related / review,document source</t>
        </is>
      </c>
    </row>
    <row r="626">
      <c r="A626" t="inlineStr">
        <is>
          <t>T-0430</t>
        </is>
      </c>
      <c r="B626" t="inlineStr">
        <is>
          <t>Indraprastha Gas (IGL)</t>
        </is>
      </c>
      <c r="C626" t="inlineStr">
        <is>
          <t>Indraprastha Gas (IGL)</t>
        </is>
      </c>
      <c r="F626" t="inlineStr">
        <is>
          <t>New Lead</t>
        </is>
      </c>
      <c r="H626" t="inlineStr">
        <is>
          <t>View Tender</t>
        </is>
      </c>
      <c r="K626" t="inlineStr">
        <is>
          <t>Not found</t>
        </is>
      </c>
      <c r="L626" t="inlineStr">
        <is>
          <t>Unknown</t>
        </is>
      </c>
      <c r="T626" t="inlineStr">
        <is>
          <t>https://tenders.iglonline.net/tenderDetail/406/Active Tenders And Corrigendum-Addendum</t>
        </is>
      </c>
      <c r="U626" t="inlineStr">
        <is>
          <t>No</t>
        </is>
      </c>
      <c r="V626" t="inlineStr">
        <is>
          <t>Bot tarafindan tespit edildi (2026-07-01)</t>
        </is>
      </c>
    </row>
    <row r="627">
      <c r="A627" t="inlineStr">
        <is>
          <t>T-0431</t>
        </is>
      </c>
      <c r="B627" t="inlineStr">
        <is>
          <t>Indraprastha Gas (IGL)</t>
        </is>
      </c>
      <c r="C627" t="inlineStr">
        <is>
          <t>Indraprastha Gas (IGL)</t>
        </is>
      </c>
      <c r="F627" t="inlineStr">
        <is>
          <t>New Lead</t>
        </is>
      </c>
      <c r="H627" t="inlineStr">
        <is>
          <t>Tender_Doc_CP18269.pdf</t>
        </is>
      </c>
      <c r="K627" t="inlineStr">
        <is>
          <t>Not found</t>
        </is>
      </c>
      <c r="L627" t="inlineStr">
        <is>
          <t>Unknown</t>
        </is>
      </c>
      <c r="T627" t="inlineStr">
        <is>
          <t>https://tenders.iglonline.net/uploads/tender/Tender_Doc_CP18269.pdf</t>
        </is>
      </c>
      <c r="U627" t="inlineStr">
        <is>
          <t>No</t>
        </is>
      </c>
      <c r="V627" t="inlineStr">
        <is>
          <t>Bot tarafindan tespit edildi (2026-07-01)</t>
        </is>
      </c>
    </row>
    <row r="628">
      <c r="A628" t="inlineStr">
        <is>
          <t>T-0432</t>
        </is>
      </c>
      <c r="B628" t="inlineStr">
        <is>
          <t>Indraprastha Gas (IGL)</t>
        </is>
      </c>
      <c r="C628" t="inlineStr">
        <is>
          <t>Indraprastha Gas (IGL)</t>
        </is>
      </c>
      <c r="F628" t="inlineStr">
        <is>
          <t>New Lead</t>
        </is>
      </c>
      <c r="H628" t="inlineStr">
        <is>
          <t>Corrigendum_1_CP18269.pdf</t>
        </is>
      </c>
      <c r="K628" t="inlineStr">
        <is>
          <t>Not found</t>
        </is>
      </c>
      <c r="L628" t="inlineStr">
        <is>
          <t>Unknown</t>
        </is>
      </c>
      <c r="T628" t="inlineStr">
        <is>
          <t>https://tenders.iglonline.net/uploads/tender/Corrigendum_1_CP18269.pdf</t>
        </is>
      </c>
      <c r="U628" t="inlineStr">
        <is>
          <t>No</t>
        </is>
      </c>
      <c r="V628" t="inlineStr">
        <is>
          <t>Bot tarafindan tespit edildi (2026-07-01)</t>
        </is>
      </c>
    </row>
    <row r="629">
      <c r="A629" t="inlineStr">
        <is>
          <t>T-0433</t>
        </is>
      </c>
      <c r="B629" t="inlineStr">
        <is>
          <t>Indraprastha Gas (IGL)</t>
        </is>
      </c>
      <c r="C629" t="inlineStr">
        <is>
          <t>Indraprastha Gas (IGL)</t>
        </is>
      </c>
      <c r="F629" t="inlineStr">
        <is>
          <t>New Lead</t>
        </is>
      </c>
      <c r="H629" t="inlineStr">
        <is>
          <t>View Tender</t>
        </is>
      </c>
      <c r="K629" t="inlineStr">
        <is>
          <t>Not found</t>
        </is>
      </c>
      <c r="L629" t="inlineStr">
        <is>
          <t>Unknown</t>
        </is>
      </c>
      <c r="T629" t="inlineStr">
        <is>
          <t>https://tenders.iglonline.net/tenderDetail/405/Active Tenders And Corrigendum-Addendum</t>
        </is>
      </c>
      <c r="U629" t="inlineStr">
        <is>
          <t>No</t>
        </is>
      </c>
      <c r="V629" t="inlineStr">
        <is>
          <t>Bot tarafindan tespit edildi (2026-07-01)</t>
        </is>
      </c>
    </row>
    <row r="630">
      <c r="A630" t="inlineStr">
        <is>
          <t>T-0434</t>
        </is>
      </c>
      <c r="B630" t="inlineStr">
        <is>
          <t>Indraprastha Gas (IGL)</t>
        </is>
      </c>
      <c r="C630" t="inlineStr">
        <is>
          <t>Indraprastha Gas (IGL)</t>
        </is>
      </c>
      <c r="F630" t="inlineStr">
        <is>
          <t>New Lead</t>
        </is>
      </c>
      <c r="H630" t="inlineStr">
        <is>
          <t>Tender_CM18453.pdf</t>
        </is>
      </c>
      <c r="K630" t="inlineStr">
        <is>
          <t>Not found</t>
        </is>
      </c>
      <c r="L630" t="inlineStr">
        <is>
          <t>Unknown</t>
        </is>
      </c>
      <c r="T630" t="inlineStr">
        <is>
          <t>https://tenders.iglonline.net/uploads/tender/Tender_CM18453.pdf</t>
        </is>
      </c>
      <c r="U630" t="inlineStr">
        <is>
          <t>No</t>
        </is>
      </c>
      <c r="V630" t="inlineStr">
        <is>
          <t>Bot tarafindan tespit edildi (2026-07-01)</t>
        </is>
      </c>
    </row>
    <row r="631">
      <c r="A631" t="inlineStr">
        <is>
          <t>T-0435</t>
        </is>
      </c>
      <c r="B631" t="inlineStr">
        <is>
          <t>Indraprastha Gas (IGL)</t>
        </is>
      </c>
      <c r="C631" t="inlineStr">
        <is>
          <t>Indraprastha Gas (IGL)</t>
        </is>
      </c>
      <c r="F631" t="inlineStr">
        <is>
          <t>New Lead</t>
        </is>
      </c>
      <c r="H631" t="inlineStr">
        <is>
          <t>CORRIGENDUM I.pdf</t>
        </is>
      </c>
      <c r="K631" t="inlineStr">
        <is>
          <t>Not found</t>
        </is>
      </c>
      <c r="L631" t="inlineStr">
        <is>
          <t>Unknown</t>
        </is>
      </c>
      <c r="T631" t="inlineStr">
        <is>
          <t>https://tenders.iglonline.net/uploads/tender/CORRIGENDUM I.pdf</t>
        </is>
      </c>
      <c r="U631" t="inlineStr">
        <is>
          <t>No</t>
        </is>
      </c>
      <c r="V631" t="inlineStr">
        <is>
          <t>Bot tarafindan tespit edildi (2026-07-01)</t>
        </is>
      </c>
    </row>
    <row r="632">
      <c r="A632" t="inlineStr">
        <is>
          <t>T-0436</t>
        </is>
      </c>
      <c r="B632" t="inlineStr">
        <is>
          <t>Indraprastha Gas (IGL)</t>
        </is>
      </c>
      <c r="C632" t="inlineStr">
        <is>
          <t>Indraprastha Gas (IGL)</t>
        </is>
      </c>
      <c r="F632" t="inlineStr">
        <is>
          <t>New Lead</t>
        </is>
      </c>
      <c r="H632" t="inlineStr">
        <is>
          <t>Replies Pre bid Queries_SDWAN.pdf</t>
        </is>
      </c>
      <c r="K632" t="inlineStr">
        <is>
          <t>Not found</t>
        </is>
      </c>
      <c r="L632" t="inlineStr">
        <is>
          <t>Unknown</t>
        </is>
      </c>
      <c r="T632" t="inlineStr">
        <is>
          <t>https://tenders.iglonline.net/uploads/tender/Replies Pre bid Queries_SDWAN.pdf</t>
        </is>
      </c>
      <c r="U632" t="inlineStr">
        <is>
          <t>No</t>
        </is>
      </c>
      <c r="V632" t="inlineStr">
        <is>
          <t>Bot tarafindan tespit edildi (2026-07-01)</t>
        </is>
      </c>
    </row>
    <row r="633">
      <c r="A633" t="inlineStr">
        <is>
          <t>T-0437</t>
        </is>
      </c>
      <c r="B633" t="inlineStr">
        <is>
          <t>Indraprastha Gas (IGL)</t>
        </is>
      </c>
      <c r="C633" t="inlineStr">
        <is>
          <t>Indraprastha Gas (IGL)</t>
        </is>
      </c>
      <c r="F633" t="inlineStr">
        <is>
          <t>New Lead</t>
        </is>
      </c>
      <c r="H633" t="inlineStr">
        <is>
          <t>CORRIGENDUM-II-CM18453.pdf</t>
        </is>
      </c>
      <c r="K633" t="inlineStr">
        <is>
          <t>Not found</t>
        </is>
      </c>
      <c r="L633" t="inlineStr">
        <is>
          <t>Unknown</t>
        </is>
      </c>
      <c r="T633" t="inlineStr">
        <is>
          <t>https://tenders.iglonline.net/uploads/tender/CORRIGENDUM-II-CM18453.pdf</t>
        </is>
      </c>
      <c r="U633" t="inlineStr">
        <is>
          <t>No</t>
        </is>
      </c>
      <c r="V633" t="inlineStr">
        <is>
          <t>Bot tarafindan tespit edildi (2026-07-01)</t>
        </is>
      </c>
    </row>
    <row r="634">
      <c r="A634" t="inlineStr">
        <is>
          <t>T-0438</t>
        </is>
      </c>
      <c r="B634" t="inlineStr">
        <is>
          <t>Indraprastha Gas (IGL)</t>
        </is>
      </c>
      <c r="C634" t="inlineStr">
        <is>
          <t>Indraprastha Gas (IGL)</t>
        </is>
      </c>
      <c r="F634" t="inlineStr">
        <is>
          <t>New Lead</t>
        </is>
      </c>
      <c r="H634" t="inlineStr">
        <is>
          <t>CORRIGENDUM-III-CM18453.pdf</t>
        </is>
      </c>
      <c r="K634" t="inlineStr">
        <is>
          <t>Not found</t>
        </is>
      </c>
      <c r="L634" t="inlineStr">
        <is>
          <t>Unknown</t>
        </is>
      </c>
      <c r="T634" t="inlineStr">
        <is>
          <t>https://tenders.iglonline.net/uploads/tender/CORRIGENDUM-III-CM18453.pdf</t>
        </is>
      </c>
      <c r="U634" t="inlineStr">
        <is>
          <t>No</t>
        </is>
      </c>
      <c r="V634" t="inlineStr">
        <is>
          <t>Bot tarafindan tespit edildi (2026-07-01)</t>
        </is>
      </c>
    </row>
    <row r="635">
      <c r="A635" t="inlineStr">
        <is>
          <t>T-0439</t>
        </is>
      </c>
      <c r="B635" t="inlineStr">
        <is>
          <t>Indraprastha Gas (IGL)</t>
        </is>
      </c>
      <c r="C635" t="inlineStr">
        <is>
          <t>Indraprastha Gas (IGL)</t>
        </is>
      </c>
      <c r="F635" t="inlineStr">
        <is>
          <t>New Lead</t>
        </is>
      </c>
      <c r="H635" t="inlineStr">
        <is>
          <t>Clarification to the queries.pdf</t>
        </is>
      </c>
      <c r="K635" t="inlineStr">
        <is>
          <t>Not found</t>
        </is>
      </c>
      <c r="L635" t="inlineStr">
        <is>
          <t>Unknown</t>
        </is>
      </c>
      <c r="T635" t="inlineStr">
        <is>
          <t>https://tenders.iglonline.net/uploads/tender/Clarification to the queries.pdf</t>
        </is>
      </c>
      <c r="U635" t="inlineStr">
        <is>
          <t>No</t>
        </is>
      </c>
      <c r="V635" t="inlineStr">
        <is>
          <t>Bot tarafindan tespit edildi (2026-07-01)</t>
        </is>
      </c>
    </row>
    <row r="636">
      <c r="A636" t="inlineStr">
        <is>
          <t>T-0440</t>
        </is>
      </c>
      <c r="B636" t="inlineStr">
        <is>
          <t>Indraprastha Gas (IGL)</t>
        </is>
      </c>
      <c r="C636" t="inlineStr">
        <is>
          <t>Indraprastha Gas (IGL)</t>
        </is>
      </c>
      <c r="F636" t="inlineStr">
        <is>
          <t>New Lead</t>
        </is>
      </c>
      <c r="H636" t="inlineStr">
        <is>
          <t>View Tender</t>
        </is>
      </c>
      <c r="K636" t="inlineStr">
        <is>
          <t>Not found</t>
        </is>
      </c>
      <c r="L636" t="inlineStr">
        <is>
          <t>Unknown</t>
        </is>
      </c>
      <c r="T636" t="inlineStr">
        <is>
          <t>https://tenders.iglonline.net/tenderDetail/404/Active Tenders And Corrigendum-Addendum</t>
        </is>
      </c>
      <c r="U636" t="inlineStr">
        <is>
          <t>No</t>
        </is>
      </c>
      <c r="V636" t="inlineStr">
        <is>
          <t>Bot tarafindan tespit edildi (2026-07-01)</t>
        </is>
      </c>
    </row>
    <row r="637">
      <c r="A637" t="inlineStr">
        <is>
          <t>T-0441</t>
        </is>
      </c>
      <c r="B637" t="inlineStr">
        <is>
          <t>Indraprastha Gas (IGL)</t>
        </is>
      </c>
      <c r="C637" t="inlineStr">
        <is>
          <t>Indraprastha Gas (IGL)</t>
        </is>
      </c>
      <c r="F637" t="inlineStr">
        <is>
          <t>New Lead</t>
        </is>
      </c>
      <c r="H637" t="inlineStr">
        <is>
          <t>Tender_Doc_CC18417.pdf</t>
        </is>
      </c>
      <c r="K637" t="inlineStr">
        <is>
          <t>Not found</t>
        </is>
      </c>
      <c r="L637" t="inlineStr">
        <is>
          <t>Unknown</t>
        </is>
      </c>
      <c r="T637" t="inlineStr">
        <is>
          <t>https://tenders.iglonline.net/uploads/tender/Tender_Doc_CC18417.pdf</t>
        </is>
      </c>
      <c r="U637" t="inlineStr">
        <is>
          <t>No</t>
        </is>
      </c>
      <c r="V637" t="inlineStr">
        <is>
          <t>Bot tarafindan tespit edildi (2026-07-01)</t>
        </is>
      </c>
    </row>
    <row r="638">
      <c r="A638" t="inlineStr">
        <is>
          <t>T-0442</t>
        </is>
      </c>
      <c r="B638" t="inlineStr">
        <is>
          <t>Indraprastha Gas (IGL)</t>
        </is>
      </c>
      <c r="C638" t="inlineStr">
        <is>
          <t>Indraprastha Gas (IGL)</t>
        </is>
      </c>
      <c r="F638" t="inlineStr">
        <is>
          <t>New Lead</t>
        </is>
      </c>
      <c r="H638" t="inlineStr">
        <is>
          <t>View Tender</t>
        </is>
      </c>
      <c r="K638" t="inlineStr">
        <is>
          <t>Not found</t>
        </is>
      </c>
      <c r="L638" t="inlineStr">
        <is>
          <t>Unknown</t>
        </is>
      </c>
      <c r="T638" t="inlineStr">
        <is>
          <t>https://tenders.iglonline.net/tenderDetail/403/Active Tenders And Corrigendum-Addendum</t>
        </is>
      </c>
      <c r="U638" t="inlineStr">
        <is>
          <t>No</t>
        </is>
      </c>
      <c r="V638" t="inlineStr">
        <is>
          <t>Bot tarafindan tespit edildi (2026-07-01)</t>
        </is>
      </c>
    </row>
    <row r="639">
      <c r="A639" t="inlineStr">
        <is>
          <t>T-0443</t>
        </is>
      </c>
      <c r="B639" t="inlineStr">
        <is>
          <t>Indraprastha Gas (IGL)</t>
        </is>
      </c>
      <c r="C639" t="inlineStr">
        <is>
          <t>Indraprastha Gas (IGL)</t>
        </is>
      </c>
      <c r="F639" t="inlineStr">
        <is>
          <t>New Lead</t>
        </is>
      </c>
      <c r="G639" t="inlineStr">
        <is>
          <t>Gas-related / review</t>
        </is>
      </c>
      <c r="H639" t="inlineStr">
        <is>
          <t>Tender_CP18438_v1.pdf</t>
        </is>
      </c>
      <c r="K639" t="inlineStr">
        <is>
          <t>Not found</t>
        </is>
      </c>
      <c r="L639" t="inlineStr">
        <is>
          <t>Unknown</t>
        </is>
      </c>
      <c r="T639" t="inlineStr">
        <is>
          <t>https://tenders.iglonline.net/uploads/tender/Tender_CP18438_v1.pdf</t>
        </is>
      </c>
      <c r="U639" t="inlineStr">
        <is>
          <t>No</t>
        </is>
      </c>
      <c r="V639" t="inlineStr">
        <is>
          <t>Bot tarafindan tespit edildi (2026-07-01); Bot tespit/zenginlestirme (2026-07-01); meta:score=35;priority=Low;source_type=html_table;closing_date=;equipment=Gas-related / review;reasons=equipment:Gas-related / review,document source</t>
        </is>
      </c>
    </row>
    <row r="640">
      <c r="A640" t="inlineStr">
        <is>
          <t>T-0444</t>
        </is>
      </c>
      <c r="B640" t="inlineStr">
        <is>
          <t>Indraprastha Gas (IGL)</t>
        </is>
      </c>
      <c r="C640" t="inlineStr">
        <is>
          <t>Indraprastha Gas (IGL)</t>
        </is>
      </c>
      <c r="F640" t="inlineStr">
        <is>
          <t>New Lead</t>
        </is>
      </c>
      <c r="H640" t="inlineStr">
        <is>
          <t>View Tender</t>
        </is>
      </c>
      <c r="K640" t="inlineStr">
        <is>
          <t>Not found</t>
        </is>
      </c>
      <c r="L640" t="inlineStr">
        <is>
          <t>Unknown</t>
        </is>
      </c>
      <c r="T640" t="inlineStr">
        <is>
          <t>https://tenders.iglonline.net/tenderDetail/402/Active Tenders And Corrigendum-Addendum</t>
        </is>
      </c>
      <c r="U640" t="inlineStr">
        <is>
          <t>No</t>
        </is>
      </c>
      <c r="V640" t="inlineStr">
        <is>
          <t>Bot tarafindan tespit edildi (2026-07-01)</t>
        </is>
      </c>
    </row>
    <row r="641">
      <c r="A641" t="inlineStr">
        <is>
          <t>T-0445</t>
        </is>
      </c>
      <c r="B641" t="inlineStr">
        <is>
          <t>Indraprastha Gas (IGL)</t>
        </is>
      </c>
      <c r="C641" t="inlineStr">
        <is>
          <t>Indraprastha Gas (IGL)</t>
        </is>
      </c>
      <c r="F641" t="inlineStr">
        <is>
          <t>New Lead</t>
        </is>
      </c>
      <c r="H641" t="inlineStr">
        <is>
          <t>Tender_CC18364_SS_Fittings-merged.pdf</t>
        </is>
      </c>
      <c r="K641" t="inlineStr">
        <is>
          <t>Not found</t>
        </is>
      </c>
      <c r="L641" t="inlineStr">
        <is>
          <t>Unknown</t>
        </is>
      </c>
      <c r="T641" t="inlineStr">
        <is>
          <t>https://tenders.iglonline.net/uploads/tender/Tender_CC18364_SS_Fittings-merged.pdf</t>
        </is>
      </c>
      <c r="U641" t="inlineStr">
        <is>
          <t>No</t>
        </is>
      </c>
      <c r="V641" t="inlineStr">
        <is>
          <t>Bot tarafindan tespit edildi (2026-07-01)</t>
        </is>
      </c>
    </row>
    <row r="642">
      <c r="A642" t="inlineStr">
        <is>
          <t>T-0446</t>
        </is>
      </c>
      <c r="B642" t="inlineStr">
        <is>
          <t>Indraprastha Gas (IGL)</t>
        </is>
      </c>
      <c r="C642" t="inlineStr">
        <is>
          <t>Indraprastha Gas (IGL)</t>
        </is>
      </c>
      <c r="F642" t="inlineStr">
        <is>
          <t>New Lead</t>
        </is>
      </c>
      <c r="H642" t="inlineStr">
        <is>
          <t>Reply to Bidders Query.pdf</t>
        </is>
      </c>
      <c r="K642" t="inlineStr">
        <is>
          <t>Not found</t>
        </is>
      </c>
      <c r="L642" t="inlineStr">
        <is>
          <t>Unknown</t>
        </is>
      </c>
      <c r="T642" t="inlineStr">
        <is>
          <t>https://tenders.iglonline.net/uploads/tender/Reply to Bidders Query.pdf</t>
        </is>
      </c>
      <c r="U642" t="inlineStr">
        <is>
          <t>No</t>
        </is>
      </c>
      <c r="V642" t="inlineStr">
        <is>
          <t>Bot tarafindan tespit edildi (2026-07-01)</t>
        </is>
      </c>
    </row>
    <row r="643">
      <c r="A643" t="inlineStr">
        <is>
          <t>T-0447</t>
        </is>
      </c>
      <c r="B643" t="inlineStr">
        <is>
          <t>Indraprastha Gas (IGL)</t>
        </is>
      </c>
      <c r="C643" t="inlineStr">
        <is>
          <t>Indraprastha Gas (IGL)</t>
        </is>
      </c>
      <c r="F643" t="inlineStr">
        <is>
          <t>New Lead</t>
        </is>
      </c>
      <c r="H643" t="inlineStr">
        <is>
          <t>View Tender</t>
        </is>
      </c>
      <c r="K643" t="inlineStr">
        <is>
          <t>Not found</t>
        </is>
      </c>
      <c r="L643" t="inlineStr">
        <is>
          <t>Unknown</t>
        </is>
      </c>
      <c r="T643" t="inlineStr">
        <is>
          <t>https://tenders.iglonline.net/tenderDetail/401/Active Tenders And Corrigendum-Addendum</t>
        </is>
      </c>
      <c r="U643" t="inlineStr">
        <is>
          <t>No</t>
        </is>
      </c>
      <c r="V643" t="inlineStr">
        <is>
          <t>Bot tarafindan tespit edildi (2026-07-01)</t>
        </is>
      </c>
    </row>
    <row r="644">
      <c r="A644" t="inlineStr">
        <is>
          <t>T-0448</t>
        </is>
      </c>
      <c r="B644" t="inlineStr">
        <is>
          <t>Indraprastha Gas (IGL)</t>
        </is>
      </c>
      <c r="C644" t="inlineStr">
        <is>
          <t>Indraprastha Gas (IGL)</t>
        </is>
      </c>
      <c r="F644" t="inlineStr">
        <is>
          <t>New Lead</t>
        </is>
      </c>
      <c r="H644" t="inlineStr">
        <is>
          <t>Tender CC18464_v2.pdf</t>
        </is>
      </c>
      <c r="K644" t="inlineStr">
        <is>
          <t>Not found</t>
        </is>
      </c>
      <c r="L644" t="inlineStr">
        <is>
          <t>Unknown</t>
        </is>
      </c>
      <c r="T644" t="inlineStr">
        <is>
          <t>https://tenders.iglonline.net/uploads/tender/Tender CC18464_v2.pdf</t>
        </is>
      </c>
      <c r="U644" t="inlineStr">
        <is>
          <t>No</t>
        </is>
      </c>
      <c r="V644" t="inlineStr">
        <is>
          <t>Bot tarafindan tespit edildi (2026-07-01)</t>
        </is>
      </c>
    </row>
    <row r="645">
      <c r="A645" t="inlineStr">
        <is>
          <t>T-0449</t>
        </is>
      </c>
      <c r="B645" t="inlineStr">
        <is>
          <t>Indraprastha Gas (IGL)</t>
        </is>
      </c>
      <c r="C645" t="inlineStr">
        <is>
          <t>Indraprastha Gas (IGL)</t>
        </is>
      </c>
      <c r="F645" t="inlineStr">
        <is>
          <t>New Lead</t>
        </is>
      </c>
      <c r="H645" t="inlineStr">
        <is>
          <t>View Tender</t>
        </is>
      </c>
      <c r="K645" t="inlineStr">
        <is>
          <t>Not found</t>
        </is>
      </c>
      <c r="L645" t="inlineStr">
        <is>
          <t>Unknown</t>
        </is>
      </c>
      <c r="T645" t="inlineStr">
        <is>
          <t>https://tenders.iglonline.net/tenderDetail/400/Active Tenders And Corrigendum-Addendum</t>
        </is>
      </c>
      <c r="U645" t="inlineStr">
        <is>
          <t>No</t>
        </is>
      </c>
      <c r="V645" t="inlineStr">
        <is>
          <t>Bot tarafindan tespit edildi (2026-07-01)</t>
        </is>
      </c>
    </row>
    <row r="646">
      <c r="A646" t="inlineStr">
        <is>
          <t>T-0450</t>
        </is>
      </c>
      <c r="B646" t="inlineStr">
        <is>
          <t>Indraprastha Gas (IGL)</t>
        </is>
      </c>
      <c r="C646" t="inlineStr">
        <is>
          <t>Indraprastha Gas (IGL)</t>
        </is>
      </c>
      <c r="F646" t="inlineStr">
        <is>
          <t>New Lead</t>
        </is>
      </c>
      <c r="G646" t="inlineStr">
        <is>
          <t>Gas-related / review</t>
        </is>
      </c>
      <c r="H646" t="inlineStr">
        <is>
          <t>Tender_CC18460_Customer Satisfaction.pdf</t>
        </is>
      </c>
      <c r="K646" t="inlineStr">
        <is>
          <t>Not found</t>
        </is>
      </c>
      <c r="L646" t="inlineStr">
        <is>
          <t>Unknown</t>
        </is>
      </c>
      <c r="T646" t="inlineStr">
        <is>
          <t>https://tenders.iglonline.net/uploads/tender/Tender_CC18460_Customer Satisfaction.pdf</t>
        </is>
      </c>
      <c r="U646" t="inlineStr">
        <is>
          <t>No</t>
        </is>
      </c>
      <c r="V646" t="inlineStr">
        <is>
          <t>Bot tarafindan tespit edildi (2026-07-01); Bot tespit/zenginlestirme (2026-07-01); meta:score=35;priority=Low;source_type=html_table;closing_date=;equipment=Gas-related / review;reasons=equipment:Gas-related / review,document source</t>
        </is>
      </c>
    </row>
    <row r="647">
      <c r="A647" t="inlineStr">
        <is>
          <t>T-0451</t>
        </is>
      </c>
      <c r="B647" t="inlineStr">
        <is>
          <t>Indraprastha Gas (IGL)</t>
        </is>
      </c>
      <c r="C647" t="inlineStr">
        <is>
          <t>Indraprastha Gas (IGL)</t>
        </is>
      </c>
      <c r="F647" t="inlineStr">
        <is>
          <t>New Lead</t>
        </is>
      </c>
      <c r="G647" t="inlineStr">
        <is>
          <t>Gas-related / review</t>
        </is>
      </c>
      <c r="H647" t="inlineStr">
        <is>
          <t>RTBQ-I.pdf</t>
        </is>
      </c>
      <c r="K647" t="inlineStr">
        <is>
          <t>Not found</t>
        </is>
      </c>
      <c r="L647" t="inlineStr">
        <is>
          <t>Unknown</t>
        </is>
      </c>
      <c r="T647" t="inlineStr">
        <is>
          <t>https://tenders.iglonline.net/uploads/tender/RTBQ-I.pdf</t>
        </is>
      </c>
      <c r="U647" t="inlineStr">
        <is>
          <t>No</t>
        </is>
      </c>
      <c r="V647" t="inlineStr">
        <is>
          <t>Bot tarafindan tespit edildi (2026-07-01); Bot tespit/zenginlestirme (2026-07-01); meta:score=35;priority=Low;source_type=html_table;closing_date=;equipment=Gas-related / review;reasons=equipment:Gas-related / review,document source</t>
        </is>
      </c>
    </row>
    <row r="648">
      <c r="A648" t="inlineStr">
        <is>
          <t>T-0452</t>
        </is>
      </c>
      <c r="B648" t="inlineStr">
        <is>
          <t>Indraprastha Gas (IGL)</t>
        </is>
      </c>
      <c r="C648" t="inlineStr">
        <is>
          <t>Indraprastha Gas (IGL)</t>
        </is>
      </c>
      <c r="F648" t="inlineStr">
        <is>
          <t>New Lead</t>
        </is>
      </c>
      <c r="G648" t="inlineStr">
        <is>
          <t>Gas-related / review</t>
        </is>
      </c>
      <c r="H648" t="inlineStr">
        <is>
          <t>Corrigendum-I_CC18460.pdf</t>
        </is>
      </c>
      <c r="K648" t="inlineStr">
        <is>
          <t>Not found</t>
        </is>
      </c>
      <c r="L648" t="inlineStr">
        <is>
          <t>Unknown</t>
        </is>
      </c>
      <c r="T648" t="inlineStr">
        <is>
          <t>https://tenders.iglonline.net/uploads/tender/Corrigendum-I_CC18460.pdf</t>
        </is>
      </c>
      <c r="U648" t="inlineStr">
        <is>
          <t>No</t>
        </is>
      </c>
      <c r="V648" t="inlineStr">
        <is>
          <t>Bot tarafindan tespit edildi (2026-07-01); Bot tespit/zenginlestirme (2026-07-01); meta:score=35;priority=Low;source_type=html_table;closing_date=;equipment=Gas-related / review;reasons=equipment:Gas-related / review,document source</t>
        </is>
      </c>
    </row>
    <row r="649">
      <c r="A649" t="inlineStr">
        <is>
          <t>T-0453</t>
        </is>
      </c>
      <c r="B649" t="inlineStr">
        <is>
          <t>Indraprastha Gas (IGL)</t>
        </is>
      </c>
      <c r="C649" t="inlineStr">
        <is>
          <t>Indraprastha Gas (IGL)</t>
        </is>
      </c>
      <c r="F649" t="inlineStr">
        <is>
          <t>New Lead</t>
        </is>
      </c>
      <c r="H649" t="inlineStr">
        <is>
          <t>View Tender</t>
        </is>
      </c>
      <c r="K649" t="inlineStr">
        <is>
          <t>Not found</t>
        </is>
      </c>
      <c r="L649" t="inlineStr">
        <is>
          <t>Unknown</t>
        </is>
      </c>
      <c r="T649" t="inlineStr">
        <is>
          <t>https://tenders.iglonline.net/tenderDetail/399/Active Tenders And Corrigendum-Addendum</t>
        </is>
      </c>
      <c r="U649" t="inlineStr">
        <is>
          <t>No</t>
        </is>
      </c>
      <c r="V649" t="inlineStr">
        <is>
          <t>Bot tarafindan tespit edildi (2026-07-01)</t>
        </is>
      </c>
    </row>
    <row r="650">
      <c r="A650" t="inlineStr">
        <is>
          <t>T-0454</t>
        </is>
      </c>
      <c r="B650" t="inlineStr">
        <is>
          <t>Indraprastha Gas (IGL)</t>
        </is>
      </c>
      <c r="C650" t="inlineStr">
        <is>
          <t>Indraprastha Gas (IGL)</t>
        </is>
      </c>
      <c r="F650" t="inlineStr">
        <is>
          <t>New Lead</t>
        </is>
      </c>
      <c r="G650" t="inlineStr">
        <is>
          <t>Gas-related / review</t>
        </is>
      </c>
      <c r="H650" t="inlineStr">
        <is>
          <t>Comm_Vol_CP18422.pdf</t>
        </is>
      </c>
      <c r="K650" t="inlineStr">
        <is>
          <t>Not found</t>
        </is>
      </c>
      <c r="L650" t="inlineStr">
        <is>
          <t>Unknown</t>
        </is>
      </c>
      <c r="T650" t="inlineStr">
        <is>
          <t>https://tenders.iglonline.net/uploads/tender/Comm_Vol_CP18422.pdf</t>
        </is>
      </c>
      <c r="U650" t="inlineStr">
        <is>
          <t>No</t>
        </is>
      </c>
      <c r="V650" t="inlineStr">
        <is>
          <t>Bot tarafindan tespit edildi (2026-07-01); Bot tespit/zenginlestirme (2026-07-01); meta:score=35;priority=Low;source_type=html_table;closing_date=;equipment=Gas-related / review;reasons=equipment:Gas-related / review,document source</t>
        </is>
      </c>
    </row>
    <row r="651">
      <c r="A651" t="inlineStr">
        <is>
          <t>T-0455</t>
        </is>
      </c>
      <c r="B651" t="inlineStr">
        <is>
          <t>Indraprastha Gas (IGL)</t>
        </is>
      </c>
      <c r="C651" t="inlineStr">
        <is>
          <t>Indraprastha Gas (IGL)</t>
        </is>
      </c>
      <c r="F651" t="inlineStr">
        <is>
          <t>New Lead</t>
        </is>
      </c>
      <c r="G651" t="inlineStr">
        <is>
          <t>Gas-related / review</t>
        </is>
      </c>
      <c r="H651" t="inlineStr">
        <is>
          <t>Technical Vol CP18422.pdf</t>
        </is>
      </c>
      <c r="K651" t="inlineStr">
        <is>
          <t>Not found</t>
        </is>
      </c>
      <c r="L651" t="inlineStr">
        <is>
          <t>Unknown</t>
        </is>
      </c>
      <c r="T651" t="inlineStr">
        <is>
          <t>https://tenders.iglonline.net/uploads/tender/Technical Vol CP18422.pdf</t>
        </is>
      </c>
      <c r="U651" t="inlineStr">
        <is>
          <t>No</t>
        </is>
      </c>
      <c r="V651" t="inlineStr">
        <is>
          <t>Bot tarafindan tespit edildi (2026-07-01); Bot tespit/zenginlestirme (2026-07-01); meta:score=35;priority=Low;source_type=html_table;closing_date=;equipment=Gas-related / review;reasons=equipment:Gas-related / review,document source</t>
        </is>
      </c>
    </row>
    <row r="652">
      <c r="A652" t="inlineStr">
        <is>
          <t>T-0456</t>
        </is>
      </c>
      <c r="B652" t="inlineStr">
        <is>
          <t>Indraprastha Gas (IGL)</t>
        </is>
      </c>
      <c r="C652" t="inlineStr">
        <is>
          <t>Indraprastha Gas (IGL)</t>
        </is>
      </c>
      <c r="F652" t="inlineStr">
        <is>
          <t>New Lead</t>
        </is>
      </c>
      <c r="H652" t="inlineStr">
        <is>
          <t>View Tender</t>
        </is>
      </c>
      <c r="K652" t="inlineStr">
        <is>
          <t>Not found</t>
        </is>
      </c>
      <c r="L652" t="inlineStr">
        <is>
          <t>Unknown</t>
        </is>
      </c>
      <c r="T652" t="inlineStr">
        <is>
          <t>https://tenders.iglonline.net/tenderDetail/398/Active Tenders And Corrigendum-Addendum</t>
        </is>
      </c>
      <c r="U652" t="inlineStr">
        <is>
          <t>No</t>
        </is>
      </c>
      <c r="V652" t="inlineStr">
        <is>
          <t>Bot tarafindan tespit edildi (2026-07-01)</t>
        </is>
      </c>
    </row>
    <row r="653">
      <c r="A653" t="inlineStr">
        <is>
          <t>T-0457</t>
        </is>
      </c>
      <c r="B653" t="inlineStr">
        <is>
          <t>Indraprastha Gas (IGL)</t>
        </is>
      </c>
      <c r="C653" t="inlineStr">
        <is>
          <t>Indraprastha Gas (IGL)</t>
        </is>
      </c>
      <c r="F653" t="inlineStr">
        <is>
          <t>New Lead</t>
        </is>
      </c>
      <c r="H653" t="inlineStr">
        <is>
          <t>Tender_CP18262.pdf</t>
        </is>
      </c>
      <c r="K653" t="inlineStr">
        <is>
          <t>Not found</t>
        </is>
      </c>
      <c r="L653" t="inlineStr">
        <is>
          <t>Unknown</t>
        </is>
      </c>
      <c r="T653" t="inlineStr">
        <is>
          <t>https://tenders.iglonline.net/uploads/tender/Tender_CP18262.pdf</t>
        </is>
      </c>
      <c r="U653" t="inlineStr">
        <is>
          <t>No</t>
        </is>
      </c>
      <c r="V653" t="inlineStr">
        <is>
          <t>Bot tarafindan tespit edildi (2026-07-01)</t>
        </is>
      </c>
    </row>
    <row r="654">
      <c r="A654" t="inlineStr">
        <is>
          <t>T-0458</t>
        </is>
      </c>
      <c r="B654" t="inlineStr">
        <is>
          <t>Indraprastha Gas (IGL)</t>
        </is>
      </c>
      <c r="C654" t="inlineStr">
        <is>
          <t>Indraprastha Gas (IGL)</t>
        </is>
      </c>
      <c r="F654" t="inlineStr">
        <is>
          <t>New Lead</t>
        </is>
      </c>
      <c r="H654" t="inlineStr">
        <is>
          <t>View Tender</t>
        </is>
      </c>
      <c r="K654" t="inlineStr">
        <is>
          <t>Not found</t>
        </is>
      </c>
      <c r="L654" t="inlineStr">
        <is>
          <t>Unknown</t>
        </is>
      </c>
      <c r="T654" t="inlineStr">
        <is>
          <t>https://tenders.iglonline.net/tenderDetail/397/Active Tenders And Corrigendum-Addendum</t>
        </is>
      </c>
      <c r="U654" t="inlineStr">
        <is>
          <t>No</t>
        </is>
      </c>
      <c r="V654" t="inlineStr">
        <is>
          <t>Bot tarafindan tespit edildi (2026-07-01)</t>
        </is>
      </c>
    </row>
    <row r="655">
      <c r="A655" t="inlineStr">
        <is>
          <t>T-0459</t>
        </is>
      </c>
      <c r="B655" t="inlineStr">
        <is>
          <t>Indraprastha Gas (IGL)</t>
        </is>
      </c>
      <c r="C655" t="inlineStr">
        <is>
          <t>Indraprastha Gas (IGL)</t>
        </is>
      </c>
      <c r="F655" t="inlineStr">
        <is>
          <t>New Lead</t>
        </is>
      </c>
      <c r="H655" t="inlineStr">
        <is>
          <t>Tender_Doc_CM18411.pdf</t>
        </is>
      </c>
      <c r="K655" t="inlineStr">
        <is>
          <t>Not found</t>
        </is>
      </c>
      <c r="L655" t="inlineStr">
        <is>
          <t>Unknown</t>
        </is>
      </c>
      <c r="T655" t="inlineStr">
        <is>
          <t>https://tenders.iglonline.net/uploads/tender/Tender_Doc_CM18411.pdf</t>
        </is>
      </c>
      <c r="U655" t="inlineStr">
        <is>
          <t>No</t>
        </is>
      </c>
      <c r="V655" t="inlineStr">
        <is>
          <t>Bot tarafindan tespit edildi (2026-07-01)</t>
        </is>
      </c>
    </row>
    <row r="656">
      <c r="A656" t="inlineStr">
        <is>
          <t>T-0460</t>
        </is>
      </c>
      <c r="B656" t="inlineStr">
        <is>
          <t>Indraprastha Gas (IGL)</t>
        </is>
      </c>
      <c r="C656" t="inlineStr">
        <is>
          <t>Indraprastha Gas (IGL)</t>
        </is>
      </c>
      <c r="F656" t="inlineStr">
        <is>
          <t>New Lead</t>
        </is>
      </c>
      <c r="H656" t="inlineStr">
        <is>
          <t>CORRIGENDUM I CM18411.pdf</t>
        </is>
      </c>
      <c r="K656" t="inlineStr">
        <is>
          <t>Not found</t>
        </is>
      </c>
      <c r="L656" t="inlineStr">
        <is>
          <t>Unknown</t>
        </is>
      </c>
      <c r="T656" t="inlineStr">
        <is>
          <t>https://tenders.iglonline.net/uploads/tender/CORRIGENDUM I CM18411.pdf</t>
        </is>
      </c>
      <c r="U656" t="inlineStr">
        <is>
          <t>No</t>
        </is>
      </c>
      <c r="V656" t="inlineStr">
        <is>
          <t>Bot tarafindan tespit edildi (2026-07-01)</t>
        </is>
      </c>
    </row>
    <row r="657">
      <c r="A657" t="inlineStr">
        <is>
          <t>T-0461</t>
        </is>
      </c>
      <c r="B657" t="inlineStr">
        <is>
          <t>Indraprastha Gas (IGL)</t>
        </is>
      </c>
      <c r="C657" t="inlineStr">
        <is>
          <t>Indraprastha Gas (IGL)</t>
        </is>
      </c>
      <c r="F657" t="inlineStr">
        <is>
          <t>New Lead</t>
        </is>
      </c>
      <c r="H657" t="inlineStr">
        <is>
          <t>View Tender</t>
        </is>
      </c>
      <c r="K657" t="inlineStr">
        <is>
          <t>Not found</t>
        </is>
      </c>
      <c r="L657" t="inlineStr">
        <is>
          <t>Unknown</t>
        </is>
      </c>
      <c r="T657" t="inlineStr">
        <is>
          <t>https://tenders.iglonline.net/tenderDetail/396/Active Tenders And Corrigendum-Addendum</t>
        </is>
      </c>
      <c r="U657" t="inlineStr">
        <is>
          <t>No</t>
        </is>
      </c>
      <c r="V657" t="inlineStr">
        <is>
          <t>Bot tarafindan tespit edildi (2026-07-01)</t>
        </is>
      </c>
    </row>
    <row r="658">
      <c r="A658" t="inlineStr">
        <is>
          <t>T-0462</t>
        </is>
      </c>
      <c r="B658" t="inlineStr">
        <is>
          <t>Indraprastha Gas (IGL)</t>
        </is>
      </c>
      <c r="C658" t="inlineStr">
        <is>
          <t>Indraprastha Gas (IGL)</t>
        </is>
      </c>
      <c r="F658" t="inlineStr">
        <is>
          <t>New Lead</t>
        </is>
      </c>
      <c r="H658" t="inlineStr">
        <is>
          <t>Tender_Document_CM18394.pdf</t>
        </is>
      </c>
      <c r="K658" t="inlineStr">
        <is>
          <t>Not found</t>
        </is>
      </c>
      <c r="L658" t="inlineStr">
        <is>
          <t>Unknown</t>
        </is>
      </c>
      <c r="T658" t="inlineStr">
        <is>
          <t>https://tenders.iglonline.net/uploads/tender/Tender_Document_CM18394.pdf</t>
        </is>
      </c>
      <c r="U658" t="inlineStr">
        <is>
          <t>No</t>
        </is>
      </c>
      <c r="V658" t="inlineStr">
        <is>
          <t>Bot tarafindan tespit edildi (2026-07-01)</t>
        </is>
      </c>
    </row>
    <row r="659">
      <c r="A659" t="inlineStr">
        <is>
          <t>T-0463</t>
        </is>
      </c>
      <c r="B659" t="inlineStr">
        <is>
          <t>Indraprastha Gas (IGL)</t>
        </is>
      </c>
      <c r="C659" t="inlineStr">
        <is>
          <t>Indraprastha Gas (IGL)</t>
        </is>
      </c>
      <c r="F659" t="inlineStr">
        <is>
          <t>New Lead</t>
        </is>
      </c>
      <c r="H659" t="inlineStr">
        <is>
          <t>CM18394_Corrigendum_1_Amendment.pdf</t>
        </is>
      </c>
      <c r="K659" t="inlineStr">
        <is>
          <t>Not found</t>
        </is>
      </c>
      <c r="L659" t="inlineStr">
        <is>
          <t>Unknown</t>
        </is>
      </c>
      <c r="T659" t="inlineStr">
        <is>
          <t>https://tenders.iglonline.net/uploads/tender/CM18394_Corrigendum_1_Amendment.pdf</t>
        </is>
      </c>
      <c r="U659" t="inlineStr">
        <is>
          <t>No</t>
        </is>
      </c>
      <c r="V659" t="inlineStr">
        <is>
          <t>Bot tarafindan tespit edildi (2026-07-01)</t>
        </is>
      </c>
    </row>
    <row r="660">
      <c r="A660" t="inlineStr">
        <is>
          <t>T-0464</t>
        </is>
      </c>
      <c r="B660" t="inlineStr">
        <is>
          <t>Indraprastha Gas (IGL)</t>
        </is>
      </c>
      <c r="C660" t="inlineStr">
        <is>
          <t>Indraprastha Gas (IGL)</t>
        </is>
      </c>
      <c r="F660" t="inlineStr">
        <is>
          <t>New Lead</t>
        </is>
      </c>
      <c r="H660" t="inlineStr">
        <is>
          <t>RTPBQ_CM18394.pdf</t>
        </is>
      </c>
      <c r="K660" t="inlineStr">
        <is>
          <t>Not found</t>
        </is>
      </c>
      <c r="L660" t="inlineStr">
        <is>
          <t>Unknown</t>
        </is>
      </c>
      <c r="T660" t="inlineStr">
        <is>
          <t>https://tenders.iglonline.net/uploads/tender/RTPBQ_CM18394.pdf</t>
        </is>
      </c>
      <c r="U660" t="inlineStr">
        <is>
          <t>No</t>
        </is>
      </c>
      <c r="V660" t="inlineStr">
        <is>
          <t>Bot tarafindan tespit edildi (2026-07-01)</t>
        </is>
      </c>
    </row>
    <row r="661">
      <c r="A661" t="inlineStr">
        <is>
          <t>T-0465</t>
        </is>
      </c>
      <c r="B661" t="inlineStr">
        <is>
          <t>Indraprastha Gas (IGL)</t>
        </is>
      </c>
      <c r="C661" t="inlineStr">
        <is>
          <t>Indraprastha Gas (IGL)</t>
        </is>
      </c>
      <c r="F661" t="inlineStr">
        <is>
          <t>New Lead</t>
        </is>
      </c>
      <c r="H661" t="inlineStr">
        <is>
          <t>View Tender</t>
        </is>
      </c>
      <c r="K661" t="inlineStr">
        <is>
          <t>Not found</t>
        </is>
      </c>
      <c r="L661" t="inlineStr">
        <is>
          <t>Unknown</t>
        </is>
      </c>
      <c r="T661" t="inlineStr">
        <is>
          <t>https://tenders.iglonline.net/tenderDetail/395/Active Tenders And Corrigendum-Addendum</t>
        </is>
      </c>
      <c r="U661" t="inlineStr">
        <is>
          <t>No</t>
        </is>
      </c>
      <c r="V661" t="inlineStr">
        <is>
          <t>Bot tarafindan tespit edildi (2026-07-01)</t>
        </is>
      </c>
    </row>
    <row r="662">
      <c r="A662" t="inlineStr">
        <is>
          <t>T-0466</t>
        </is>
      </c>
      <c r="B662" t="inlineStr">
        <is>
          <t>Indraprastha Gas (IGL)</t>
        </is>
      </c>
      <c r="C662" t="inlineStr">
        <is>
          <t>Indraprastha Gas (IGL)</t>
        </is>
      </c>
      <c r="F662" t="inlineStr">
        <is>
          <t>New Lead</t>
        </is>
      </c>
      <c r="H662" t="inlineStr">
        <is>
          <t>Tender_Document_CM18433.pdf</t>
        </is>
      </c>
      <c r="K662" t="inlineStr">
        <is>
          <t>Not found</t>
        </is>
      </c>
      <c r="L662" t="inlineStr">
        <is>
          <t>Unknown</t>
        </is>
      </c>
      <c r="T662" t="inlineStr">
        <is>
          <t>https://tenders.iglonline.net/uploads/tender/Tender_Document_CM18433.pdf</t>
        </is>
      </c>
      <c r="U662" t="inlineStr">
        <is>
          <t>No</t>
        </is>
      </c>
      <c r="V662" t="inlineStr">
        <is>
          <t>Bot tarafindan tespit edildi (2026-07-01)</t>
        </is>
      </c>
    </row>
    <row r="663">
      <c r="A663" t="inlineStr">
        <is>
          <t>T-0467</t>
        </is>
      </c>
      <c r="B663" t="inlineStr">
        <is>
          <t>Indraprastha Gas (IGL)</t>
        </is>
      </c>
      <c r="C663" t="inlineStr">
        <is>
          <t>Indraprastha Gas (IGL)</t>
        </is>
      </c>
      <c r="F663" t="inlineStr">
        <is>
          <t>New Lead</t>
        </is>
      </c>
      <c r="H663" t="inlineStr">
        <is>
          <t>Corrigendum_1_Cancellation of tender.pdf</t>
        </is>
      </c>
      <c r="K663" t="inlineStr">
        <is>
          <t>Not found</t>
        </is>
      </c>
      <c r="L663" t="inlineStr">
        <is>
          <t>Unknown</t>
        </is>
      </c>
      <c r="T663" t="inlineStr">
        <is>
          <t>https://tenders.iglonline.net/uploads/tender/Corrigendum_1_Cancellation of tender.pdf</t>
        </is>
      </c>
      <c r="U663" t="inlineStr">
        <is>
          <t>No</t>
        </is>
      </c>
      <c r="V663" t="inlineStr">
        <is>
          <t>Bot tarafindan tespit edildi (2026-07-01)</t>
        </is>
      </c>
    </row>
    <row r="664">
      <c r="A664" t="inlineStr">
        <is>
          <t>T-0468</t>
        </is>
      </c>
      <c r="B664" t="inlineStr">
        <is>
          <t>Indraprastha Gas (IGL)</t>
        </is>
      </c>
      <c r="C664" t="inlineStr">
        <is>
          <t>Indraprastha Gas (IGL)</t>
        </is>
      </c>
      <c r="F664" t="inlineStr">
        <is>
          <t>New Lead</t>
        </is>
      </c>
      <c r="G664" t="inlineStr">
        <is>
          <t>Unclassified</t>
        </is>
      </c>
      <c r="H664" t="inlineStr">
        <is>
          <t>View Tender</t>
        </is>
      </c>
      <c r="K664" t="inlineStr">
        <is>
          <t>Not found</t>
        </is>
      </c>
      <c r="L664" t="inlineStr">
        <is>
          <t>Unknown</t>
        </is>
      </c>
      <c r="T664" t="inlineStr">
        <is>
          <t>https://tenders.iglonline.net/tenderDetail/394/Active Tenders And Corrigendum-Addendum</t>
        </is>
      </c>
      <c r="U664" t="inlineStr">
        <is>
          <t>No</t>
        </is>
      </c>
      <c r="V664" t="inlineStr">
        <is>
          <t>Bot tarafindan tespit edildi (2026-07-01); Bot tespit/zenginlestirme (2026-07-01); meta:score=40;priority=Medium;source_type=html_table;closing_date=;equipment=Unclassified;reasons=document source,quantity signal</t>
        </is>
      </c>
    </row>
    <row r="665">
      <c r="A665" t="inlineStr">
        <is>
          <t>T-0469</t>
        </is>
      </c>
      <c r="B665" t="inlineStr">
        <is>
          <t>Indraprastha Gas (IGL)</t>
        </is>
      </c>
      <c r="C665" t="inlineStr">
        <is>
          <t>Indraprastha Gas (IGL)</t>
        </is>
      </c>
      <c r="D665" t="inlineStr">
        <is>
          <t>LOA/PO/Contract</t>
        </is>
      </c>
      <c r="F665" t="inlineStr">
        <is>
          <t>Awarded</t>
        </is>
      </c>
      <c r="G665" t="inlineStr">
        <is>
          <t>FRS</t>
        </is>
      </c>
      <c r="H665" t="inlineStr">
        <is>
          <t>Tender_Doc_CP18312.pdf</t>
        </is>
      </c>
      <c r="K665" t="inlineStr">
        <is>
          <t>s after the award of work. For bidders who have submitted their EMD through any of the e-pa</t>
        </is>
      </c>
      <c r="L665" t="inlineStr">
        <is>
          <t>Unknown</t>
        </is>
      </c>
      <c r="M665" t="n">
        <v>2644000</v>
      </c>
      <c r="T665" t="inlineStr">
        <is>
          <t>https://tenders.iglonline.net/uploads/tender/Tender_Doc_CP18312.pdf</t>
        </is>
      </c>
      <c r="U665" t="inlineStr">
        <is>
          <t>No</t>
        </is>
      </c>
      <c r="V665" t="inlineStr">
        <is>
          <t>Bot tarafindan tespit edildi (2026-07-01) | Bot enrich; date=2026-07-01; type=pdf; score=330; pdf_conf=Medium; Bot tespit/zenginlestirme (2026-07-01); meta:score=40;priority=Medium;source_type=html_table;closing_date=;equipment=Unclassified;reasons=document source,quantity signal</t>
        </is>
      </c>
    </row>
    <row r="666">
      <c r="A666" t="inlineStr">
        <is>
          <t>T-0470</t>
        </is>
      </c>
      <c r="B666" t="inlineStr">
        <is>
          <t>Indraprastha Gas (IGL)</t>
        </is>
      </c>
      <c r="C666" t="inlineStr">
        <is>
          <t>Indraprastha Gas (IGL)</t>
        </is>
      </c>
      <c r="D666" t="inlineStr">
        <is>
          <t>IGL/ET2/CP/CP18312</t>
        </is>
      </c>
      <c r="F666" t="inlineStr">
        <is>
          <t>Awarded</t>
        </is>
      </c>
      <c r="G666" t="inlineStr">
        <is>
          <t>FRS</t>
        </is>
      </c>
      <c r="H666" t="inlineStr">
        <is>
          <t>Corrigendum_1_CP18312.pdf</t>
        </is>
      </c>
      <c r="K666" t="inlineStr">
        <is>
          <t>Not found</t>
        </is>
      </c>
      <c r="L666" t="inlineStr">
        <is>
          <t>Unknown</t>
        </is>
      </c>
      <c r="T666" t="inlineStr">
        <is>
          <t>https://tenders.iglonline.net/uploads/tender/Corrigendum_1_CP18312.pdf</t>
        </is>
      </c>
      <c r="U666" t="inlineStr">
        <is>
          <t>No</t>
        </is>
      </c>
      <c r="V666" t="inlineStr">
        <is>
          <t>Bot tarafindan tespit edildi (2026-07-01) | Bot enrich; date=2026-07-01; type=pdf; score=330; pdf_conf=Low; Bot tespit/zenginlestirme (2026-07-01); meta:score=40;priority=Medium;source_type=html_table;closing_date=;equipment=Unclassified;reasons=document source,quantity signal</t>
        </is>
      </c>
    </row>
    <row r="667">
      <c r="A667" t="inlineStr">
        <is>
          <t>T-0471</t>
        </is>
      </c>
      <c r="B667" t="inlineStr">
        <is>
          <t>Indraprastha Gas (IGL)</t>
        </is>
      </c>
      <c r="C667" t="inlineStr">
        <is>
          <t>Indraprastha Gas (IGL)</t>
        </is>
      </c>
      <c r="D667" t="inlineStr">
        <is>
          <t>IGL/ET2/CP/CP18312</t>
        </is>
      </c>
      <c r="F667" t="inlineStr">
        <is>
          <t>Awarded</t>
        </is>
      </c>
      <c r="G667" t="inlineStr">
        <is>
          <t>FRS</t>
        </is>
      </c>
      <c r="H667" t="inlineStr">
        <is>
          <t>RTBQ_CP18312.pdf</t>
        </is>
      </c>
      <c r="K667" t="inlineStr">
        <is>
          <t>IGL to share the Modem</t>
        </is>
      </c>
      <c r="L667" t="inlineStr">
        <is>
          <t>Unknown</t>
        </is>
      </c>
      <c r="T667" t="inlineStr">
        <is>
          <t>https://tenders.iglonline.net/uploads/tender/RTBQ_CP18312.pdf</t>
        </is>
      </c>
      <c r="U667" t="inlineStr">
        <is>
          <t>No</t>
        </is>
      </c>
      <c r="V667" t="inlineStr">
        <is>
          <t>Bot tarafindan tespit edildi (2026-07-01) | Bot enrich; date=2026-07-01; type=pdf; score=330; pdf_conf=Medium; Bot tespit/zenginlestirme (2026-07-01); meta:score=40;priority=Medium;source_type=html_table;closing_date=;equipment=Unclassified;reasons=document source,quantity signal</t>
        </is>
      </c>
    </row>
    <row r="668">
      <c r="A668" t="inlineStr">
        <is>
          <t>T-0472</t>
        </is>
      </c>
      <c r="B668" t="inlineStr">
        <is>
          <t>Indraprastha Gas (IGL)</t>
        </is>
      </c>
      <c r="C668" t="inlineStr">
        <is>
          <t>Indraprastha Gas (IGL)</t>
        </is>
      </c>
      <c r="D668" t="inlineStr">
        <is>
          <t>IGL/ET2/CP/</t>
        </is>
      </c>
      <c r="F668" t="inlineStr">
        <is>
          <t>Awarded</t>
        </is>
      </c>
      <c r="G668" t="inlineStr">
        <is>
          <t>FRS</t>
        </is>
      </c>
      <c r="H668" t="inlineStr">
        <is>
          <t>CP18312.pdf</t>
        </is>
      </c>
      <c r="K668" t="inlineStr">
        <is>
          <t>Not found</t>
        </is>
      </c>
      <c r="L668" t="inlineStr">
        <is>
          <t>Unknown</t>
        </is>
      </c>
      <c r="T668" t="inlineStr">
        <is>
          <t>https://tenders.iglonline.net/uploads/tender/CP18312.pdf</t>
        </is>
      </c>
      <c r="U668" t="inlineStr">
        <is>
          <t>No</t>
        </is>
      </c>
      <c r="V668" t="inlineStr">
        <is>
          <t>Bot tarafindan tespit edildi (2026-07-01) | Bot enrich; date=2026-07-01; type=pdf; score=330; pdf_conf=Low; Bot tespit/zenginlestirme (2026-07-01); meta:score=40;priority=Medium;source_type=html_table;closing_date=;equipment=Unclassified;reasons=document source,quantity signal</t>
        </is>
      </c>
    </row>
    <row r="669">
      <c r="A669" t="inlineStr">
        <is>
          <t>T-0473</t>
        </is>
      </c>
      <c r="B669" t="inlineStr">
        <is>
          <t>Indraprastha Gas (IGL)</t>
        </is>
      </c>
      <c r="C669" t="inlineStr">
        <is>
          <t>Indraprastha Gas (IGL)</t>
        </is>
      </c>
      <c r="D669" t="inlineStr">
        <is>
          <t>IGL/ET2/CP/CP18312</t>
        </is>
      </c>
      <c r="F669" t="inlineStr">
        <is>
          <t>Awarded</t>
        </is>
      </c>
      <c r="G669" t="inlineStr">
        <is>
          <t>FRS</t>
        </is>
      </c>
      <c r="H669" t="inlineStr">
        <is>
          <t>RTBQ_CP18312_2.pdf</t>
        </is>
      </c>
      <c r="K669" t="inlineStr">
        <is>
          <t>shall furnish to the Purchaser the Contract Performance value (Exclusive of all taxes) to b</t>
        </is>
      </c>
      <c r="L669" t="inlineStr">
        <is>
          <t>Unknown</t>
        </is>
      </c>
      <c r="T669" t="inlineStr">
        <is>
          <t>https://tenders.iglonline.net/uploads/tender/RTBQ_CP18312_2.pdf</t>
        </is>
      </c>
      <c r="U669" t="inlineStr">
        <is>
          <t>No</t>
        </is>
      </c>
      <c r="V669" t="inlineStr">
        <is>
          <t>Bot tarafindan tespit edildi (2026-07-01) | Bot enrich; date=2026-07-01; type=pdf; score=330; pdf_conf=Medium; Bot tespit/zenginlestirme (2026-07-01); meta:score=40;priority=Medium;source_type=html_table;closing_date=;equipment=Unclassified;reasons=document source,quantity signal</t>
        </is>
      </c>
    </row>
    <row r="670">
      <c r="A670" t="inlineStr">
        <is>
          <t>T-0474</t>
        </is>
      </c>
      <c r="B670" t="inlineStr">
        <is>
          <t>Indraprastha Gas (IGL)</t>
        </is>
      </c>
      <c r="C670" t="inlineStr">
        <is>
          <t>Indraprastha Gas (IGL)</t>
        </is>
      </c>
      <c r="F670" t="inlineStr">
        <is>
          <t>New Lead</t>
        </is>
      </c>
      <c r="H670" t="inlineStr">
        <is>
          <t>View Tender</t>
        </is>
      </c>
      <c r="K670" t="inlineStr">
        <is>
          <t>Not found</t>
        </is>
      </c>
      <c r="L670" t="inlineStr">
        <is>
          <t>Unknown</t>
        </is>
      </c>
      <c r="T670" t="inlineStr">
        <is>
          <t>https://tenders.iglonline.net/tenderDetail/393/Active Tenders And Corrigendum-Addendum</t>
        </is>
      </c>
      <c r="U670" t="inlineStr">
        <is>
          <t>No</t>
        </is>
      </c>
      <c r="V670" t="inlineStr">
        <is>
          <t>Bot tarafindan tespit edildi (2026-07-01)</t>
        </is>
      </c>
    </row>
    <row r="671">
      <c r="A671" t="inlineStr">
        <is>
          <t>T-0475</t>
        </is>
      </c>
      <c r="B671" t="inlineStr">
        <is>
          <t>Indraprastha Gas (IGL)</t>
        </is>
      </c>
      <c r="C671" t="inlineStr">
        <is>
          <t>Indraprastha Gas (IGL)</t>
        </is>
      </c>
      <c r="F671" t="inlineStr">
        <is>
          <t>New Lead</t>
        </is>
      </c>
      <c r="H671" t="inlineStr">
        <is>
          <t>Tender Document_CM18388.pdf</t>
        </is>
      </c>
      <c r="K671" t="inlineStr">
        <is>
          <t>Not found</t>
        </is>
      </c>
      <c r="L671" t="inlineStr">
        <is>
          <t>Unknown</t>
        </is>
      </c>
      <c r="T671" t="inlineStr">
        <is>
          <t>https://tenders.iglonline.net/uploads/tender/Tender Document_CM18388.pdf</t>
        </is>
      </c>
      <c r="U671" t="inlineStr">
        <is>
          <t>No</t>
        </is>
      </c>
      <c r="V671" t="inlineStr">
        <is>
          <t>Bot tarafindan tespit edildi (2026-07-01)</t>
        </is>
      </c>
    </row>
    <row r="672">
      <c r="A672" t="inlineStr">
        <is>
          <t>T-0476</t>
        </is>
      </c>
      <c r="B672" t="inlineStr">
        <is>
          <t>Indraprastha Gas (IGL)</t>
        </is>
      </c>
      <c r="C672" t="inlineStr">
        <is>
          <t>Indraprastha Gas (IGL)</t>
        </is>
      </c>
      <c r="F672" t="inlineStr">
        <is>
          <t>New Lead</t>
        </is>
      </c>
      <c r="H672" t="inlineStr">
        <is>
          <t>RTPBQ_CM18388.pdf</t>
        </is>
      </c>
      <c r="K672" t="inlineStr">
        <is>
          <t>Not found</t>
        </is>
      </c>
      <c r="L672" t="inlineStr">
        <is>
          <t>Unknown</t>
        </is>
      </c>
      <c r="T672" t="inlineStr">
        <is>
          <t>https://tenders.iglonline.net/uploads/tender/RTPBQ_CM18388.pdf</t>
        </is>
      </c>
      <c r="U672" t="inlineStr">
        <is>
          <t>No</t>
        </is>
      </c>
      <c r="V672" t="inlineStr">
        <is>
          <t>Bot tarafindan tespit edildi (2026-07-01)</t>
        </is>
      </c>
    </row>
    <row r="673">
      <c r="A673" t="inlineStr">
        <is>
          <t>T-0477</t>
        </is>
      </c>
      <c r="B673" t="inlineStr">
        <is>
          <t>Indraprastha Gas (IGL)</t>
        </is>
      </c>
      <c r="C673" t="inlineStr">
        <is>
          <t>Indraprastha Gas (IGL)</t>
        </is>
      </c>
      <c r="F673" t="inlineStr">
        <is>
          <t>New Lead</t>
        </is>
      </c>
      <c r="H673" t="inlineStr">
        <is>
          <t>Tender_Document_CM18388.pdf</t>
        </is>
      </c>
      <c r="K673" t="inlineStr">
        <is>
          <t>Not found</t>
        </is>
      </c>
      <c r="L673" t="inlineStr">
        <is>
          <t>Unknown</t>
        </is>
      </c>
      <c r="T673" t="inlineStr">
        <is>
          <t>https://tenders.iglonline.net/uploads/tender/Tender_Document_CM18388.pdf</t>
        </is>
      </c>
      <c r="U673" t="inlineStr">
        <is>
          <t>No</t>
        </is>
      </c>
      <c r="V673" t="inlineStr">
        <is>
          <t>Bot tarafindan tespit edildi (2026-07-01)</t>
        </is>
      </c>
    </row>
    <row r="674">
      <c r="A674" t="inlineStr">
        <is>
          <t>T-0478</t>
        </is>
      </c>
      <c r="B674" t="inlineStr">
        <is>
          <t>Indraprastha Gas (IGL)</t>
        </is>
      </c>
      <c r="C674" t="inlineStr">
        <is>
          <t>Indraprastha Gas (IGL)</t>
        </is>
      </c>
      <c r="F674" t="inlineStr">
        <is>
          <t>New Lead</t>
        </is>
      </c>
      <c r="H674" t="inlineStr">
        <is>
          <t>View Tender</t>
        </is>
      </c>
      <c r="K674" t="inlineStr">
        <is>
          <t>Not found</t>
        </is>
      </c>
      <c r="L674" t="inlineStr">
        <is>
          <t>Unknown</t>
        </is>
      </c>
      <c r="T674" t="inlineStr">
        <is>
          <t>https://tenders.iglonline.net/tenderDetail/392/Active Tenders And Corrigendum-Addendum</t>
        </is>
      </c>
      <c r="U674" t="inlineStr">
        <is>
          <t>No</t>
        </is>
      </c>
      <c r="V674" t="inlineStr">
        <is>
          <t>Bot tarafindan tespit edildi (2026-07-01)</t>
        </is>
      </c>
    </row>
    <row r="675">
      <c r="A675" t="inlineStr">
        <is>
          <t>T-0479</t>
        </is>
      </c>
      <c r="B675" t="inlineStr">
        <is>
          <t>Indraprastha Gas (IGL)</t>
        </is>
      </c>
      <c r="C675" t="inlineStr">
        <is>
          <t>Indraprastha Gas (IGL)</t>
        </is>
      </c>
      <c r="F675" t="inlineStr">
        <is>
          <t>New Lead</t>
        </is>
      </c>
      <c r="H675" t="inlineStr">
        <is>
          <t>Tender_Doc_CM18403_IBM.pdf</t>
        </is>
      </c>
      <c r="K675" t="inlineStr">
        <is>
          <t>Not found</t>
        </is>
      </c>
      <c r="L675" t="inlineStr">
        <is>
          <t>Unknown</t>
        </is>
      </c>
      <c r="T675" t="inlineStr">
        <is>
          <t>https://tenders.iglonline.net/uploads/tender/Tender_Doc_CM18403_IBM.pdf</t>
        </is>
      </c>
      <c r="U675" t="inlineStr">
        <is>
          <t>No</t>
        </is>
      </c>
      <c r="V675" t="inlineStr">
        <is>
          <t>Bot tarafindan tespit edildi (2026-07-01)</t>
        </is>
      </c>
    </row>
    <row r="676">
      <c r="A676" t="inlineStr">
        <is>
          <t>T-0480</t>
        </is>
      </c>
      <c r="B676" t="inlineStr">
        <is>
          <t>Indraprastha Gas (IGL)</t>
        </is>
      </c>
      <c r="C676" t="inlineStr">
        <is>
          <t>Indraprastha Gas (IGL)</t>
        </is>
      </c>
      <c r="F676" t="inlineStr">
        <is>
          <t>New Lead</t>
        </is>
      </c>
      <c r="H676" t="inlineStr">
        <is>
          <t>CORRIGENDUM-I-CM18403.pdf</t>
        </is>
      </c>
      <c r="K676" t="inlineStr">
        <is>
          <t>Not found</t>
        </is>
      </c>
      <c r="L676" t="inlineStr">
        <is>
          <t>Unknown</t>
        </is>
      </c>
      <c r="T676" t="inlineStr">
        <is>
          <t>https://tenders.iglonline.net/uploads/tender/CORRIGENDUM-I-CM18403.pdf</t>
        </is>
      </c>
      <c r="U676" t="inlineStr">
        <is>
          <t>No</t>
        </is>
      </c>
      <c r="V676" t="inlineStr">
        <is>
          <t>Bot tarafindan tespit edildi (2026-07-01)</t>
        </is>
      </c>
    </row>
    <row r="677">
      <c r="A677" t="inlineStr">
        <is>
          <t>T-0481</t>
        </is>
      </c>
      <c r="B677" t="inlineStr">
        <is>
          <t>Indraprastha Gas (IGL)</t>
        </is>
      </c>
      <c r="C677" t="inlineStr">
        <is>
          <t>Indraprastha Gas (IGL)</t>
        </is>
      </c>
      <c r="F677" t="inlineStr">
        <is>
          <t>New Lead</t>
        </is>
      </c>
      <c r="H677" t="inlineStr">
        <is>
          <t>CORRIGENDUM_CM18403.pdf</t>
        </is>
      </c>
      <c r="K677" t="inlineStr">
        <is>
          <t>Not found</t>
        </is>
      </c>
      <c r="L677" t="inlineStr">
        <is>
          <t>Unknown</t>
        </is>
      </c>
      <c r="T677" t="inlineStr">
        <is>
          <t>https://tenders.iglonline.net/uploads/tender/CORRIGENDUM_CM18403.pdf</t>
        </is>
      </c>
      <c r="U677" t="inlineStr">
        <is>
          <t>No</t>
        </is>
      </c>
      <c r="V677" t="inlineStr">
        <is>
          <t>Bot tarafindan tespit edildi (2026-07-01)</t>
        </is>
      </c>
    </row>
    <row r="678">
      <c r="A678" t="inlineStr">
        <is>
          <t>T-0482</t>
        </is>
      </c>
      <c r="B678" t="inlineStr">
        <is>
          <t>Indraprastha Gas (IGL)</t>
        </is>
      </c>
      <c r="C678" t="inlineStr">
        <is>
          <t>Indraprastha Gas (IGL)</t>
        </is>
      </c>
      <c r="F678" t="inlineStr">
        <is>
          <t>New Lead</t>
        </is>
      </c>
      <c r="H678" t="inlineStr">
        <is>
          <t>View Tender</t>
        </is>
      </c>
      <c r="K678" t="inlineStr">
        <is>
          <t>Not found</t>
        </is>
      </c>
      <c r="L678" t="inlineStr">
        <is>
          <t>Unknown</t>
        </is>
      </c>
      <c r="T678" t="inlineStr">
        <is>
          <t>https://tenders.iglonline.net/tenderDetail/391/Active Tenders And Corrigendum-Addendum</t>
        </is>
      </c>
      <c r="U678" t="inlineStr">
        <is>
          <t>No</t>
        </is>
      </c>
      <c r="V678" t="inlineStr">
        <is>
          <t>Bot tarafindan tespit edildi (2026-07-01)</t>
        </is>
      </c>
    </row>
    <row r="679">
      <c r="A679" t="inlineStr">
        <is>
          <t>T-0483</t>
        </is>
      </c>
      <c r="B679" t="inlineStr">
        <is>
          <t>Indraprastha Gas (IGL)</t>
        </is>
      </c>
      <c r="C679" t="inlineStr">
        <is>
          <t>Indraprastha Gas (IGL)</t>
        </is>
      </c>
      <c r="F679" t="inlineStr">
        <is>
          <t>New Lead</t>
        </is>
      </c>
      <c r="H679" t="inlineStr">
        <is>
          <t>Commercial_Vol_CP18375-merged.pdf</t>
        </is>
      </c>
      <c r="K679" t="inlineStr">
        <is>
          <t>Not found</t>
        </is>
      </c>
      <c r="L679" t="inlineStr">
        <is>
          <t>Unknown</t>
        </is>
      </c>
      <c r="T679" t="inlineStr">
        <is>
          <t>https://tenders.iglonline.net/uploads/tender/Commercial_Vol_CP18375-merged.pdf</t>
        </is>
      </c>
      <c r="U679" t="inlineStr">
        <is>
          <t>No</t>
        </is>
      </c>
      <c r="V679" t="inlineStr">
        <is>
          <t>Bot tarafindan tespit edildi (2026-07-01)</t>
        </is>
      </c>
    </row>
    <row r="680">
      <c r="A680" t="inlineStr">
        <is>
          <t>T-0484</t>
        </is>
      </c>
      <c r="B680" t="inlineStr">
        <is>
          <t>Indraprastha Gas (IGL)</t>
        </is>
      </c>
      <c r="C680" t="inlineStr">
        <is>
          <t>Indraprastha Gas (IGL)</t>
        </is>
      </c>
      <c r="F680" t="inlineStr">
        <is>
          <t>New Lead</t>
        </is>
      </c>
      <c r="H680" t="inlineStr">
        <is>
          <t>Technical_Vol_CP18375.pdf</t>
        </is>
      </c>
      <c r="K680" t="inlineStr">
        <is>
          <t>Not found</t>
        </is>
      </c>
      <c r="L680" t="inlineStr">
        <is>
          <t>Unknown</t>
        </is>
      </c>
      <c r="T680" t="inlineStr">
        <is>
          <t>https://tenders.iglonline.net/uploads/tender/Technical_Vol_CP18375.pdf</t>
        </is>
      </c>
      <c r="U680" t="inlineStr">
        <is>
          <t>No</t>
        </is>
      </c>
      <c r="V680" t="inlineStr">
        <is>
          <t>Bot tarafindan tespit edildi (2026-07-01)</t>
        </is>
      </c>
    </row>
    <row r="681">
      <c r="A681" t="inlineStr">
        <is>
          <t>T-0485</t>
        </is>
      </c>
      <c r="B681" t="inlineStr">
        <is>
          <t>Indraprastha Gas (IGL)</t>
        </is>
      </c>
      <c r="C681" t="inlineStr">
        <is>
          <t>Indraprastha Gas (IGL)</t>
        </is>
      </c>
      <c r="F681" t="inlineStr">
        <is>
          <t>New Lead</t>
        </is>
      </c>
      <c r="H681" t="inlineStr">
        <is>
          <t>RTBQ_CP18375.pdf</t>
        </is>
      </c>
      <c r="K681" t="inlineStr">
        <is>
          <t>Not found</t>
        </is>
      </c>
      <c r="L681" t="inlineStr">
        <is>
          <t>Unknown</t>
        </is>
      </c>
      <c r="T681" t="inlineStr">
        <is>
          <t>https://tenders.iglonline.net/uploads/tender/RTBQ_CP18375.pdf</t>
        </is>
      </c>
      <c r="U681" t="inlineStr">
        <is>
          <t>No</t>
        </is>
      </c>
      <c r="V681" t="inlineStr">
        <is>
          <t>Bot tarafindan tespit edildi (2026-07-01)</t>
        </is>
      </c>
    </row>
    <row r="682">
      <c r="A682" t="inlineStr">
        <is>
          <t>T-0486</t>
        </is>
      </c>
      <c r="B682" t="inlineStr">
        <is>
          <t>Indraprastha Gas (IGL)</t>
        </is>
      </c>
      <c r="C682" t="inlineStr">
        <is>
          <t>Indraprastha Gas (IGL)</t>
        </is>
      </c>
      <c r="F682" t="inlineStr">
        <is>
          <t>New Lead</t>
        </is>
      </c>
      <c r="H682" t="inlineStr">
        <is>
          <t>Corrigendum_1_CP18375.pdf</t>
        </is>
      </c>
      <c r="K682" t="inlineStr">
        <is>
          <t>Not found</t>
        </is>
      </c>
      <c r="L682" t="inlineStr">
        <is>
          <t>Unknown</t>
        </is>
      </c>
      <c r="T682" t="inlineStr">
        <is>
          <t>https://tenders.iglonline.net/uploads/tender/Corrigendum_1_CP18375.pdf</t>
        </is>
      </c>
      <c r="U682" t="inlineStr">
        <is>
          <t>No</t>
        </is>
      </c>
      <c r="V682" t="inlineStr">
        <is>
          <t>Bot tarafindan tespit edildi (2026-07-01)</t>
        </is>
      </c>
    </row>
    <row r="683">
      <c r="A683" t="inlineStr">
        <is>
          <t>T-0487</t>
        </is>
      </c>
      <c r="B683" t="inlineStr">
        <is>
          <t>Indraprastha Gas (IGL)</t>
        </is>
      </c>
      <c r="C683" t="inlineStr">
        <is>
          <t>Indraprastha Gas (IGL)</t>
        </is>
      </c>
      <c r="E683" t="inlineStr">
        <is>
          <t>28-02-2025</t>
        </is>
      </c>
      <c r="F683" t="inlineStr">
        <is>
          <t>New Lead</t>
        </is>
      </c>
      <c r="G683" t="inlineStr">
        <is>
          <t>Regulating station</t>
        </is>
      </c>
      <c r="H683" t="inlineStr">
        <is>
          <t>View Tender</t>
        </is>
      </c>
      <c r="K683" t="inlineStr">
        <is>
          <t>Not found</t>
        </is>
      </c>
      <c r="L683" t="inlineStr">
        <is>
          <t>Unknown</t>
        </is>
      </c>
      <c r="T683" t="inlineStr">
        <is>
          <t>https://tenders.iglonline.net/tenderDetail/390/Active Tenders And Corrigendum-Addendum</t>
        </is>
      </c>
      <c r="U683" t="inlineStr">
        <is>
          <t>No</t>
        </is>
      </c>
      <c r="V683"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684">
      <c r="A684" t="inlineStr">
        <is>
          <t>T-0488</t>
        </is>
      </c>
      <c r="B684" t="inlineStr">
        <is>
          <t>Indraprastha Gas (IGL)</t>
        </is>
      </c>
      <c r="C684" t="inlineStr">
        <is>
          <t>Indraprastha Gas (IGL)</t>
        </is>
      </c>
      <c r="D684" t="inlineStr">
        <is>
          <t>LOA from</t>
        </is>
      </c>
      <c r="E684" t="inlineStr">
        <is>
          <t>28-02-2025</t>
        </is>
      </c>
      <c r="F684" t="inlineStr">
        <is>
          <t>Awarded</t>
        </is>
      </c>
      <c r="G684" t="inlineStr">
        <is>
          <t>MRS</t>
        </is>
      </c>
      <c r="H684" t="inlineStr">
        <is>
          <t>Commercial_Volume_CP18160.pdf</t>
        </is>
      </c>
      <c r="I684" t="inlineStr">
        <is>
          <t>1</t>
        </is>
      </c>
      <c r="K684" t="inlineStr">
        <is>
          <t>s after the award of work. For bidders who have submitted their EMD through any of the e-pa</t>
        </is>
      </c>
      <c r="L684" t="inlineStr">
        <is>
          <t>Unknown</t>
        </is>
      </c>
      <c r="M684" t="n">
        <v>32102000</v>
      </c>
      <c r="T684" t="inlineStr">
        <is>
          <t>https://tenders.iglonline.net/uploads/tender/Commercial_Volume_CP18160.pdf</t>
        </is>
      </c>
      <c r="U684" t="inlineStr">
        <is>
          <t>No</t>
        </is>
      </c>
      <c r="V684" t="inlineStr">
        <is>
          <t>Bot tarafindan tespit edildi (2026-07-01) | Bot enrich; date=2026-07-01; type=pdf; score=340;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station,Skid / gas train;reject_reasons=employment/corporate,civil/electrical only;scope=market_intelligence_only;excluded_scope=no_bid_or_offer_submission_automation</t>
        </is>
      </c>
    </row>
    <row r="685">
      <c r="A685" t="inlineStr">
        <is>
          <t>T-0489</t>
        </is>
      </c>
      <c r="B685" t="inlineStr">
        <is>
          <t>Indraprastha Gas (IGL)</t>
        </is>
      </c>
      <c r="C685" t="inlineStr">
        <is>
          <t>Indraprastha Gas (IGL)</t>
        </is>
      </c>
      <c r="D685" t="inlineStr">
        <is>
          <t>loading</t>
        </is>
      </c>
      <c r="E685" t="inlineStr">
        <is>
          <t>28-02-2025</t>
        </is>
      </c>
      <c r="F685" t="inlineStr">
        <is>
          <t>Awarded</t>
        </is>
      </c>
      <c r="G685" t="inlineStr">
        <is>
          <t>MRS</t>
        </is>
      </c>
      <c r="H685" t="inlineStr">
        <is>
          <t>Technical_Volume_CP18160.pdf</t>
        </is>
      </c>
      <c r="I685" t="inlineStr">
        <is>
          <t>2</t>
        </is>
      </c>
      <c r="J685" t="inlineStr">
        <is>
          <t>Nos</t>
        </is>
      </c>
      <c r="K685" t="inlineStr">
        <is>
          <t>within specified schedule at no extra cost to owner.</t>
        </is>
      </c>
      <c r="L685" t="inlineStr">
        <is>
          <t>Unknown</t>
        </is>
      </c>
      <c r="M685" t="n">
        <v>485</v>
      </c>
      <c r="T685" t="inlineStr">
        <is>
          <t>https://tenders.iglonline.net/uploads/tender/Technical_Volume_CP18160.pdf</t>
        </is>
      </c>
      <c r="U685" t="inlineStr">
        <is>
          <t>No</t>
        </is>
      </c>
      <c r="V685"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station;quality_status=market_target;market_relevance=High;document_type=po_work_order;unit_price_inr=;amount_label=;matched_terms=Regulating / metering station,Skid / gas train,Gas filter station / filter equipment,Safety / shut-off equipment;reject_reasons=employment/corporate,retail/cng station noise,civil/electrical only;scope=market_intelligence_only;excluded_scope=no_bid_or_offer_submission_automation</t>
        </is>
      </c>
    </row>
    <row r="686">
      <c r="A686" t="inlineStr">
        <is>
          <t>T-0490</t>
        </is>
      </c>
      <c r="B686" t="inlineStr">
        <is>
          <t>Indraprastha Gas (IGL)</t>
        </is>
      </c>
      <c r="C686" t="inlineStr">
        <is>
          <t>Indraprastha Gas (IGL)</t>
        </is>
      </c>
      <c r="D686" t="inlineStr">
        <is>
          <t>IGL/ET2/CP/CP18160</t>
        </is>
      </c>
      <c r="E686" t="inlineStr">
        <is>
          <t>28-02-2025</t>
        </is>
      </c>
      <c r="F686" t="inlineStr">
        <is>
          <t>Awarded</t>
        </is>
      </c>
      <c r="G686" t="inlineStr">
        <is>
          <t>MRS</t>
        </is>
      </c>
      <c r="H686" t="inlineStr">
        <is>
          <t>Corrigendum_1_CP18160.pdf</t>
        </is>
      </c>
      <c r="K686" t="inlineStr">
        <is>
          <t>Not found</t>
        </is>
      </c>
      <c r="L686" t="inlineStr">
        <is>
          <t>Unknown</t>
        </is>
      </c>
      <c r="T686" t="inlineStr">
        <is>
          <t>https://tenders.iglonline.net/uploads/tender/Corrigendum_1_CP18160.pdf</t>
        </is>
      </c>
      <c r="U686" t="inlineStr">
        <is>
          <t>No</t>
        </is>
      </c>
      <c r="V686" t="inlineStr">
        <is>
          <t>Bot tarafindan tespit edildi (2026-07-01) | Bot enrich; date=2026-07-01; type=pdf; score=340;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687">
      <c r="A687" t="inlineStr">
        <is>
          <t>T-0491</t>
        </is>
      </c>
      <c r="B687" t="inlineStr">
        <is>
          <t>Indraprastha Gas (IGL)</t>
        </is>
      </c>
      <c r="C687" t="inlineStr">
        <is>
          <t>Indraprastha Gas (IGL)</t>
        </is>
      </c>
      <c r="D687" t="inlineStr">
        <is>
          <t>Loading</t>
        </is>
      </c>
      <c r="E687" t="inlineStr">
        <is>
          <t>28-02-2025</t>
        </is>
      </c>
      <c r="F687" t="inlineStr">
        <is>
          <t>Awarded</t>
        </is>
      </c>
      <c r="G687" t="inlineStr">
        <is>
          <t>MRS</t>
        </is>
      </c>
      <c r="H687" t="inlineStr">
        <is>
          <t>RTBQ_CP18160.pdf</t>
        </is>
      </c>
      <c r="I687" t="inlineStr">
        <is>
          <t>01</t>
        </is>
      </c>
      <c r="J687" t="inlineStr">
        <is>
          <t>no</t>
        </is>
      </c>
      <c r="K687" t="inlineStr">
        <is>
          <t>HINA has been put on holiday by IGL. LIST (NRV) , as we have already supplied Hina Valves i</t>
        </is>
      </c>
      <c r="L687" t="inlineStr">
        <is>
          <t>Unknown</t>
        </is>
      </c>
      <c r="M687" t="n">
        <v>750</v>
      </c>
      <c r="T687" t="inlineStr">
        <is>
          <t>https://tenders.iglonline.net/uploads/tender/RTBQ_CP18160.pdf</t>
        </is>
      </c>
      <c r="U687" t="inlineStr">
        <is>
          <t>No</t>
        </is>
      </c>
      <c r="V687"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meta:score=90;priority=High;source_type=html_table;closing_date=None;equipment=Service / pressure regulator;quality_status=market_target;market_relevance=High;document_type=loa;unit_price_inr=;amount_label=;matched_terms=Service / pressure regulator,Regulating / metering station,Skid / gas train,Gas filter station / filter equipment,Safety / shut-off equipment;reject_reasons=employment/corporate,civil/electrical only;scope=market_intelligence_only;excluded_scope=no_bid_or_offer_submission_automation</t>
        </is>
      </c>
    </row>
    <row r="688">
      <c r="A688" t="inlineStr">
        <is>
          <t>T-0492</t>
        </is>
      </c>
      <c r="B688" t="inlineStr">
        <is>
          <t>Indraprastha Gas (IGL)</t>
        </is>
      </c>
      <c r="C688" t="inlineStr">
        <is>
          <t>Indraprastha Gas (IGL)</t>
        </is>
      </c>
      <c r="F688" t="inlineStr">
        <is>
          <t>New Lead</t>
        </is>
      </c>
      <c r="H688" t="inlineStr">
        <is>
          <t>View Tender</t>
        </is>
      </c>
      <c r="K688" t="inlineStr">
        <is>
          <t>Not found</t>
        </is>
      </c>
      <c r="L688" t="inlineStr">
        <is>
          <t>Unknown</t>
        </is>
      </c>
      <c r="T688" t="inlineStr">
        <is>
          <t>https://tenders.iglonline.net/tenderDetail/389/Active Tenders And Corrigendum-Addendum</t>
        </is>
      </c>
      <c r="U688" t="inlineStr">
        <is>
          <t>No</t>
        </is>
      </c>
      <c r="V688" t="inlineStr">
        <is>
          <t>Bot tarafindan tespit edildi (2026-07-01)</t>
        </is>
      </c>
    </row>
    <row r="689">
      <c r="A689" t="inlineStr">
        <is>
          <t>T-0493</t>
        </is>
      </c>
      <c r="B689" t="inlineStr">
        <is>
          <t>Indraprastha Gas (IGL)</t>
        </is>
      </c>
      <c r="C689" t="inlineStr">
        <is>
          <t>Indraprastha Gas (IGL)</t>
        </is>
      </c>
      <c r="F689" t="inlineStr">
        <is>
          <t>New Lead</t>
        </is>
      </c>
      <c r="H689" t="inlineStr">
        <is>
          <t>Corrigendum_I_CC18353.pdf</t>
        </is>
      </c>
      <c r="K689" t="inlineStr">
        <is>
          <t>Not found</t>
        </is>
      </c>
      <c r="L689" t="inlineStr">
        <is>
          <t>Unknown</t>
        </is>
      </c>
      <c r="T689" t="inlineStr">
        <is>
          <t>https://tenders.iglonline.net/uploads/tender/Corrigendum_I_CC18353.pdf</t>
        </is>
      </c>
      <c r="U689" t="inlineStr">
        <is>
          <t>No</t>
        </is>
      </c>
      <c r="V689" t="inlineStr">
        <is>
          <t>Bot tarafindan tespit edildi (2026-07-01)</t>
        </is>
      </c>
    </row>
    <row r="690">
      <c r="A690" t="inlineStr">
        <is>
          <t>T-0494</t>
        </is>
      </c>
      <c r="B690" t="inlineStr">
        <is>
          <t>Indraprastha Gas (IGL)</t>
        </is>
      </c>
      <c r="C690" t="inlineStr">
        <is>
          <t>Indraprastha Gas (IGL)</t>
        </is>
      </c>
      <c r="F690" t="inlineStr">
        <is>
          <t>New Lead</t>
        </is>
      </c>
      <c r="H690" t="inlineStr">
        <is>
          <t>CORRIGENDUM_II_CC18353.pdf</t>
        </is>
      </c>
      <c r="K690" t="inlineStr">
        <is>
          <t>Not found</t>
        </is>
      </c>
      <c r="L690" t="inlineStr">
        <is>
          <t>Unknown</t>
        </is>
      </c>
      <c r="T690" t="inlineStr">
        <is>
          <t>https://tenders.iglonline.net/uploads/tender/CORRIGENDUM_II_CC18353.pdf</t>
        </is>
      </c>
      <c r="U690" t="inlineStr">
        <is>
          <t>No</t>
        </is>
      </c>
      <c r="V690" t="inlineStr">
        <is>
          <t>Bot tarafindan tespit edildi (2026-07-01)</t>
        </is>
      </c>
    </row>
    <row r="691">
      <c r="A691" t="inlineStr">
        <is>
          <t>T-0495</t>
        </is>
      </c>
      <c r="B691" t="inlineStr">
        <is>
          <t>Indraprastha Gas (IGL)</t>
        </is>
      </c>
      <c r="C691" t="inlineStr">
        <is>
          <t>Indraprastha Gas (IGL)</t>
        </is>
      </c>
      <c r="F691" t="inlineStr">
        <is>
          <t>New Lead</t>
        </is>
      </c>
      <c r="H691" t="inlineStr">
        <is>
          <t>View Tender</t>
        </is>
      </c>
      <c r="K691" t="inlineStr">
        <is>
          <t>Not found</t>
        </is>
      </c>
      <c r="L691" t="inlineStr">
        <is>
          <t>Unknown</t>
        </is>
      </c>
      <c r="T691" t="inlineStr">
        <is>
          <t>https://tenders.iglonline.net/tenderDetail/388/Active Tenders And Corrigendum-Addendum</t>
        </is>
      </c>
      <c r="U691" t="inlineStr">
        <is>
          <t>No</t>
        </is>
      </c>
      <c r="V691" t="inlineStr">
        <is>
          <t>Bot tarafindan tespit edildi (2026-07-01)</t>
        </is>
      </c>
    </row>
    <row r="692">
      <c r="A692" t="inlineStr">
        <is>
          <t>T-0496</t>
        </is>
      </c>
      <c r="B692" t="inlineStr">
        <is>
          <t>Indraprastha Gas (IGL)</t>
        </is>
      </c>
      <c r="C692" t="inlineStr">
        <is>
          <t>Indraprastha Gas (IGL)</t>
        </is>
      </c>
      <c r="F692" t="inlineStr">
        <is>
          <t>New Lead</t>
        </is>
      </c>
      <c r="G692" t="inlineStr">
        <is>
          <t>Gas-related / review</t>
        </is>
      </c>
      <c r="H692" t="inlineStr">
        <is>
          <t>Corrigendum_1_Amendment_CC18352.pdf</t>
        </is>
      </c>
      <c r="K692" t="inlineStr">
        <is>
          <t>Not found</t>
        </is>
      </c>
      <c r="L692" t="inlineStr">
        <is>
          <t>Unknown</t>
        </is>
      </c>
      <c r="T692" t="inlineStr">
        <is>
          <t>https://tenders.iglonline.net/uploads/tender/Corrigendum_1_Amendment_CC18352.pdf</t>
        </is>
      </c>
      <c r="U692" t="inlineStr">
        <is>
          <t>No</t>
        </is>
      </c>
      <c r="V692" t="inlineStr">
        <is>
          <t>Bot tarafindan tespit edildi (2026-07-01); Bot tespit/zenginlestirme (2026-07-01); meta:score=35;priority=Low;source_type=html_table;closing_date=;equipment=Gas-related / review;reasons=equipment:Gas-related / review,document source</t>
        </is>
      </c>
    </row>
    <row r="693">
      <c r="A693" t="inlineStr">
        <is>
          <t>T-0497</t>
        </is>
      </c>
      <c r="B693" t="inlineStr">
        <is>
          <t>Indraprastha Gas (IGL)</t>
        </is>
      </c>
      <c r="C693" t="inlineStr">
        <is>
          <t>Indraprastha Gas (IGL)</t>
        </is>
      </c>
      <c r="F693" t="inlineStr">
        <is>
          <t>New Lead</t>
        </is>
      </c>
      <c r="H693" t="inlineStr">
        <is>
          <t>View Tender</t>
        </is>
      </c>
      <c r="K693" t="inlineStr">
        <is>
          <t>Not found</t>
        </is>
      </c>
      <c r="L693" t="inlineStr">
        <is>
          <t>Unknown</t>
        </is>
      </c>
      <c r="T693" t="inlineStr">
        <is>
          <t>https://tenders.iglonline.net/tenderDetail/387/Active Tenders And Corrigendum-Addendum</t>
        </is>
      </c>
      <c r="U693" t="inlineStr">
        <is>
          <t>No</t>
        </is>
      </c>
      <c r="V693" t="inlineStr">
        <is>
          <t>Bot tarafindan tespit edildi (2026-07-01)</t>
        </is>
      </c>
    </row>
    <row r="694">
      <c r="A694" t="inlineStr">
        <is>
          <t>T-0498</t>
        </is>
      </c>
      <c r="B694" t="inlineStr">
        <is>
          <t>Indraprastha Gas (IGL)</t>
        </is>
      </c>
      <c r="C694" t="inlineStr">
        <is>
          <t>Indraprastha Gas (IGL)</t>
        </is>
      </c>
      <c r="F694" t="inlineStr">
        <is>
          <t>New Lead</t>
        </is>
      </c>
      <c r="H694" t="inlineStr">
        <is>
          <t>Corrigendum_1_CM18379.pdf</t>
        </is>
      </c>
      <c r="K694" t="inlineStr">
        <is>
          <t>Not found</t>
        </is>
      </c>
      <c r="L694" t="inlineStr">
        <is>
          <t>Unknown</t>
        </is>
      </c>
      <c r="T694" t="inlineStr">
        <is>
          <t>https://tenders.iglonline.net/uploads/tender/Corrigendum_1_CM18379.pdf</t>
        </is>
      </c>
      <c r="U694" t="inlineStr">
        <is>
          <t>No</t>
        </is>
      </c>
      <c r="V694" t="inlineStr">
        <is>
          <t>Bot tarafindan tespit edildi (2026-07-01)</t>
        </is>
      </c>
    </row>
    <row r="695">
      <c r="A695" t="inlineStr">
        <is>
          <t>T-0499</t>
        </is>
      </c>
      <c r="B695" t="inlineStr">
        <is>
          <t>Indraprastha Gas (IGL)</t>
        </is>
      </c>
      <c r="C695" t="inlineStr">
        <is>
          <t>Indraprastha Gas (IGL)</t>
        </is>
      </c>
      <c r="F695" t="inlineStr">
        <is>
          <t>New Lead</t>
        </is>
      </c>
      <c r="H695" t="inlineStr">
        <is>
          <t>RTPBQ-CM18379.pdf</t>
        </is>
      </c>
      <c r="K695" t="inlineStr">
        <is>
          <t>Not found</t>
        </is>
      </c>
      <c r="L695" t="inlineStr">
        <is>
          <t>Unknown</t>
        </is>
      </c>
      <c r="T695" t="inlineStr">
        <is>
          <t>https://tenders.iglonline.net/uploads/tender/RTPBQ-CM18379.pdf</t>
        </is>
      </c>
      <c r="U695" t="inlineStr">
        <is>
          <t>No</t>
        </is>
      </c>
      <c r="V695" t="inlineStr">
        <is>
          <t>Bot tarafindan tespit edildi (2026-07-01)</t>
        </is>
      </c>
    </row>
    <row r="696">
      <c r="A696" t="inlineStr">
        <is>
          <t>T-0500</t>
        </is>
      </c>
      <c r="B696" t="inlineStr">
        <is>
          <t>Indraprastha Gas (IGL)</t>
        </is>
      </c>
      <c r="C696" t="inlineStr">
        <is>
          <t>Indraprastha Gas (IGL)</t>
        </is>
      </c>
      <c r="F696" t="inlineStr">
        <is>
          <t>New Lead</t>
        </is>
      </c>
      <c r="H696" t="inlineStr">
        <is>
          <t>CM18379_Corrigendum_3.pdf</t>
        </is>
      </c>
      <c r="K696" t="inlineStr">
        <is>
          <t>Not found</t>
        </is>
      </c>
      <c r="L696" t="inlineStr">
        <is>
          <t>Unknown</t>
        </is>
      </c>
      <c r="T696" t="inlineStr">
        <is>
          <t>https://tenders.iglonline.net/uploads/tender/CM18379_Corrigendum_3.pdf</t>
        </is>
      </c>
      <c r="U696" t="inlineStr">
        <is>
          <t>No</t>
        </is>
      </c>
      <c r="V696" t="inlineStr">
        <is>
          <t>Bot tarafindan tespit edildi (2026-07-01)</t>
        </is>
      </c>
    </row>
    <row r="697">
      <c r="A697" t="inlineStr">
        <is>
          <t>T-0501</t>
        </is>
      </c>
      <c r="B697" t="inlineStr">
        <is>
          <t>Indraprastha Gas (IGL)</t>
        </is>
      </c>
      <c r="C697" t="inlineStr">
        <is>
          <t>Indraprastha Gas (IGL)</t>
        </is>
      </c>
      <c r="F697" t="inlineStr">
        <is>
          <t>New Lead</t>
        </is>
      </c>
      <c r="H697" t="inlineStr">
        <is>
          <t>CM18379_Corrigendum-4.pdf</t>
        </is>
      </c>
      <c r="K697" t="inlineStr">
        <is>
          <t>Not found</t>
        </is>
      </c>
      <c r="L697" t="inlineStr">
        <is>
          <t>Unknown</t>
        </is>
      </c>
      <c r="T697" t="inlineStr">
        <is>
          <t>https://tenders.iglonline.net/uploads/tender/CM18379_Corrigendum-4.pdf</t>
        </is>
      </c>
      <c r="U697" t="inlineStr">
        <is>
          <t>No</t>
        </is>
      </c>
      <c r="V697" t="inlineStr">
        <is>
          <t>Bot tarafindan tespit edildi (2026-07-01)</t>
        </is>
      </c>
    </row>
    <row r="698">
      <c r="A698" t="inlineStr">
        <is>
          <t>T-0502</t>
        </is>
      </c>
      <c r="B698" t="inlineStr">
        <is>
          <t>Indraprastha Gas (IGL)</t>
        </is>
      </c>
      <c r="C698" t="inlineStr">
        <is>
          <t>Indraprastha Gas (IGL)</t>
        </is>
      </c>
      <c r="F698" t="inlineStr">
        <is>
          <t>New Lead</t>
        </is>
      </c>
      <c r="H698" t="inlineStr">
        <is>
          <t>CM18379_Corrigendum-2.pdf</t>
        </is>
      </c>
      <c r="K698" t="inlineStr">
        <is>
          <t>Not found</t>
        </is>
      </c>
      <c r="L698" t="inlineStr">
        <is>
          <t>Unknown</t>
        </is>
      </c>
      <c r="T698" t="inlineStr">
        <is>
          <t>https://tenders.iglonline.net/uploads/tender/CM18379_Corrigendum-2.pdf</t>
        </is>
      </c>
      <c r="U698" t="inlineStr">
        <is>
          <t>No</t>
        </is>
      </c>
      <c r="V698" t="inlineStr">
        <is>
          <t>Bot tarafindan tespit edildi (2026-07-01)</t>
        </is>
      </c>
    </row>
    <row r="699">
      <c r="A699" t="inlineStr">
        <is>
          <t>T-0503</t>
        </is>
      </c>
      <c r="B699" t="inlineStr">
        <is>
          <t>Indraprastha Gas (IGL)</t>
        </is>
      </c>
      <c r="C699" t="inlineStr">
        <is>
          <t>Indraprastha Gas (IGL)</t>
        </is>
      </c>
      <c r="F699" t="inlineStr">
        <is>
          <t>New Lead</t>
        </is>
      </c>
      <c r="H699" t="inlineStr">
        <is>
          <t>View Tender</t>
        </is>
      </c>
      <c r="K699" t="inlineStr">
        <is>
          <t>Not found</t>
        </is>
      </c>
      <c r="L699" t="inlineStr">
        <is>
          <t>Unknown</t>
        </is>
      </c>
      <c r="T699" t="inlineStr">
        <is>
          <t>https://tenders.iglonline.net/tenderDetail/386/Active Tenders And Corrigendum-Addendum</t>
        </is>
      </c>
      <c r="U699" t="inlineStr">
        <is>
          <t>No</t>
        </is>
      </c>
      <c r="V699" t="inlineStr">
        <is>
          <t>Bot tarafindan tespit edildi (2026-07-01)</t>
        </is>
      </c>
    </row>
    <row r="700">
      <c r="A700" t="inlineStr">
        <is>
          <t>T-0504</t>
        </is>
      </c>
      <c r="B700" t="inlineStr">
        <is>
          <t>Indraprastha Gas (IGL)</t>
        </is>
      </c>
      <c r="C700" t="inlineStr">
        <is>
          <t>Indraprastha Gas (IGL)</t>
        </is>
      </c>
      <c r="F700" t="inlineStr">
        <is>
          <t>New Lead</t>
        </is>
      </c>
      <c r="G700" t="inlineStr">
        <is>
          <t>Gas-related / review</t>
        </is>
      </c>
      <c r="H700" t="inlineStr">
        <is>
          <t>Corrigendum_I_CC18348.pdf</t>
        </is>
      </c>
      <c r="K700" t="inlineStr">
        <is>
          <t>Not found</t>
        </is>
      </c>
      <c r="L700" t="inlineStr">
        <is>
          <t>Unknown</t>
        </is>
      </c>
      <c r="T700" t="inlineStr">
        <is>
          <t>https://tenders.iglonline.net/uploads/tender/Corrigendum_I_CC18348.pdf</t>
        </is>
      </c>
      <c r="U700" t="inlineStr">
        <is>
          <t>No</t>
        </is>
      </c>
      <c r="V700" t="inlineStr">
        <is>
          <t>Bot tarafindan tespit edildi (2026-07-01); Bot tespit/zenginlestirme (2026-07-01); meta:score=35;priority=Low;source_type=html_table;closing_date=;equipment=Gas-related / review;reasons=equipment:Gas-related / review,document source</t>
        </is>
      </c>
    </row>
    <row r="701">
      <c r="A701" t="inlineStr">
        <is>
          <t>T-0505</t>
        </is>
      </c>
      <c r="B701" t="inlineStr">
        <is>
          <t>Indraprastha Gas (IGL)</t>
        </is>
      </c>
      <c r="C701" t="inlineStr">
        <is>
          <t>Indraprastha Gas (IGL)</t>
        </is>
      </c>
      <c r="F701" t="inlineStr">
        <is>
          <t>New Lead</t>
        </is>
      </c>
      <c r="G701" t="inlineStr">
        <is>
          <t>Gas-related / review</t>
        </is>
      </c>
      <c r="H701" t="inlineStr">
        <is>
          <t>Corrigendum_CC18348.pdf</t>
        </is>
      </c>
      <c r="K701" t="inlineStr">
        <is>
          <t>Not found</t>
        </is>
      </c>
      <c r="L701" t="inlineStr">
        <is>
          <t>Unknown</t>
        </is>
      </c>
      <c r="T701" t="inlineStr">
        <is>
          <t>https://tenders.iglonline.net/uploads/tender/Corrigendum_CC18348.pdf</t>
        </is>
      </c>
      <c r="U701" t="inlineStr">
        <is>
          <t>No</t>
        </is>
      </c>
      <c r="V701" t="inlineStr">
        <is>
          <t>Bot tarafindan tespit edildi (2026-07-01); Bot tespit/zenginlestirme (2026-07-01); meta:score=35;priority=Low;source_type=html_table;closing_date=;equipment=Gas-related / review;reasons=equipment:Gas-related / review,document source</t>
        </is>
      </c>
    </row>
    <row r="702">
      <c r="A702" t="inlineStr">
        <is>
          <t>T-0506</t>
        </is>
      </c>
      <c r="B702" t="inlineStr">
        <is>
          <t>Indraprastha Gas (IGL)</t>
        </is>
      </c>
      <c r="C702" t="inlineStr">
        <is>
          <t>Indraprastha Gas (IGL)</t>
        </is>
      </c>
      <c r="F702" t="inlineStr">
        <is>
          <t>New Lead</t>
        </is>
      </c>
      <c r="H702" t="inlineStr">
        <is>
          <t>View Tender</t>
        </is>
      </c>
      <c r="K702" t="inlineStr">
        <is>
          <t>Not found</t>
        </is>
      </c>
      <c r="L702" t="inlineStr">
        <is>
          <t>Unknown</t>
        </is>
      </c>
      <c r="T702" t="inlineStr">
        <is>
          <t>https://tenders.iglonline.net/tenderDetail/385/Active Tenders And Corrigendum-Addendum</t>
        </is>
      </c>
      <c r="U702" t="inlineStr">
        <is>
          <t>No</t>
        </is>
      </c>
      <c r="V702" t="inlineStr">
        <is>
          <t>Bot tarafindan tespit edildi (2026-07-01)</t>
        </is>
      </c>
    </row>
    <row r="703">
      <c r="A703" t="inlineStr">
        <is>
          <t>T-0507</t>
        </is>
      </c>
      <c r="B703" t="inlineStr">
        <is>
          <t>Indraprastha Gas (IGL)</t>
        </is>
      </c>
      <c r="C703" t="inlineStr">
        <is>
          <t>Indraprastha Gas (IGL)</t>
        </is>
      </c>
      <c r="F703" t="inlineStr">
        <is>
          <t>New Lead</t>
        </is>
      </c>
      <c r="H703" t="inlineStr">
        <is>
          <t>Pre-Bid-Replies-CM18358.pdf</t>
        </is>
      </c>
      <c r="K703" t="inlineStr">
        <is>
          <t>Not found</t>
        </is>
      </c>
      <c r="L703" t="inlineStr">
        <is>
          <t>Unknown</t>
        </is>
      </c>
      <c r="T703" t="inlineStr">
        <is>
          <t>https://tenders.iglonline.net/uploads/tender/Pre-Bid-Replies-CM18358.pdf</t>
        </is>
      </c>
      <c r="U703" t="inlineStr">
        <is>
          <t>No</t>
        </is>
      </c>
      <c r="V703" t="inlineStr">
        <is>
          <t>Bot tarafindan tespit edildi (2026-07-01)</t>
        </is>
      </c>
    </row>
    <row r="704">
      <c r="A704" t="inlineStr">
        <is>
          <t>T-0508</t>
        </is>
      </c>
      <c r="B704" t="inlineStr">
        <is>
          <t>Indraprastha Gas (IGL)</t>
        </is>
      </c>
      <c r="C704" t="inlineStr">
        <is>
          <t>Indraprastha Gas (IGL)</t>
        </is>
      </c>
      <c r="F704" t="inlineStr">
        <is>
          <t>New Lead</t>
        </is>
      </c>
      <c r="H704" t="inlineStr">
        <is>
          <t>CORRIGENDUM_I_CM18358.pdf</t>
        </is>
      </c>
      <c r="K704" t="inlineStr">
        <is>
          <t>Not found</t>
        </is>
      </c>
      <c r="L704" t="inlineStr">
        <is>
          <t>Unknown</t>
        </is>
      </c>
      <c r="T704" t="inlineStr">
        <is>
          <t>https://tenders.iglonline.net/uploads/tender/CORRIGENDUM_I_CM18358.pdf</t>
        </is>
      </c>
      <c r="U704" t="inlineStr">
        <is>
          <t>No</t>
        </is>
      </c>
      <c r="V704" t="inlineStr">
        <is>
          <t>Bot tarafindan tespit edildi (2026-07-01)</t>
        </is>
      </c>
    </row>
    <row r="705">
      <c r="A705" t="inlineStr">
        <is>
          <t>T-0509</t>
        </is>
      </c>
      <c r="B705" t="inlineStr">
        <is>
          <t>Indraprastha Gas (IGL)</t>
        </is>
      </c>
      <c r="C705" t="inlineStr">
        <is>
          <t>Indraprastha Gas (IGL)</t>
        </is>
      </c>
      <c r="F705" t="inlineStr">
        <is>
          <t>New Lead</t>
        </is>
      </c>
      <c r="H705" t="inlineStr">
        <is>
          <t>View Tender</t>
        </is>
      </c>
      <c r="K705" t="inlineStr">
        <is>
          <t>Not found</t>
        </is>
      </c>
      <c r="L705" t="inlineStr">
        <is>
          <t>Unknown</t>
        </is>
      </c>
      <c r="T705" t="inlineStr">
        <is>
          <t>https://tenders.iglonline.net/tenderDetail/384/Active Tenders And Corrigendum-Addendum</t>
        </is>
      </c>
      <c r="U705" t="inlineStr">
        <is>
          <t>No</t>
        </is>
      </c>
      <c r="V705" t="inlineStr">
        <is>
          <t>Bot tarafindan tespit edildi (2026-07-01)</t>
        </is>
      </c>
    </row>
    <row r="706">
      <c r="A706" t="inlineStr">
        <is>
          <t>T-0510</t>
        </is>
      </c>
      <c r="B706" t="inlineStr">
        <is>
          <t>Indraprastha Gas (IGL)</t>
        </is>
      </c>
      <c r="C706" t="inlineStr">
        <is>
          <t>Indraprastha Gas (IGL)</t>
        </is>
      </c>
      <c r="F706" t="inlineStr">
        <is>
          <t>New Lead</t>
        </is>
      </c>
      <c r="H706" t="inlineStr">
        <is>
          <t>RTBQ_CP18346.pdf</t>
        </is>
      </c>
      <c r="K706" t="inlineStr">
        <is>
          <t>Not found</t>
        </is>
      </c>
      <c r="L706" t="inlineStr">
        <is>
          <t>Unknown</t>
        </is>
      </c>
      <c r="T706" t="inlineStr">
        <is>
          <t>https://tenders.iglonline.net/uploads/tender/RTBQ_CP18346.pdf</t>
        </is>
      </c>
      <c r="U706" t="inlineStr">
        <is>
          <t>No</t>
        </is>
      </c>
      <c r="V706" t="inlineStr">
        <is>
          <t>Bot tarafindan tespit edildi (2026-07-01)</t>
        </is>
      </c>
    </row>
    <row r="707">
      <c r="A707" t="inlineStr">
        <is>
          <t>T-0511</t>
        </is>
      </c>
      <c r="B707" t="inlineStr">
        <is>
          <t>Indraprastha Gas (IGL)</t>
        </is>
      </c>
      <c r="C707" t="inlineStr">
        <is>
          <t>Indraprastha Gas (IGL)</t>
        </is>
      </c>
      <c r="F707" t="inlineStr">
        <is>
          <t>New Lead</t>
        </is>
      </c>
      <c r="H707" t="inlineStr">
        <is>
          <t>View Tender</t>
        </is>
      </c>
      <c r="K707" t="inlineStr">
        <is>
          <t>Not found</t>
        </is>
      </c>
      <c r="L707" t="inlineStr">
        <is>
          <t>Unknown</t>
        </is>
      </c>
      <c r="T707" t="inlineStr">
        <is>
          <t>https://tenders.iglonline.net/tenderDetail/383/Active Tenders And Corrigendum-Addendum</t>
        </is>
      </c>
      <c r="U707" t="inlineStr">
        <is>
          <t>No</t>
        </is>
      </c>
      <c r="V707" t="inlineStr">
        <is>
          <t>Bot tarafindan tespit edildi (2026-07-01)</t>
        </is>
      </c>
    </row>
    <row r="708">
      <c r="A708" t="inlineStr">
        <is>
          <t>T-0512</t>
        </is>
      </c>
      <c r="B708" t="inlineStr">
        <is>
          <t>Indraprastha Gas (IGL)</t>
        </is>
      </c>
      <c r="C708" t="inlineStr">
        <is>
          <t>Indraprastha Gas (IGL)</t>
        </is>
      </c>
      <c r="F708" t="inlineStr">
        <is>
          <t>New Lead</t>
        </is>
      </c>
      <c r="G708" t="inlineStr">
        <is>
          <t>Unclassified</t>
        </is>
      </c>
      <c r="H708" t="inlineStr">
        <is>
          <t>IGL-ET2-CP-CM18321-Corrigendum_1.pdf</t>
        </is>
      </c>
      <c r="K708" t="inlineStr">
        <is>
          <t>Not found</t>
        </is>
      </c>
      <c r="L708" t="inlineStr">
        <is>
          <t>Unknown</t>
        </is>
      </c>
      <c r="T708" t="inlineStr">
        <is>
          <t>https://tenders.iglonline.net/uploads/tender/IGL-ET2-CP-CM18321-Corrigendum_1.pdf</t>
        </is>
      </c>
      <c r="U708" t="inlineStr">
        <is>
          <t>No</t>
        </is>
      </c>
      <c r="V708" t="inlineStr">
        <is>
          <t>Bot tarafindan tespit edildi (2026-07-01); Bot tespit/zenginlestirme (2026-07-01); meta:score=40;priority=Medium;source_type=html_table;closing_date=;equipment=Unclassified;reasons=document source,quantity signal</t>
        </is>
      </c>
    </row>
    <row r="709">
      <c r="A709" t="inlineStr">
        <is>
          <t>T-0513</t>
        </is>
      </c>
      <c r="B709" t="inlineStr">
        <is>
          <t>Indraprastha Gas (IGL)</t>
        </is>
      </c>
      <c r="C709" t="inlineStr">
        <is>
          <t>Indraprastha Gas (IGL)</t>
        </is>
      </c>
      <c r="F709" t="inlineStr">
        <is>
          <t>New Lead</t>
        </is>
      </c>
      <c r="G709" t="inlineStr">
        <is>
          <t>Unclassified</t>
        </is>
      </c>
      <c r="H709" t="inlineStr">
        <is>
          <t>CM18321-CORRIGENDUM II.pdf</t>
        </is>
      </c>
      <c r="K709" t="inlineStr">
        <is>
          <t>Not found</t>
        </is>
      </c>
      <c r="L709" t="inlineStr">
        <is>
          <t>Unknown</t>
        </is>
      </c>
      <c r="T709" t="inlineStr">
        <is>
          <t>https://tenders.iglonline.net/uploads/tender/CM18321-CORRIGENDUM II.pdf</t>
        </is>
      </c>
      <c r="U709" t="inlineStr">
        <is>
          <t>No</t>
        </is>
      </c>
      <c r="V709" t="inlineStr">
        <is>
          <t>Bot tarafindan tespit edildi (2026-07-01); Bot tespit/zenginlestirme (2026-07-01); meta:score=40;priority=Medium;source_type=html_table;closing_date=;equipment=Unclassified;reasons=document source,quantity signal</t>
        </is>
      </c>
    </row>
    <row r="710">
      <c r="A710" t="inlineStr">
        <is>
          <t>T-0514</t>
        </is>
      </c>
      <c r="B710" t="inlineStr">
        <is>
          <t>Indraprastha Gas (IGL)</t>
        </is>
      </c>
      <c r="C710" t="inlineStr">
        <is>
          <t>Indraprastha Gas (IGL)</t>
        </is>
      </c>
      <c r="F710" t="inlineStr">
        <is>
          <t>New Lead</t>
        </is>
      </c>
      <c r="H710" t="inlineStr">
        <is>
          <t>View Tender</t>
        </is>
      </c>
      <c r="K710" t="inlineStr">
        <is>
          <t>Not found</t>
        </is>
      </c>
      <c r="L710" t="inlineStr">
        <is>
          <t>Unknown</t>
        </is>
      </c>
      <c r="T710" t="inlineStr">
        <is>
          <t>https://tenders.iglonline.net/tenderDetail/382/Active Tenders And Corrigendum-Addendum</t>
        </is>
      </c>
      <c r="U710" t="inlineStr">
        <is>
          <t>No</t>
        </is>
      </c>
      <c r="V710" t="inlineStr">
        <is>
          <t>Bot tarafindan tespit edildi (2026-07-01)</t>
        </is>
      </c>
    </row>
    <row r="711">
      <c r="A711" t="inlineStr">
        <is>
          <t>T-0515</t>
        </is>
      </c>
      <c r="B711" t="inlineStr">
        <is>
          <t>Indraprastha Gas (IGL)</t>
        </is>
      </c>
      <c r="C711" t="inlineStr">
        <is>
          <t>Indraprastha Gas (IGL)</t>
        </is>
      </c>
      <c r="F711" t="inlineStr">
        <is>
          <t>New Lead</t>
        </is>
      </c>
      <c r="H711" t="inlineStr">
        <is>
          <t>Pre_Bid_Replies_CM18332.pdf</t>
        </is>
      </c>
      <c r="K711" t="inlineStr">
        <is>
          <t>Not found</t>
        </is>
      </c>
      <c r="L711" t="inlineStr">
        <is>
          <t>Unknown</t>
        </is>
      </c>
      <c r="T711" t="inlineStr">
        <is>
          <t>https://tenders.iglonline.net/uploads/tender/Pre_Bid_Replies_CM18332.pdf</t>
        </is>
      </c>
      <c r="U711" t="inlineStr">
        <is>
          <t>No</t>
        </is>
      </c>
      <c r="V711" t="inlineStr">
        <is>
          <t>Bot tarafindan tespit edildi (2026-07-01)</t>
        </is>
      </c>
    </row>
    <row r="712">
      <c r="A712" t="inlineStr">
        <is>
          <t>T-0516</t>
        </is>
      </c>
      <c r="B712" t="inlineStr">
        <is>
          <t>Indraprastha Gas (IGL)</t>
        </is>
      </c>
      <c r="C712" t="inlineStr">
        <is>
          <t>Indraprastha Gas (IGL)</t>
        </is>
      </c>
      <c r="F712" t="inlineStr">
        <is>
          <t>New Lead</t>
        </is>
      </c>
      <c r="H712" t="inlineStr">
        <is>
          <t>View Tender</t>
        </is>
      </c>
      <c r="K712" t="inlineStr">
        <is>
          <t>Not found</t>
        </is>
      </c>
      <c r="L712" t="inlineStr">
        <is>
          <t>Unknown</t>
        </is>
      </c>
      <c r="T712" t="inlineStr">
        <is>
          <t>https://tenders.iglonline.net/tenderDetail/381/Active Tenders And Corrigendum-Addendum</t>
        </is>
      </c>
      <c r="U712" t="inlineStr">
        <is>
          <t>No</t>
        </is>
      </c>
      <c r="V712" t="inlineStr">
        <is>
          <t>Bot tarafindan tespit edildi (2026-07-01)</t>
        </is>
      </c>
    </row>
    <row r="713">
      <c r="A713" t="inlineStr">
        <is>
          <t>T-0517</t>
        </is>
      </c>
      <c r="B713" t="inlineStr">
        <is>
          <t>Indraprastha Gas (IGL)</t>
        </is>
      </c>
      <c r="C713" t="inlineStr">
        <is>
          <t>Indraprastha Gas (IGL)</t>
        </is>
      </c>
      <c r="F713" t="inlineStr">
        <is>
          <t>New Lead</t>
        </is>
      </c>
      <c r="H713" t="inlineStr">
        <is>
          <t>Corrigendum_for_Bid_Submission_-_CC18315.pdf</t>
        </is>
      </c>
      <c r="K713" t="inlineStr">
        <is>
          <t>Not found</t>
        </is>
      </c>
      <c r="L713" t="inlineStr">
        <is>
          <t>Unknown</t>
        </is>
      </c>
      <c r="T713" t="inlineStr">
        <is>
          <t>https://tenders.iglonline.net/uploads/tender/Corrigendum_for_Bid_Submission_-_CC18315.pdf</t>
        </is>
      </c>
      <c r="U713" t="inlineStr">
        <is>
          <t>No</t>
        </is>
      </c>
      <c r="V713" t="inlineStr">
        <is>
          <t>Bot tarafindan tespit edildi (2026-07-01)</t>
        </is>
      </c>
    </row>
    <row r="714">
      <c r="A714" t="inlineStr">
        <is>
          <t>T-0518</t>
        </is>
      </c>
      <c r="B714" t="inlineStr">
        <is>
          <t>Indraprastha Gas (IGL)</t>
        </is>
      </c>
      <c r="C714" t="inlineStr">
        <is>
          <t>Indraprastha Gas (IGL)</t>
        </is>
      </c>
      <c r="F714" t="inlineStr">
        <is>
          <t>New Lead</t>
        </is>
      </c>
      <c r="H714" t="inlineStr">
        <is>
          <t>View Tender</t>
        </is>
      </c>
      <c r="K714" t="inlineStr">
        <is>
          <t>Not found</t>
        </is>
      </c>
      <c r="L714" t="inlineStr">
        <is>
          <t>Unknown</t>
        </is>
      </c>
      <c r="T714" t="inlineStr">
        <is>
          <t>https://tenders.iglonline.net/tenderDetail/380/Active Tenders And Corrigendum-Addendum</t>
        </is>
      </c>
      <c r="U714" t="inlineStr">
        <is>
          <t>No</t>
        </is>
      </c>
      <c r="V714" t="inlineStr">
        <is>
          <t>Bot tarafindan tespit edildi (2026-07-01)</t>
        </is>
      </c>
    </row>
    <row r="715">
      <c r="A715" t="inlineStr">
        <is>
          <t>T-0519</t>
        </is>
      </c>
      <c r="B715" t="inlineStr">
        <is>
          <t>Indraprastha Gas (IGL)</t>
        </is>
      </c>
      <c r="C715" t="inlineStr">
        <is>
          <t>Indraprastha Gas (IGL)</t>
        </is>
      </c>
      <c r="F715" t="inlineStr">
        <is>
          <t>New Lead</t>
        </is>
      </c>
      <c r="H715" t="inlineStr">
        <is>
          <t>RTBQ_CP18324.pdf</t>
        </is>
      </c>
      <c r="K715" t="inlineStr">
        <is>
          <t>Not found</t>
        </is>
      </c>
      <c r="L715" t="inlineStr">
        <is>
          <t>Unknown</t>
        </is>
      </c>
      <c r="T715" t="inlineStr">
        <is>
          <t>https://tenders.iglonline.net/uploads/tender/RTBQ_CP18324.pdf</t>
        </is>
      </c>
      <c r="U715" t="inlineStr">
        <is>
          <t>No</t>
        </is>
      </c>
      <c r="V715" t="inlineStr">
        <is>
          <t>Bot tarafindan tespit edildi (2026-07-01)</t>
        </is>
      </c>
    </row>
    <row r="716">
      <c r="A716" t="inlineStr">
        <is>
          <t>T-0520</t>
        </is>
      </c>
      <c r="B716" t="inlineStr">
        <is>
          <t>Indraprastha Gas (IGL)</t>
        </is>
      </c>
      <c r="C716" t="inlineStr">
        <is>
          <t>Indraprastha Gas (IGL)</t>
        </is>
      </c>
      <c r="F716" t="inlineStr">
        <is>
          <t>New Lead</t>
        </is>
      </c>
      <c r="H716" t="inlineStr">
        <is>
          <t>CP18324.pdf</t>
        </is>
      </c>
      <c r="K716" t="inlineStr">
        <is>
          <t>Not found</t>
        </is>
      </c>
      <c r="L716" t="inlineStr">
        <is>
          <t>Unknown</t>
        </is>
      </c>
      <c r="T716" t="inlineStr">
        <is>
          <t>https://tenders.iglonline.net/uploads/tender/CP18324.pdf</t>
        </is>
      </c>
      <c r="U716" t="inlineStr">
        <is>
          <t>No</t>
        </is>
      </c>
      <c r="V716" t="inlineStr">
        <is>
          <t>Bot tarafindan tespit edildi (2026-07-01)</t>
        </is>
      </c>
    </row>
    <row r="717">
      <c r="A717" t="inlineStr">
        <is>
          <t>T-0521</t>
        </is>
      </c>
      <c r="B717" t="inlineStr">
        <is>
          <t>Indraprastha Gas (IGL)</t>
        </is>
      </c>
      <c r="C717" t="inlineStr">
        <is>
          <t>Indraprastha Gas (IGL)</t>
        </is>
      </c>
      <c r="F717" t="inlineStr">
        <is>
          <t>New Lead</t>
        </is>
      </c>
      <c r="H717" t="inlineStr">
        <is>
          <t>View Tender</t>
        </is>
      </c>
      <c r="K717" t="inlineStr">
        <is>
          <t>Not found</t>
        </is>
      </c>
      <c r="L717" t="inlineStr">
        <is>
          <t>Unknown</t>
        </is>
      </c>
      <c r="T717" t="inlineStr">
        <is>
          <t>https://tenders.iglonline.net/tenderDetail/379/Active Tenders And Corrigendum-Addendum</t>
        </is>
      </c>
      <c r="U717" t="inlineStr">
        <is>
          <t>No</t>
        </is>
      </c>
      <c r="V717" t="inlineStr">
        <is>
          <t>Bot tarafindan tespit edildi (2026-07-01)</t>
        </is>
      </c>
    </row>
    <row r="718">
      <c r="A718" t="inlineStr">
        <is>
          <t>T-0522</t>
        </is>
      </c>
      <c r="B718" t="inlineStr">
        <is>
          <t>Indraprastha Gas (IGL)</t>
        </is>
      </c>
      <c r="C718" t="inlineStr">
        <is>
          <t>Indraprastha Gas (IGL)</t>
        </is>
      </c>
      <c r="F718" t="inlineStr">
        <is>
          <t>New Lead</t>
        </is>
      </c>
      <c r="G718" t="inlineStr">
        <is>
          <t>Gas-related / review</t>
        </is>
      </c>
      <c r="H718" t="inlineStr">
        <is>
          <t>RTBQ_CM18286.pdf</t>
        </is>
      </c>
      <c r="K718" t="inlineStr">
        <is>
          <t>Not found</t>
        </is>
      </c>
      <c r="L718" t="inlineStr">
        <is>
          <t>Unknown</t>
        </is>
      </c>
      <c r="T718" t="inlineStr">
        <is>
          <t>https://tenders.iglonline.net/uploads/tender/RTBQ_CM18286.pdf</t>
        </is>
      </c>
      <c r="U718" t="inlineStr">
        <is>
          <t>No</t>
        </is>
      </c>
      <c r="V718" t="inlineStr">
        <is>
          <t>Bot tarafindan tespit edildi (2026-07-01); Bot tespit/zenginlestirme (2026-07-01); meta:score=35;priority=Low;source_type=html_table;closing_date=;equipment=Gas-related / review;reasons=equipment:Gas-related / review,document source</t>
        </is>
      </c>
    </row>
    <row r="719">
      <c r="A719" t="inlineStr">
        <is>
          <t>T-0523</t>
        </is>
      </c>
      <c r="B719" t="inlineStr">
        <is>
          <t>Indraprastha Gas (IGL)</t>
        </is>
      </c>
      <c r="C719" t="inlineStr">
        <is>
          <t>Indraprastha Gas (IGL)</t>
        </is>
      </c>
      <c r="F719" t="inlineStr">
        <is>
          <t>New Lead</t>
        </is>
      </c>
      <c r="H719" t="inlineStr">
        <is>
          <t>View Tender</t>
        </is>
      </c>
      <c r="K719" t="inlineStr">
        <is>
          <t>Not found</t>
        </is>
      </c>
      <c r="L719" t="inlineStr">
        <is>
          <t>Unknown</t>
        </is>
      </c>
      <c r="T719" t="inlineStr">
        <is>
          <t>https://tenders.iglonline.net/tenderDetail/378/Active Tenders And Corrigendum-Addendum</t>
        </is>
      </c>
      <c r="U719" t="inlineStr">
        <is>
          <t>No</t>
        </is>
      </c>
      <c r="V719" t="inlineStr">
        <is>
          <t>Bot tarafindan tespit edildi (2026-07-01)</t>
        </is>
      </c>
    </row>
    <row r="720">
      <c r="A720" t="inlineStr">
        <is>
          <t>T-0524</t>
        </is>
      </c>
      <c r="B720" t="inlineStr">
        <is>
          <t>Indraprastha Gas (IGL)</t>
        </is>
      </c>
      <c r="C720" t="inlineStr">
        <is>
          <t>Indraprastha Gas (IGL)</t>
        </is>
      </c>
      <c r="F720" t="inlineStr">
        <is>
          <t>New Lead</t>
        </is>
      </c>
      <c r="G720" t="inlineStr">
        <is>
          <t>Gas-related / review</t>
        </is>
      </c>
      <c r="H720" t="inlineStr">
        <is>
          <t>Corrigendum_1_CP18304.pdf</t>
        </is>
      </c>
      <c r="K720" t="inlineStr">
        <is>
          <t>Not found</t>
        </is>
      </c>
      <c r="L720" t="inlineStr">
        <is>
          <t>Unknown</t>
        </is>
      </c>
      <c r="T720" t="inlineStr">
        <is>
          <t>https://tenders.iglonline.net/uploads/tender/Corrigendum_1_CP18304.pdf</t>
        </is>
      </c>
      <c r="U720" t="inlineStr">
        <is>
          <t>No</t>
        </is>
      </c>
      <c r="V720" t="inlineStr">
        <is>
          <t>Bot tarafindan tespit edildi (2026-07-01); Bot tespit/zenginlestirme (2026-07-01); meta:score=35;priority=Low;source_type=html_table;closing_date=;equipment=Gas-related / review;reasons=equipment:Gas-related / review,document source</t>
        </is>
      </c>
    </row>
    <row r="721">
      <c r="A721" t="inlineStr">
        <is>
          <t>T-0525</t>
        </is>
      </c>
      <c r="B721" t="inlineStr">
        <is>
          <t>Indraprastha Gas (IGL)</t>
        </is>
      </c>
      <c r="C721" t="inlineStr">
        <is>
          <t>Indraprastha Gas (IGL)</t>
        </is>
      </c>
      <c r="F721" t="inlineStr">
        <is>
          <t>New Lead</t>
        </is>
      </c>
      <c r="G721" t="inlineStr">
        <is>
          <t>Gas-related / review</t>
        </is>
      </c>
      <c r="H721" t="inlineStr">
        <is>
          <t>Corrigendum_2_CP18304.pdf</t>
        </is>
      </c>
      <c r="K721" t="inlineStr">
        <is>
          <t>Not found</t>
        </is>
      </c>
      <c r="L721" t="inlineStr">
        <is>
          <t>Unknown</t>
        </is>
      </c>
      <c r="T721" t="inlineStr">
        <is>
          <t>https://tenders.iglonline.net/uploads/tender/Corrigendum_2_CP18304.pdf</t>
        </is>
      </c>
      <c r="U721" t="inlineStr">
        <is>
          <t>No</t>
        </is>
      </c>
      <c r="V721" t="inlineStr">
        <is>
          <t>Bot tarafindan tespit edildi (2026-07-01); Bot tespit/zenginlestirme (2026-07-01); meta:score=35;priority=Low;source_type=html_table;closing_date=;equipment=Gas-related / review;reasons=equipment:Gas-related / review,document source</t>
        </is>
      </c>
    </row>
    <row r="722">
      <c r="A722" t="inlineStr">
        <is>
          <t>T-0526</t>
        </is>
      </c>
      <c r="B722" t="inlineStr">
        <is>
          <t>Indraprastha Gas (IGL)</t>
        </is>
      </c>
      <c r="C722" t="inlineStr">
        <is>
          <t>Indraprastha Gas (IGL)</t>
        </is>
      </c>
      <c r="F722" t="inlineStr">
        <is>
          <t>New Lead</t>
        </is>
      </c>
      <c r="G722" t="inlineStr">
        <is>
          <t>Gas-related / review</t>
        </is>
      </c>
      <c r="H722" t="inlineStr">
        <is>
          <t>RTBQ_CP18304.pdf</t>
        </is>
      </c>
      <c r="K722" t="inlineStr">
        <is>
          <t>Not found</t>
        </is>
      </c>
      <c r="L722" t="inlineStr">
        <is>
          <t>Unknown</t>
        </is>
      </c>
      <c r="T722" t="inlineStr">
        <is>
          <t>https://tenders.iglonline.net/uploads/tender/RTBQ_CP18304.pdf</t>
        </is>
      </c>
      <c r="U722" t="inlineStr">
        <is>
          <t>No</t>
        </is>
      </c>
      <c r="V722" t="inlineStr">
        <is>
          <t>Bot tarafindan tespit edildi (2026-07-01); Bot tespit/zenginlestirme (2026-07-01); meta:score=35;priority=Low;source_type=html_table;closing_date=;equipment=Gas-related / review;reasons=equipment:Gas-related / review,document source</t>
        </is>
      </c>
    </row>
    <row r="723">
      <c r="A723" t="inlineStr">
        <is>
          <t>T-0527</t>
        </is>
      </c>
      <c r="B723" t="inlineStr">
        <is>
          <t>Indraprastha Gas (IGL)</t>
        </is>
      </c>
      <c r="C723" t="inlineStr">
        <is>
          <t>Indraprastha Gas (IGL)</t>
        </is>
      </c>
      <c r="F723" t="inlineStr">
        <is>
          <t>New Lead</t>
        </is>
      </c>
      <c r="G723" t="inlineStr">
        <is>
          <t>Gas-related / review</t>
        </is>
      </c>
      <c r="H723" t="inlineStr">
        <is>
          <t>Corrigendum_3_CP18304.pdf</t>
        </is>
      </c>
      <c r="K723" t="inlineStr">
        <is>
          <t>Not found</t>
        </is>
      </c>
      <c r="L723" t="inlineStr">
        <is>
          <t>Unknown</t>
        </is>
      </c>
      <c r="T723" t="inlineStr">
        <is>
          <t>https://tenders.iglonline.net/uploads/tender/Corrigendum_3_CP18304.pdf</t>
        </is>
      </c>
      <c r="U723" t="inlineStr">
        <is>
          <t>No</t>
        </is>
      </c>
      <c r="V723" t="inlineStr">
        <is>
          <t>Bot tarafindan tespit edildi (2026-07-01); Bot tespit/zenginlestirme (2026-07-01); meta:score=35;priority=Low;source_type=html_table;closing_date=;equipment=Gas-related / review;reasons=equipment:Gas-related / review,document source</t>
        </is>
      </c>
    </row>
    <row r="724">
      <c r="A724" t="inlineStr">
        <is>
          <t>T-0528</t>
        </is>
      </c>
      <c r="B724" t="inlineStr">
        <is>
          <t>Indraprastha Gas (IGL)</t>
        </is>
      </c>
      <c r="C724" t="inlineStr">
        <is>
          <t>Indraprastha Gas (IGL)</t>
        </is>
      </c>
      <c r="F724" t="inlineStr">
        <is>
          <t>New Lead</t>
        </is>
      </c>
      <c r="H724" t="inlineStr">
        <is>
          <t>View Tender</t>
        </is>
      </c>
      <c r="K724" t="inlineStr">
        <is>
          <t>Not found</t>
        </is>
      </c>
      <c r="L724" t="inlineStr">
        <is>
          <t>Unknown</t>
        </is>
      </c>
      <c r="T724" t="inlineStr">
        <is>
          <t>https://tenders.iglonline.net/tenderDetail/377/Active Tenders And Corrigendum-Addendum</t>
        </is>
      </c>
      <c r="U724" t="inlineStr">
        <is>
          <t>No</t>
        </is>
      </c>
      <c r="V724" t="inlineStr">
        <is>
          <t>Bot tarafindan tespit edildi (2026-07-01)</t>
        </is>
      </c>
    </row>
    <row r="725">
      <c r="A725" t="inlineStr">
        <is>
          <t>T-0529</t>
        </is>
      </c>
      <c r="B725" t="inlineStr">
        <is>
          <t>Indraprastha Gas (IGL)</t>
        </is>
      </c>
      <c r="C725" t="inlineStr">
        <is>
          <t>Indraprastha Gas (IGL)</t>
        </is>
      </c>
      <c r="F725" t="inlineStr">
        <is>
          <t>New Lead</t>
        </is>
      </c>
      <c r="H725" t="inlineStr">
        <is>
          <t>Corrigendum_1_CM18322.pdf</t>
        </is>
      </c>
      <c r="K725" t="inlineStr">
        <is>
          <t>Not found</t>
        </is>
      </c>
      <c r="L725" t="inlineStr">
        <is>
          <t>Unknown</t>
        </is>
      </c>
      <c r="T725" t="inlineStr">
        <is>
          <t>https://tenders.iglonline.net/uploads/tender/Corrigendum_1_CM18322.pdf</t>
        </is>
      </c>
      <c r="U725" t="inlineStr">
        <is>
          <t>No</t>
        </is>
      </c>
      <c r="V725" t="inlineStr">
        <is>
          <t>Bot tarafindan tespit edildi (2026-07-01)</t>
        </is>
      </c>
    </row>
    <row r="726">
      <c r="A726" t="inlineStr">
        <is>
          <t>T-0530</t>
        </is>
      </c>
      <c r="B726" t="inlineStr">
        <is>
          <t>Indraprastha Gas (IGL)</t>
        </is>
      </c>
      <c r="C726" t="inlineStr">
        <is>
          <t>Indraprastha Gas (IGL)</t>
        </is>
      </c>
      <c r="F726" t="inlineStr">
        <is>
          <t>New Lead</t>
        </is>
      </c>
      <c r="H726" t="inlineStr">
        <is>
          <t>Corrigendum_2_(1)3.pdf</t>
        </is>
      </c>
      <c r="K726" t="inlineStr">
        <is>
          <t>Not found</t>
        </is>
      </c>
      <c r="L726" t="inlineStr">
        <is>
          <t>Unknown</t>
        </is>
      </c>
      <c r="T726" t="inlineStr">
        <is>
          <t>https://tenders.iglonline.net/uploads/tender/Corrigendum_2_(1)3.pdf</t>
        </is>
      </c>
      <c r="U726" t="inlineStr">
        <is>
          <t>No</t>
        </is>
      </c>
      <c r="V726" t="inlineStr">
        <is>
          <t>Bot tarafindan tespit edildi (2026-07-01)</t>
        </is>
      </c>
    </row>
    <row r="727">
      <c r="A727" t="inlineStr">
        <is>
          <t>T-0531</t>
        </is>
      </c>
      <c r="B727" t="inlineStr">
        <is>
          <t>Indraprastha Gas (IGL)</t>
        </is>
      </c>
      <c r="C727" t="inlineStr">
        <is>
          <t>Indraprastha Gas (IGL)</t>
        </is>
      </c>
      <c r="F727" t="inlineStr">
        <is>
          <t>New Lead</t>
        </is>
      </c>
      <c r="H727" t="inlineStr">
        <is>
          <t>Corrigendum_3_Amendment_(1).pdf</t>
        </is>
      </c>
      <c r="K727" t="inlineStr">
        <is>
          <t>Not found</t>
        </is>
      </c>
      <c r="L727" t="inlineStr">
        <is>
          <t>Unknown</t>
        </is>
      </c>
      <c r="T727" t="inlineStr">
        <is>
          <t>https://tenders.iglonline.net/uploads/tender/Corrigendum_3_Amendment_(1).pdf</t>
        </is>
      </c>
      <c r="U727" t="inlineStr">
        <is>
          <t>No</t>
        </is>
      </c>
      <c r="V727" t="inlineStr">
        <is>
          <t>Bot tarafindan tespit edildi (2026-07-01)</t>
        </is>
      </c>
    </row>
    <row r="728">
      <c r="A728" t="inlineStr">
        <is>
          <t>T-0532</t>
        </is>
      </c>
      <c r="B728" t="inlineStr">
        <is>
          <t>Indraprastha Gas (IGL)</t>
        </is>
      </c>
      <c r="C728" t="inlineStr">
        <is>
          <t>Indraprastha Gas (IGL)</t>
        </is>
      </c>
      <c r="F728" t="inlineStr">
        <is>
          <t>New Lead</t>
        </is>
      </c>
      <c r="H728" t="inlineStr">
        <is>
          <t>CM18322_Corrigendum_4_Cancellation of tender.pdf</t>
        </is>
      </c>
      <c r="K728" t="inlineStr">
        <is>
          <t>Not found</t>
        </is>
      </c>
      <c r="L728" t="inlineStr">
        <is>
          <t>Unknown</t>
        </is>
      </c>
      <c r="T728" t="inlineStr">
        <is>
          <t>https://tenders.iglonline.net/uploads/tender/CM18322_Corrigendum_4_Cancellation of tender.pdf</t>
        </is>
      </c>
      <c r="U728" t="inlineStr">
        <is>
          <t>No</t>
        </is>
      </c>
      <c r="V728" t="inlineStr">
        <is>
          <t>Bot tarafindan tespit edildi (2026-07-01)</t>
        </is>
      </c>
    </row>
    <row r="729">
      <c r="A729" t="inlineStr">
        <is>
          <t>T-0533</t>
        </is>
      </c>
      <c r="B729" t="inlineStr">
        <is>
          <t>Indraprastha Gas (IGL)</t>
        </is>
      </c>
      <c r="C729" t="inlineStr">
        <is>
          <t>Indraprastha Gas (IGL)</t>
        </is>
      </c>
      <c r="F729" t="inlineStr">
        <is>
          <t>New Lead</t>
        </is>
      </c>
      <c r="H729" t="inlineStr">
        <is>
          <t>View Tender</t>
        </is>
      </c>
      <c r="K729" t="inlineStr">
        <is>
          <t>Not found</t>
        </is>
      </c>
      <c r="L729" t="inlineStr">
        <is>
          <t>Unknown</t>
        </is>
      </c>
      <c r="T729" t="inlineStr">
        <is>
          <t>https://tenders.iglonline.net/tenderDetail/376/Active Tenders And Corrigendum-Addendum</t>
        </is>
      </c>
      <c r="U729" t="inlineStr">
        <is>
          <t>No</t>
        </is>
      </c>
      <c r="V729" t="inlineStr">
        <is>
          <t>Bot tarafindan tespit edildi (2026-07-01)</t>
        </is>
      </c>
    </row>
    <row r="730">
      <c r="A730" t="inlineStr">
        <is>
          <t>T-0534</t>
        </is>
      </c>
      <c r="B730" t="inlineStr">
        <is>
          <t>Indraprastha Gas (IGL)</t>
        </is>
      </c>
      <c r="C730" t="inlineStr">
        <is>
          <t>Indraprastha Gas (IGL)</t>
        </is>
      </c>
      <c r="F730" t="inlineStr">
        <is>
          <t>New Lead</t>
        </is>
      </c>
      <c r="H730" t="inlineStr">
        <is>
          <t>RTBQ_CP18292.pdf</t>
        </is>
      </c>
      <c r="K730" t="inlineStr">
        <is>
          <t>Not found</t>
        </is>
      </c>
      <c r="L730" t="inlineStr">
        <is>
          <t>Unknown</t>
        </is>
      </c>
      <c r="T730" t="inlineStr">
        <is>
          <t>https://tenders.iglonline.net/uploads/tender/RTBQ_CP18292.pdf</t>
        </is>
      </c>
      <c r="U730" t="inlineStr">
        <is>
          <t>No</t>
        </is>
      </c>
      <c r="V730" t="inlineStr">
        <is>
          <t>Bot tarafindan tespit edildi (2026-07-01)</t>
        </is>
      </c>
    </row>
    <row r="731">
      <c r="A731" t="inlineStr">
        <is>
          <t>T-0535</t>
        </is>
      </c>
      <c r="B731" t="inlineStr">
        <is>
          <t>Indraprastha Gas (IGL)</t>
        </is>
      </c>
      <c r="C731" t="inlineStr">
        <is>
          <t>Indraprastha Gas (IGL)</t>
        </is>
      </c>
      <c r="F731" t="inlineStr">
        <is>
          <t>New Lead</t>
        </is>
      </c>
      <c r="H731" t="inlineStr">
        <is>
          <t>View Tender</t>
        </is>
      </c>
      <c r="K731" t="inlineStr">
        <is>
          <t>Not found</t>
        </is>
      </c>
      <c r="L731" t="inlineStr">
        <is>
          <t>Unknown</t>
        </is>
      </c>
      <c r="T731" t="inlineStr">
        <is>
          <t>https://tenders.iglonline.net/tenderDetail/375/Active Tenders And Corrigendum-Addendum</t>
        </is>
      </c>
      <c r="U731" t="inlineStr">
        <is>
          <t>No</t>
        </is>
      </c>
      <c r="V731" t="inlineStr">
        <is>
          <t>Bot tarafindan tespit edildi (2026-07-01)</t>
        </is>
      </c>
    </row>
    <row r="732">
      <c r="A732" t="inlineStr">
        <is>
          <t>T-0536</t>
        </is>
      </c>
      <c r="B732" t="inlineStr">
        <is>
          <t>Indraprastha Gas (IGL)</t>
        </is>
      </c>
      <c r="C732" t="inlineStr">
        <is>
          <t>Indraprastha Gas (IGL)</t>
        </is>
      </c>
      <c r="F732" t="inlineStr">
        <is>
          <t>New Lead</t>
        </is>
      </c>
      <c r="H732" t="inlineStr">
        <is>
          <t>RTBQ_(3).pdf</t>
        </is>
      </c>
      <c r="K732" t="inlineStr">
        <is>
          <t>Not found</t>
        </is>
      </c>
      <c r="L732" t="inlineStr">
        <is>
          <t>Unknown</t>
        </is>
      </c>
      <c r="T732" t="inlineStr">
        <is>
          <t>https://tenders.iglonline.net/uploads/tender/RTBQ_(3).pdf</t>
        </is>
      </c>
      <c r="U732" t="inlineStr">
        <is>
          <t>No</t>
        </is>
      </c>
      <c r="V732" t="inlineStr">
        <is>
          <t>Bot tarafindan tespit edildi (2026-07-01)</t>
        </is>
      </c>
    </row>
    <row r="733">
      <c r="A733" t="inlineStr">
        <is>
          <t>T-0537</t>
        </is>
      </c>
      <c r="B733" t="inlineStr">
        <is>
          <t>Indraprastha Gas (IGL)</t>
        </is>
      </c>
      <c r="C733" t="inlineStr">
        <is>
          <t>Indraprastha Gas (IGL)</t>
        </is>
      </c>
      <c r="F733" t="inlineStr">
        <is>
          <t>New Lead</t>
        </is>
      </c>
      <c r="H733" t="inlineStr">
        <is>
          <t>View Tender</t>
        </is>
      </c>
      <c r="K733" t="inlineStr">
        <is>
          <t>Not found</t>
        </is>
      </c>
      <c r="L733" t="inlineStr">
        <is>
          <t>Unknown</t>
        </is>
      </c>
      <c r="T733" t="inlineStr">
        <is>
          <t>https://tenders.iglonline.net/tenderDetail/374/Active Tenders And Corrigendum-Addendum</t>
        </is>
      </c>
      <c r="U733" t="inlineStr">
        <is>
          <t>No</t>
        </is>
      </c>
      <c r="V733" t="inlineStr">
        <is>
          <t>Bot tarafindan tespit edildi (2026-07-01)</t>
        </is>
      </c>
    </row>
    <row r="734">
      <c r="A734" t="inlineStr">
        <is>
          <t>T-0538</t>
        </is>
      </c>
      <c r="B734" t="inlineStr">
        <is>
          <t>Indraprastha Gas (IGL)</t>
        </is>
      </c>
      <c r="C734" t="inlineStr">
        <is>
          <t>Indraprastha Gas (IGL)</t>
        </is>
      </c>
      <c r="F734" t="inlineStr">
        <is>
          <t>New Lead</t>
        </is>
      </c>
      <c r="H734" t="inlineStr">
        <is>
          <t>View Tender</t>
        </is>
      </c>
      <c r="K734" t="inlineStr">
        <is>
          <t>Not found</t>
        </is>
      </c>
      <c r="L734" t="inlineStr">
        <is>
          <t>Unknown</t>
        </is>
      </c>
      <c r="T734" t="inlineStr">
        <is>
          <t>https://tenders.iglonline.net/tenderDetail/373/Active Tenders And Corrigendum-Addendum</t>
        </is>
      </c>
      <c r="U734" t="inlineStr">
        <is>
          <t>No</t>
        </is>
      </c>
      <c r="V734" t="inlineStr">
        <is>
          <t>Bot tarafindan tespit edildi (2026-07-01)</t>
        </is>
      </c>
    </row>
    <row r="735">
      <c r="A735" t="inlineStr">
        <is>
          <t>T-0539</t>
        </is>
      </c>
      <c r="B735" t="inlineStr">
        <is>
          <t>Indraprastha Gas (IGL)</t>
        </is>
      </c>
      <c r="C735" t="inlineStr">
        <is>
          <t>Indraprastha Gas (IGL)</t>
        </is>
      </c>
      <c r="D735" t="inlineStr">
        <is>
          <t>ORING</t>
        </is>
      </c>
      <c r="F735" t="inlineStr">
        <is>
          <t>New Lead</t>
        </is>
      </c>
      <c r="G735" t="inlineStr">
        <is>
          <t>Unclassified</t>
        </is>
      </c>
      <c r="H735" t="inlineStr">
        <is>
          <t>RTBQ_CP18334.pdf</t>
        </is>
      </c>
      <c r="K735" t="inlineStr">
        <is>
          <t>Not found</t>
        </is>
      </c>
      <c r="L735" t="inlineStr">
        <is>
          <t>Unknown</t>
        </is>
      </c>
      <c r="T735" t="inlineStr">
        <is>
          <t>https://tenders.iglonline.net/uploads/tender/RTBQ_CP18334.pdf</t>
        </is>
      </c>
      <c r="U735" t="inlineStr">
        <is>
          <t>No</t>
        </is>
      </c>
      <c r="V735" t="inlineStr">
        <is>
          <t>Bot tarafindan tespit edildi (2026-07-01); Bot tespit/zenginlestirme (2026-07-01); meta:score=35;priority=Low;source_type=html_table;closing_date=;equipment=Unclassified;reasons=document source,tender reference signal</t>
        </is>
      </c>
    </row>
    <row r="736">
      <c r="A736" t="inlineStr">
        <is>
          <t>T-0540</t>
        </is>
      </c>
      <c r="B736" t="inlineStr">
        <is>
          <t>Indraprastha Gas (IGL)</t>
        </is>
      </c>
      <c r="C736" t="inlineStr">
        <is>
          <t>Indraprastha Gas (IGL)</t>
        </is>
      </c>
      <c r="D736" t="inlineStr">
        <is>
          <t>ORING</t>
        </is>
      </c>
      <c r="F736" t="inlineStr">
        <is>
          <t>New Lead</t>
        </is>
      </c>
      <c r="G736" t="inlineStr">
        <is>
          <t>Unclassified</t>
        </is>
      </c>
      <c r="H736" t="inlineStr">
        <is>
          <t>Corrigendum_1_CP18334.pdf</t>
        </is>
      </c>
      <c r="K736" t="inlineStr">
        <is>
          <t>Not found</t>
        </is>
      </c>
      <c r="L736" t="inlineStr">
        <is>
          <t>Unknown</t>
        </is>
      </c>
      <c r="T736" t="inlineStr">
        <is>
          <t>https://tenders.iglonline.net/uploads/tender/Corrigendum_1_CP18334.pdf</t>
        </is>
      </c>
      <c r="U736" t="inlineStr">
        <is>
          <t>No</t>
        </is>
      </c>
      <c r="V736" t="inlineStr">
        <is>
          <t>Bot tarafindan tespit edildi (2026-07-01); Bot tespit/zenginlestirme (2026-07-01); meta:score=35;priority=Low;source_type=html_table;closing_date=;equipment=Unclassified;reasons=document source,tender reference signal</t>
        </is>
      </c>
    </row>
    <row r="737">
      <c r="A737" t="inlineStr">
        <is>
          <t>T-0541</t>
        </is>
      </c>
      <c r="B737" t="inlineStr">
        <is>
          <t>Indraprastha Gas (IGL)</t>
        </is>
      </c>
      <c r="C737" t="inlineStr">
        <is>
          <t>Indraprastha Gas (IGL)</t>
        </is>
      </c>
      <c r="D737" t="inlineStr">
        <is>
          <t>ORING</t>
        </is>
      </c>
      <c r="F737" t="inlineStr">
        <is>
          <t>New Lead</t>
        </is>
      </c>
      <c r="G737" t="inlineStr">
        <is>
          <t>Unclassified</t>
        </is>
      </c>
      <c r="H737" t="inlineStr">
        <is>
          <t>Corrigendum_2_CP18334.pdf</t>
        </is>
      </c>
      <c r="K737" t="inlineStr">
        <is>
          <t>Not found</t>
        </is>
      </c>
      <c r="L737" t="inlineStr">
        <is>
          <t>Unknown</t>
        </is>
      </c>
      <c r="T737" t="inlineStr">
        <is>
          <t>https://tenders.iglonline.net/uploads/tender/Corrigendum_2_CP18334.pdf</t>
        </is>
      </c>
      <c r="U737" t="inlineStr">
        <is>
          <t>No</t>
        </is>
      </c>
      <c r="V737" t="inlineStr">
        <is>
          <t>Bot tarafindan tespit edildi (2026-07-01); Bot tespit/zenginlestirme (2026-07-01); meta:score=35;priority=Low;source_type=html_table;closing_date=;equipment=Unclassified;reasons=document source,tender reference signal</t>
        </is>
      </c>
    </row>
    <row r="738">
      <c r="A738" t="inlineStr">
        <is>
          <t>T-0542</t>
        </is>
      </c>
      <c r="B738" t="inlineStr">
        <is>
          <t>Indraprastha Gas (IGL)</t>
        </is>
      </c>
      <c r="C738" t="inlineStr">
        <is>
          <t>Indraprastha Gas (IGL)</t>
        </is>
      </c>
      <c r="F738" t="inlineStr">
        <is>
          <t>New Lead</t>
        </is>
      </c>
      <c r="H738" t="inlineStr">
        <is>
          <t>View Tender</t>
        </is>
      </c>
      <c r="K738" t="inlineStr">
        <is>
          <t>Not found</t>
        </is>
      </c>
      <c r="L738" t="inlineStr">
        <is>
          <t>Unknown</t>
        </is>
      </c>
      <c r="T738" t="inlineStr">
        <is>
          <t>https://tenders.iglonline.net/tenderDetail/372/Active Tenders And Corrigendum-Addendum</t>
        </is>
      </c>
      <c r="U738" t="inlineStr">
        <is>
          <t>No</t>
        </is>
      </c>
      <c r="V738" t="inlineStr">
        <is>
          <t>Bot tarafindan tespit edildi (2026-07-01)</t>
        </is>
      </c>
    </row>
    <row r="739">
      <c r="A739" t="inlineStr">
        <is>
          <t>T-0543</t>
        </is>
      </c>
      <c r="B739" t="inlineStr">
        <is>
          <t>Indraprastha Gas (IGL)</t>
        </is>
      </c>
      <c r="C739" t="inlineStr">
        <is>
          <t>Indraprastha Gas (IGL)</t>
        </is>
      </c>
      <c r="F739" t="inlineStr">
        <is>
          <t>New Lead</t>
        </is>
      </c>
      <c r="G739" t="inlineStr">
        <is>
          <t>Gas-related / review</t>
        </is>
      </c>
      <c r="H739" t="inlineStr">
        <is>
          <t>CORRIGENDUM I_CC18267.pdf</t>
        </is>
      </c>
      <c r="K739" t="inlineStr">
        <is>
          <t>Not found</t>
        </is>
      </c>
      <c r="L739" t="inlineStr">
        <is>
          <t>Unknown</t>
        </is>
      </c>
      <c r="T739" t="inlineStr">
        <is>
          <t>https://tenders.iglonline.net/uploads/tender/CORRIGENDUM I_CC18267.pdf</t>
        </is>
      </c>
      <c r="U739" t="inlineStr">
        <is>
          <t>No</t>
        </is>
      </c>
      <c r="V739" t="inlineStr">
        <is>
          <t>Bot tarafindan tespit edildi (2026-07-01); Bot tespit/zenginlestirme (2026-07-01); meta:score=35;priority=Low;source_type=html_table;closing_date=;equipment=Gas-related / review;reasons=equipment:Gas-related / review,document source</t>
        </is>
      </c>
    </row>
    <row r="740">
      <c r="A740" t="inlineStr">
        <is>
          <t>T-0544</t>
        </is>
      </c>
      <c r="B740" t="inlineStr">
        <is>
          <t>Indraprastha Gas (IGL)</t>
        </is>
      </c>
      <c r="C740" t="inlineStr">
        <is>
          <t>Indraprastha Gas (IGL)</t>
        </is>
      </c>
      <c r="F740" t="inlineStr">
        <is>
          <t>New Lead</t>
        </is>
      </c>
      <c r="H740" t="inlineStr">
        <is>
          <t>View Tender</t>
        </is>
      </c>
      <c r="K740" t="inlineStr">
        <is>
          <t>Not found</t>
        </is>
      </c>
      <c r="L740" t="inlineStr">
        <is>
          <t>Unknown</t>
        </is>
      </c>
      <c r="T740" t="inlineStr">
        <is>
          <t>https://tenders.iglonline.net/tenderDetail/371/Active Tenders And Corrigendum-Addendum</t>
        </is>
      </c>
      <c r="U740" t="inlineStr">
        <is>
          <t>No</t>
        </is>
      </c>
      <c r="V740" t="inlineStr">
        <is>
          <t>Bot tarafindan tespit edildi (2026-07-01)</t>
        </is>
      </c>
    </row>
    <row r="741">
      <c r="A741" t="inlineStr">
        <is>
          <t>T-0545</t>
        </is>
      </c>
      <c r="B741" t="inlineStr">
        <is>
          <t>Indraprastha Gas (IGL)</t>
        </is>
      </c>
      <c r="C741" t="inlineStr">
        <is>
          <t>Indraprastha Gas (IGL)</t>
        </is>
      </c>
      <c r="F741" t="inlineStr">
        <is>
          <t>New Lead</t>
        </is>
      </c>
      <c r="G741" t="inlineStr">
        <is>
          <t>Gas-related / review</t>
        </is>
      </c>
      <c r="H741" t="inlineStr">
        <is>
          <t>Water_cooler_pre_bid_replies.pdf</t>
        </is>
      </c>
      <c r="K741" t="inlineStr">
        <is>
          <t>Not found</t>
        </is>
      </c>
      <c r="L741" t="inlineStr">
        <is>
          <t>Unknown</t>
        </is>
      </c>
      <c r="T741" t="inlineStr">
        <is>
          <t>https://tenders.iglonline.net/uploads/tender/Water_cooler_pre_bid_replies.pdf</t>
        </is>
      </c>
      <c r="U741" t="inlineStr">
        <is>
          <t>No</t>
        </is>
      </c>
      <c r="V741" t="inlineStr">
        <is>
          <t>Bot tarafindan tespit edildi (2026-07-01); Bot tespit/zenginlestirme (2026-07-01); meta:score=35;priority=Low;source_type=html_table;closing_date=;equipment=Gas-related / review;reasons=equipment:Gas-related / review,document source</t>
        </is>
      </c>
    </row>
    <row r="742">
      <c r="A742" t="inlineStr">
        <is>
          <t>T-0546</t>
        </is>
      </c>
      <c r="B742" t="inlineStr">
        <is>
          <t>Indraprastha Gas (IGL)</t>
        </is>
      </c>
      <c r="C742" t="inlineStr">
        <is>
          <t>Indraprastha Gas (IGL)</t>
        </is>
      </c>
      <c r="F742" t="inlineStr">
        <is>
          <t>New Lead</t>
        </is>
      </c>
      <c r="G742" t="inlineStr">
        <is>
          <t>Gas-related / review</t>
        </is>
      </c>
      <c r="H742" t="inlineStr">
        <is>
          <t>CORRIGENDUM_II_CC18293.pdf</t>
        </is>
      </c>
      <c r="K742" t="inlineStr">
        <is>
          <t>Not found</t>
        </is>
      </c>
      <c r="L742" t="inlineStr">
        <is>
          <t>Unknown</t>
        </is>
      </c>
      <c r="T742" t="inlineStr">
        <is>
          <t>https://tenders.iglonline.net/uploads/tender/CORRIGENDUM_II_CC18293.pdf</t>
        </is>
      </c>
      <c r="U742" t="inlineStr">
        <is>
          <t>No</t>
        </is>
      </c>
      <c r="V742" t="inlineStr">
        <is>
          <t>Bot tarafindan tespit edildi (2026-07-01); Bot tespit/zenginlestirme (2026-07-01); meta:score=35;priority=Low;source_type=html_table;closing_date=;equipment=Gas-related / review;reasons=equipment:Gas-related / review,document source</t>
        </is>
      </c>
    </row>
    <row r="743">
      <c r="A743" t="inlineStr">
        <is>
          <t>T-0547</t>
        </is>
      </c>
      <c r="B743" t="inlineStr">
        <is>
          <t>Indraprastha Gas (IGL)</t>
        </is>
      </c>
      <c r="C743" t="inlineStr">
        <is>
          <t>Indraprastha Gas (IGL)</t>
        </is>
      </c>
      <c r="F743" t="inlineStr">
        <is>
          <t>New Lead</t>
        </is>
      </c>
      <c r="G743" t="inlineStr">
        <is>
          <t>Gas-related / review</t>
        </is>
      </c>
      <c r="H743" t="inlineStr">
        <is>
          <t>CORRIGENDUM_III_CC18293.pdf</t>
        </is>
      </c>
      <c r="K743" t="inlineStr">
        <is>
          <t>Not found</t>
        </is>
      </c>
      <c r="L743" t="inlineStr">
        <is>
          <t>Unknown</t>
        </is>
      </c>
      <c r="T743" t="inlineStr">
        <is>
          <t>https://tenders.iglonline.net/uploads/tender/CORRIGENDUM_III_CC18293.pdf</t>
        </is>
      </c>
      <c r="U743" t="inlineStr">
        <is>
          <t>No</t>
        </is>
      </c>
      <c r="V743" t="inlineStr">
        <is>
          <t>Bot tarafindan tespit edildi (2026-07-01); Bot tespit/zenginlestirme (2026-07-01); meta:score=35;priority=Low;source_type=html_table;closing_date=;equipment=Gas-related / review;reasons=equipment:Gas-related / review,document source</t>
        </is>
      </c>
    </row>
    <row r="744">
      <c r="A744" t="inlineStr">
        <is>
          <t>T-0548</t>
        </is>
      </c>
      <c r="B744" t="inlineStr">
        <is>
          <t>Indraprastha Gas (IGL)</t>
        </is>
      </c>
      <c r="C744" t="inlineStr">
        <is>
          <t>Indraprastha Gas (IGL)</t>
        </is>
      </c>
      <c r="F744" t="inlineStr">
        <is>
          <t>New Lead</t>
        </is>
      </c>
      <c r="G744" t="inlineStr">
        <is>
          <t>Gas-related / review</t>
        </is>
      </c>
      <c r="H744" t="inlineStr">
        <is>
          <t>CORRIGENDUM IV_CC18293.pdf</t>
        </is>
      </c>
      <c r="K744" t="inlineStr">
        <is>
          <t>Not found</t>
        </is>
      </c>
      <c r="L744" t="inlineStr">
        <is>
          <t>Unknown</t>
        </is>
      </c>
      <c r="T744" t="inlineStr">
        <is>
          <t>https://tenders.iglonline.net/uploads/tender/CORRIGENDUM IV_CC18293.pdf</t>
        </is>
      </c>
      <c r="U744" t="inlineStr">
        <is>
          <t>No</t>
        </is>
      </c>
      <c r="V744" t="inlineStr">
        <is>
          <t>Bot tarafindan tespit edildi (2026-07-01); Bot tespit/zenginlestirme (2026-07-01); meta:score=35;priority=Low;source_type=html_table;closing_date=;equipment=Gas-related / review;reasons=equipment:Gas-related / review,document source</t>
        </is>
      </c>
    </row>
    <row r="745">
      <c r="A745" t="inlineStr">
        <is>
          <t>T-0549</t>
        </is>
      </c>
      <c r="B745" t="inlineStr">
        <is>
          <t>Indraprastha Gas (IGL)</t>
        </is>
      </c>
      <c r="C745" t="inlineStr">
        <is>
          <t>Indraprastha Gas (IGL)</t>
        </is>
      </c>
      <c r="F745" t="inlineStr">
        <is>
          <t>New Lead</t>
        </is>
      </c>
      <c r="H745" t="inlineStr">
        <is>
          <t>View Tender</t>
        </is>
      </c>
      <c r="K745" t="inlineStr">
        <is>
          <t>Not found</t>
        </is>
      </c>
      <c r="L745" t="inlineStr">
        <is>
          <t>Unknown</t>
        </is>
      </c>
      <c r="T745" t="inlineStr">
        <is>
          <t>https://tenders.iglonline.net/tenderDetail/370/Active Tenders And Corrigendum-Addendum</t>
        </is>
      </c>
      <c r="U745" t="inlineStr">
        <is>
          <t>No</t>
        </is>
      </c>
      <c r="V745" t="inlineStr">
        <is>
          <t>Bot tarafindan tespit edildi (2026-07-01)</t>
        </is>
      </c>
    </row>
    <row r="746">
      <c r="A746" t="inlineStr">
        <is>
          <t>T-0550</t>
        </is>
      </c>
      <c r="B746" t="inlineStr">
        <is>
          <t>Indraprastha Gas (IGL)</t>
        </is>
      </c>
      <c r="C746" t="inlineStr">
        <is>
          <t>Indraprastha Gas (IGL)</t>
        </is>
      </c>
      <c r="F746" t="inlineStr">
        <is>
          <t>New Lead</t>
        </is>
      </c>
      <c r="H746" t="inlineStr">
        <is>
          <t>Pre_Bid_Replies_CM18350.pdf</t>
        </is>
      </c>
      <c r="K746" t="inlineStr">
        <is>
          <t>Not found</t>
        </is>
      </c>
      <c r="L746" t="inlineStr">
        <is>
          <t>Unknown</t>
        </is>
      </c>
      <c r="T746" t="inlineStr">
        <is>
          <t>https://tenders.iglonline.net/uploads/tender/Pre_Bid_Replies_CM18350.pdf</t>
        </is>
      </c>
      <c r="U746" t="inlineStr">
        <is>
          <t>No</t>
        </is>
      </c>
      <c r="V746" t="inlineStr">
        <is>
          <t>Bot tarafindan tespit edildi (2026-07-01)</t>
        </is>
      </c>
    </row>
    <row r="747">
      <c r="A747" t="inlineStr">
        <is>
          <t>T-0551</t>
        </is>
      </c>
      <c r="B747" t="inlineStr">
        <is>
          <t>Indraprastha Gas (IGL)</t>
        </is>
      </c>
      <c r="C747" t="inlineStr">
        <is>
          <t>Indraprastha Gas (IGL)</t>
        </is>
      </c>
      <c r="F747" t="inlineStr">
        <is>
          <t>New Lead</t>
        </is>
      </c>
      <c r="H747" t="inlineStr">
        <is>
          <t>CORRIGENDUM_CM18350_(1).pdf</t>
        </is>
      </c>
      <c r="K747" t="inlineStr">
        <is>
          <t>Not found</t>
        </is>
      </c>
      <c r="L747" t="inlineStr">
        <is>
          <t>Unknown</t>
        </is>
      </c>
      <c r="T747" t="inlineStr">
        <is>
          <t>https://tenders.iglonline.net/uploads/tender/CORRIGENDUM_CM18350_(1).pdf</t>
        </is>
      </c>
      <c r="U747" t="inlineStr">
        <is>
          <t>No</t>
        </is>
      </c>
      <c r="V747" t="inlineStr">
        <is>
          <t>Bot tarafindan tespit edildi (2026-07-01)</t>
        </is>
      </c>
    </row>
    <row r="748">
      <c r="A748" t="inlineStr">
        <is>
          <t>T-0552</t>
        </is>
      </c>
      <c r="B748" t="inlineStr">
        <is>
          <t>Indraprastha Gas (IGL)</t>
        </is>
      </c>
      <c r="C748" t="inlineStr">
        <is>
          <t>Indraprastha Gas (IGL)</t>
        </is>
      </c>
      <c r="F748" t="inlineStr">
        <is>
          <t>New Lead</t>
        </is>
      </c>
      <c r="H748" t="inlineStr">
        <is>
          <t>View Tender</t>
        </is>
      </c>
      <c r="K748" t="inlineStr">
        <is>
          <t>Not found</t>
        </is>
      </c>
      <c r="L748" t="inlineStr">
        <is>
          <t>Unknown</t>
        </is>
      </c>
      <c r="T748" t="inlineStr">
        <is>
          <t>https://tenders.iglonline.net/tenderDetail/369/Active Tenders And Corrigendum-Addendum</t>
        </is>
      </c>
      <c r="U748" t="inlineStr">
        <is>
          <t>No</t>
        </is>
      </c>
      <c r="V748" t="inlineStr">
        <is>
          <t>Bot tarafindan tespit edildi (2026-07-01)</t>
        </is>
      </c>
    </row>
    <row r="749">
      <c r="A749" t="inlineStr">
        <is>
          <t>T-0553</t>
        </is>
      </c>
      <c r="B749" t="inlineStr">
        <is>
          <t>Indraprastha Gas (IGL)</t>
        </is>
      </c>
      <c r="C749" t="inlineStr">
        <is>
          <t>Indraprastha Gas (IGL)</t>
        </is>
      </c>
      <c r="F749" t="inlineStr">
        <is>
          <t>New Lead</t>
        </is>
      </c>
      <c r="H749" t="inlineStr">
        <is>
          <t>View Tender</t>
        </is>
      </c>
      <c r="K749" t="inlineStr">
        <is>
          <t>Not found</t>
        </is>
      </c>
      <c r="L749" t="inlineStr">
        <is>
          <t>Unknown</t>
        </is>
      </c>
      <c r="T749" t="inlineStr">
        <is>
          <t>https://tenders.iglonline.net/tenderDetail/368/Active Tenders And Corrigendum-Addendum</t>
        </is>
      </c>
      <c r="U749" t="inlineStr">
        <is>
          <t>No</t>
        </is>
      </c>
      <c r="V749" t="inlineStr">
        <is>
          <t>Bot tarafindan tespit edildi (2026-07-01)</t>
        </is>
      </c>
    </row>
    <row r="750">
      <c r="A750" t="inlineStr">
        <is>
          <t>T-0554</t>
        </is>
      </c>
      <c r="B750" t="inlineStr">
        <is>
          <t>Indraprastha Gas (IGL)</t>
        </is>
      </c>
      <c r="C750" t="inlineStr">
        <is>
          <t>Indraprastha Gas (IGL)</t>
        </is>
      </c>
      <c r="F750" t="inlineStr">
        <is>
          <t>New Lead</t>
        </is>
      </c>
      <c r="H750" t="inlineStr">
        <is>
          <t>Pre_Bid_Replies_CM18331.pdf</t>
        </is>
      </c>
      <c r="K750" t="inlineStr">
        <is>
          <t>Not found</t>
        </is>
      </c>
      <c r="L750" t="inlineStr">
        <is>
          <t>Unknown</t>
        </is>
      </c>
      <c r="T750" t="inlineStr">
        <is>
          <t>https://tenders.iglonline.net/uploads/tender/Pre_Bid_Replies_CM18331.pdf</t>
        </is>
      </c>
      <c r="U750" t="inlineStr">
        <is>
          <t>No</t>
        </is>
      </c>
      <c r="V750" t="inlineStr">
        <is>
          <t>Bot tarafindan tespit edildi (2026-07-01)</t>
        </is>
      </c>
    </row>
    <row r="751">
      <c r="A751" t="inlineStr">
        <is>
          <t>T-0555</t>
        </is>
      </c>
      <c r="B751" t="inlineStr">
        <is>
          <t>Indraprastha Gas (IGL)</t>
        </is>
      </c>
      <c r="C751" t="inlineStr">
        <is>
          <t>Indraprastha Gas (IGL)</t>
        </is>
      </c>
      <c r="F751" t="inlineStr">
        <is>
          <t>New Lead</t>
        </is>
      </c>
      <c r="H751" t="inlineStr">
        <is>
          <t>CORRIGENDUM_CM18331.pdf</t>
        </is>
      </c>
      <c r="K751" t="inlineStr">
        <is>
          <t>Not found</t>
        </is>
      </c>
      <c r="L751" t="inlineStr">
        <is>
          <t>Unknown</t>
        </is>
      </c>
      <c r="T751" t="inlineStr">
        <is>
          <t>https://tenders.iglonline.net/uploads/tender/CORRIGENDUM_CM18331.pdf</t>
        </is>
      </c>
      <c r="U751" t="inlineStr">
        <is>
          <t>No</t>
        </is>
      </c>
      <c r="V751" t="inlineStr">
        <is>
          <t>Bot tarafindan tespit edildi (2026-07-01)</t>
        </is>
      </c>
    </row>
    <row r="752">
      <c r="A752" t="inlineStr">
        <is>
          <t>T-0556</t>
        </is>
      </c>
      <c r="B752" t="inlineStr">
        <is>
          <t>Indraprastha Gas (IGL)</t>
        </is>
      </c>
      <c r="C752" t="inlineStr">
        <is>
          <t>Indraprastha Gas (IGL)</t>
        </is>
      </c>
      <c r="F752" t="inlineStr">
        <is>
          <t>New Lead</t>
        </is>
      </c>
      <c r="H752" t="inlineStr">
        <is>
          <t>View Tender</t>
        </is>
      </c>
      <c r="K752" t="inlineStr">
        <is>
          <t>Not found</t>
        </is>
      </c>
      <c r="L752" t="inlineStr">
        <is>
          <t>Unknown</t>
        </is>
      </c>
      <c r="T752" t="inlineStr">
        <is>
          <t>https://tenders.iglonline.net/tenderDetail/367/Active Tenders And Corrigendum-Addendum</t>
        </is>
      </c>
      <c r="U752" t="inlineStr">
        <is>
          <t>No</t>
        </is>
      </c>
      <c r="V752" t="inlineStr">
        <is>
          <t>Bot tarafindan tespit edildi (2026-07-01)</t>
        </is>
      </c>
    </row>
    <row r="753">
      <c r="A753" t="inlineStr">
        <is>
          <t>T-0557</t>
        </is>
      </c>
      <c r="B753" t="inlineStr">
        <is>
          <t>Indraprastha Gas (IGL)</t>
        </is>
      </c>
      <c r="C753" t="inlineStr">
        <is>
          <t>Indraprastha Gas (IGL)</t>
        </is>
      </c>
      <c r="F753" t="inlineStr">
        <is>
          <t>New Lead</t>
        </is>
      </c>
      <c r="H753" t="inlineStr">
        <is>
          <t>Reply_Pre-bid_Queries.pdf</t>
        </is>
      </c>
      <c r="K753" t="inlineStr">
        <is>
          <t>Not found</t>
        </is>
      </c>
      <c r="L753" t="inlineStr">
        <is>
          <t>Unknown</t>
        </is>
      </c>
      <c r="T753" t="inlineStr">
        <is>
          <t>https://tenders.iglonline.net/uploads/tender/Reply_Pre-bid_Queries.pdf</t>
        </is>
      </c>
      <c r="U753" t="inlineStr">
        <is>
          <t>No</t>
        </is>
      </c>
      <c r="V753" t="inlineStr">
        <is>
          <t>Bot tarafindan tespit edildi (2026-07-01)</t>
        </is>
      </c>
    </row>
    <row r="754">
      <c r="A754" t="inlineStr">
        <is>
          <t>T-0558</t>
        </is>
      </c>
      <c r="B754" t="inlineStr">
        <is>
          <t>Indraprastha Gas (IGL)</t>
        </is>
      </c>
      <c r="C754" t="inlineStr">
        <is>
          <t>Indraprastha Gas (IGL)</t>
        </is>
      </c>
      <c r="F754" t="inlineStr">
        <is>
          <t>New Lead</t>
        </is>
      </c>
      <c r="H754" t="inlineStr">
        <is>
          <t>Corrigendum_-_I2.pdf</t>
        </is>
      </c>
      <c r="K754" t="inlineStr">
        <is>
          <t>Not found</t>
        </is>
      </c>
      <c r="L754" t="inlineStr">
        <is>
          <t>Unknown</t>
        </is>
      </c>
      <c r="T754" t="inlineStr">
        <is>
          <t>https://tenders.iglonline.net/uploads/tender/Corrigendum_-_I2.pdf</t>
        </is>
      </c>
      <c r="U754" t="inlineStr">
        <is>
          <t>No</t>
        </is>
      </c>
      <c r="V754" t="inlineStr">
        <is>
          <t>Bot tarafindan tespit edildi (2026-07-01)</t>
        </is>
      </c>
    </row>
    <row r="755">
      <c r="A755" t="inlineStr">
        <is>
          <t>T-0559</t>
        </is>
      </c>
      <c r="B755" t="inlineStr">
        <is>
          <t>Indraprastha Gas (IGL)</t>
        </is>
      </c>
      <c r="C755" t="inlineStr">
        <is>
          <t>Indraprastha Gas (IGL)</t>
        </is>
      </c>
      <c r="F755" t="inlineStr">
        <is>
          <t>New Lead</t>
        </is>
      </c>
      <c r="H755" t="inlineStr">
        <is>
          <t>View Tender</t>
        </is>
      </c>
      <c r="K755" t="inlineStr">
        <is>
          <t>Not found</t>
        </is>
      </c>
      <c r="L755" t="inlineStr">
        <is>
          <t>Unknown</t>
        </is>
      </c>
      <c r="T755" t="inlineStr">
        <is>
          <t>https://tenders.iglonline.net/tenderDetail/366/Active Tenders And Corrigendum-Addendum</t>
        </is>
      </c>
      <c r="U755" t="inlineStr">
        <is>
          <t>No</t>
        </is>
      </c>
      <c r="V755" t="inlineStr">
        <is>
          <t>Bot tarafindan tespit edildi (2026-07-01)</t>
        </is>
      </c>
    </row>
    <row r="756">
      <c r="A756" t="inlineStr">
        <is>
          <t>T-0560</t>
        </is>
      </c>
      <c r="B756" t="inlineStr">
        <is>
          <t>Indraprastha Gas (IGL)</t>
        </is>
      </c>
      <c r="C756" t="inlineStr">
        <is>
          <t>Indraprastha Gas (IGL)</t>
        </is>
      </c>
      <c r="F756" t="inlineStr">
        <is>
          <t>New Lead</t>
        </is>
      </c>
      <c r="H756" t="inlineStr">
        <is>
          <t>Pre_Bid_Replies_CM18338.pdf</t>
        </is>
      </c>
      <c r="K756" t="inlineStr">
        <is>
          <t>Not found</t>
        </is>
      </c>
      <c r="L756" t="inlineStr">
        <is>
          <t>Unknown</t>
        </is>
      </c>
      <c r="T756" t="inlineStr">
        <is>
          <t>https://tenders.iglonline.net/uploads/tender/Pre_Bid_Replies_CM18338.pdf</t>
        </is>
      </c>
      <c r="U756" t="inlineStr">
        <is>
          <t>No</t>
        </is>
      </c>
      <c r="V756" t="inlineStr">
        <is>
          <t>Bot tarafindan tespit edildi (2026-07-01)</t>
        </is>
      </c>
    </row>
    <row r="757">
      <c r="A757" t="inlineStr">
        <is>
          <t>T-0561</t>
        </is>
      </c>
      <c r="B757" t="inlineStr">
        <is>
          <t>Indraprastha Gas (IGL)</t>
        </is>
      </c>
      <c r="C757" t="inlineStr">
        <is>
          <t>Indraprastha Gas (IGL)</t>
        </is>
      </c>
      <c r="F757" t="inlineStr">
        <is>
          <t>New Lead</t>
        </is>
      </c>
      <c r="H757" t="inlineStr">
        <is>
          <t>View Tender</t>
        </is>
      </c>
      <c r="K757" t="inlineStr">
        <is>
          <t>Not found</t>
        </is>
      </c>
      <c r="L757" t="inlineStr">
        <is>
          <t>Unknown</t>
        </is>
      </c>
      <c r="T757" t="inlineStr">
        <is>
          <t>https://tenders.iglonline.net/tenderDetail/365/Active Tenders And Corrigendum-Addendum</t>
        </is>
      </c>
      <c r="U757" t="inlineStr">
        <is>
          <t>No</t>
        </is>
      </c>
      <c r="V757" t="inlineStr">
        <is>
          <t>Bot tarafindan tespit edildi (2026-07-01)</t>
        </is>
      </c>
    </row>
    <row r="758">
      <c r="A758" t="inlineStr">
        <is>
          <t>T-0562</t>
        </is>
      </c>
      <c r="B758" t="inlineStr">
        <is>
          <t>Indraprastha Gas (IGL)</t>
        </is>
      </c>
      <c r="C758" t="inlineStr">
        <is>
          <t>Indraprastha Gas (IGL)</t>
        </is>
      </c>
      <c r="F758" t="inlineStr">
        <is>
          <t>New Lead</t>
        </is>
      </c>
      <c r="H758" t="inlineStr">
        <is>
          <t>Corrigendum_for_cancellation_CC18297.pdf</t>
        </is>
      </c>
      <c r="K758" t="inlineStr">
        <is>
          <t>Not found</t>
        </is>
      </c>
      <c r="L758" t="inlineStr">
        <is>
          <t>Unknown</t>
        </is>
      </c>
      <c r="T758" t="inlineStr">
        <is>
          <t>https://tenders.iglonline.net/uploads/tender/Corrigendum_for_cancellation_CC18297.pdf</t>
        </is>
      </c>
      <c r="U758" t="inlineStr">
        <is>
          <t>No</t>
        </is>
      </c>
      <c r="V758" t="inlineStr">
        <is>
          <t>Bot tarafindan tespit edildi (2026-07-01)</t>
        </is>
      </c>
    </row>
    <row r="759">
      <c r="A759" t="inlineStr">
        <is>
          <t>T-0563</t>
        </is>
      </c>
      <c r="B759" t="inlineStr">
        <is>
          <t>Indraprastha Gas (IGL)</t>
        </is>
      </c>
      <c r="C759" t="inlineStr">
        <is>
          <t>Indraprastha Gas (IGL)</t>
        </is>
      </c>
      <c r="F759" t="inlineStr">
        <is>
          <t>New Lead</t>
        </is>
      </c>
      <c r="G759" t="inlineStr">
        <is>
          <t>Regulating station</t>
        </is>
      </c>
      <c r="H759" t="inlineStr">
        <is>
          <t>View Tender</t>
        </is>
      </c>
      <c r="K759" t="inlineStr">
        <is>
          <t>Not found</t>
        </is>
      </c>
      <c r="L759" t="inlineStr">
        <is>
          <t>Unknown</t>
        </is>
      </c>
      <c r="T759" t="inlineStr">
        <is>
          <t>https://tenders.iglonline.net/tenderDetail/364/Active Tenders And Corrigendum-Addendum</t>
        </is>
      </c>
      <c r="U759" t="inlineStr">
        <is>
          <t>No</t>
        </is>
      </c>
      <c r="V75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760">
      <c r="A760" t="inlineStr">
        <is>
          <t>T-0564</t>
        </is>
      </c>
      <c r="B760" t="inlineStr">
        <is>
          <t>Indraprastha Gas (IGL)</t>
        </is>
      </c>
      <c r="C760" t="inlineStr">
        <is>
          <t>Indraprastha Gas (IGL)</t>
        </is>
      </c>
      <c r="D760" t="inlineStr">
        <is>
          <t>IGL/ET2/CP/CC18263</t>
        </is>
      </c>
      <c r="F760" t="inlineStr">
        <is>
          <t>Awarded</t>
        </is>
      </c>
      <c r="G760" t="inlineStr">
        <is>
          <t>RMS</t>
        </is>
      </c>
      <c r="H760" t="inlineStr">
        <is>
          <t>CORRIGENDUM_I_CC18232.pdf</t>
        </is>
      </c>
      <c r="K760" t="inlineStr">
        <is>
          <t>Not found</t>
        </is>
      </c>
      <c r="L760" t="inlineStr">
        <is>
          <t>Unknown</t>
        </is>
      </c>
      <c r="T760" t="inlineStr">
        <is>
          <t>https://tenders.iglonline.net/uploads/tender/CORRIGENDUM_I_CC18232.pdf</t>
        </is>
      </c>
      <c r="U760" t="inlineStr">
        <is>
          <t>No</t>
        </is>
      </c>
      <c r="V76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1">
      <c r="A761" t="inlineStr">
        <is>
          <t>T-0565</t>
        </is>
      </c>
      <c r="B761" t="inlineStr">
        <is>
          <t>Indraprastha Gas (IGL)</t>
        </is>
      </c>
      <c r="C761" t="inlineStr">
        <is>
          <t>Indraprastha Gas (IGL)</t>
        </is>
      </c>
      <c r="D761" t="inlineStr">
        <is>
          <t>IGL/ET2/CP/CC18263</t>
        </is>
      </c>
      <c r="F761" t="inlineStr">
        <is>
          <t>Awarded</t>
        </is>
      </c>
      <c r="G761" t="inlineStr">
        <is>
          <t>RMS</t>
        </is>
      </c>
      <c r="H761" t="inlineStr">
        <is>
          <t>CORRIGENDUM_II_CC18232.pdf</t>
        </is>
      </c>
      <c r="K761" t="inlineStr">
        <is>
          <t>Not found</t>
        </is>
      </c>
      <c r="L761" t="inlineStr">
        <is>
          <t>Unknown</t>
        </is>
      </c>
      <c r="T761" t="inlineStr">
        <is>
          <t>https://tenders.iglonline.net/uploads/tender/CORRIGENDUM_II_CC18232.pdf</t>
        </is>
      </c>
      <c r="U761" t="inlineStr">
        <is>
          <t>No</t>
        </is>
      </c>
      <c r="V76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2">
      <c r="A762" t="inlineStr">
        <is>
          <t>T-0566</t>
        </is>
      </c>
      <c r="B762" t="inlineStr">
        <is>
          <t>Indraprastha Gas (IGL)</t>
        </is>
      </c>
      <c r="C762" t="inlineStr">
        <is>
          <t>Indraprastha Gas (IGL)</t>
        </is>
      </c>
      <c r="D762" t="inlineStr">
        <is>
          <t>QUERIES</t>
        </is>
      </c>
      <c r="F762" t="inlineStr">
        <is>
          <t>Awarded</t>
        </is>
      </c>
      <c r="G762" t="inlineStr">
        <is>
          <t>RMS</t>
        </is>
      </c>
      <c r="H762" t="inlineStr">
        <is>
          <t>RPBQ-CC18232.pdf</t>
        </is>
      </c>
      <c r="I762" t="inlineStr">
        <is>
          <t>2</t>
        </is>
      </c>
      <c r="K762" t="inlineStr">
        <is>
          <t>Not found</t>
        </is>
      </c>
      <c r="L762" t="inlineStr">
        <is>
          <t>Unknown</t>
        </is>
      </c>
      <c r="T762" t="inlineStr">
        <is>
          <t>https://tenders.iglonline.net/uploads/tender/RPBQ-CC18232.pdf</t>
        </is>
      </c>
      <c r="U762" t="inlineStr">
        <is>
          <t>No</t>
        </is>
      </c>
      <c r="V76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763">
      <c r="A763" t="inlineStr">
        <is>
          <t>T-0567</t>
        </is>
      </c>
      <c r="B763" t="inlineStr">
        <is>
          <t>Indraprastha Gas (IGL)</t>
        </is>
      </c>
      <c r="C763" t="inlineStr">
        <is>
          <t>Indraprastha Gas (IGL)</t>
        </is>
      </c>
      <c r="D763" t="inlineStr">
        <is>
          <t>IGL/ET2/CP/CC18232</t>
        </is>
      </c>
      <c r="F763" t="inlineStr">
        <is>
          <t>Awarded</t>
        </is>
      </c>
      <c r="G763" t="inlineStr">
        <is>
          <t>RMS</t>
        </is>
      </c>
      <c r="H763" t="inlineStr">
        <is>
          <t>CORRIGENDUM_III_CC18232.pdf</t>
        </is>
      </c>
      <c r="K763" t="inlineStr">
        <is>
          <t>Not found</t>
        </is>
      </c>
      <c r="L763" t="inlineStr">
        <is>
          <t>Unknown</t>
        </is>
      </c>
      <c r="T763" t="inlineStr">
        <is>
          <t>https://tenders.iglonline.net/uploads/tender/CORRIGENDUM_III_CC18232.pdf</t>
        </is>
      </c>
      <c r="U763" t="inlineStr">
        <is>
          <t>No</t>
        </is>
      </c>
      <c r="V76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4">
      <c r="A764" t="inlineStr">
        <is>
          <t>T-0568</t>
        </is>
      </c>
      <c r="B764" t="inlineStr">
        <is>
          <t>Indraprastha Gas (IGL)</t>
        </is>
      </c>
      <c r="C764" t="inlineStr">
        <is>
          <t>Indraprastha Gas (IGL)</t>
        </is>
      </c>
      <c r="D764" t="inlineStr">
        <is>
          <t>IGL/ET2/CP/CC18232</t>
        </is>
      </c>
      <c r="F764" t="inlineStr">
        <is>
          <t>Awarded</t>
        </is>
      </c>
      <c r="G764" t="inlineStr">
        <is>
          <t>RMS</t>
        </is>
      </c>
      <c r="H764" t="inlineStr">
        <is>
          <t>CORRIGENDUM IV_CC18232.pdf</t>
        </is>
      </c>
      <c r="K764" t="inlineStr">
        <is>
          <t>Not found</t>
        </is>
      </c>
      <c r="L764" t="inlineStr">
        <is>
          <t>Unknown</t>
        </is>
      </c>
      <c r="T764" t="inlineStr">
        <is>
          <t>https://tenders.iglonline.net/uploads/tender/CORRIGENDUM IV_CC18232.pdf</t>
        </is>
      </c>
      <c r="U764" t="inlineStr">
        <is>
          <t>No</t>
        </is>
      </c>
      <c r="V76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5">
      <c r="A765" t="inlineStr">
        <is>
          <t>T-0569</t>
        </is>
      </c>
      <c r="B765" t="inlineStr">
        <is>
          <t>Indraprastha Gas (IGL)</t>
        </is>
      </c>
      <c r="C765" t="inlineStr">
        <is>
          <t>Indraprastha Gas (IGL)</t>
        </is>
      </c>
      <c r="D765" t="inlineStr">
        <is>
          <t>IGL/ET2/CP/CC18232</t>
        </is>
      </c>
      <c r="F765" t="inlineStr">
        <is>
          <t>Awarded</t>
        </is>
      </c>
      <c r="G765" t="inlineStr">
        <is>
          <t>RMS</t>
        </is>
      </c>
      <c r="H765" t="inlineStr">
        <is>
          <t>CC18232_CORRIGENDUM-V.pdf</t>
        </is>
      </c>
      <c r="K765" t="inlineStr">
        <is>
          <t>Not found</t>
        </is>
      </c>
      <c r="L765" t="inlineStr">
        <is>
          <t>Unknown</t>
        </is>
      </c>
      <c r="T765" t="inlineStr">
        <is>
          <t>https://tenders.iglonline.net/uploads/tender/CC18232_CORRIGENDUM-V.pdf</t>
        </is>
      </c>
      <c r="U765" t="inlineStr">
        <is>
          <t>No</t>
        </is>
      </c>
      <c r="V76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6">
      <c r="A766" t="inlineStr">
        <is>
          <t>T-0570</t>
        </is>
      </c>
      <c r="B766" t="inlineStr">
        <is>
          <t>Indraprastha Gas (IGL)</t>
        </is>
      </c>
      <c r="C766" t="inlineStr">
        <is>
          <t>Indraprastha Gas (IGL)</t>
        </is>
      </c>
      <c r="F766" t="inlineStr">
        <is>
          <t>New Lead</t>
        </is>
      </c>
      <c r="H766" t="inlineStr">
        <is>
          <t>View Tender</t>
        </is>
      </c>
      <c r="K766" t="inlineStr">
        <is>
          <t>Not found</t>
        </is>
      </c>
      <c r="L766" t="inlineStr">
        <is>
          <t>Unknown</t>
        </is>
      </c>
      <c r="T766" t="inlineStr">
        <is>
          <t>https://tenders.iglonline.net/tenderDetail/363/Active Tenders And Corrigendum-Addendum</t>
        </is>
      </c>
      <c r="U766" t="inlineStr">
        <is>
          <t>No</t>
        </is>
      </c>
      <c r="V766" t="inlineStr">
        <is>
          <t>Bot tarafindan tespit edildi (2026-07-01)</t>
        </is>
      </c>
    </row>
    <row r="767">
      <c r="A767" t="inlineStr">
        <is>
          <t>T-0571</t>
        </is>
      </c>
      <c r="B767" t="inlineStr">
        <is>
          <t>Indraprastha Gas (IGL)</t>
        </is>
      </c>
      <c r="C767" t="inlineStr">
        <is>
          <t>Indraprastha Gas (IGL)</t>
        </is>
      </c>
      <c r="F767" t="inlineStr">
        <is>
          <t>New Lead</t>
        </is>
      </c>
      <c r="H767" t="inlineStr">
        <is>
          <t>Corrigendum_-1_(1).pdf</t>
        </is>
      </c>
      <c r="K767" t="inlineStr">
        <is>
          <t>Not found</t>
        </is>
      </c>
      <c r="L767" t="inlineStr">
        <is>
          <t>Unknown</t>
        </is>
      </c>
      <c r="T767" t="inlineStr">
        <is>
          <t>https://tenders.iglonline.net/uploads/tender/Corrigendum_-1_(1).pdf</t>
        </is>
      </c>
      <c r="U767" t="inlineStr">
        <is>
          <t>No</t>
        </is>
      </c>
      <c r="V767" t="inlineStr">
        <is>
          <t>Bot tarafindan tespit edildi (2026-07-01)</t>
        </is>
      </c>
    </row>
    <row r="768">
      <c r="A768" t="inlineStr">
        <is>
          <t>T-0572</t>
        </is>
      </c>
      <c r="B768" t="inlineStr">
        <is>
          <t>Indraprastha Gas (IGL)</t>
        </is>
      </c>
      <c r="C768" t="inlineStr">
        <is>
          <t>Indraprastha Gas (IGL)</t>
        </is>
      </c>
      <c r="F768" t="inlineStr">
        <is>
          <t>New Lead</t>
        </is>
      </c>
      <c r="H768" t="inlineStr">
        <is>
          <t>RTPBQ_(3).pdf</t>
        </is>
      </c>
      <c r="K768" t="inlineStr">
        <is>
          <t>Not found</t>
        </is>
      </c>
      <c r="L768" t="inlineStr">
        <is>
          <t>Unknown</t>
        </is>
      </c>
      <c r="T768" t="inlineStr">
        <is>
          <t>https://tenders.iglonline.net/uploads/tender/RTPBQ_(3).pdf</t>
        </is>
      </c>
      <c r="U768" t="inlineStr">
        <is>
          <t>No</t>
        </is>
      </c>
      <c r="V768" t="inlineStr">
        <is>
          <t>Bot tarafindan tespit edildi (2026-07-01)</t>
        </is>
      </c>
    </row>
    <row r="769">
      <c r="A769" t="inlineStr">
        <is>
          <t>T-0573</t>
        </is>
      </c>
      <c r="B769" t="inlineStr">
        <is>
          <t>Indraprastha Gas (IGL)</t>
        </is>
      </c>
      <c r="C769" t="inlineStr">
        <is>
          <t>Indraprastha Gas (IGL)</t>
        </is>
      </c>
      <c r="F769" t="inlineStr">
        <is>
          <t>New Lead</t>
        </is>
      </c>
      <c r="H769" t="inlineStr">
        <is>
          <t>View Tender</t>
        </is>
      </c>
      <c r="K769" t="inlineStr">
        <is>
          <t>Not found</t>
        </is>
      </c>
      <c r="L769" t="inlineStr">
        <is>
          <t>Unknown</t>
        </is>
      </c>
      <c r="T769" t="inlineStr">
        <is>
          <t>https://tenders.iglonline.net/tenderDetail/362/Active Tenders And Corrigendum-Addendum</t>
        </is>
      </c>
      <c r="U769" t="inlineStr">
        <is>
          <t>No</t>
        </is>
      </c>
      <c r="V769" t="inlineStr">
        <is>
          <t>Bot tarafindan tespit edildi (2026-07-01)</t>
        </is>
      </c>
    </row>
    <row r="770">
      <c r="A770" t="inlineStr">
        <is>
          <t>T-0574</t>
        </is>
      </c>
      <c r="B770" t="inlineStr">
        <is>
          <t>Indraprastha Gas (IGL)</t>
        </is>
      </c>
      <c r="C770" t="inlineStr">
        <is>
          <t>Indraprastha Gas (IGL)</t>
        </is>
      </c>
      <c r="F770" t="inlineStr">
        <is>
          <t>New Lead</t>
        </is>
      </c>
      <c r="H770" t="inlineStr">
        <is>
          <t>View Tender</t>
        </is>
      </c>
      <c r="K770" t="inlineStr">
        <is>
          <t>Not found</t>
        </is>
      </c>
      <c r="L770" t="inlineStr">
        <is>
          <t>Unknown</t>
        </is>
      </c>
      <c r="T770" t="inlineStr">
        <is>
          <t>https://tenders.iglonline.net/tenderDetail/361/Active Tenders And Corrigendum-Addendum</t>
        </is>
      </c>
      <c r="U770" t="inlineStr">
        <is>
          <t>No</t>
        </is>
      </c>
      <c r="V770" t="inlineStr">
        <is>
          <t>Bot tarafindan tespit edildi (2026-07-01)</t>
        </is>
      </c>
    </row>
    <row r="771">
      <c r="A771" t="inlineStr">
        <is>
          <t>T-0575</t>
        </is>
      </c>
      <c r="B771" t="inlineStr">
        <is>
          <t>Indraprastha Gas (IGL)</t>
        </is>
      </c>
      <c r="C771" t="inlineStr">
        <is>
          <t>Indraprastha Gas (IGL)</t>
        </is>
      </c>
      <c r="F771" t="inlineStr">
        <is>
          <t>New Lead</t>
        </is>
      </c>
      <c r="G771" t="inlineStr">
        <is>
          <t>Gas-related / review</t>
        </is>
      </c>
      <c r="H771" t="inlineStr">
        <is>
          <t>Corrigendum_1_CP18157_(1).pdf</t>
        </is>
      </c>
      <c r="K771" t="inlineStr">
        <is>
          <t>Not found</t>
        </is>
      </c>
      <c r="L771" t="inlineStr">
        <is>
          <t>Unknown</t>
        </is>
      </c>
      <c r="T771" t="inlineStr">
        <is>
          <t>https://tenders.iglonline.net/uploads/tender/Corrigendum_1_CP18157_(1).pdf</t>
        </is>
      </c>
      <c r="U771" t="inlineStr">
        <is>
          <t>No</t>
        </is>
      </c>
      <c r="V771" t="inlineStr">
        <is>
          <t>Bot tarafindan tespit edildi (2026-07-01); Bot tespit/zenginlestirme (2026-07-01); meta:score=35;priority=Low;source_type=html_table;closing_date=;equipment=Gas-related / review;reasons=equipment:Gas-related / review,document source</t>
        </is>
      </c>
    </row>
    <row r="772">
      <c r="A772" t="inlineStr">
        <is>
          <t>T-0576</t>
        </is>
      </c>
      <c r="B772" t="inlineStr">
        <is>
          <t>Indraprastha Gas (IGL)</t>
        </is>
      </c>
      <c r="C772" t="inlineStr">
        <is>
          <t>Indraprastha Gas (IGL)</t>
        </is>
      </c>
      <c r="F772" t="inlineStr">
        <is>
          <t>New Lead</t>
        </is>
      </c>
      <c r="G772" t="inlineStr">
        <is>
          <t>Gas-related / review</t>
        </is>
      </c>
      <c r="H772" t="inlineStr">
        <is>
          <t>Corrigendum_2_CP18157.pdf</t>
        </is>
      </c>
      <c r="K772" t="inlineStr">
        <is>
          <t>Not found</t>
        </is>
      </c>
      <c r="L772" t="inlineStr">
        <is>
          <t>Unknown</t>
        </is>
      </c>
      <c r="T772" t="inlineStr">
        <is>
          <t>https://tenders.iglonline.net/uploads/tender/Corrigendum_2_CP18157.pdf</t>
        </is>
      </c>
      <c r="U772" t="inlineStr">
        <is>
          <t>No</t>
        </is>
      </c>
      <c r="V772" t="inlineStr">
        <is>
          <t>Bot tarafindan tespit edildi (2026-07-01); Bot tespit/zenginlestirme (2026-07-01); meta:score=35;priority=Low;source_type=html_table;closing_date=;equipment=Gas-related / review;reasons=equipment:Gas-related / review,document source</t>
        </is>
      </c>
    </row>
    <row r="773">
      <c r="A773" t="inlineStr">
        <is>
          <t>T-0577</t>
        </is>
      </c>
      <c r="B773" t="inlineStr">
        <is>
          <t>Indraprastha Gas (IGL)</t>
        </is>
      </c>
      <c r="C773" t="inlineStr">
        <is>
          <t>Indraprastha Gas (IGL)</t>
        </is>
      </c>
      <c r="F773" t="inlineStr">
        <is>
          <t>New Lead</t>
        </is>
      </c>
      <c r="G773" t="inlineStr">
        <is>
          <t>Gas-related / review</t>
        </is>
      </c>
      <c r="H773" t="inlineStr">
        <is>
          <t>RTBQ_(1).pdf</t>
        </is>
      </c>
      <c r="K773" t="inlineStr">
        <is>
          <t>Not found</t>
        </is>
      </c>
      <c r="L773" t="inlineStr">
        <is>
          <t>Unknown</t>
        </is>
      </c>
      <c r="T773" t="inlineStr">
        <is>
          <t>https://tenders.iglonline.net/uploads/tender/RTBQ_(1).pdf</t>
        </is>
      </c>
      <c r="U773" t="inlineStr">
        <is>
          <t>No</t>
        </is>
      </c>
      <c r="V773" t="inlineStr">
        <is>
          <t>Bot tarafindan tespit edildi (2026-07-01); Bot tespit/zenginlestirme (2026-07-01); meta:score=35;priority=Low;source_type=html_table;closing_date=;equipment=Gas-related / review;reasons=equipment:Gas-related / review,document source</t>
        </is>
      </c>
    </row>
    <row r="774">
      <c r="A774" t="inlineStr">
        <is>
          <t>T-0578</t>
        </is>
      </c>
      <c r="B774" t="inlineStr">
        <is>
          <t>Indraprastha Gas (IGL)</t>
        </is>
      </c>
      <c r="C774" t="inlineStr">
        <is>
          <t>Indraprastha Gas (IGL)</t>
        </is>
      </c>
      <c r="F774" t="inlineStr">
        <is>
          <t>New Lead</t>
        </is>
      </c>
      <c r="H774" t="inlineStr">
        <is>
          <t>View Tender</t>
        </is>
      </c>
      <c r="K774" t="inlineStr">
        <is>
          <t>Not found</t>
        </is>
      </c>
      <c r="L774" t="inlineStr">
        <is>
          <t>Unknown</t>
        </is>
      </c>
      <c r="T774" t="inlineStr">
        <is>
          <t>https://tenders.iglonline.net/tenderDetail/360/Active Tenders And Corrigendum-Addendum</t>
        </is>
      </c>
      <c r="U774" t="inlineStr">
        <is>
          <t>No</t>
        </is>
      </c>
      <c r="V774" t="inlineStr">
        <is>
          <t>Bot tarafindan tespit edildi (2026-07-01)</t>
        </is>
      </c>
    </row>
    <row r="775">
      <c r="A775" t="inlineStr">
        <is>
          <t>T-0579</t>
        </is>
      </c>
      <c r="B775" t="inlineStr">
        <is>
          <t>Indraprastha Gas (IGL)</t>
        </is>
      </c>
      <c r="C775" t="inlineStr">
        <is>
          <t>Indraprastha Gas (IGL)</t>
        </is>
      </c>
      <c r="F775" t="inlineStr">
        <is>
          <t>New Lead</t>
        </is>
      </c>
      <c r="H775" t="inlineStr">
        <is>
          <t>Link_for_Pre_Bid_Meeting.pdf</t>
        </is>
      </c>
      <c r="K775" t="inlineStr">
        <is>
          <t>Not found</t>
        </is>
      </c>
      <c r="L775" t="inlineStr">
        <is>
          <t>Unknown</t>
        </is>
      </c>
      <c r="T775" t="inlineStr">
        <is>
          <t>https://tenders.iglonline.net/uploads/tender/Link_for_Pre_Bid_Meeting.pdf</t>
        </is>
      </c>
      <c r="U775" t="inlineStr">
        <is>
          <t>No</t>
        </is>
      </c>
      <c r="V775" t="inlineStr">
        <is>
          <t>Bot tarafindan tespit edildi (2026-07-01)</t>
        </is>
      </c>
    </row>
    <row r="776">
      <c r="A776" t="inlineStr">
        <is>
          <t>T-0580</t>
        </is>
      </c>
      <c r="B776" t="inlineStr">
        <is>
          <t>Indraprastha Gas (IGL)</t>
        </is>
      </c>
      <c r="C776" t="inlineStr">
        <is>
          <t>Indraprastha Gas (IGL)</t>
        </is>
      </c>
      <c r="F776" t="inlineStr">
        <is>
          <t>New Lead</t>
        </is>
      </c>
      <c r="H776" t="inlineStr">
        <is>
          <t>CORRIGENDUM_I1.pdf</t>
        </is>
      </c>
      <c r="K776" t="inlineStr">
        <is>
          <t>Not found</t>
        </is>
      </c>
      <c r="L776" t="inlineStr">
        <is>
          <t>Unknown</t>
        </is>
      </c>
      <c r="T776" t="inlineStr">
        <is>
          <t>https://tenders.iglonline.net/uploads/tender/CORRIGENDUM_I1.pdf</t>
        </is>
      </c>
      <c r="U776" t="inlineStr">
        <is>
          <t>No</t>
        </is>
      </c>
      <c r="V776" t="inlineStr">
        <is>
          <t>Bot tarafindan tespit edildi (2026-07-01)</t>
        </is>
      </c>
    </row>
    <row r="777">
      <c r="A777" t="inlineStr">
        <is>
          <t>T-0581</t>
        </is>
      </c>
      <c r="B777" t="inlineStr">
        <is>
          <t>Indraprastha Gas (IGL)</t>
        </is>
      </c>
      <c r="C777" t="inlineStr">
        <is>
          <t>Indraprastha Gas (IGL)</t>
        </is>
      </c>
      <c r="F777" t="inlineStr">
        <is>
          <t>New Lead</t>
        </is>
      </c>
      <c r="H777" t="inlineStr">
        <is>
          <t>Pre_Bid_Replies_CM18274.pdf</t>
        </is>
      </c>
      <c r="K777" t="inlineStr">
        <is>
          <t>Not found</t>
        </is>
      </c>
      <c r="L777" t="inlineStr">
        <is>
          <t>Unknown</t>
        </is>
      </c>
      <c r="T777" t="inlineStr">
        <is>
          <t>https://tenders.iglonline.net/uploads/tender/Pre_Bid_Replies_CM18274.pdf</t>
        </is>
      </c>
      <c r="U777" t="inlineStr">
        <is>
          <t>No</t>
        </is>
      </c>
      <c r="V777" t="inlineStr">
        <is>
          <t>Bot tarafindan tespit edildi (2026-07-01)</t>
        </is>
      </c>
    </row>
    <row r="778">
      <c r="A778" t="inlineStr">
        <is>
          <t>T-0582</t>
        </is>
      </c>
      <c r="B778" t="inlineStr">
        <is>
          <t>Indraprastha Gas (IGL)</t>
        </is>
      </c>
      <c r="C778" t="inlineStr">
        <is>
          <t>Indraprastha Gas (IGL)</t>
        </is>
      </c>
      <c r="F778" t="inlineStr">
        <is>
          <t>New Lead</t>
        </is>
      </c>
      <c r="H778" t="inlineStr">
        <is>
          <t>View Tender</t>
        </is>
      </c>
      <c r="K778" t="inlineStr">
        <is>
          <t>Not found</t>
        </is>
      </c>
      <c r="L778" t="inlineStr">
        <is>
          <t>Unknown</t>
        </is>
      </c>
      <c r="T778" t="inlineStr">
        <is>
          <t>https://tenders.iglonline.net/tenderDetail/359/Active Tenders And Corrigendum-Addendum</t>
        </is>
      </c>
      <c r="U778" t="inlineStr">
        <is>
          <t>No</t>
        </is>
      </c>
      <c r="V778" t="inlineStr">
        <is>
          <t>Bot tarafindan tespit edildi (2026-07-01)</t>
        </is>
      </c>
    </row>
    <row r="779">
      <c r="A779" t="inlineStr">
        <is>
          <t>T-0583</t>
        </is>
      </c>
      <c r="B779" t="inlineStr">
        <is>
          <t>Indraprastha Gas (IGL)</t>
        </is>
      </c>
      <c r="C779" t="inlineStr">
        <is>
          <t>Indraprastha Gas (IGL)</t>
        </is>
      </c>
      <c r="F779" t="inlineStr">
        <is>
          <t>New Lead</t>
        </is>
      </c>
      <c r="H779" t="inlineStr">
        <is>
          <t>Corrigendum-I_(1).pdf</t>
        </is>
      </c>
      <c r="K779" t="inlineStr">
        <is>
          <t>Not found</t>
        </is>
      </c>
      <c r="L779" t="inlineStr">
        <is>
          <t>Unknown</t>
        </is>
      </c>
      <c r="T779" t="inlineStr">
        <is>
          <t>https://tenders.iglonline.net/uploads/tender/Corrigendum-I_(1).pdf</t>
        </is>
      </c>
      <c r="U779" t="inlineStr">
        <is>
          <t>No</t>
        </is>
      </c>
      <c r="V779" t="inlineStr">
        <is>
          <t>Bot tarafindan tespit edildi (2026-07-01)</t>
        </is>
      </c>
    </row>
    <row r="780">
      <c r="A780" t="inlineStr">
        <is>
          <t>T-0584</t>
        </is>
      </c>
      <c r="B780" t="inlineStr">
        <is>
          <t>Indraprastha Gas (IGL)</t>
        </is>
      </c>
      <c r="C780" t="inlineStr">
        <is>
          <t>Indraprastha Gas (IGL)</t>
        </is>
      </c>
      <c r="F780" t="inlineStr">
        <is>
          <t>New Lead</t>
        </is>
      </c>
      <c r="H780" t="inlineStr">
        <is>
          <t>RTBQ1.pdf</t>
        </is>
      </c>
      <c r="K780" t="inlineStr">
        <is>
          <t>Not found</t>
        </is>
      </c>
      <c r="L780" t="inlineStr">
        <is>
          <t>Unknown</t>
        </is>
      </c>
      <c r="T780" t="inlineStr">
        <is>
          <t>https://tenders.iglonline.net/uploads/tender/RTBQ1.pdf</t>
        </is>
      </c>
      <c r="U780" t="inlineStr">
        <is>
          <t>No</t>
        </is>
      </c>
      <c r="V780" t="inlineStr">
        <is>
          <t>Bot tarafindan tespit edildi (2026-07-01)</t>
        </is>
      </c>
    </row>
    <row r="781">
      <c r="A781" t="inlineStr">
        <is>
          <t>T-0585</t>
        </is>
      </c>
      <c r="B781" t="inlineStr">
        <is>
          <t>Indraprastha Gas (IGL)</t>
        </is>
      </c>
      <c r="C781" t="inlineStr">
        <is>
          <t>Indraprastha Gas (IGL)</t>
        </is>
      </c>
      <c r="F781" t="inlineStr">
        <is>
          <t>New Lead</t>
        </is>
      </c>
      <c r="H781" t="inlineStr">
        <is>
          <t>Corrigendum-II1.pdf</t>
        </is>
      </c>
      <c r="K781" t="inlineStr">
        <is>
          <t>Not found</t>
        </is>
      </c>
      <c r="L781" t="inlineStr">
        <is>
          <t>Unknown</t>
        </is>
      </c>
      <c r="T781" t="inlineStr">
        <is>
          <t>https://tenders.iglonline.net/uploads/tender/Corrigendum-II1.pdf</t>
        </is>
      </c>
      <c r="U781" t="inlineStr">
        <is>
          <t>No</t>
        </is>
      </c>
      <c r="V781" t="inlineStr">
        <is>
          <t>Bot tarafindan tespit edildi (2026-07-01)</t>
        </is>
      </c>
    </row>
    <row r="782">
      <c r="A782" t="inlineStr">
        <is>
          <t>T-0586</t>
        </is>
      </c>
      <c r="B782" t="inlineStr">
        <is>
          <t>Indraprastha Gas (IGL)</t>
        </is>
      </c>
      <c r="C782" t="inlineStr">
        <is>
          <t>Indraprastha Gas (IGL)</t>
        </is>
      </c>
      <c r="F782" t="inlineStr">
        <is>
          <t>New Lead</t>
        </is>
      </c>
      <c r="G782" t="inlineStr">
        <is>
          <t>Domestic regulator</t>
        </is>
      </c>
      <c r="H782" t="inlineStr">
        <is>
          <t>View Tender</t>
        </is>
      </c>
      <c r="K782" t="inlineStr">
        <is>
          <t>Not found</t>
        </is>
      </c>
      <c r="L782" t="inlineStr">
        <is>
          <t>Unknown</t>
        </is>
      </c>
      <c r="T782" t="inlineStr">
        <is>
          <t>https://tenders.iglonline.net/tenderDetail/358/Active Tenders And Corrigendum-Addendum</t>
        </is>
      </c>
      <c r="U782" t="inlineStr">
        <is>
          <t>No</t>
        </is>
      </c>
      <c r="V782" t="inlineStr">
        <is>
          <t>Bot tarafindan tespit edildi (2026-07-01); Bot tespit/zenginlestirme (2026-07-01); meta:score=85;priority=High;source_type=html_table;closing_date=;equipment=Domestic regulator;reasons=equipment:Domestic regulator,target regulator keyword,document source; Bot clean extraction (2026-07-01);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783">
      <c r="A783" t="inlineStr">
        <is>
          <t>T-0587</t>
        </is>
      </c>
      <c r="B783" t="inlineStr">
        <is>
          <t>Indraprastha Gas (IGL)</t>
        </is>
      </c>
      <c r="C783" t="inlineStr">
        <is>
          <t>Indraprastha Gas (IGL)</t>
        </is>
      </c>
      <c r="D783" t="inlineStr">
        <is>
          <t>IGL/ET2/CP/CP18278</t>
        </is>
      </c>
      <c r="F783" t="inlineStr">
        <is>
          <t>Awarded</t>
        </is>
      </c>
      <c r="G783" t="inlineStr">
        <is>
          <t>domestic regulator</t>
        </is>
      </c>
      <c r="H783" t="inlineStr">
        <is>
          <t>Corrigendum_1_CP182181.pdf</t>
        </is>
      </c>
      <c r="K783" t="inlineStr">
        <is>
          <t>shall furnish to the Purchaser the Contract Performance Bank Guarantee (CPBG) as below</t>
        </is>
      </c>
      <c r="L783" t="inlineStr">
        <is>
          <t>Unknown</t>
        </is>
      </c>
      <c r="T783" t="inlineStr">
        <is>
          <t>https://tenders.iglonline.net/uploads/tender/Corrigendum_1_CP182181.pdf</t>
        </is>
      </c>
      <c r="U783" t="inlineStr">
        <is>
          <t>No</t>
        </is>
      </c>
      <c r="V783" t="inlineStr">
        <is>
          <t>Bot tarafindan tespit edildi (2026-07-01) | Bot enrich; date=2026-07-01; type=pdf; score=330; pdf_conf=Medium;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regulator;reject_reasons=employment/corporate;scope=market_intelligence_only;excluded_scope=no_bid_or_offer_submission_automation</t>
        </is>
      </c>
    </row>
    <row r="784">
      <c r="A784" t="inlineStr">
        <is>
          <t>T-0588</t>
        </is>
      </c>
      <c r="B784" t="inlineStr">
        <is>
          <t>Indraprastha Gas (IGL)</t>
        </is>
      </c>
      <c r="C784" t="inlineStr">
        <is>
          <t>Indraprastha Gas (IGL)</t>
        </is>
      </c>
      <c r="D784" t="inlineStr">
        <is>
          <t>LOA /PO.</t>
        </is>
      </c>
      <c r="F784" t="inlineStr">
        <is>
          <t>Awarded</t>
        </is>
      </c>
      <c r="G784" t="inlineStr">
        <is>
          <t>domestic regulator</t>
        </is>
      </c>
      <c r="H784" t="inlineStr">
        <is>
          <t>Reply_to_Bidder_Queries.pdf</t>
        </is>
      </c>
      <c r="K784" t="inlineStr">
        <is>
          <t>Not found</t>
        </is>
      </c>
      <c r="L784" t="inlineStr">
        <is>
          <t>Unknown</t>
        </is>
      </c>
      <c r="T784" t="inlineStr">
        <is>
          <t>https://tenders.iglonline.net/uploads/tender/Reply_to_Bidder_Queries.pdf</t>
        </is>
      </c>
      <c r="U784" t="inlineStr">
        <is>
          <t>No</t>
        </is>
      </c>
      <c r="V784"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regulator;quality_status=market_target;market_relevance=High;document_type=loa;unit_price_inr=;amount_label=;matched_terms=Domestic gas regulator,Service / pressure regulator,Industrial / commercial regulator;reject_reasons=;scope=market_intelligence_only;excluded_scope=no_bid_or_offer_submission_automation</t>
        </is>
      </c>
    </row>
    <row r="785">
      <c r="A785" t="inlineStr">
        <is>
          <t>T-0589</t>
        </is>
      </c>
      <c r="B785" t="inlineStr">
        <is>
          <t>Indraprastha Gas (IGL)</t>
        </is>
      </c>
      <c r="C785" t="inlineStr">
        <is>
          <t>Indraprastha Gas (IGL)</t>
        </is>
      </c>
      <c r="D785" t="inlineStr">
        <is>
          <t>IGL/ET2/CP/CP18278</t>
        </is>
      </c>
      <c r="F785" t="inlineStr">
        <is>
          <t>Awarded</t>
        </is>
      </c>
      <c r="G785" t="inlineStr">
        <is>
          <t>domestic regulator</t>
        </is>
      </c>
      <c r="H785" t="inlineStr">
        <is>
          <t>Corrigendum_2_CP18278.pdf</t>
        </is>
      </c>
      <c r="K785" t="inlineStr">
        <is>
          <t>Not found</t>
        </is>
      </c>
      <c r="L785" t="inlineStr">
        <is>
          <t>Unknown</t>
        </is>
      </c>
      <c r="T785" t="inlineStr">
        <is>
          <t>https://tenders.iglonline.net/uploads/tender/Corrigendum_2_CP18278.pdf</t>
        </is>
      </c>
      <c r="U785" t="inlineStr">
        <is>
          <t>No</t>
        </is>
      </c>
      <c r="V785"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6">
      <c r="A786" t="inlineStr">
        <is>
          <t>T-0590</t>
        </is>
      </c>
      <c r="B786" t="inlineStr">
        <is>
          <t>Indraprastha Gas (IGL)</t>
        </is>
      </c>
      <c r="C786" t="inlineStr">
        <is>
          <t>Indraprastha Gas (IGL)</t>
        </is>
      </c>
      <c r="D786" t="inlineStr">
        <is>
          <t>DOCUMENT</t>
        </is>
      </c>
      <c r="F786" t="inlineStr">
        <is>
          <t>Awarded</t>
        </is>
      </c>
      <c r="G786" t="inlineStr">
        <is>
          <t>domestic regulator</t>
        </is>
      </c>
      <c r="H786" t="inlineStr">
        <is>
          <t>CP18278_(B).pdf</t>
        </is>
      </c>
      <c r="K786" t="inlineStr">
        <is>
          <t>Not found</t>
        </is>
      </c>
      <c r="L786" t="inlineStr">
        <is>
          <t>Unknown</t>
        </is>
      </c>
      <c r="T786" t="inlineStr">
        <is>
          <t>https://tenders.iglonline.net/uploads/tender/CP18278_(B).pdf</t>
        </is>
      </c>
      <c r="U786" t="inlineStr">
        <is>
          <t>No</t>
        </is>
      </c>
      <c r="V786"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regulator;reject_reasons=;scope=market_intelligence_only;excluded_scope=no_bid_or_offer_submission_automation</t>
        </is>
      </c>
    </row>
    <row r="787">
      <c r="A787" t="inlineStr">
        <is>
          <t>T-0591</t>
        </is>
      </c>
      <c r="B787" t="inlineStr">
        <is>
          <t>Indraprastha Gas (IGL)</t>
        </is>
      </c>
      <c r="C787" t="inlineStr">
        <is>
          <t>Indraprastha Gas (IGL)</t>
        </is>
      </c>
      <c r="D787" t="inlineStr">
        <is>
          <t>clause</t>
        </is>
      </c>
      <c r="F787" t="inlineStr">
        <is>
          <t>Awarded</t>
        </is>
      </c>
      <c r="G787" t="inlineStr">
        <is>
          <t>domestic regulator</t>
        </is>
      </c>
      <c r="H787" t="inlineStr">
        <is>
          <t>CP18278_(A).pdf</t>
        </is>
      </c>
      <c r="K787" t="inlineStr">
        <is>
          <t>Not found</t>
        </is>
      </c>
      <c r="L787" t="inlineStr">
        <is>
          <t>Unknown</t>
        </is>
      </c>
      <c r="T787" t="inlineStr">
        <is>
          <t>https://tenders.iglonline.net/uploads/tender/CP18278_(A).pdf</t>
        </is>
      </c>
      <c r="U787" t="inlineStr">
        <is>
          <t>No</t>
        </is>
      </c>
      <c r="V787"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788">
      <c r="A788" t="inlineStr">
        <is>
          <t>T-0592</t>
        </is>
      </c>
      <c r="B788" t="inlineStr">
        <is>
          <t>Indraprastha Gas (IGL)</t>
        </is>
      </c>
      <c r="C788" t="inlineStr">
        <is>
          <t>Indraprastha Gas (IGL)</t>
        </is>
      </c>
      <c r="D788" t="inlineStr">
        <is>
          <t>IGL/ET2/CP/CP18278</t>
        </is>
      </c>
      <c r="F788" t="inlineStr">
        <is>
          <t>Awarded</t>
        </is>
      </c>
      <c r="G788" t="inlineStr">
        <is>
          <t>domestic regulator</t>
        </is>
      </c>
      <c r="H788" t="inlineStr">
        <is>
          <t>CP18278_(E).pdf</t>
        </is>
      </c>
      <c r="K788" t="inlineStr">
        <is>
          <t>Not found</t>
        </is>
      </c>
      <c r="L788" t="inlineStr">
        <is>
          <t>Unknown</t>
        </is>
      </c>
      <c r="T788" t="inlineStr">
        <is>
          <t>https://tenders.iglonline.net/uploads/tender/CP18278_(E).pdf</t>
        </is>
      </c>
      <c r="U788" t="inlineStr">
        <is>
          <t>No</t>
        </is>
      </c>
      <c r="V788"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9">
      <c r="A789" t="inlineStr">
        <is>
          <t>T-0593</t>
        </is>
      </c>
      <c r="B789" t="inlineStr">
        <is>
          <t>Indraprastha Gas (IGL)</t>
        </is>
      </c>
      <c r="C789" t="inlineStr">
        <is>
          <t>Indraprastha Gas (IGL)</t>
        </is>
      </c>
      <c r="F789" t="inlineStr">
        <is>
          <t>New Lead</t>
        </is>
      </c>
      <c r="H789" t="inlineStr">
        <is>
          <t>View Tender</t>
        </is>
      </c>
      <c r="K789" t="inlineStr">
        <is>
          <t>Not found</t>
        </is>
      </c>
      <c r="L789" t="inlineStr">
        <is>
          <t>Unknown</t>
        </is>
      </c>
      <c r="T789" t="inlineStr">
        <is>
          <t>https://tenders.iglonline.net/tenderDetail/357/Active Tenders And Corrigendum-Addendum</t>
        </is>
      </c>
      <c r="U789" t="inlineStr">
        <is>
          <t>No</t>
        </is>
      </c>
      <c r="V789" t="inlineStr">
        <is>
          <t>Bot tarafindan tespit edildi (2026-07-01)</t>
        </is>
      </c>
    </row>
    <row r="790">
      <c r="A790" t="inlineStr">
        <is>
          <t>T-0594</t>
        </is>
      </c>
      <c r="B790" t="inlineStr">
        <is>
          <t>Indraprastha Gas (IGL)</t>
        </is>
      </c>
      <c r="C790" t="inlineStr">
        <is>
          <t>Indraprastha Gas (IGL)</t>
        </is>
      </c>
      <c r="F790" t="inlineStr">
        <is>
          <t>New Lead</t>
        </is>
      </c>
      <c r="G790" t="inlineStr">
        <is>
          <t>Gas-related / review</t>
        </is>
      </c>
      <c r="H790" t="inlineStr">
        <is>
          <t>Corrigendum__I_1200_GED_CC18256.pdf</t>
        </is>
      </c>
      <c r="K790" t="inlineStr">
        <is>
          <t>Not found</t>
        </is>
      </c>
      <c r="L790" t="inlineStr">
        <is>
          <t>Unknown</t>
        </is>
      </c>
      <c r="T790" t="inlineStr">
        <is>
          <t>https://tenders.iglonline.net/uploads/tender/Corrigendum__I_1200_GED_CC18256.pdf</t>
        </is>
      </c>
      <c r="U790" t="inlineStr">
        <is>
          <t>No</t>
        </is>
      </c>
      <c r="V790" t="inlineStr">
        <is>
          <t>Bot tarafindan tespit edildi (2026-07-01); Bot tespit/zenginlestirme (2026-07-01); meta:score=35;priority=Low;source_type=html_table;closing_date=;equipment=Gas-related / review;reasons=equipment:Gas-related / review,document source</t>
        </is>
      </c>
    </row>
    <row r="791">
      <c r="A791" t="inlineStr">
        <is>
          <t>T-0595</t>
        </is>
      </c>
      <c r="B791" t="inlineStr">
        <is>
          <t>Indraprastha Gas (IGL)</t>
        </is>
      </c>
      <c r="C791" t="inlineStr">
        <is>
          <t>Indraprastha Gas (IGL)</t>
        </is>
      </c>
      <c r="F791" t="inlineStr">
        <is>
          <t>New Lead</t>
        </is>
      </c>
      <c r="G791" t="inlineStr">
        <is>
          <t>Gas-related / review</t>
        </is>
      </c>
      <c r="H791" t="inlineStr">
        <is>
          <t>RTBQ__1200_GED_CC18256.pdf</t>
        </is>
      </c>
      <c r="K791" t="inlineStr">
        <is>
          <t>Not found</t>
        </is>
      </c>
      <c r="L791" t="inlineStr">
        <is>
          <t>Unknown</t>
        </is>
      </c>
      <c r="T791" t="inlineStr">
        <is>
          <t>https://tenders.iglonline.net/uploads/tender/RTBQ__1200_GED_CC18256.pdf</t>
        </is>
      </c>
      <c r="U791" t="inlineStr">
        <is>
          <t>No</t>
        </is>
      </c>
      <c r="V791" t="inlineStr">
        <is>
          <t>Bot tarafindan tespit edildi (2026-07-01); Bot tespit/zenginlestirme (2026-07-01); meta:score=35;priority=Low;source_type=html_table;closing_date=;equipment=Gas-related / review;reasons=equipment:Gas-related / review,document source</t>
        </is>
      </c>
    </row>
    <row r="792">
      <c r="A792" t="inlineStr">
        <is>
          <t>T-0596</t>
        </is>
      </c>
      <c r="B792" t="inlineStr">
        <is>
          <t>Indraprastha Gas (IGL)</t>
        </is>
      </c>
      <c r="C792" t="inlineStr">
        <is>
          <t>Indraprastha Gas (IGL)</t>
        </is>
      </c>
      <c r="F792" t="inlineStr">
        <is>
          <t>New Lead</t>
        </is>
      </c>
      <c r="G792" t="inlineStr">
        <is>
          <t>Gas-related / review</t>
        </is>
      </c>
      <c r="H792" t="inlineStr">
        <is>
          <t>CORRIGENDUM_II_CC18256.pdf</t>
        </is>
      </c>
      <c r="K792" t="inlineStr">
        <is>
          <t>Not found</t>
        </is>
      </c>
      <c r="L792" t="inlineStr">
        <is>
          <t>Unknown</t>
        </is>
      </c>
      <c r="T792" t="inlineStr">
        <is>
          <t>https://tenders.iglonline.net/uploads/tender/CORRIGENDUM_II_CC18256.pdf</t>
        </is>
      </c>
      <c r="U792" t="inlineStr">
        <is>
          <t>No</t>
        </is>
      </c>
      <c r="V792" t="inlineStr">
        <is>
          <t>Bot tarafindan tespit edildi (2026-07-01); Bot tespit/zenginlestirme (2026-07-01); meta:score=35;priority=Low;source_type=html_table;closing_date=;equipment=Gas-related / review;reasons=equipment:Gas-related / review,document source</t>
        </is>
      </c>
    </row>
    <row r="793">
      <c r="A793" t="inlineStr">
        <is>
          <t>T-0597</t>
        </is>
      </c>
      <c r="B793" t="inlineStr">
        <is>
          <t>Indraprastha Gas (IGL)</t>
        </is>
      </c>
      <c r="C793" t="inlineStr">
        <is>
          <t>Indraprastha Gas (IGL)</t>
        </is>
      </c>
      <c r="F793" t="inlineStr">
        <is>
          <t>New Lead</t>
        </is>
      </c>
      <c r="G793" t="inlineStr">
        <is>
          <t>Gas-related / review</t>
        </is>
      </c>
      <c r="H793" t="inlineStr">
        <is>
          <t>Corrigendum_III_CC18256.pdf</t>
        </is>
      </c>
      <c r="K793" t="inlineStr">
        <is>
          <t>Not found</t>
        </is>
      </c>
      <c r="L793" t="inlineStr">
        <is>
          <t>Unknown</t>
        </is>
      </c>
      <c r="T793" t="inlineStr">
        <is>
          <t>https://tenders.iglonline.net/uploads/tender/Corrigendum_III_CC18256.pdf</t>
        </is>
      </c>
      <c r="U793" t="inlineStr">
        <is>
          <t>No</t>
        </is>
      </c>
      <c r="V793" t="inlineStr">
        <is>
          <t>Bot tarafindan tespit edildi (2026-07-01); Bot tespit/zenginlestirme (2026-07-01); meta:score=35;priority=Low;source_type=html_table;closing_date=;equipment=Gas-related / review;reasons=equipment:Gas-related / review,document source</t>
        </is>
      </c>
    </row>
    <row r="794">
      <c r="A794" t="inlineStr">
        <is>
          <t>T-0598</t>
        </is>
      </c>
      <c r="B794" t="inlineStr">
        <is>
          <t>Indraprastha Gas (IGL)</t>
        </is>
      </c>
      <c r="C794" t="inlineStr">
        <is>
          <t>Indraprastha Gas (IGL)</t>
        </is>
      </c>
      <c r="F794" t="inlineStr">
        <is>
          <t>New Lead</t>
        </is>
      </c>
      <c r="G794" t="inlineStr">
        <is>
          <t>Gas-related / review</t>
        </is>
      </c>
      <c r="H794" t="inlineStr">
        <is>
          <t>Corrigendum_IV_CC18256.pdf</t>
        </is>
      </c>
      <c r="K794" t="inlineStr">
        <is>
          <t>Not found</t>
        </is>
      </c>
      <c r="L794" t="inlineStr">
        <is>
          <t>Unknown</t>
        </is>
      </c>
      <c r="T794" t="inlineStr">
        <is>
          <t>https://tenders.iglonline.net/uploads/tender/Corrigendum_IV_CC18256.pdf</t>
        </is>
      </c>
      <c r="U794" t="inlineStr">
        <is>
          <t>No</t>
        </is>
      </c>
      <c r="V794" t="inlineStr">
        <is>
          <t>Bot tarafindan tespit edildi (2026-07-01); Bot tespit/zenginlestirme (2026-07-01); meta:score=35;priority=Low;source_type=html_table;closing_date=;equipment=Gas-related / review;reasons=equipment:Gas-related / review,document source</t>
        </is>
      </c>
    </row>
    <row r="795">
      <c r="A795" t="inlineStr">
        <is>
          <t>T-0599</t>
        </is>
      </c>
      <c r="B795" t="inlineStr">
        <is>
          <t>Indraprastha Gas (IGL)</t>
        </is>
      </c>
      <c r="C795" t="inlineStr">
        <is>
          <t>Indraprastha Gas (IGL)</t>
        </is>
      </c>
      <c r="F795" t="inlineStr">
        <is>
          <t>New Lead</t>
        </is>
      </c>
      <c r="H795" t="inlineStr">
        <is>
          <t>View Tender</t>
        </is>
      </c>
      <c r="K795" t="inlineStr">
        <is>
          <t>Not found</t>
        </is>
      </c>
      <c r="L795" t="inlineStr">
        <is>
          <t>Unknown</t>
        </is>
      </c>
      <c r="T795" t="inlineStr">
        <is>
          <t>https://tenders.iglonline.net/tenderDetail/356/Active Tenders And Corrigendum-Addendum</t>
        </is>
      </c>
      <c r="U795" t="inlineStr">
        <is>
          <t>No</t>
        </is>
      </c>
      <c r="V795" t="inlineStr">
        <is>
          <t>Bot tarafindan tespit edildi (2026-07-01)</t>
        </is>
      </c>
    </row>
    <row r="796">
      <c r="A796" t="inlineStr">
        <is>
          <t>T-0600</t>
        </is>
      </c>
      <c r="B796" t="inlineStr">
        <is>
          <t>Indraprastha Gas (IGL)</t>
        </is>
      </c>
      <c r="C796" t="inlineStr">
        <is>
          <t>Indraprastha Gas (IGL)</t>
        </is>
      </c>
      <c r="D796" t="inlineStr">
        <is>
          <t>DOCUMENT</t>
        </is>
      </c>
      <c r="E796" t="inlineStr">
        <is>
          <t>2024-12-18</t>
        </is>
      </c>
      <c r="F796" t="inlineStr">
        <is>
          <t>Awarded</t>
        </is>
      </c>
      <c r="G796" t="inlineStr">
        <is>
          <t>Gas-related / review</t>
        </is>
      </c>
      <c r="H796" t="inlineStr">
        <is>
          <t>Corrigendum_I_1200_EMD_CC18263.pdf</t>
        </is>
      </c>
      <c r="K796" t="inlineStr">
        <is>
          <t>Not found</t>
        </is>
      </c>
      <c r="L796" t="inlineStr">
        <is>
          <t>Unknown</t>
        </is>
      </c>
      <c r="T796" t="inlineStr">
        <is>
          <t>https://tenders.iglonline.net/uploads/tender/Corrigendum_I_1200_EMD_CC18263.pdf</t>
        </is>
      </c>
      <c r="U796" t="inlineStr">
        <is>
          <t>No</t>
        </is>
      </c>
      <c r="V796"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797">
      <c r="A797" t="inlineStr">
        <is>
          <t>T-0601</t>
        </is>
      </c>
      <c r="B797" t="inlineStr">
        <is>
          <t>Indraprastha Gas (IGL)</t>
        </is>
      </c>
      <c r="C797" t="inlineStr">
        <is>
          <t>Indraprastha Gas (IGL)</t>
        </is>
      </c>
      <c r="D797" t="inlineStr">
        <is>
          <t>loading</t>
        </is>
      </c>
      <c r="E797" t="inlineStr">
        <is>
          <t>2024-12-18</t>
        </is>
      </c>
      <c r="F797" t="inlineStr">
        <is>
          <t>Awarded</t>
        </is>
      </c>
      <c r="G797" t="inlineStr">
        <is>
          <t>Metering skid</t>
        </is>
      </c>
      <c r="H797" t="inlineStr">
        <is>
          <t>RTBQ_1200_EMD_CC18263_(1).pdf</t>
        </is>
      </c>
      <c r="K797" t="inlineStr">
        <is>
          <t>Not found</t>
        </is>
      </c>
      <c r="L797" t="inlineStr">
        <is>
          <t>Unknown</t>
        </is>
      </c>
      <c r="M797" t="n">
        <v>2000000</v>
      </c>
      <c r="T797" t="inlineStr">
        <is>
          <t>https://tenders.iglonline.net/uploads/tender/RTBQ_1200_EMD_CC18263_(1).pdf</t>
        </is>
      </c>
      <c r="U797" t="inlineStr">
        <is>
          <t>No</t>
        </is>
      </c>
      <c r="V797"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8">
      <c r="A798" t="inlineStr">
        <is>
          <t>T-0602</t>
        </is>
      </c>
      <c r="B798" t="inlineStr">
        <is>
          <t>Indraprastha Gas (IGL)</t>
        </is>
      </c>
      <c r="C798" t="inlineStr">
        <is>
          <t>Indraprastha Gas (IGL)</t>
        </is>
      </c>
      <c r="D798" t="inlineStr">
        <is>
          <t>IGL/ET2/CP/CC18263</t>
        </is>
      </c>
      <c r="E798" t="inlineStr">
        <is>
          <t>2024-12-18</t>
        </is>
      </c>
      <c r="F798" t="inlineStr">
        <is>
          <t>Awarded</t>
        </is>
      </c>
      <c r="G798" t="inlineStr">
        <is>
          <t>Metering skid</t>
        </is>
      </c>
      <c r="H798" t="inlineStr">
        <is>
          <t>CORRIGENDUM_II_CC18263.pdf</t>
        </is>
      </c>
      <c r="K798" t="inlineStr">
        <is>
          <t>shall furnish Contract</t>
        </is>
      </c>
      <c r="L798" t="inlineStr">
        <is>
          <t>Unknown</t>
        </is>
      </c>
      <c r="T798" t="inlineStr">
        <is>
          <t>https://tenders.iglonline.net/uploads/tender/CORRIGENDUM_II_CC18263.pdf</t>
        </is>
      </c>
      <c r="U798" t="inlineStr">
        <is>
          <t>No</t>
        </is>
      </c>
      <c r="V798"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9">
      <c r="A799" t="inlineStr">
        <is>
          <t>T-0603</t>
        </is>
      </c>
      <c r="B799" t="inlineStr">
        <is>
          <t>Indraprastha Gas (IGL)</t>
        </is>
      </c>
      <c r="C799" t="inlineStr">
        <is>
          <t>Indraprastha Gas (IGL)</t>
        </is>
      </c>
      <c r="D799" t="inlineStr">
        <is>
          <t>DOCUMENT</t>
        </is>
      </c>
      <c r="E799" t="inlineStr">
        <is>
          <t>2024-12-18</t>
        </is>
      </c>
      <c r="F799" t="inlineStr">
        <is>
          <t>Awarded</t>
        </is>
      </c>
      <c r="G799" t="inlineStr">
        <is>
          <t>Gas-related / review</t>
        </is>
      </c>
      <c r="H799" t="inlineStr">
        <is>
          <t>Corrigendum_III_CC18263.pdf</t>
        </is>
      </c>
      <c r="K799" t="inlineStr">
        <is>
          <t>Not found</t>
        </is>
      </c>
      <c r="L799" t="inlineStr">
        <is>
          <t>Unknown</t>
        </is>
      </c>
      <c r="T799" t="inlineStr">
        <is>
          <t>https://tenders.iglonline.net/uploads/tender/Corrigendum_III_CC18263.pdf</t>
        </is>
      </c>
      <c r="U799" t="inlineStr">
        <is>
          <t>No</t>
        </is>
      </c>
      <c r="V799"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0">
      <c r="A800" t="inlineStr">
        <is>
          <t>T-0604</t>
        </is>
      </c>
      <c r="B800" t="inlineStr">
        <is>
          <t>Indraprastha Gas (IGL)</t>
        </is>
      </c>
      <c r="C800" t="inlineStr">
        <is>
          <t>Indraprastha Gas (IGL)</t>
        </is>
      </c>
      <c r="D800" t="inlineStr">
        <is>
          <t>loading</t>
        </is>
      </c>
      <c r="E800" t="inlineStr">
        <is>
          <t>2024-12-18</t>
        </is>
      </c>
      <c r="F800" t="inlineStr">
        <is>
          <t>Awarded</t>
        </is>
      </c>
      <c r="G800" t="inlineStr">
        <is>
          <t>Metering skid</t>
        </is>
      </c>
      <c r="H800" t="inlineStr">
        <is>
          <t>Corrigendum_IV_CC18263.pdf</t>
        </is>
      </c>
      <c r="K800" t="inlineStr">
        <is>
          <t>Not found</t>
        </is>
      </c>
      <c r="L800" t="inlineStr">
        <is>
          <t>Unknown</t>
        </is>
      </c>
      <c r="M800" t="n">
        <v>1200</v>
      </c>
      <c r="T800" t="inlineStr">
        <is>
          <t>https://tenders.iglonline.net/uploads/tender/Corrigendum_IV_CC18263.pdf</t>
        </is>
      </c>
      <c r="U800" t="inlineStr">
        <is>
          <t>No</t>
        </is>
      </c>
      <c r="V800"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801">
      <c r="A801" t="inlineStr">
        <is>
          <t>T-0605</t>
        </is>
      </c>
      <c r="B801" t="inlineStr">
        <is>
          <t>Indraprastha Gas (IGL)</t>
        </is>
      </c>
      <c r="C801" t="inlineStr">
        <is>
          <t>Indraprastha Gas (IGL)</t>
        </is>
      </c>
      <c r="D801" t="inlineStr">
        <is>
          <t>DOCUMENT</t>
        </is>
      </c>
      <c r="E801" t="inlineStr">
        <is>
          <t>2024-12-18</t>
        </is>
      </c>
      <c r="F801" t="inlineStr">
        <is>
          <t>Awarded</t>
        </is>
      </c>
      <c r="G801" t="inlineStr">
        <is>
          <t>Gas-related / review</t>
        </is>
      </c>
      <c r="H801" t="inlineStr">
        <is>
          <t>Corrigendum_V_CC18263.pdf</t>
        </is>
      </c>
      <c r="K801" t="inlineStr">
        <is>
          <t>Not found</t>
        </is>
      </c>
      <c r="L801" t="inlineStr">
        <is>
          <t>Unknown</t>
        </is>
      </c>
      <c r="T801" t="inlineStr">
        <is>
          <t>https://tenders.iglonline.net/uploads/tender/Corrigendum_V_CC18263.pdf</t>
        </is>
      </c>
      <c r="U801" t="inlineStr">
        <is>
          <t>No</t>
        </is>
      </c>
      <c r="V801"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2">
      <c r="A802" t="inlineStr">
        <is>
          <t>T-0606</t>
        </is>
      </c>
      <c r="B802" t="inlineStr">
        <is>
          <t>Indraprastha Gas (IGL)</t>
        </is>
      </c>
      <c r="C802" t="inlineStr">
        <is>
          <t>Indraprastha Gas (IGL)</t>
        </is>
      </c>
      <c r="D802" t="inlineStr">
        <is>
          <t>DOCUMENT</t>
        </is>
      </c>
      <c r="E802" t="inlineStr">
        <is>
          <t>2024-12-18</t>
        </is>
      </c>
      <c r="F802" t="inlineStr">
        <is>
          <t>Awarded</t>
        </is>
      </c>
      <c r="G802" t="inlineStr">
        <is>
          <t>Gas-related / review</t>
        </is>
      </c>
      <c r="H802" t="inlineStr">
        <is>
          <t>Corrigendum_VI_CC18263.pdf</t>
        </is>
      </c>
      <c r="K802" t="inlineStr">
        <is>
          <t>Not found</t>
        </is>
      </c>
      <c r="L802" t="inlineStr">
        <is>
          <t>Unknown</t>
        </is>
      </c>
      <c r="T802" t="inlineStr">
        <is>
          <t>https://tenders.iglonline.net/uploads/tender/Corrigendum_VI_CC18263.pdf</t>
        </is>
      </c>
      <c r="U802" t="inlineStr">
        <is>
          <t>No</t>
        </is>
      </c>
      <c r="V802"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3">
      <c r="A803" t="inlineStr">
        <is>
          <t>T-0607</t>
        </is>
      </c>
      <c r="B803" t="inlineStr">
        <is>
          <t>Indraprastha Gas (IGL)</t>
        </is>
      </c>
      <c r="C803" t="inlineStr">
        <is>
          <t>Indraprastha Gas (IGL)</t>
        </is>
      </c>
      <c r="D803" t="inlineStr">
        <is>
          <t>IGL/ET2/CP/CC18263</t>
        </is>
      </c>
      <c r="E803" t="inlineStr">
        <is>
          <t>2024-12-18</t>
        </is>
      </c>
      <c r="F803" t="inlineStr">
        <is>
          <t>Awarded</t>
        </is>
      </c>
      <c r="G803" t="inlineStr">
        <is>
          <t>Metering skid</t>
        </is>
      </c>
      <c r="H803" t="inlineStr">
        <is>
          <t>CORRIGENDUM_VII_CC18263.pdf</t>
        </is>
      </c>
      <c r="K803" t="inlineStr">
        <is>
          <t>Not found</t>
        </is>
      </c>
      <c r="L803" t="inlineStr">
        <is>
          <t>Unknown</t>
        </is>
      </c>
      <c r="T803" t="inlineStr">
        <is>
          <t>https://tenders.iglonline.net/uploads/tender/CORRIGENDUM_VII_CC18263.pdf</t>
        </is>
      </c>
      <c r="U803" t="inlineStr">
        <is>
          <t>No</t>
        </is>
      </c>
      <c r="V803"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4">
      <c r="A804" t="inlineStr">
        <is>
          <t>T-0608</t>
        </is>
      </c>
      <c r="B804" t="inlineStr">
        <is>
          <t>Indraprastha Gas (IGL)</t>
        </is>
      </c>
      <c r="C804" t="inlineStr">
        <is>
          <t>Indraprastha Gas (IGL)</t>
        </is>
      </c>
      <c r="F804" t="inlineStr">
        <is>
          <t>New Lead</t>
        </is>
      </c>
      <c r="H804" t="inlineStr">
        <is>
          <t>View Tender</t>
        </is>
      </c>
      <c r="K804" t="inlineStr">
        <is>
          <t>Not found</t>
        </is>
      </c>
      <c r="L804" t="inlineStr">
        <is>
          <t>Unknown</t>
        </is>
      </c>
      <c r="T804" t="inlineStr">
        <is>
          <t>https://tenders.iglonline.net/tenderDetail/355/Active Tenders And Corrigendum-Addendum</t>
        </is>
      </c>
      <c r="U804" t="inlineStr">
        <is>
          <t>No</t>
        </is>
      </c>
      <c r="V804" t="inlineStr">
        <is>
          <t>Bot tarafindan tespit edildi (2026-07-01)</t>
        </is>
      </c>
    </row>
    <row r="805">
      <c r="A805" t="inlineStr">
        <is>
          <t>T-0609</t>
        </is>
      </c>
      <c r="B805" t="inlineStr">
        <is>
          <t>Indraprastha Gas (IGL)</t>
        </is>
      </c>
      <c r="C805" t="inlineStr">
        <is>
          <t>Indraprastha Gas (IGL)</t>
        </is>
      </c>
      <c r="F805" t="inlineStr">
        <is>
          <t>New Lead</t>
        </is>
      </c>
      <c r="H805" t="inlineStr">
        <is>
          <t>View Tender</t>
        </is>
      </c>
      <c r="K805" t="inlineStr">
        <is>
          <t>Not found</t>
        </is>
      </c>
      <c r="L805" t="inlineStr">
        <is>
          <t>Unknown</t>
        </is>
      </c>
      <c r="T805" t="inlineStr">
        <is>
          <t>https://tenders.iglonline.net/tenderDetail/354/Active Tenders And Corrigendum-Addendum</t>
        </is>
      </c>
      <c r="U805" t="inlineStr">
        <is>
          <t>No</t>
        </is>
      </c>
      <c r="V805" t="inlineStr">
        <is>
          <t>Bot tarafindan tespit edildi (2026-07-01)</t>
        </is>
      </c>
    </row>
    <row r="806">
      <c r="A806" t="inlineStr">
        <is>
          <t>T-0610</t>
        </is>
      </c>
      <c r="B806" t="inlineStr">
        <is>
          <t>Indraprastha Gas (IGL)</t>
        </is>
      </c>
      <c r="C806" t="inlineStr">
        <is>
          <t>Indraprastha Gas (IGL)</t>
        </is>
      </c>
      <c r="F806" t="inlineStr">
        <is>
          <t>New Lead</t>
        </is>
      </c>
      <c r="G806" t="inlineStr">
        <is>
          <t>Gas-related / review</t>
        </is>
      </c>
      <c r="H806" t="inlineStr">
        <is>
          <t>RTBQ_600_EMD_CC18272.pdf</t>
        </is>
      </c>
      <c r="K806" t="inlineStr">
        <is>
          <t>Not found</t>
        </is>
      </c>
      <c r="L806" t="inlineStr">
        <is>
          <t>Unknown</t>
        </is>
      </c>
      <c r="T806" t="inlineStr">
        <is>
          <t>https://tenders.iglonline.net/uploads/tender/RTBQ_600_EMD_CC18272.pdf</t>
        </is>
      </c>
      <c r="U806" t="inlineStr">
        <is>
          <t>No</t>
        </is>
      </c>
      <c r="V806" t="inlineStr">
        <is>
          <t>Bot tarafindan tespit edildi (2026-07-01); Bot tespit/zenginlestirme (2026-07-01); meta:score=35;priority=Low;source_type=html_table;closing_date=;equipment=Gas-related / review;reasons=equipment:Gas-related / review,document source</t>
        </is>
      </c>
    </row>
    <row r="807">
      <c r="A807" t="inlineStr">
        <is>
          <t>T-0611</t>
        </is>
      </c>
      <c r="B807" t="inlineStr">
        <is>
          <t>Indraprastha Gas (IGL)</t>
        </is>
      </c>
      <c r="C807" t="inlineStr">
        <is>
          <t>Indraprastha Gas (IGL)</t>
        </is>
      </c>
      <c r="F807" t="inlineStr">
        <is>
          <t>New Lead</t>
        </is>
      </c>
      <c r="G807" t="inlineStr">
        <is>
          <t>Gas-related / review</t>
        </is>
      </c>
      <c r="H807" t="inlineStr">
        <is>
          <t>Corrigendum_I_600_EMD_CC18272.pdf</t>
        </is>
      </c>
      <c r="K807" t="inlineStr">
        <is>
          <t>Not found</t>
        </is>
      </c>
      <c r="L807" t="inlineStr">
        <is>
          <t>Unknown</t>
        </is>
      </c>
      <c r="T807" t="inlineStr">
        <is>
          <t>https://tenders.iglonline.net/uploads/tender/Corrigendum_I_600_EMD_CC18272.pdf</t>
        </is>
      </c>
      <c r="U807" t="inlineStr">
        <is>
          <t>No</t>
        </is>
      </c>
      <c r="V807" t="inlineStr">
        <is>
          <t>Bot tarafindan tespit edildi (2026-07-01); Bot tespit/zenginlestirme (2026-07-01); meta:score=35;priority=Low;source_type=html_table;closing_date=;equipment=Gas-related / review;reasons=equipment:Gas-related / review,document source</t>
        </is>
      </c>
    </row>
    <row r="808">
      <c r="A808" t="inlineStr">
        <is>
          <t>T-0612</t>
        </is>
      </c>
      <c r="B808" t="inlineStr">
        <is>
          <t>Indraprastha Gas (IGL)</t>
        </is>
      </c>
      <c r="C808" t="inlineStr">
        <is>
          <t>Indraprastha Gas (IGL)</t>
        </is>
      </c>
      <c r="F808" t="inlineStr">
        <is>
          <t>New Lead</t>
        </is>
      </c>
      <c r="G808" t="inlineStr">
        <is>
          <t>Gas-related / review</t>
        </is>
      </c>
      <c r="H808" t="inlineStr">
        <is>
          <t>CORRIGENDUM_II_CC18272.pdf</t>
        </is>
      </c>
      <c r="K808" t="inlineStr">
        <is>
          <t>Not found</t>
        </is>
      </c>
      <c r="L808" t="inlineStr">
        <is>
          <t>Unknown</t>
        </is>
      </c>
      <c r="T808" t="inlineStr">
        <is>
          <t>https://tenders.iglonline.net/uploads/tender/CORRIGENDUM_II_CC18272.pdf</t>
        </is>
      </c>
      <c r="U808" t="inlineStr">
        <is>
          <t>No</t>
        </is>
      </c>
      <c r="V808" t="inlineStr">
        <is>
          <t>Bot tarafindan tespit edildi (2026-07-01); Bot tespit/zenginlestirme (2026-07-01); meta:score=35;priority=Low;source_type=html_table;closing_date=;equipment=Gas-related / review;reasons=equipment:Gas-related / review,document source</t>
        </is>
      </c>
    </row>
    <row r="809">
      <c r="A809" t="inlineStr">
        <is>
          <t>T-0613</t>
        </is>
      </c>
      <c r="B809" t="inlineStr">
        <is>
          <t>Indraprastha Gas (IGL)</t>
        </is>
      </c>
      <c r="C809" t="inlineStr">
        <is>
          <t>Indraprastha Gas (IGL)</t>
        </is>
      </c>
      <c r="F809" t="inlineStr">
        <is>
          <t>New Lead</t>
        </is>
      </c>
      <c r="G809" t="inlineStr">
        <is>
          <t>Gas-related / review</t>
        </is>
      </c>
      <c r="H809" t="inlineStr">
        <is>
          <t>Corrigendum_III_CC18272.pdf</t>
        </is>
      </c>
      <c r="K809" t="inlineStr">
        <is>
          <t>Not found</t>
        </is>
      </c>
      <c r="L809" t="inlineStr">
        <is>
          <t>Unknown</t>
        </is>
      </c>
      <c r="T809" t="inlineStr">
        <is>
          <t>https://tenders.iglonline.net/uploads/tender/Corrigendum_III_CC18272.pdf</t>
        </is>
      </c>
      <c r="U809" t="inlineStr">
        <is>
          <t>No</t>
        </is>
      </c>
      <c r="V809" t="inlineStr">
        <is>
          <t>Bot tarafindan tespit edildi (2026-07-01); Bot tespit/zenginlestirme (2026-07-01); meta:score=35;priority=Low;source_type=html_table;closing_date=;equipment=Gas-related / review;reasons=equipment:Gas-related / review,document source</t>
        </is>
      </c>
    </row>
    <row r="810">
      <c r="A810" t="inlineStr">
        <is>
          <t>T-0614</t>
        </is>
      </c>
      <c r="B810" t="inlineStr">
        <is>
          <t>Indraprastha Gas (IGL)</t>
        </is>
      </c>
      <c r="C810" t="inlineStr">
        <is>
          <t>Indraprastha Gas (IGL)</t>
        </is>
      </c>
      <c r="F810" t="inlineStr">
        <is>
          <t>New Lead</t>
        </is>
      </c>
      <c r="G810" t="inlineStr">
        <is>
          <t>Gas-related / review</t>
        </is>
      </c>
      <c r="H810" t="inlineStr">
        <is>
          <t>Corrigendum_V_CC18272.pdf</t>
        </is>
      </c>
      <c r="K810" t="inlineStr">
        <is>
          <t>Not found</t>
        </is>
      </c>
      <c r="L810" t="inlineStr">
        <is>
          <t>Unknown</t>
        </is>
      </c>
      <c r="T810" t="inlineStr">
        <is>
          <t>https://tenders.iglonline.net/uploads/tender/Corrigendum_V_CC18272.pdf</t>
        </is>
      </c>
      <c r="U810" t="inlineStr">
        <is>
          <t>No</t>
        </is>
      </c>
      <c r="V810" t="inlineStr">
        <is>
          <t>Bot tarafindan tespit edildi (2026-07-01); Bot tespit/zenginlestirme (2026-07-01); meta:score=35;priority=Low;source_type=html_table;closing_date=;equipment=Gas-related / review;reasons=equipment:Gas-related / review,document source</t>
        </is>
      </c>
    </row>
    <row r="811">
      <c r="A811" t="inlineStr">
        <is>
          <t>T-0615</t>
        </is>
      </c>
      <c r="B811" t="inlineStr">
        <is>
          <t>Indraprastha Gas (IGL)</t>
        </is>
      </c>
      <c r="C811" t="inlineStr">
        <is>
          <t>Indraprastha Gas (IGL)</t>
        </is>
      </c>
      <c r="F811" t="inlineStr">
        <is>
          <t>New Lead</t>
        </is>
      </c>
      <c r="G811" t="inlineStr">
        <is>
          <t>Gas-related / review</t>
        </is>
      </c>
      <c r="H811" t="inlineStr">
        <is>
          <t>Corrigendum_IV_CC18272.pdf</t>
        </is>
      </c>
      <c r="K811" t="inlineStr">
        <is>
          <t>Not found</t>
        </is>
      </c>
      <c r="L811" t="inlineStr">
        <is>
          <t>Unknown</t>
        </is>
      </c>
      <c r="T811" t="inlineStr">
        <is>
          <t>https://tenders.iglonline.net/uploads/tender/Corrigendum_IV_CC18272.pdf</t>
        </is>
      </c>
      <c r="U811" t="inlineStr">
        <is>
          <t>No</t>
        </is>
      </c>
      <c r="V811" t="inlineStr">
        <is>
          <t>Bot tarafindan tespit edildi (2026-07-01); Bot tespit/zenginlestirme (2026-07-01); meta:score=35;priority=Low;source_type=html_table;closing_date=;equipment=Gas-related / review;reasons=equipment:Gas-related / review,document source</t>
        </is>
      </c>
    </row>
    <row r="812">
      <c r="A812" t="inlineStr">
        <is>
          <t>T-0616</t>
        </is>
      </c>
      <c r="B812" t="inlineStr">
        <is>
          <t>Indraprastha Gas (IGL)</t>
        </is>
      </c>
      <c r="C812" t="inlineStr">
        <is>
          <t>Indraprastha Gas (IGL)</t>
        </is>
      </c>
      <c r="F812" t="inlineStr">
        <is>
          <t>New Lead</t>
        </is>
      </c>
      <c r="G812" t="inlineStr">
        <is>
          <t>Gas-related / review</t>
        </is>
      </c>
      <c r="H812" t="inlineStr">
        <is>
          <t>Corrigendum_VI_CC18272.pdf</t>
        </is>
      </c>
      <c r="K812" t="inlineStr">
        <is>
          <t>Not found</t>
        </is>
      </c>
      <c r="L812" t="inlineStr">
        <is>
          <t>Unknown</t>
        </is>
      </c>
      <c r="T812" t="inlineStr">
        <is>
          <t>https://tenders.iglonline.net/uploads/tender/Corrigendum_VI_CC18272.pdf</t>
        </is>
      </c>
      <c r="U812" t="inlineStr">
        <is>
          <t>No</t>
        </is>
      </c>
      <c r="V812" t="inlineStr">
        <is>
          <t>Bot tarafindan tespit edildi (2026-07-01); Bot tespit/zenginlestirme (2026-07-01); meta:score=35;priority=Low;source_type=html_table;closing_date=;equipment=Gas-related / review;reasons=equipment:Gas-related / review,document source</t>
        </is>
      </c>
    </row>
    <row r="813">
      <c r="A813" t="inlineStr">
        <is>
          <t>T-0617</t>
        </is>
      </c>
      <c r="B813" t="inlineStr">
        <is>
          <t>Indraprastha Gas (IGL)</t>
        </is>
      </c>
      <c r="C813" t="inlineStr">
        <is>
          <t>Indraprastha Gas (IGL)</t>
        </is>
      </c>
      <c r="F813" t="inlineStr">
        <is>
          <t>New Lead</t>
        </is>
      </c>
      <c r="H813" t="inlineStr">
        <is>
          <t>View Tender</t>
        </is>
      </c>
      <c r="K813" t="inlineStr">
        <is>
          <t>Not found</t>
        </is>
      </c>
      <c r="L813" t="inlineStr">
        <is>
          <t>Unknown</t>
        </is>
      </c>
      <c r="T813" t="inlineStr">
        <is>
          <t>https://tenders.iglonline.net/tenderDetail/353/Active Tenders And Corrigendum-Addendum</t>
        </is>
      </c>
      <c r="U813" t="inlineStr">
        <is>
          <t>No</t>
        </is>
      </c>
      <c r="V813" t="inlineStr">
        <is>
          <t>Bot tarafindan tespit edildi (2026-07-01)</t>
        </is>
      </c>
    </row>
    <row r="814">
      <c r="A814" t="inlineStr">
        <is>
          <t>T-0618</t>
        </is>
      </c>
      <c r="B814" t="inlineStr">
        <is>
          <t>Indraprastha Gas (IGL)</t>
        </is>
      </c>
      <c r="C814" t="inlineStr">
        <is>
          <t>Indraprastha Gas (IGL)</t>
        </is>
      </c>
      <c r="F814" t="inlineStr">
        <is>
          <t>New Lead</t>
        </is>
      </c>
      <c r="H814" t="inlineStr">
        <is>
          <t>RTBQ_CC18220.pdf</t>
        </is>
      </c>
      <c r="K814" t="inlineStr">
        <is>
          <t>Not found</t>
        </is>
      </c>
      <c r="L814" t="inlineStr">
        <is>
          <t>Unknown</t>
        </is>
      </c>
      <c r="T814" t="inlineStr">
        <is>
          <t>https://tenders.iglonline.net/uploads/tender/RTBQ_CC18220.pdf</t>
        </is>
      </c>
      <c r="U814" t="inlineStr">
        <is>
          <t>No</t>
        </is>
      </c>
      <c r="V814" t="inlineStr">
        <is>
          <t>Bot tarafindan tespit edildi (2026-07-01)</t>
        </is>
      </c>
    </row>
    <row r="815">
      <c r="A815" t="inlineStr">
        <is>
          <t>T-0619</t>
        </is>
      </c>
      <c r="B815" t="inlineStr">
        <is>
          <t>Indraprastha Gas (IGL)</t>
        </is>
      </c>
      <c r="C815" t="inlineStr">
        <is>
          <t>Indraprastha Gas (IGL)</t>
        </is>
      </c>
      <c r="F815" t="inlineStr">
        <is>
          <t>New Lead</t>
        </is>
      </c>
      <c r="H815" t="inlineStr">
        <is>
          <t>View Tender</t>
        </is>
      </c>
      <c r="K815" t="inlineStr">
        <is>
          <t>Not found</t>
        </is>
      </c>
      <c r="L815" t="inlineStr">
        <is>
          <t>Unknown</t>
        </is>
      </c>
      <c r="T815" t="inlineStr">
        <is>
          <t>https://tenders.iglonline.net/tenderDetail/352/Active Tenders And Corrigendum-Addendum</t>
        </is>
      </c>
      <c r="U815" t="inlineStr">
        <is>
          <t>No</t>
        </is>
      </c>
      <c r="V815" t="inlineStr">
        <is>
          <t>Bot tarafindan tespit edildi (2026-07-01)</t>
        </is>
      </c>
    </row>
    <row r="816">
      <c r="A816" t="inlineStr">
        <is>
          <t>T-0620</t>
        </is>
      </c>
      <c r="B816" t="inlineStr">
        <is>
          <t>Indraprastha Gas (IGL)</t>
        </is>
      </c>
      <c r="C816" t="inlineStr">
        <is>
          <t>Indraprastha Gas (IGL)</t>
        </is>
      </c>
      <c r="F816" t="inlineStr">
        <is>
          <t>New Lead</t>
        </is>
      </c>
      <c r="H816" t="inlineStr">
        <is>
          <t>CORRIGENDUM_I_CC18276.pdf</t>
        </is>
      </c>
      <c r="K816" t="inlineStr">
        <is>
          <t>Not found</t>
        </is>
      </c>
      <c r="L816" t="inlineStr">
        <is>
          <t>Unknown</t>
        </is>
      </c>
      <c r="T816" t="inlineStr">
        <is>
          <t>https://tenders.iglonline.net/uploads/tender/CORRIGENDUM_I_CC18276.pdf</t>
        </is>
      </c>
      <c r="U816" t="inlineStr">
        <is>
          <t>No</t>
        </is>
      </c>
      <c r="V816" t="inlineStr">
        <is>
          <t>Bot tarafindan tespit edildi (2026-07-01)</t>
        </is>
      </c>
    </row>
    <row r="817">
      <c r="A817" t="inlineStr">
        <is>
          <t>T-0621</t>
        </is>
      </c>
      <c r="B817" t="inlineStr">
        <is>
          <t>Indraprastha Gas (IGL)</t>
        </is>
      </c>
      <c r="C817" t="inlineStr">
        <is>
          <t>Indraprastha Gas (IGL)</t>
        </is>
      </c>
      <c r="F817" t="inlineStr">
        <is>
          <t>New Lead</t>
        </is>
      </c>
      <c r="H817" t="inlineStr">
        <is>
          <t>View Tender</t>
        </is>
      </c>
      <c r="K817" t="inlineStr">
        <is>
          <t>Not found</t>
        </is>
      </c>
      <c r="L817" t="inlineStr">
        <is>
          <t>Unknown</t>
        </is>
      </c>
      <c r="T817" t="inlineStr">
        <is>
          <t>https://tenders.iglonline.net/tenderDetail/351/Active Tenders And Corrigendum-Addendum</t>
        </is>
      </c>
      <c r="U817" t="inlineStr">
        <is>
          <t>No</t>
        </is>
      </c>
      <c r="V817" t="inlineStr">
        <is>
          <t>Bot tarafindan tespit edildi (2026-07-01)</t>
        </is>
      </c>
    </row>
    <row r="818">
      <c r="A818" t="inlineStr">
        <is>
          <t>T-0622</t>
        </is>
      </c>
      <c r="B818" t="inlineStr">
        <is>
          <t>Indraprastha Gas (IGL)</t>
        </is>
      </c>
      <c r="C818" t="inlineStr">
        <is>
          <t>Indraprastha Gas (IGL)</t>
        </is>
      </c>
      <c r="F818" t="inlineStr">
        <is>
          <t>New Lead</t>
        </is>
      </c>
      <c r="H818" t="inlineStr">
        <is>
          <t>RTPBQ_merged.pdf</t>
        </is>
      </c>
      <c r="K818" t="inlineStr">
        <is>
          <t>Not found</t>
        </is>
      </c>
      <c r="L818" t="inlineStr">
        <is>
          <t>Unknown</t>
        </is>
      </c>
      <c r="T818" t="inlineStr">
        <is>
          <t>https://tenders.iglonline.net/uploads/tender/RTPBQ_merged.pdf</t>
        </is>
      </c>
      <c r="U818" t="inlineStr">
        <is>
          <t>No</t>
        </is>
      </c>
      <c r="V818" t="inlineStr">
        <is>
          <t>Bot tarafindan tespit edildi (2026-07-01)</t>
        </is>
      </c>
    </row>
    <row r="819">
      <c r="A819" t="inlineStr">
        <is>
          <t>T-0623</t>
        </is>
      </c>
      <c r="B819" t="inlineStr">
        <is>
          <t>Indraprastha Gas (IGL)</t>
        </is>
      </c>
      <c r="C819" t="inlineStr">
        <is>
          <t>Indraprastha Gas (IGL)</t>
        </is>
      </c>
      <c r="F819" t="inlineStr">
        <is>
          <t>New Lead</t>
        </is>
      </c>
      <c r="H819" t="inlineStr">
        <is>
          <t>View Tender</t>
        </is>
      </c>
      <c r="K819" t="inlineStr">
        <is>
          <t>Not found</t>
        </is>
      </c>
      <c r="L819" t="inlineStr">
        <is>
          <t>Unknown</t>
        </is>
      </c>
      <c r="T819" t="inlineStr">
        <is>
          <t>https://tenders.iglonline.net/tenderDetail/350/Active Tenders And Corrigendum-Addendum</t>
        </is>
      </c>
      <c r="U819" t="inlineStr">
        <is>
          <t>No</t>
        </is>
      </c>
      <c r="V819" t="inlineStr">
        <is>
          <t>Bot tarafindan tespit edildi (2026-07-01)</t>
        </is>
      </c>
    </row>
    <row r="820">
      <c r="A820" t="inlineStr">
        <is>
          <t>T-0624</t>
        </is>
      </c>
      <c r="B820" t="inlineStr">
        <is>
          <t>Indraprastha Gas (IGL)</t>
        </is>
      </c>
      <c r="C820" t="inlineStr">
        <is>
          <t>Indraprastha Gas (IGL)</t>
        </is>
      </c>
      <c r="F820" t="inlineStr">
        <is>
          <t>New Lead</t>
        </is>
      </c>
      <c r="H820" t="inlineStr">
        <is>
          <t>iglnew.pdf</t>
        </is>
      </c>
      <c r="K820" t="inlineStr">
        <is>
          <t>Not found</t>
        </is>
      </c>
      <c r="L820" t="inlineStr">
        <is>
          <t>Unknown</t>
        </is>
      </c>
      <c r="T820" t="inlineStr">
        <is>
          <t>https://tenders.iglonline.net/uploads/tender/iglnew.pdf</t>
        </is>
      </c>
      <c r="U820" t="inlineStr">
        <is>
          <t>No</t>
        </is>
      </c>
      <c r="V820" t="inlineStr">
        <is>
          <t>Bot tarafindan tespit edildi (2026-07-01)</t>
        </is>
      </c>
    </row>
    <row r="821">
      <c r="A821" t="inlineStr">
        <is>
          <t>T-0625</t>
        </is>
      </c>
      <c r="B821" t="inlineStr">
        <is>
          <t>Indraprastha Gas (IGL)</t>
        </is>
      </c>
      <c r="C821" t="inlineStr">
        <is>
          <t>Indraprastha Gas (IGL)</t>
        </is>
      </c>
      <c r="F821" t="inlineStr">
        <is>
          <t>New Lead</t>
        </is>
      </c>
      <c r="H821" t="inlineStr">
        <is>
          <t>View Tender</t>
        </is>
      </c>
      <c r="K821" t="inlineStr">
        <is>
          <t>Not found</t>
        </is>
      </c>
      <c r="L821" t="inlineStr">
        <is>
          <t>Unknown</t>
        </is>
      </c>
      <c r="T821" t="inlineStr">
        <is>
          <t>https://tenders.iglonline.net/tenderDetail/349/Active Tenders And Corrigendum-Addendum</t>
        </is>
      </c>
      <c r="U821" t="inlineStr">
        <is>
          <t>No</t>
        </is>
      </c>
      <c r="V821" t="inlineStr">
        <is>
          <t>Bot tarafindan tespit edildi (2026-07-01)</t>
        </is>
      </c>
    </row>
    <row r="822">
      <c r="A822" t="inlineStr">
        <is>
          <t>T-0626</t>
        </is>
      </c>
      <c r="B822" t="inlineStr">
        <is>
          <t>Indraprastha Gas (IGL)</t>
        </is>
      </c>
      <c r="C822" t="inlineStr">
        <is>
          <t>Indraprastha Gas (IGL)</t>
        </is>
      </c>
      <c r="F822" t="inlineStr">
        <is>
          <t>New Lead</t>
        </is>
      </c>
      <c r="H822" t="inlineStr">
        <is>
          <t>Replies_to_pre_bid_queries.pdf</t>
        </is>
      </c>
      <c r="K822" t="inlineStr">
        <is>
          <t>Not found</t>
        </is>
      </c>
      <c r="L822" t="inlineStr">
        <is>
          <t>Unknown</t>
        </is>
      </c>
      <c r="T822" t="inlineStr">
        <is>
          <t>https://tenders.iglonline.net/uploads/tender/Replies_to_pre_bid_queries.pdf</t>
        </is>
      </c>
      <c r="U822" t="inlineStr">
        <is>
          <t>No</t>
        </is>
      </c>
      <c r="V822" t="inlineStr">
        <is>
          <t>Bot tarafindan tespit edildi (2026-07-01)</t>
        </is>
      </c>
    </row>
    <row r="823">
      <c r="A823" t="inlineStr">
        <is>
          <t>T-0627</t>
        </is>
      </c>
      <c r="B823" t="inlineStr">
        <is>
          <t>Indraprastha Gas (IGL)</t>
        </is>
      </c>
      <c r="C823" t="inlineStr">
        <is>
          <t>Indraprastha Gas (IGL)</t>
        </is>
      </c>
      <c r="F823" t="inlineStr">
        <is>
          <t>New Lead</t>
        </is>
      </c>
      <c r="H823" t="inlineStr">
        <is>
          <t>View Tender</t>
        </is>
      </c>
      <c r="K823" t="inlineStr">
        <is>
          <t>Not found</t>
        </is>
      </c>
      <c r="L823" t="inlineStr">
        <is>
          <t>Unknown</t>
        </is>
      </c>
      <c r="T823" t="inlineStr">
        <is>
          <t>https://tenders.iglonline.net/tenderDetail/348/Active Tenders And Corrigendum-Addendum</t>
        </is>
      </c>
      <c r="U823" t="inlineStr">
        <is>
          <t>No</t>
        </is>
      </c>
      <c r="V823" t="inlineStr">
        <is>
          <t>Bot tarafindan tespit edildi (2026-07-01)</t>
        </is>
      </c>
    </row>
    <row r="824">
      <c r="A824" t="inlineStr">
        <is>
          <t>T-0628</t>
        </is>
      </c>
      <c r="B824" t="inlineStr">
        <is>
          <t>Indraprastha Gas (IGL)</t>
        </is>
      </c>
      <c r="C824" t="inlineStr">
        <is>
          <t>Indraprastha Gas (IGL)</t>
        </is>
      </c>
      <c r="F824" t="inlineStr">
        <is>
          <t>New Lead</t>
        </is>
      </c>
      <c r="H824" t="inlineStr">
        <is>
          <t>CORRIGENDUM_I_CC18270.pdf</t>
        </is>
      </c>
      <c r="K824" t="inlineStr">
        <is>
          <t>Not found</t>
        </is>
      </c>
      <c r="L824" t="inlineStr">
        <is>
          <t>Unknown</t>
        </is>
      </c>
      <c r="T824" t="inlineStr">
        <is>
          <t>https://tenders.iglonline.net/uploads/tender/CORRIGENDUM_I_CC18270.pdf</t>
        </is>
      </c>
      <c r="U824" t="inlineStr">
        <is>
          <t>No</t>
        </is>
      </c>
      <c r="V824" t="inlineStr">
        <is>
          <t>Bot tarafindan tespit edildi (2026-07-01)</t>
        </is>
      </c>
    </row>
    <row r="825">
      <c r="A825" t="inlineStr">
        <is>
          <t>T-0629</t>
        </is>
      </c>
      <c r="B825" t="inlineStr">
        <is>
          <t>Indraprastha Gas (IGL)</t>
        </is>
      </c>
      <c r="C825" t="inlineStr">
        <is>
          <t>Indraprastha Gas (IGL)</t>
        </is>
      </c>
      <c r="F825" t="inlineStr">
        <is>
          <t>New Lead</t>
        </is>
      </c>
      <c r="H825" t="inlineStr">
        <is>
          <t>View Tender</t>
        </is>
      </c>
      <c r="K825" t="inlineStr">
        <is>
          <t>Not found</t>
        </is>
      </c>
      <c r="L825" t="inlineStr">
        <is>
          <t>Unknown</t>
        </is>
      </c>
      <c r="T825" t="inlineStr">
        <is>
          <t>https://tenders.iglonline.net/tenderDetail/347/Active Tenders And Corrigendum-Addendum</t>
        </is>
      </c>
      <c r="U825" t="inlineStr">
        <is>
          <t>No</t>
        </is>
      </c>
      <c r="V825" t="inlineStr">
        <is>
          <t>Bot tarafindan tespit edildi (2026-07-01)</t>
        </is>
      </c>
    </row>
    <row r="826">
      <c r="A826" t="inlineStr">
        <is>
          <t>T-0630</t>
        </is>
      </c>
      <c r="B826" t="inlineStr">
        <is>
          <t>Indraprastha Gas (IGL)</t>
        </is>
      </c>
      <c r="C826" t="inlineStr">
        <is>
          <t>Indraprastha Gas (IGL)</t>
        </is>
      </c>
      <c r="F826" t="inlineStr">
        <is>
          <t>New Lead</t>
        </is>
      </c>
      <c r="G826" t="inlineStr">
        <is>
          <t>Gas-related / review</t>
        </is>
      </c>
      <c r="H826" t="inlineStr">
        <is>
          <t>RTPBQ_(2).pdf</t>
        </is>
      </c>
      <c r="K826" t="inlineStr">
        <is>
          <t>Not found</t>
        </is>
      </c>
      <c r="L826" t="inlineStr">
        <is>
          <t>Unknown</t>
        </is>
      </c>
      <c r="T826" t="inlineStr">
        <is>
          <t>https://tenders.iglonline.net/uploads/tender/RTPBQ_(2).pdf</t>
        </is>
      </c>
      <c r="U826" t="inlineStr">
        <is>
          <t>No</t>
        </is>
      </c>
      <c r="V826" t="inlineStr">
        <is>
          <t>Bot tarafindan tespit edildi (2026-07-01); Bot tespit/zenginlestirme (2026-07-01); meta:score=35;priority=Low;source_type=html_table;closing_date=;equipment=Gas-related / review;reasons=equipment:Gas-related / review,document source</t>
        </is>
      </c>
    </row>
    <row r="827">
      <c r="A827" t="inlineStr">
        <is>
          <t>T-0631</t>
        </is>
      </c>
      <c r="B827" t="inlineStr">
        <is>
          <t>Indraprastha Gas (IGL)</t>
        </is>
      </c>
      <c r="C827" t="inlineStr">
        <is>
          <t>Indraprastha Gas (IGL)</t>
        </is>
      </c>
      <c r="F827" t="inlineStr">
        <is>
          <t>New Lead</t>
        </is>
      </c>
      <c r="G827" t="inlineStr">
        <is>
          <t>Gas-related / review</t>
        </is>
      </c>
      <c r="H827" t="inlineStr">
        <is>
          <t>Corrigendum_15.pdf</t>
        </is>
      </c>
      <c r="K827" t="inlineStr">
        <is>
          <t>Not found</t>
        </is>
      </c>
      <c r="L827" t="inlineStr">
        <is>
          <t>Unknown</t>
        </is>
      </c>
      <c r="T827" t="inlineStr">
        <is>
          <t>https://tenders.iglonline.net/uploads/tender/Corrigendum_15.pdf</t>
        </is>
      </c>
      <c r="U827" t="inlineStr">
        <is>
          <t>No</t>
        </is>
      </c>
      <c r="V827" t="inlineStr">
        <is>
          <t>Bot tarafindan tespit edildi (2026-07-01); Bot tespit/zenginlestirme (2026-07-01); meta:score=35;priority=Low;source_type=html_table;closing_date=;equipment=Gas-related / review;reasons=equipment:Gas-related / review,document source</t>
        </is>
      </c>
    </row>
    <row r="828">
      <c r="A828" t="inlineStr">
        <is>
          <t>T-0632</t>
        </is>
      </c>
      <c r="B828" t="inlineStr">
        <is>
          <t>Indraprastha Gas (IGL)</t>
        </is>
      </c>
      <c r="C828" t="inlineStr">
        <is>
          <t>Indraprastha Gas (IGL)</t>
        </is>
      </c>
      <c r="F828" t="inlineStr">
        <is>
          <t>New Lead</t>
        </is>
      </c>
      <c r="G828" t="inlineStr">
        <is>
          <t>Gas-related / review</t>
        </is>
      </c>
      <c r="H828" t="inlineStr">
        <is>
          <t>Corrigendum_27.pdf</t>
        </is>
      </c>
      <c r="K828" t="inlineStr">
        <is>
          <t>Not found</t>
        </is>
      </c>
      <c r="L828" t="inlineStr">
        <is>
          <t>Unknown</t>
        </is>
      </c>
      <c r="T828" t="inlineStr">
        <is>
          <t>https://tenders.iglonline.net/uploads/tender/Corrigendum_27.pdf</t>
        </is>
      </c>
      <c r="U828" t="inlineStr">
        <is>
          <t>No</t>
        </is>
      </c>
      <c r="V828" t="inlineStr">
        <is>
          <t>Bot tarafindan tespit edildi (2026-07-01); Bot tespit/zenginlestirme (2026-07-01); meta:score=35;priority=Low;source_type=html_table;closing_date=;equipment=Gas-related / review;reasons=equipment:Gas-related / review,document source</t>
        </is>
      </c>
    </row>
    <row r="829">
      <c r="A829" t="inlineStr">
        <is>
          <t>T-0633</t>
        </is>
      </c>
      <c r="B829" t="inlineStr">
        <is>
          <t>Indraprastha Gas (IGL)</t>
        </is>
      </c>
      <c r="C829" t="inlineStr">
        <is>
          <t>Indraprastha Gas (IGL)</t>
        </is>
      </c>
      <c r="F829" t="inlineStr">
        <is>
          <t>New Lead</t>
        </is>
      </c>
      <c r="G829" t="inlineStr">
        <is>
          <t>Gas-related / review</t>
        </is>
      </c>
      <c r="H829" t="inlineStr">
        <is>
          <t>Corrigendum_3_Amendment.pdf</t>
        </is>
      </c>
      <c r="K829" t="inlineStr">
        <is>
          <t>Not found</t>
        </is>
      </c>
      <c r="L829" t="inlineStr">
        <is>
          <t>Unknown</t>
        </is>
      </c>
      <c r="T829" t="inlineStr">
        <is>
          <t>https://tenders.iglonline.net/uploads/tender/Corrigendum_3_Amendment.pdf</t>
        </is>
      </c>
      <c r="U829" t="inlineStr">
        <is>
          <t>No</t>
        </is>
      </c>
      <c r="V829" t="inlineStr">
        <is>
          <t>Bot tarafindan tespit edildi (2026-07-01); Bot tespit/zenginlestirme (2026-07-01); meta:score=35;priority=Low;source_type=html_table;closing_date=;equipment=Gas-related / review;reasons=equipment:Gas-related / review,document source</t>
        </is>
      </c>
    </row>
    <row r="830">
      <c r="A830" t="inlineStr">
        <is>
          <t>T-0634</t>
        </is>
      </c>
      <c r="B830" t="inlineStr">
        <is>
          <t>Indraprastha Gas (IGL)</t>
        </is>
      </c>
      <c r="C830" t="inlineStr">
        <is>
          <t>Indraprastha Gas (IGL)</t>
        </is>
      </c>
      <c r="F830" t="inlineStr">
        <is>
          <t>New Lead</t>
        </is>
      </c>
      <c r="H830" t="inlineStr">
        <is>
          <t>View Tender</t>
        </is>
      </c>
      <c r="K830" t="inlineStr">
        <is>
          <t>Not found</t>
        </is>
      </c>
      <c r="L830" t="inlineStr">
        <is>
          <t>Unknown</t>
        </is>
      </c>
      <c r="T830" t="inlineStr">
        <is>
          <t>https://tenders.iglonline.net/tenderDetail/346/Active Tenders And Corrigendum-Addendum</t>
        </is>
      </c>
      <c r="U830" t="inlineStr">
        <is>
          <t>No</t>
        </is>
      </c>
      <c r="V830" t="inlineStr">
        <is>
          <t>Bot tarafindan tespit edildi (2026-07-01)</t>
        </is>
      </c>
    </row>
    <row r="831">
      <c r="A831" t="inlineStr">
        <is>
          <t>T-0635</t>
        </is>
      </c>
      <c r="B831" t="inlineStr">
        <is>
          <t>Indraprastha Gas (IGL)</t>
        </is>
      </c>
      <c r="C831" t="inlineStr">
        <is>
          <t>Indraprastha Gas (IGL)</t>
        </is>
      </c>
      <c r="F831" t="inlineStr">
        <is>
          <t>New Lead</t>
        </is>
      </c>
      <c r="H831" t="inlineStr">
        <is>
          <t>CORRIGENDUM_I_CC18261.pdf</t>
        </is>
      </c>
      <c r="K831" t="inlineStr">
        <is>
          <t>Not found</t>
        </is>
      </c>
      <c r="L831" t="inlineStr">
        <is>
          <t>Unknown</t>
        </is>
      </c>
      <c r="T831" t="inlineStr">
        <is>
          <t>https://tenders.iglonline.net/uploads/tender/CORRIGENDUM_I_CC18261.pdf</t>
        </is>
      </c>
      <c r="U831" t="inlineStr">
        <is>
          <t>No</t>
        </is>
      </c>
      <c r="V831" t="inlineStr">
        <is>
          <t>Bot tarafindan tespit edildi (2026-07-01)</t>
        </is>
      </c>
    </row>
    <row r="832">
      <c r="A832" t="inlineStr">
        <is>
          <t>T-0636</t>
        </is>
      </c>
      <c r="B832" t="inlineStr">
        <is>
          <t>Indraprastha Gas (IGL)</t>
        </is>
      </c>
      <c r="C832" t="inlineStr">
        <is>
          <t>Indraprastha Gas (IGL)</t>
        </is>
      </c>
      <c r="F832" t="inlineStr">
        <is>
          <t>New Lead</t>
        </is>
      </c>
      <c r="H832" t="inlineStr">
        <is>
          <t>View Tender</t>
        </is>
      </c>
      <c r="K832" t="inlineStr">
        <is>
          <t>Not found</t>
        </is>
      </c>
      <c r="L832" t="inlineStr">
        <is>
          <t>Unknown</t>
        </is>
      </c>
      <c r="T832" t="inlineStr">
        <is>
          <t>https://tenders.iglonline.net/tenderDetail/345/Active Tenders And Corrigendum-Addendum</t>
        </is>
      </c>
      <c r="U832" t="inlineStr">
        <is>
          <t>No</t>
        </is>
      </c>
      <c r="V832" t="inlineStr">
        <is>
          <t>Bot tarafindan tespit edildi (2026-07-01)</t>
        </is>
      </c>
    </row>
    <row r="833">
      <c r="A833" t="inlineStr">
        <is>
          <t>T-0637</t>
        </is>
      </c>
      <c r="B833" t="inlineStr">
        <is>
          <t>Indraprastha Gas (IGL)</t>
        </is>
      </c>
      <c r="C833" t="inlineStr">
        <is>
          <t>Indraprastha Gas (IGL)</t>
        </is>
      </c>
      <c r="F833" t="inlineStr">
        <is>
          <t>New Lead</t>
        </is>
      </c>
      <c r="G833" t="inlineStr">
        <is>
          <t>Gas-related / review</t>
        </is>
      </c>
      <c r="H833" t="inlineStr">
        <is>
          <t>Corrigendum-I__CC18197.pdf</t>
        </is>
      </c>
      <c r="K833" t="inlineStr">
        <is>
          <t>Not found</t>
        </is>
      </c>
      <c r="L833" t="inlineStr">
        <is>
          <t>Unknown</t>
        </is>
      </c>
      <c r="T833" t="inlineStr">
        <is>
          <t>https://tenders.iglonline.net/uploads/tender/Corrigendum-I__CC18197.pdf</t>
        </is>
      </c>
      <c r="U833" t="inlineStr">
        <is>
          <t>No</t>
        </is>
      </c>
      <c r="V833" t="inlineStr">
        <is>
          <t>Bot tarafindan tespit edildi (2026-07-01); Bot tespit/zenginlestirme (2026-07-01); meta:score=35;priority=Low;source_type=html_table;closing_date=;equipment=Gas-related / review;reasons=equipment:Gas-related / review,document source</t>
        </is>
      </c>
    </row>
    <row r="834">
      <c r="A834" t="inlineStr">
        <is>
          <t>T-0638</t>
        </is>
      </c>
      <c r="B834" t="inlineStr">
        <is>
          <t>Indraprastha Gas (IGL)</t>
        </is>
      </c>
      <c r="C834" t="inlineStr">
        <is>
          <t>Indraprastha Gas (IGL)</t>
        </is>
      </c>
      <c r="F834" t="inlineStr">
        <is>
          <t>New Lead</t>
        </is>
      </c>
      <c r="G834" t="inlineStr">
        <is>
          <t>Gas-related / review</t>
        </is>
      </c>
      <c r="H834" t="inlineStr">
        <is>
          <t>RTBQ_CC18197.pdf</t>
        </is>
      </c>
      <c r="K834" t="inlineStr">
        <is>
          <t>Not found</t>
        </is>
      </c>
      <c r="L834" t="inlineStr">
        <is>
          <t>Unknown</t>
        </is>
      </c>
      <c r="T834" t="inlineStr">
        <is>
          <t>https://tenders.iglonline.net/uploads/tender/RTBQ_CC18197.pdf</t>
        </is>
      </c>
      <c r="U834" t="inlineStr">
        <is>
          <t>No</t>
        </is>
      </c>
      <c r="V834" t="inlineStr">
        <is>
          <t>Bot tarafindan tespit edildi (2026-07-01); Bot tespit/zenginlestirme (2026-07-01); meta:score=35;priority=Low;source_type=html_table;closing_date=;equipment=Gas-related / review;reasons=equipment:Gas-related / review,document source</t>
        </is>
      </c>
    </row>
    <row r="835">
      <c r="A835" t="inlineStr">
        <is>
          <t>T-0639</t>
        </is>
      </c>
      <c r="B835" t="inlineStr">
        <is>
          <t>Indraprastha Gas (IGL)</t>
        </is>
      </c>
      <c r="C835" t="inlineStr">
        <is>
          <t>Indraprastha Gas (IGL)</t>
        </is>
      </c>
      <c r="F835" t="inlineStr">
        <is>
          <t>New Lead</t>
        </is>
      </c>
      <c r="H835" t="inlineStr">
        <is>
          <t>View Tender</t>
        </is>
      </c>
      <c r="K835" t="inlineStr">
        <is>
          <t>Not found</t>
        </is>
      </c>
      <c r="L835" t="inlineStr">
        <is>
          <t>Unknown</t>
        </is>
      </c>
      <c r="T835" t="inlineStr">
        <is>
          <t>https://tenders.iglonline.net/tenderDetail/344/Active Tenders And Corrigendum-Addendum</t>
        </is>
      </c>
      <c r="U835" t="inlineStr">
        <is>
          <t>No</t>
        </is>
      </c>
      <c r="V835" t="inlineStr">
        <is>
          <t>Bot tarafindan tespit edildi (2026-07-01)</t>
        </is>
      </c>
    </row>
    <row r="836">
      <c r="A836" t="inlineStr">
        <is>
          <t>T-0640</t>
        </is>
      </c>
      <c r="B836" t="inlineStr">
        <is>
          <t>Indraprastha Gas (IGL)</t>
        </is>
      </c>
      <c r="C836" t="inlineStr">
        <is>
          <t>Indraprastha Gas (IGL)</t>
        </is>
      </c>
      <c r="F836" t="inlineStr">
        <is>
          <t>New Lead</t>
        </is>
      </c>
      <c r="H836" t="inlineStr">
        <is>
          <t>CORRIGENDUM__CC18259.pdf</t>
        </is>
      </c>
      <c r="K836" t="inlineStr">
        <is>
          <t>Not found</t>
        </is>
      </c>
      <c r="L836" t="inlineStr">
        <is>
          <t>Unknown</t>
        </is>
      </c>
      <c r="T836" t="inlineStr">
        <is>
          <t>https://tenders.iglonline.net/uploads/tender/CORRIGENDUM__CC18259.pdf</t>
        </is>
      </c>
      <c r="U836" t="inlineStr">
        <is>
          <t>No</t>
        </is>
      </c>
      <c r="V836" t="inlineStr">
        <is>
          <t>Bot tarafindan tespit edildi (2026-07-01)</t>
        </is>
      </c>
    </row>
    <row r="837">
      <c r="A837" t="inlineStr">
        <is>
          <t>T-0641</t>
        </is>
      </c>
      <c r="B837" t="inlineStr">
        <is>
          <t>Indraprastha Gas (IGL)</t>
        </is>
      </c>
      <c r="C837" t="inlineStr">
        <is>
          <t>Indraprastha Gas (IGL)</t>
        </is>
      </c>
      <c r="F837" t="inlineStr">
        <is>
          <t>New Lead</t>
        </is>
      </c>
      <c r="H837" t="inlineStr">
        <is>
          <t>View Tender</t>
        </is>
      </c>
      <c r="K837" t="inlineStr">
        <is>
          <t>Not found</t>
        </is>
      </c>
      <c r="L837" t="inlineStr">
        <is>
          <t>Unknown</t>
        </is>
      </c>
      <c r="T837" t="inlineStr">
        <is>
          <t>https://tenders.iglonline.net/tenderDetail/343/Active Tenders And Corrigendum-Addendum</t>
        </is>
      </c>
      <c r="U837" t="inlineStr">
        <is>
          <t>No</t>
        </is>
      </c>
      <c r="V837" t="inlineStr">
        <is>
          <t>Bot tarafindan tespit edildi (2026-07-01)</t>
        </is>
      </c>
    </row>
    <row r="838">
      <c r="A838" t="inlineStr">
        <is>
          <t>T-0642</t>
        </is>
      </c>
      <c r="B838" t="inlineStr">
        <is>
          <t>Indraprastha Gas (IGL)</t>
        </is>
      </c>
      <c r="C838" t="inlineStr">
        <is>
          <t>Indraprastha Gas (IGL)</t>
        </is>
      </c>
      <c r="F838" t="inlineStr">
        <is>
          <t>New Lead</t>
        </is>
      </c>
      <c r="H838" t="inlineStr">
        <is>
          <t>Corrigendum_1_CP18208.pdf</t>
        </is>
      </c>
      <c r="K838" t="inlineStr">
        <is>
          <t>Not found</t>
        </is>
      </c>
      <c r="L838" t="inlineStr">
        <is>
          <t>Unknown</t>
        </is>
      </c>
      <c r="T838" t="inlineStr">
        <is>
          <t>https://tenders.iglonline.net/uploads/tender/Corrigendum_1_CP18208.pdf</t>
        </is>
      </c>
      <c r="U838" t="inlineStr">
        <is>
          <t>No</t>
        </is>
      </c>
      <c r="V838" t="inlineStr">
        <is>
          <t>Bot tarafindan tespit edildi (2026-07-01)</t>
        </is>
      </c>
    </row>
    <row r="839">
      <c r="A839" t="inlineStr">
        <is>
          <t>T-0643</t>
        </is>
      </c>
      <c r="B839" t="inlineStr">
        <is>
          <t>Indraprastha Gas (IGL)</t>
        </is>
      </c>
      <c r="C839" t="inlineStr">
        <is>
          <t>Indraprastha Gas (IGL)</t>
        </is>
      </c>
      <c r="F839" t="inlineStr">
        <is>
          <t>New Lead</t>
        </is>
      </c>
      <c r="H839" t="inlineStr">
        <is>
          <t>RTBQ_CP18208.pdf</t>
        </is>
      </c>
      <c r="K839" t="inlineStr">
        <is>
          <t>Not found</t>
        </is>
      </c>
      <c r="L839" t="inlineStr">
        <is>
          <t>Unknown</t>
        </is>
      </c>
      <c r="T839" t="inlineStr">
        <is>
          <t>https://tenders.iglonline.net/uploads/tender/RTBQ_CP18208.pdf</t>
        </is>
      </c>
      <c r="U839" t="inlineStr">
        <is>
          <t>No</t>
        </is>
      </c>
      <c r="V839" t="inlineStr">
        <is>
          <t>Bot tarafindan tespit edildi (2026-07-01)</t>
        </is>
      </c>
    </row>
    <row r="840">
      <c r="A840" t="inlineStr">
        <is>
          <t>T-0644</t>
        </is>
      </c>
      <c r="B840" t="inlineStr">
        <is>
          <t>Indraprastha Gas (IGL)</t>
        </is>
      </c>
      <c r="C840" t="inlineStr">
        <is>
          <t>Indraprastha Gas (IGL)</t>
        </is>
      </c>
      <c r="F840" t="inlineStr">
        <is>
          <t>New Lead</t>
        </is>
      </c>
      <c r="H840" t="inlineStr">
        <is>
          <t>View Tender</t>
        </is>
      </c>
      <c r="K840" t="inlineStr">
        <is>
          <t>Not found</t>
        </is>
      </c>
      <c r="L840" t="inlineStr">
        <is>
          <t>Unknown</t>
        </is>
      </c>
      <c r="T840" t="inlineStr">
        <is>
          <t>https://tenders.iglonline.net/tenderDetail/342/Active Tenders And Corrigendum-Addendum</t>
        </is>
      </c>
      <c r="U840" t="inlineStr">
        <is>
          <t>No</t>
        </is>
      </c>
      <c r="V840" t="inlineStr">
        <is>
          <t>Bot tarafindan tespit edildi (2026-07-01)</t>
        </is>
      </c>
    </row>
    <row r="841">
      <c r="A841" t="inlineStr">
        <is>
          <t>T-0645</t>
        </is>
      </c>
      <c r="B841" t="inlineStr">
        <is>
          <t>Indraprastha Gas (IGL)</t>
        </is>
      </c>
      <c r="C841" t="inlineStr">
        <is>
          <t>Indraprastha Gas (IGL)</t>
        </is>
      </c>
      <c r="F841" t="inlineStr">
        <is>
          <t>New Lead</t>
        </is>
      </c>
      <c r="H841" t="inlineStr">
        <is>
          <t>Corrigendum-I__CC18196.pdf</t>
        </is>
      </c>
      <c r="K841" t="inlineStr">
        <is>
          <t>Not found</t>
        </is>
      </c>
      <c r="L841" t="inlineStr">
        <is>
          <t>Unknown</t>
        </is>
      </c>
      <c r="T841" t="inlineStr">
        <is>
          <t>https://tenders.iglonline.net/uploads/tender/Corrigendum-I__CC18196.pdf</t>
        </is>
      </c>
      <c r="U841" t="inlineStr">
        <is>
          <t>No</t>
        </is>
      </c>
      <c r="V841" t="inlineStr">
        <is>
          <t>Bot tarafindan tespit edildi (2026-07-01)</t>
        </is>
      </c>
    </row>
    <row r="842">
      <c r="A842" t="inlineStr">
        <is>
          <t>T-0646</t>
        </is>
      </c>
      <c r="B842" t="inlineStr">
        <is>
          <t>Indraprastha Gas (IGL)</t>
        </is>
      </c>
      <c r="C842" t="inlineStr">
        <is>
          <t>Indraprastha Gas (IGL)</t>
        </is>
      </c>
      <c r="F842" t="inlineStr">
        <is>
          <t>New Lead</t>
        </is>
      </c>
      <c r="H842" t="inlineStr">
        <is>
          <t>View Tender</t>
        </is>
      </c>
      <c r="K842" t="inlineStr">
        <is>
          <t>Not found</t>
        </is>
      </c>
      <c r="L842" t="inlineStr">
        <is>
          <t>Unknown</t>
        </is>
      </c>
      <c r="T842" t="inlineStr">
        <is>
          <t>https://tenders.iglonline.net/tenderDetail/341/Active Tenders And Corrigendum-Addendum</t>
        </is>
      </c>
      <c r="U842" t="inlineStr">
        <is>
          <t>No</t>
        </is>
      </c>
      <c r="V842" t="inlineStr">
        <is>
          <t>Bot tarafindan tespit edildi (2026-07-01)</t>
        </is>
      </c>
    </row>
    <row r="843">
      <c r="A843" t="inlineStr">
        <is>
          <t>T-0647</t>
        </is>
      </c>
      <c r="B843" t="inlineStr">
        <is>
          <t>Indraprastha Gas (IGL)</t>
        </is>
      </c>
      <c r="C843" t="inlineStr">
        <is>
          <t>Indraprastha Gas (IGL)</t>
        </is>
      </c>
      <c r="F843" t="inlineStr">
        <is>
          <t>New Lead</t>
        </is>
      </c>
      <c r="H843" t="inlineStr">
        <is>
          <t>Reply_to_bidders_query_-_CM18228.pdf</t>
        </is>
      </c>
      <c r="K843" t="inlineStr">
        <is>
          <t>Not found</t>
        </is>
      </c>
      <c r="L843" t="inlineStr">
        <is>
          <t>Unknown</t>
        </is>
      </c>
      <c r="T843" t="inlineStr">
        <is>
          <t>https://tenders.iglonline.net/uploads/tender/Reply_to_bidders_query_-_CM18228.pdf</t>
        </is>
      </c>
      <c r="U843" t="inlineStr">
        <is>
          <t>No</t>
        </is>
      </c>
      <c r="V843" t="inlineStr">
        <is>
          <t>Bot tarafindan tespit edildi (2026-07-01)</t>
        </is>
      </c>
    </row>
    <row r="844">
      <c r="A844" t="inlineStr">
        <is>
          <t>T-0648</t>
        </is>
      </c>
      <c r="B844" t="inlineStr">
        <is>
          <t>Indraprastha Gas (IGL)</t>
        </is>
      </c>
      <c r="C844" t="inlineStr">
        <is>
          <t>Indraprastha Gas (IGL)</t>
        </is>
      </c>
      <c r="F844" t="inlineStr">
        <is>
          <t>New Lead</t>
        </is>
      </c>
      <c r="G844" t="inlineStr">
        <is>
          <t>Service regulator</t>
        </is>
      </c>
      <c r="H844" t="inlineStr">
        <is>
          <t>View Tender</t>
        </is>
      </c>
      <c r="K844" t="inlineStr">
        <is>
          <t>Not found</t>
        </is>
      </c>
      <c r="L844" t="inlineStr">
        <is>
          <t>Unknown</t>
        </is>
      </c>
      <c r="T844" t="inlineStr">
        <is>
          <t>https://tenders.iglonline.net/tenderDetail/340/Active Tenders And Corrigendum-Addendum</t>
        </is>
      </c>
      <c r="U844" t="inlineStr">
        <is>
          <t>No</t>
        </is>
      </c>
      <c r="V844"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5">
      <c r="A845" t="inlineStr">
        <is>
          <t>T-0649</t>
        </is>
      </c>
      <c r="B845" t="inlineStr">
        <is>
          <t>Indraprastha Gas (IGL)</t>
        </is>
      </c>
      <c r="C845" t="inlineStr">
        <is>
          <t>Indraprastha Gas (IGL)</t>
        </is>
      </c>
      <c r="D845" t="inlineStr">
        <is>
          <t>IGL/ET2/CP/CP18218</t>
        </is>
      </c>
      <c r="F845" t="inlineStr">
        <is>
          <t>Awarded</t>
        </is>
      </c>
      <c r="G845" t="inlineStr">
        <is>
          <t>service regulator</t>
        </is>
      </c>
      <c r="H845" t="inlineStr">
        <is>
          <t>RTBQ_CP18218.pdf</t>
        </is>
      </c>
      <c r="K845" t="inlineStr">
        <is>
          <t>Not found</t>
        </is>
      </c>
      <c r="L845" t="inlineStr">
        <is>
          <t>Unknown</t>
        </is>
      </c>
      <c r="T845" t="inlineStr">
        <is>
          <t>https://tenders.iglonline.net/uploads/tender/RTBQ_CP18218.pdf</t>
        </is>
      </c>
      <c r="U845" t="inlineStr">
        <is>
          <t>No</t>
        </is>
      </c>
      <c r="V845"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6">
      <c r="A846" t="inlineStr">
        <is>
          <t>T-0650</t>
        </is>
      </c>
      <c r="B846" t="inlineStr">
        <is>
          <t>Indraprastha Gas (IGL)</t>
        </is>
      </c>
      <c r="C846" t="inlineStr">
        <is>
          <t>Indraprastha Gas (IGL)</t>
        </is>
      </c>
      <c r="D846" t="inlineStr">
        <is>
          <t>IGL/ET2/CP/CP18218</t>
        </is>
      </c>
      <c r="F846" t="inlineStr">
        <is>
          <t>Awarded</t>
        </is>
      </c>
      <c r="G846" t="inlineStr">
        <is>
          <t>service regulator</t>
        </is>
      </c>
      <c r="H846" t="inlineStr">
        <is>
          <t>Corrigendum_1_CP18218.pdf</t>
        </is>
      </c>
      <c r="K846" t="inlineStr">
        <is>
          <t>has to carry out 100</t>
        </is>
      </c>
      <c r="L846" t="inlineStr">
        <is>
          <t>Unknown</t>
        </is>
      </c>
      <c r="T846" t="inlineStr">
        <is>
          <t>https://tenders.iglonline.net/uploads/tender/Corrigendum_1_CP18218.pdf</t>
        </is>
      </c>
      <c r="U846" t="inlineStr">
        <is>
          <t>No</t>
        </is>
      </c>
      <c r="V846"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847">
      <c r="A847" t="inlineStr">
        <is>
          <t>T-0651</t>
        </is>
      </c>
      <c r="B847" t="inlineStr">
        <is>
          <t>Indraprastha Gas (IGL)</t>
        </is>
      </c>
      <c r="C847" t="inlineStr">
        <is>
          <t>Indraprastha Gas (IGL)</t>
        </is>
      </c>
      <c r="F847" t="inlineStr">
        <is>
          <t>New Lead</t>
        </is>
      </c>
      <c r="H847" t="inlineStr">
        <is>
          <t>View Tender</t>
        </is>
      </c>
      <c r="K847" t="inlineStr">
        <is>
          <t>Not found</t>
        </is>
      </c>
      <c r="L847" t="inlineStr">
        <is>
          <t>Unknown</t>
        </is>
      </c>
      <c r="T847" t="inlineStr">
        <is>
          <t>https://tenders.iglonline.net/tenderDetail/339/Active Tenders And Corrigendum-Addendum</t>
        </is>
      </c>
      <c r="U847" t="inlineStr">
        <is>
          <t>No</t>
        </is>
      </c>
      <c r="V847" t="inlineStr">
        <is>
          <t>Bot tarafindan tespit edildi (2026-07-01)</t>
        </is>
      </c>
    </row>
    <row r="848">
      <c r="A848" t="inlineStr">
        <is>
          <t>T-0652</t>
        </is>
      </c>
      <c r="B848" t="inlineStr">
        <is>
          <t>Indraprastha Gas (IGL)</t>
        </is>
      </c>
      <c r="C848" t="inlineStr">
        <is>
          <t>Indraprastha Gas (IGL)</t>
        </is>
      </c>
      <c r="F848" t="inlineStr">
        <is>
          <t>New Lead</t>
        </is>
      </c>
      <c r="G848" t="inlineStr">
        <is>
          <t>Unclassified</t>
        </is>
      </c>
      <c r="H848" t="inlineStr">
        <is>
          <t>Reply_to_Bid_Queries.pdf</t>
        </is>
      </c>
      <c r="K848" t="inlineStr">
        <is>
          <t>Not found</t>
        </is>
      </c>
      <c r="L848" t="inlineStr">
        <is>
          <t>Unknown</t>
        </is>
      </c>
      <c r="T848" t="inlineStr">
        <is>
          <t>https://tenders.iglonline.net/uploads/tender/Reply_to_Bid_Queries.pdf</t>
        </is>
      </c>
      <c r="U848" t="inlineStr">
        <is>
          <t>No</t>
        </is>
      </c>
      <c r="V848" t="inlineStr">
        <is>
          <t>Bot tarafindan tespit edildi (2026-07-01); Bot tespit/zenginlestirme (2026-07-01); meta:score=40;priority=Medium;source_type=html_table;closing_date=;equipment=Unclassified;reasons=document source,quantity signal</t>
        </is>
      </c>
    </row>
    <row r="849">
      <c r="A849" t="inlineStr">
        <is>
          <t>T-0653</t>
        </is>
      </c>
      <c r="B849" t="inlineStr">
        <is>
          <t>Indraprastha Gas (IGL)</t>
        </is>
      </c>
      <c r="C849" t="inlineStr">
        <is>
          <t>Indraprastha Gas (IGL)</t>
        </is>
      </c>
      <c r="F849" t="inlineStr">
        <is>
          <t>New Lead</t>
        </is>
      </c>
      <c r="H849" t="inlineStr">
        <is>
          <t>View Tender</t>
        </is>
      </c>
      <c r="K849" t="inlineStr">
        <is>
          <t>Not found</t>
        </is>
      </c>
      <c r="L849" t="inlineStr">
        <is>
          <t>Unknown</t>
        </is>
      </c>
      <c r="T849" t="inlineStr">
        <is>
          <t>https://tenders.iglonline.net/tenderDetail/338/Active Tenders And Corrigendum-Addendum</t>
        </is>
      </c>
      <c r="U849" t="inlineStr">
        <is>
          <t>No</t>
        </is>
      </c>
      <c r="V849" t="inlineStr">
        <is>
          <t>Bot tarafindan tespit edildi (2026-07-01)</t>
        </is>
      </c>
    </row>
    <row r="850">
      <c r="A850" t="inlineStr">
        <is>
          <t>T-0654</t>
        </is>
      </c>
      <c r="B850" t="inlineStr">
        <is>
          <t>Indraprastha Gas (IGL)</t>
        </is>
      </c>
      <c r="C850" t="inlineStr">
        <is>
          <t>Indraprastha Gas (IGL)</t>
        </is>
      </c>
      <c r="F850" t="inlineStr">
        <is>
          <t>New Lead</t>
        </is>
      </c>
      <c r="H850" t="inlineStr">
        <is>
          <t>RTPBQ_(1)1.pdf</t>
        </is>
      </c>
      <c r="K850" t="inlineStr">
        <is>
          <t>Not found</t>
        </is>
      </c>
      <c r="L850" t="inlineStr">
        <is>
          <t>Unknown</t>
        </is>
      </c>
      <c r="T850" t="inlineStr">
        <is>
          <t>https://tenders.iglonline.net/uploads/tender/RTPBQ_(1)1.pdf</t>
        </is>
      </c>
      <c r="U850" t="inlineStr">
        <is>
          <t>No</t>
        </is>
      </c>
      <c r="V850" t="inlineStr">
        <is>
          <t>Bot tarafindan tespit edildi (2026-07-01)</t>
        </is>
      </c>
    </row>
    <row r="851">
      <c r="A851" t="inlineStr">
        <is>
          <t>T-0655</t>
        </is>
      </c>
      <c r="B851" t="inlineStr">
        <is>
          <t>Indraprastha Gas (IGL)</t>
        </is>
      </c>
      <c r="C851" t="inlineStr">
        <is>
          <t>Indraprastha Gas (IGL)</t>
        </is>
      </c>
      <c r="F851" t="inlineStr">
        <is>
          <t>New Lead</t>
        </is>
      </c>
      <c r="H851" t="inlineStr">
        <is>
          <t>View Tender</t>
        </is>
      </c>
      <c r="K851" t="inlineStr">
        <is>
          <t>Not found</t>
        </is>
      </c>
      <c r="L851" t="inlineStr">
        <is>
          <t>Unknown</t>
        </is>
      </c>
      <c r="T851" t="inlineStr">
        <is>
          <t>https://tenders.iglonline.net/tenderDetail/337/Active Tenders And Corrigendum-Addendum</t>
        </is>
      </c>
      <c r="U851" t="inlineStr">
        <is>
          <t>No</t>
        </is>
      </c>
      <c r="V851" t="inlineStr">
        <is>
          <t>Bot tarafindan tespit edildi (2026-07-01)</t>
        </is>
      </c>
    </row>
    <row r="852">
      <c r="A852" t="inlineStr">
        <is>
          <t>T-0656</t>
        </is>
      </c>
      <c r="B852" t="inlineStr">
        <is>
          <t>Indraprastha Gas (IGL)</t>
        </is>
      </c>
      <c r="C852" t="inlineStr">
        <is>
          <t>Indraprastha Gas (IGL)</t>
        </is>
      </c>
      <c r="F852" t="inlineStr">
        <is>
          <t>New Lead</t>
        </is>
      </c>
      <c r="H852" t="inlineStr">
        <is>
          <t>RTBQ_1_CP18174.pdf</t>
        </is>
      </c>
      <c r="K852" t="inlineStr">
        <is>
          <t>Not found</t>
        </is>
      </c>
      <c r="L852" t="inlineStr">
        <is>
          <t>Unknown</t>
        </is>
      </c>
      <c r="T852" t="inlineStr">
        <is>
          <t>https://tenders.iglonline.net/uploads/tender/RTBQ_1_CP18174.pdf</t>
        </is>
      </c>
      <c r="U852" t="inlineStr">
        <is>
          <t>No</t>
        </is>
      </c>
      <c r="V852" t="inlineStr">
        <is>
          <t>Bot tarafindan tespit edildi (2026-07-01)</t>
        </is>
      </c>
    </row>
    <row r="853">
      <c r="A853" t="inlineStr">
        <is>
          <t>T-0657</t>
        </is>
      </c>
      <c r="B853" t="inlineStr">
        <is>
          <t>Indraprastha Gas (IGL)</t>
        </is>
      </c>
      <c r="C853" t="inlineStr">
        <is>
          <t>Indraprastha Gas (IGL)</t>
        </is>
      </c>
      <c r="F853" t="inlineStr">
        <is>
          <t>New Lead</t>
        </is>
      </c>
      <c r="H853" t="inlineStr">
        <is>
          <t>View Tender</t>
        </is>
      </c>
      <c r="K853" t="inlineStr">
        <is>
          <t>Not found</t>
        </is>
      </c>
      <c r="L853" t="inlineStr">
        <is>
          <t>Unknown</t>
        </is>
      </c>
      <c r="T853" t="inlineStr">
        <is>
          <t>https://tenders.iglonline.net/tenderDetail/336/Active Tenders And Corrigendum-Addendum</t>
        </is>
      </c>
      <c r="U853" t="inlineStr">
        <is>
          <t>No</t>
        </is>
      </c>
      <c r="V853" t="inlineStr">
        <is>
          <t>Bot tarafindan tespit edildi (2026-07-01)</t>
        </is>
      </c>
    </row>
    <row r="854">
      <c r="A854" t="inlineStr">
        <is>
          <t>T-0658</t>
        </is>
      </c>
      <c r="B854" t="inlineStr">
        <is>
          <t>Indraprastha Gas (IGL)</t>
        </is>
      </c>
      <c r="C854" t="inlineStr">
        <is>
          <t>Indraprastha Gas (IGL)</t>
        </is>
      </c>
      <c r="F854" t="inlineStr">
        <is>
          <t>New Lead</t>
        </is>
      </c>
      <c r="H854" t="inlineStr">
        <is>
          <t>RTPBQ2.pdf</t>
        </is>
      </c>
      <c r="K854" t="inlineStr">
        <is>
          <t>Not found</t>
        </is>
      </c>
      <c r="L854" t="inlineStr">
        <is>
          <t>Unknown</t>
        </is>
      </c>
      <c r="T854" t="inlineStr">
        <is>
          <t>https://tenders.iglonline.net/uploads/tender/RTPBQ2.pdf</t>
        </is>
      </c>
      <c r="U854" t="inlineStr">
        <is>
          <t>No</t>
        </is>
      </c>
      <c r="V854" t="inlineStr">
        <is>
          <t>Bot tarafindan tespit edildi (2026-07-01)</t>
        </is>
      </c>
    </row>
    <row r="855">
      <c r="A855" t="inlineStr">
        <is>
          <t>T-0659</t>
        </is>
      </c>
      <c r="B855" t="inlineStr">
        <is>
          <t>Indraprastha Gas (IGL)</t>
        </is>
      </c>
      <c r="C855" t="inlineStr">
        <is>
          <t>Indraprastha Gas (IGL)</t>
        </is>
      </c>
      <c r="F855" t="inlineStr">
        <is>
          <t>New Lead</t>
        </is>
      </c>
      <c r="H855" t="inlineStr">
        <is>
          <t>View Tender</t>
        </is>
      </c>
      <c r="K855" t="inlineStr">
        <is>
          <t>Not found</t>
        </is>
      </c>
      <c r="L855" t="inlineStr">
        <is>
          <t>Unknown</t>
        </is>
      </c>
      <c r="T855" t="inlineStr">
        <is>
          <t>https://tenders.iglonline.net/tenderDetail/335/Active Tenders And Corrigendum-Addendum</t>
        </is>
      </c>
      <c r="U855" t="inlineStr">
        <is>
          <t>No</t>
        </is>
      </c>
      <c r="V855" t="inlineStr">
        <is>
          <t>Bot tarafindan tespit edildi (2026-07-01)</t>
        </is>
      </c>
    </row>
    <row r="856">
      <c r="A856" t="inlineStr">
        <is>
          <t>T-0660</t>
        </is>
      </c>
      <c r="B856" t="inlineStr">
        <is>
          <t>Indraprastha Gas (IGL)</t>
        </is>
      </c>
      <c r="C856" t="inlineStr">
        <is>
          <t>Indraprastha Gas (IGL)</t>
        </is>
      </c>
      <c r="F856" t="inlineStr">
        <is>
          <t>New Lead</t>
        </is>
      </c>
      <c r="H856" t="inlineStr">
        <is>
          <t>CORRIGENDUM_I.pdf</t>
        </is>
      </c>
      <c r="K856" t="inlineStr">
        <is>
          <t>Not found</t>
        </is>
      </c>
      <c r="L856" t="inlineStr">
        <is>
          <t>Unknown</t>
        </is>
      </c>
      <c r="T856" t="inlineStr">
        <is>
          <t>https://tenders.iglonline.net/uploads/tender/CORRIGENDUM_I.pdf</t>
        </is>
      </c>
      <c r="U856" t="inlineStr">
        <is>
          <t>No</t>
        </is>
      </c>
      <c r="V856" t="inlineStr">
        <is>
          <t>Bot tarafindan tespit edildi (2026-07-01)</t>
        </is>
      </c>
    </row>
    <row r="857">
      <c r="A857" t="inlineStr">
        <is>
          <t>T-0661</t>
        </is>
      </c>
      <c r="B857" t="inlineStr">
        <is>
          <t>Indraprastha Gas (IGL)</t>
        </is>
      </c>
      <c r="C857" t="inlineStr">
        <is>
          <t>Indraprastha Gas (IGL)</t>
        </is>
      </c>
      <c r="F857" t="inlineStr">
        <is>
          <t>New Lead</t>
        </is>
      </c>
      <c r="H857" t="inlineStr">
        <is>
          <t>Pre_Bid_Replies_CM18217_.pdf</t>
        </is>
      </c>
      <c r="K857" t="inlineStr">
        <is>
          <t>Not found</t>
        </is>
      </c>
      <c r="L857" t="inlineStr">
        <is>
          <t>Unknown</t>
        </is>
      </c>
      <c r="T857" t="inlineStr">
        <is>
          <t>https://tenders.iglonline.net/uploads/tender/Pre_Bid_Replies_CM18217_.pdf</t>
        </is>
      </c>
      <c r="U857" t="inlineStr">
        <is>
          <t>No</t>
        </is>
      </c>
      <c r="V857" t="inlineStr">
        <is>
          <t>Bot tarafindan tespit edildi (2026-07-01)</t>
        </is>
      </c>
    </row>
    <row r="858">
      <c r="A858" t="inlineStr">
        <is>
          <t>T-0662</t>
        </is>
      </c>
      <c r="B858" t="inlineStr">
        <is>
          <t>Indraprastha Gas (IGL)</t>
        </is>
      </c>
      <c r="C858" t="inlineStr">
        <is>
          <t>Indraprastha Gas (IGL)</t>
        </is>
      </c>
      <c r="F858" t="inlineStr">
        <is>
          <t>New Lead</t>
        </is>
      </c>
      <c r="H858" t="inlineStr">
        <is>
          <t>CORRIGENDUM_II_CM18217.pdf</t>
        </is>
      </c>
      <c r="K858" t="inlineStr">
        <is>
          <t>Not found</t>
        </is>
      </c>
      <c r="L858" t="inlineStr">
        <is>
          <t>Unknown</t>
        </is>
      </c>
      <c r="T858" t="inlineStr">
        <is>
          <t>https://tenders.iglonline.net/uploads/tender/CORRIGENDUM_II_CM18217.pdf</t>
        </is>
      </c>
      <c r="U858" t="inlineStr">
        <is>
          <t>No</t>
        </is>
      </c>
      <c r="V858" t="inlineStr">
        <is>
          <t>Bot tarafindan tespit edildi (2026-07-01)</t>
        </is>
      </c>
    </row>
    <row r="859">
      <c r="A859" t="inlineStr">
        <is>
          <t>T-0663</t>
        </is>
      </c>
      <c r="B859" t="inlineStr">
        <is>
          <t>Indraprastha Gas (IGL)</t>
        </is>
      </c>
      <c r="C859" t="inlineStr">
        <is>
          <t>Indraprastha Gas (IGL)</t>
        </is>
      </c>
      <c r="F859" t="inlineStr">
        <is>
          <t>New Lead</t>
        </is>
      </c>
      <c r="H859" t="inlineStr">
        <is>
          <t>View Tender</t>
        </is>
      </c>
      <c r="K859" t="inlineStr">
        <is>
          <t>Not found</t>
        </is>
      </c>
      <c r="L859" t="inlineStr">
        <is>
          <t>Unknown</t>
        </is>
      </c>
      <c r="T859" t="inlineStr">
        <is>
          <t>https://tenders.iglonline.net/tenderDetail/334/Active Tenders And Corrigendum-Addendum</t>
        </is>
      </c>
      <c r="U859" t="inlineStr">
        <is>
          <t>No</t>
        </is>
      </c>
      <c r="V859" t="inlineStr">
        <is>
          <t>Bot tarafindan tespit edildi (2026-07-01)</t>
        </is>
      </c>
    </row>
    <row r="860">
      <c r="A860" t="inlineStr">
        <is>
          <t>T-0664</t>
        </is>
      </c>
      <c r="B860" t="inlineStr">
        <is>
          <t>Indraprastha Gas (IGL)</t>
        </is>
      </c>
      <c r="C860" t="inlineStr">
        <is>
          <t>Indraprastha Gas (IGL)</t>
        </is>
      </c>
      <c r="F860" t="inlineStr">
        <is>
          <t>New Lead</t>
        </is>
      </c>
      <c r="H860" t="inlineStr">
        <is>
          <t>View Tender</t>
        </is>
      </c>
      <c r="K860" t="inlineStr">
        <is>
          <t>Not found</t>
        </is>
      </c>
      <c r="L860" t="inlineStr">
        <is>
          <t>Unknown</t>
        </is>
      </c>
      <c r="T860" t="inlineStr">
        <is>
          <t>https://tenders.iglonline.net/tenderDetail/333/Active Tenders And Corrigendum-Addendum</t>
        </is>
      </c>
      <c r="U860" t="inlineStr">
        <is>
          <t>No</t>
        </is>
      </c>
      <c r="V860" t="inlineStr">
        <is>
          <t>Bot tarafindan tespit edildi (2026-07-01)</t>
        </is>
      </c>
    </row>
    <row r="861">
      <c r="A861" t="inlineStr">
        <is>
          <t>T-0665</t>
        </is>
      </c>
      <c r="B861" t="inlineStr">
        <is>
          <t>Indraprastha Gas (IGL)</t>
        </is>
      </c>
      <c r="C861" t="inlineStr">
        <is>
          <t>Indraprastha Gas (IGL)</t>
        </is>
      </c>
      <c r="F861" t="inlineStr">
        <is>
          <t>New Lead</t>
        </is>
      </c>
      <c r="H861" t="inlineStr">
        <is>
          <t>View Tender</t>
        </is>
      </c>
      <c r="K861" t="inlineStr">
        <is>
          <t>Not found</t>
        </is>
      </c>
      <c r="L861" t="inlineStr">
        <is>
          <t>Unknown</t>
        </is>
      </c>
      <c r="T861" t="inlineStr">
        <is>
          <t>https://tenders.iglonline.net/tenderDetail/332/Active Tenders And Corrigendum-Addendum</t>
        </is>
      </c>
      <c r="U861" t="inlineStr">
        <is>
          <t>No</t>
        </is>
      </c>
      <c r="V861" t="inlineStr">
        <is>
          <t>Bot tarafindan tespit edildi (2026-07-01)</t>
        </is>
      </c>
    </row>
    <row r="862">
      <c r="A862" t="inlineStr">
        <is>
          <t>T-0666</t>
        </is>
      </c>
      <c r="B862" t="inlineStr">
        <is>
          <t>Indraprastha Gas (IGL)</t>
        </is>
      </c>
      <c r="C862" t="inlineStr">
        <is>
          <t>Indraprastha Gas (IGL)</t>
        </is>
      </c>
      <c r="F862" t="inlineStr">
        <is>
          <t>New Lead</t>
        </is>
      </c>
      <c r="H862" t="inlineStr">
        <is>
          <t>Corrigendum_2_Cancellation_of_tender_(1).pdf</t>
        </is>
      </c>
      <c r="K862" t="inlineStr">
        <is>
          <t>Not found</t>
        </is>
      </c>
      <c r="L862" t="inlineStr">
        <is>
          <t>Unknown</t>
        </is>
      </c>
      <c r="T862" t="inlineStr">
        <is>
          <t>https://tenders.iglonline.net/uploads/tender/Corrigendum_2_Cancellation_of_tender_(1).pdf</t>
        </is>
      </c>
      <c r="U862" t="inlineStr">
        <is>
          <t>No</t>
        </is>
      </c>
      <c r="V862" t="inlineStr">
        <is>
          <t>Bot tarafindan tespit edildi (2026-07-01)</t>
        </is>
      </c>
    </row>
    <row r="863">
      <c r="A863" t="inlineStr">
        <is>
          <t>T-0667</t>
        </is>
      </c>
      <c r="B863" t="inlineStr">
        <is>
          <t>Indraprastha Gas (IGL)</t>
        </is>
      </c>
      <c r="C863" t="inlineStr">
        <is>
          <t>Indraprastha Gas (IGL)</t>
        </is>
      </c>
      <c r="F863" t="inlineStr">
        <is>
          <t>New Lead</t>
        </is>
      </c>
      <c r="H863" t="inlineStr">
        <is>
          <t>View Tender</t>
        </is>
      </c>
      <c r="K863" t="inlineStr">
        <is>
          <t>Not found</t>
        </is>
      </c>
      <c r="L863" t="inlineStr">
        <is>
          <t>Unknown</t>
        </is>
      </c>
      <c r="T863" t="inlineStr">
        <is>
          <t>https://tenders.iglonline.net/tenderDetail/331/Active Tenders And Corrigendum-Addendum</t>
        </is>
      </c>
      <c r="U863" t="inlineStr">
        <is>
          <t>No</t>
        </is>
      </c>
      <c r="V863" t="inlineStr">
        <is>
          <t>Bot tarafindan tespit edildi (2026-07-01)</t>
        </is>
      </c>
    </row>
    <row r="864">
      <c r="A864" t="inlineStr">
        <is>
          <t>T-0668</t>
        </is>
      </c>
      <c r="B864" t="inlineStr">
        <is>
          <t>Indraprastha Gas (IGL)</t>
        </is>
      </c>
      <c r="C864" t="inlineStr">
        <is>
          <t>Indraprastha Gas (IGL)</t>
        </is>
      </c>
      <c r="F864" t="inlineStr">
        <is>
          <t>New Lead</t>
        </is>
      </c>
      <c r="H864" t="inlineStr">
        <is>
          <t>Pre_bid_replies_CM18173.pdf</t>
        </is>
      </c>
      <c r="K864" t="inlineStr">
        <is>
          <t>Not found</t>
        </is>
      </c>
      <c r="L864" t="inlineStr">
        <is>
          <t>Unknown</t>
        </is>
      </c>
      <c r="T864" t="inlineStr">
        <is>
          <t>https://tenders.iglonline.net/uploads/tender/Pre_bid_replies_CM18173.pdf</t>
        </is>
      </c>
      <c r="U864" t="inlineStr">
        <is>
          <t>No</t>
        </is>
      </c>
      <c r="V864" t="inlineStr">
        <is>
          <t>Bot tarafindan tespit edildi (2026-07-01)</t>
        </is>
      </c>
    </row>
    <row r="865">
      <c r="A865" t="inlineStr">
        <is>
          <t>T-0669</t>
        </is>
      </c>
      <c r="B865" t="inlineStr">
        <is>
          <t>Indraprastha Gas (IGL)</t>
        </is>
      </c>
      <c r="C865" t="inlineStr">
        <is>
          <t>Indraprastha Gas (IGL)</t>
        </is>
      </c>
      <c r="F865" t="inlineStr">
        <is>
          <t>New Lead</t>
        </is>
      </c>
      <c r="H865" t="inlineStr">
        <is>
          <t>CORRIGENDUM_I_CM18173.pdf</t>
        </is>
      </c>
      <c r="K865" t="inlineStr">
        <is>
          <t>Not found</t>
        </is>
      </c>
      <c r="L865" t="inlineStr">
        <is>
          <t>Unknown</t>
        </is>
      </c>
      <c r="T865" t="inlineStr">
        <is>
          <t>https://tenders.iglonline.net/uploads/tender/CORRIGENDUM_I_CM18173.pdf</t>
        </is>
      </c>
      <c r="U865" t="inlineStr">
        <is>
          <t>No</t>
        </is>
      </c>
      <c r="V865" t="inlineStr">
        <is>
          <t>Bot tarafindan tespit edildi (2026-07-01)</t>
        </is>
      </c>
    </row>
    <row r="866">
      <c r="A866" t="inlineStr">
        <is>
          <t>T-0670</t>
        </is>
      </c>
      <c r="B866" t="inlineStr">
        <is>
          <t>Indraprastha Gas (IGL)</t>
        </is>
      </c>
      <c r="C866" t="inlineStr">
        <is>
          <t>Indraprastha Gas (IGL)</t>
        </is>
      </c>
      <c r="F866" t="inlineStr">
        <is>
          <t>New Lead</t>
        </is>
      </c>
      <c r="H866" t="inlineStr">
        <is>
          <t>View Tender</t>
        </is>
      </c>
      <c r="K866" t="inlineStr">
        <is>
          <t>Not found</t>
        </is>
      </c>
      <c r="L866" t="inlineStr">
        <is>
          <t>Unknown</t>
        </is>
      </c>
      <c r="T866" t="inlineStr">
        <is>
          <t>https://tenders.iglonline.net/tenderDetail/330/Active Tenders And Corrigendum-Addendum</t>
        </is>
      </c>
      <c r="U866" t="inlineStr">
        <is>
          <t>No</t>
        </is>
      </c>
      <c r="V866" t="inlineStr">
        <is>
          <t>Bot tarafindan tespit edildi (2026-07-01)</t>
        </is>
      </c>
    </row>
    <row r="867">
      <c r="A867" t="inlineStr">
        <is>
          <t>T-0671</t>
        </is>
      </c>
      <c r="B867" t="inlineStr">
        <is>
          <t>Indraprastha Gas (IGL)</t>
        </is>
      </c>
      <c r="C867" t="inlineStr">
        <is>
          <t>Indraprastha Gas (IGL)</t>
        </is>
      </c>
      <c r="F867" t="inlineStr">
        <is>
          <t>New Lead</t>
        </is>
      </c>
      <c r="G867" t="inlineStr">
        <is>
          <t>Gas-related / review</t>
        </is>
      </c>
      <c r="H867" t="inlineStr">
        <is>
          <t>RTPBQ_(1).pdf</t>
        </is>
      </c>
      <c r="K867" t="inlineStr">
        <is>
          <t>Not found</t>
        </is>
      </c>
      <c r="L867" t="inlineStr">
        <is>
          <t>Unknown</t>
        </is>
      </c>
      <c r="T867" t="inlineStr">
        <is>
          <t>https://tenders.iglonline.net/uploads/tender/RTPBQ_(1).pdf</t>
        </is>
      </c>
      <c r="U867" t="inlineStr">
        <is>
          <t>No</t>
        </is>
      </c>
      <c r="V867" t="inlineStr">
        <is>
          <t>Bot tarafindan tespit edildi (2026-07-01); Bot tespit/zenginlestirme (2026-07-01); meta:score=35;priority=Low;source_type=html_table;closing_date=;equipment=Gas-related / review;reasons=equipment:Gas-related / review,document source</t>
        </is>
      </c>
    </row>
    <row r="868">
      <c r="A868" t="inlineStr">
        <is>
          <t>T-0672</t>
        </is>
      </c>
      <c r="B868" t="inlineStr">
        <is>
          <t>Indraprastha Gas (IGL)</t>
        </is>
      </c>
      <c r="C868" t="inlineStr">
        <is>
          <t>Indraprastha Gas (IGL)</t>
        </is>
      </c>
      <c r="F868" t="inlineStr">
        <is>
          <t>New Lead</t>
        </is>
      </c>
      <c r="H868" t="inlineStr">
        <is>
          <t>View Tender</t>
        </is>
      </c>
      <c r="K868" t="inlineStr">
        <is>
          <t>Not found</t>
        </is>
      </c>
      <c r="L868" t="inlineStr">
        <is>
          <t>Unknown</t>
        </is>
      </c>
      <c r="T868" t="inlineStr">
        <is>
          <t>https://tenders.iglonline.net/tenderDetail/329/Active Tenders And Corrigendum-Addendum</t>
        </is>
      </c>
      <c r="U868" t="inlineStr">
        <is>
          <t>No</t>
        </is>
      </c>
      <c r="V868" t="inlineStr">
        <is>
          <t>Bot tarafindan tespit edildi (2026-07-01)</t>
        </is>
      </c>
    </row>
    <row r="869">
      <c r="A869" t="inlineStr">
        <is>
          <t>T-0673</t>
        </is>
      </c>
      <c r="B869" t="inlineStr">
        <is>
          <t>Indraprastha Gas (IGL)</t>
        </is>
      </c>
      <c r="C869" t="inlineStr">
        <is>
          <t>Indraprastha Gas (IGL)</t>
        </is>
      </c>
      <c r="F869" t="inlineStr">
        <is>
          <t>New Lead</t>
        </is>
      </c>
      <c r="H869" t="inlineStr">
        <is>
          <t>Pre_Bid_Replies_CM18198.pdf</t>
        </is>
      </c>
      <c r="K869" t="inlineStr">
        <is>
          <t>Not found</t>
        </is>
      </c>
      <c r="L869" t="inlineStr">
        <is>
          <t>Unknown</t>
        </is>
      </c>
      <c r="T869" t="inlineStr">
        <is>
          <t>https://tenders.iglonline.net/uploads/tender/Pre_Bid_Replies_CM18198.pdf</t>
        </is>
      </c>
      <c r="U869" t="inlineStr">
        <is>
          <t>No</t>
        </is>
      </c>
      <c r="V869" t="inlineStr">
        <is>
          <t>Bot tarafindan tespit edildi (2026-07-01)</t>
        </is>
      </c>
    </row>
    <row r="870">
      <c r="A870" t="inlineStr">
        <is>
          <t>T-0674</t>
        </is>
      </c>
      <c r="B870" t="inlineStr">
        <is>
          <t>Indraprastha Gas (IGL)</t>
        </is>
      </c>
      <c r="C870" t="inlineStr">
        <is>
          <t>Indraprastha Gas (IGL)</t>
        </is>
      </c>
      <c r="F870" t="inlineStr">
        <is>
          <t>New Lead</t>
        </is>
      </c>
      <c r="H870" t="inlineStr">
        <is>
          <t>CORRIGENDUM_I_CM18198.pdf</t>
        </is>
      </c>
      <c r="K870" t="inlineStr">
        <is>
          <t>Not found</t>
        </is>
      </c>
      <c r="L870" t="inlineStr">
        <is>
          <t>Unknown</t>
        </is>
      </c>
      <c r="T870" t="inlineStr">
        <is>
          <t>https://tenders.iglonline.net/uploads/tender/CORRIGENDUM_I_CM18198.pdf</t>
        </is>
      </c>
      <c r="U870" t="inlineStr">
        <is>
          <t>No</t>
        </is>
      </c>
      <c r="V870" t="inlineStr">
        <is>
          <t>Bot tarafindan tespit edildi (2026-07-01)</t>
        </is>
      </c>
    </row>
    <row r="871">
      <c r="A871" t="inlineStr">
        <is>
          <t>T-0675</t>
        </is>
      </c>
      <c r="B871" t="inlineStr">
        <is>
          <t>Indraprastha Gas (IGL)</t>
        </is>
      </c>
      <c r="C871" t="inlineStr">
        <is>
          <t>Indraprastha Gas (IGL)</t>
        </is>
      </c>
      <c r="F871" t="inlineStr">
        <is>
          <t>New Lead</t>
        </is>
      </c>
      <c r="H871" t="inlineStr">
        <is>
          <t>CORRIGENDUM_II_CM18198.pdf</t>
        </is>
      </c>
      <c r="K871" t="inlineStr">
        <is>
          <t>Not found</t>
        </is>
      </c>
      <c r="L871" t="inlineStr">
        <is>
          <t>Unknown</t>
        </is>
      </c>
      <c r="T871" t="inlineStr">
        <is>
          <t>https://tenders.iglonline.net/uploads/tender/CORRIGENDUM_II_CM18198.pdf</t>
        </is>
      </c>
      <c r="U871" t="inlineStr">
        <is>
          <t>No</t>
        </is>
      </c>
      <c r="V871" t="inlineStr">
        <is>
          <t>Bot tarafindan tespit edildi (2026-07-01)</t>
        </is>
      </c>
    </row>
    <row r="872">
      <c r="A872" t="inlineStr">
        <is>
          <t>T-0676</t>
        </is>
      </c>
      <c r="B872" t="inlineStr">
        <is>
          <t>Indraprastha Gas (IGL)</t>
        </is>
      </c>
      <c r="C872" t="inlineStr">
        <is>
          <t>Indraprastha Gas (IGL)</t>
        </is>
      </c>
      <c r="F872" t="inlineStr">
        <is>
          <t>New Lead</t>
        </is>
      </c>
      <c r="H872" t="inlineStr">
        <is>
          <t>View Tender</t>
        </is>
      </c>
      <c r="K872" t="inlineStr">
        <is>
          <t>Not found</t>
        </is>
      </c>
      <c r="L872" t="inlineStr">
        <is>
          <t>Unknown</t>
        </is>
      </c>
      <c r="T872" t="inlineStr">
        <is>
          <t>https://tenders.iglonline.net/tenderDetail/328/Active Tenders And Corrigendum-Addendum</t>
        </is>
      </c>
      <c r="U872" t="inlineStr">
        <is>
          <t>No</t>
        </is>
      </c>
      <c r="V872" t="inlineStr">
        <is>
          <t>Bot tarafindan tespit edildi (2026-07-01)</t>
        </is>
      </c>
    </row>
    <row r="873">
      <c r="A873" t="inlineStr">
        <is>
          <t>T-0677</t>
        </is>
      </c>
      <c r="B873" t="inlineStr">
        <is>
          <t>Indraprastha Gas (IGL)</t>
        </is>
      </c>
      <c r="C873" t="inlineStr">
        <is>
          <t>Indraprastha Gas (IGL)</t>
        </is>
      </c>
      <c r="F873" t="inlineStr">
        <is>
          <t>New Lead</t>
        </is>
      </c>
      <c r="H873" t="inlineStr">
        <is>
          <t>Pre_Bid_Replies_CM18195.pdf</t>
        </is>
      </c>
      <c r="K873" t="inlineStr">
        <is>
          <t>Not found</t>
        </is>
      </c>
      <c r="L873" t="inlineStr">
        <is>
          <t>Unknown</t>
        </is>
      </c>
      <c r="T873" t="inlineStr">
        <is>
          <t>https://tenders.iglonline.net/uploads/tender/Pre_Bid_Replies_CM18195.pdf</t>
        </is>
      </c>
      <c r="U873" t="inlineStr">
        <is>
          <t>No</t>
        </is>
      </c>
      <c r="V873" t="inlineStr">
        <is>
          <t>Bot tarafindan tespit edildi (2026-07-01)</t>
        </is>
      </c>
    </row>
    <row r="874">
      <c r="A874" t="inlineStr">
        <is>
          <t>T-0678</t>
        </is>
      </c>
      <c r="B874" t="inlineStr">
        <is>
          <t>Indraprastha Gas (IGL)</t>
        </is>
      </c>
      <c r="C874" t="inlineStr">
        <is>
          <t>Indraprastha Gas (IGL)</t>
        </is>
      </c>
      <c r="F874" t="inlineStr">
        <is>
          <t>New Lead</t>
        </is>
      </c>
      <c r="H874" t="inlineStr">
        <is>
          <t>CORRIGENDUM_I_CM18195.pdf</t>
        </is>
      </c>
      <c r="K874" t="inlineStr">
        <is>
          <t>Not found</t>
        </is>
      </c>
      <c r="L874" t="inlineStr">
        <is>
          <t>Unknown</t>
        </is>
      </c>
      <c r="T874" t="inlineStr">
        <is>
          <t>https://tenders.iglonline.net/uploads/tender/CORRIGENDUM_I_CM18195.pdf</t>
        </is>
      </c>
      <c r="U874" t="inlineStr">
        <is>
          <t>No</t>
        </is>
      </c>
      <c r="V874" t="inlineStr">
        <is>
          <t>Bot tarafindan tespit edildi (2026-07-01)</t>
        </is>
      </c>
    </row>
    <row r="875">
      <c r="A875" t="inlineStr">
        <is>
          <t>T-0679</t>
        </is>
      </c>
      <c r="B875" t="inlineStr">
        <is>
          <t>Indraprastha Gas (IGL)</t>
        </is>
      </c>
      <c r="C875" t="inlineStr">
        <is>
          <t>Indraprastha Gas (IGL)</t>
        </is>
      </c>
      <c r="F875" t="inlineStr">
        <is>
          <t>New Lead</t>
        </is>
      </c>
      <c r="H875" t="inlineStr">
        <is>
          <t>View Tender</t>
        </is>
      </c>
      <c r="K875" t="inlineStr">
        <is>
          <t>Not found</t>
        </is>
      </c>
      <c r="L875" t="inlineStr">
        <is>
          <t>Unknown</t>
        </is>
      </c>
      <c r="T875" t="inlineStr">
        <is>
          <t>https://tenders.iglonline.net/tenderDetail/327/Active Tenders And Corrigendum-Addendum</t>
        </is>
      </c>
      <c r="U875" t="inlineStr">
        <is>
          <t>No</t>
        </is>
      </c>
      <c r="V875" t="inlineStr">
        <is>
          <t>Bot tarafindan tespit edildi (2026-07-01)</t>
        </is>
      </c>
    </row>
    <row r="876">
      <c r="A876" t="inlineStr">
        <is>
          <t>T-0680</t>
        </is>
      </c>
      <c r="B876" t="inlineStr">
        <is>
          <t>Indraprastha Gas (IGL)</t>
        </is>
      </c>
      <c r="C876" t="inlineStr">
        <is>
          <t>Indraprastha Gas (IGL)</t>
        </is>
      </c>
      <c r="F876" t="inlineStr">
        <is>
          <t>New Lead</t>
        </is>
      </c>
      <c r="H876" t="inlineStr">
        <is>
          <t>Corrigendum_I_CC18199.pdf</t>
        </is>
      </c>
      <c r="K876" t="inlineStr">
        <is>
          <t>Not found</t>
        </is>
      </c>
      <c r="L876" t="inlineStr">
        <is>
          <t>Unknown</t>
        </is>
      </c>
      <c r="T876" t="inlineStr">
        <is>
          <t>https://tenders.iglonline.net/uploads/tender/Corrigendum_I_CC18199.pdf</t>
        </is>
      </c>
      <c r="U876" t="inlineStr">
        <is>
          <t>No</t>
        </is>
      </c>
      <c r="V876" t="inlineStr">
        <is>
          <t>Bot tarafindan tespit edildi (2026-07-01)</t>
        </is>
      </c>
    </row>
    <row r="877">
      <c r="A877" t="inlineStr">
        <is>
          <t>T-0681</t>
        </is>
      </c>
      <c r="B877" t="inlineStr">
        <is>
          <t>Indraprastha Gas (IGL)</t>
        </is>
      </c>
      <c r="C877" t="inlineStr">
        <is>
          <t>Indraprastha Gas (IGL)</t>
        </is>
      </c>
      <c r="F877" t="inlineStr">
        <is>
          <t>New Lead</t>
        </is>
      </c>
      <c r="H877" t="inlineStr">
        <is>
          <t>CORRIGENDUM_II_18199.pdf</t>
        </is>
      </c>
      <c r="K877" t="inlineStr">
        <is>
          <t>Not found</t>
        </is>
      </c>
      <c r="L877" t="inlineStr">
        <is>
          <t>Unknown</t>
        </is>
      </c>
      <c r="T877" t="inlineStr">
        <is>
          <t>https://tenders.iglonline.net/uploads/tender/CORRIGENDUM_II_18199.pdf</t>
        </is>
      </c>
      <c r="U877" t="inlineStr">
        <is>
          <t>No</t>
        </is>
      </c>
      <c r="V877" t="inlineStr">
        <is>
          <t>Bot tarafindan tespit edildi (2026-07-01)</t>
        </is>
      </c>
    </row>
    <row r="878">
      <c r="A878" t="inlineStr">
        <is>
          <t>T-0682</t>
        </is>
      </c>
      <c r="B878" t="inlineStr">
        <is>
          <t>Indraprastha Gas (IGL)</t>
        </is>
      </c>
      <c r="C878" t="inlineStr">
        <is>
          <t>Indraprastha Gas (IGL)</t>
        </is>
      </c>
      <c r="F878" t="inlineStr">
        <is>
          <t>New Lead</t>
        </is>
      </c>
      <c r="H878" t="inlineStr">
        <is>
          <t>Corrigendum_III_CC18199.pdf</t>
        </is>
      </c>
      <c r="K878" t="inlineStr">
        <is>
          <t>Not found</t>
        </is>
      </c>
      <c r="L878" t="inlineStr">
        <is>
          <t>Unknown</t>
        </is>
      </c>
      <c r="T878" t="inlineStr">
        <is>
          <t>https://tenders.iglonline.net/uploads/tender/Corrigendum_III_CC18199.pdf</t>
        </is>
      </c>
      <c r="U878" t="inlineStr">
        <is>
          <t>No</t>
        </is>
      </c>
      <c r="V878" t="inlineStr">
        <is>
          <t>Bot tarafindan tespit edildi (2026-07-01)</t>
        </is>
      </c>
    </row>
    <row r="879">
      <c r="A879" t="inlineStr">
        <is>
          <t>T-0683</t>
        </is>
      </c>
      <c r="B879" t="inlineStr">
        <is>
          <t>Indraprastha Gas (IGL)</t>
        </is>
      </c>
      <c r="C879" t="inlineStr">
        <is>
          <t>Indraprastha Gas (IGL)</t>
        </is>
      </c>
      <c r="F879" t="inlineStr">
        <is>
          <t>New Lead</t>
        </is>
      </c>
      <c r="H879" t="inlineStr">
        <is>
          <t>View Tender</t>
        </is>
      </c>
      <c r="K879" t="inlineStr">
        <is>
          <t>Not found</t>
        </is>
      </c>
      <c r="L879" t="inlineStr">
        <is>
          <t>Unknown</t>
        </is>
      </c>
      <c r="T879" t="inlineStr">
        <is>
          <t>https://tenders.iglonline.net/tenderDetail/326/Active Tenders And Corrigendum-Addendum</t>
        </is>
      </c>
      <c r="U879" t="inlineStr">
        <is>
          <t>No</t>
        </is>
      </c>
      <c r="V879" t="inlineStr">
        <is>
          <t>Bot tarafindan tespit edildi (2026-07-01)</t>
        </is>
      </c>
    </row>
    <row r="880">
      <c r="A880" t="inlineStr">
        <is>
          <t>T-0684</t>
        </is>
      </c>
      <c r="B880" t="inlineStr">
        <is>
          <t>Indraprastha Gas (IGL)</t>
        </is>
      </c>
      <c r="C880" t="inlineStr">
        <is>
          <t>Indraprastha Gas (IGL)</t>
        </is>
      </c>
      <c r="F880" t="inlineStr">
        <is>
          <t>New Lead</t>
        </is>
      </c>
      <c r="H880" t="inlineStr">
        <is>
          <t>Corrigendum-I_CC18038.pdf</t>
        </is>
      </c>
      <c r="K880" t="inlineStr">
        <is>
          <t>Not found</t>
        </is>
      </c>
      <c r="L880" t="inlineStr">
        <is>
          <t>Unknown</t>
        </is>
      </c>
      <c r="T880" t="inlineStr">
        <is>
          <t>https://tenders.iglonline.net/uploads/tender/Corrigendum-I_CC18038.pdf</t>
        </is>
      </c>
      <c r="U880" t="inlineStr">
        <is>
          <t>No</t>
        </is>
      </c>
      <c r="V880" t="inlineStr">
        <is>
          <t>Bot tarafindan tespit edildi (2026-07-01)</t>
        </is>
      </c>
    </row>
    <row r="881">
      <c r="A881" t="inlineStr">
        <is>
          <t>T-0685</t>
        </is>
      </c>
      <c r="B881" t="inlineStr">
        <is>
          <t>Indraprastha Gas (IGL)</t>
        </is>
      </c>
      <c r="C881" t="inlineStr">
        <is>
          <t>Indraprastha Gas (IGL)</t>
        </is>
      </c>
      <c r="F881" t="inlineStr">
        <is>
          <t>New Lead</t>
        </is>
      </c>
      <c r="H881" t="inlineStr">
        <is>
          <t>RTBQ_CC18038.pdf</t>
        </is>
      </c>
      <c r="K881" t="inlineStr">
        <is>
          <t>Not found</t>
        </is>
      </c>
      <c r="L881" t="inlineStr">
        <is>
          <t>Unknown</t>
        </is>
      </c>
      <c r="T881" t="inlineStr">
        <is>
          <t>https://tenders.iglonline.net/uploads/tender/RTBQ_CC18038.pdf</t>
        </is>
      </c>
      <c r="U881" t="inlineStr">
        <is>
          <t>No</t>
        </is>
      </c>
      <c r="V881" t="inlineStr">
        <is>
          <t>Bot tarafindan tespit edildi (2026-07-01)</t>
        </is>
      </c>
    </row>
    <row r="882">
      <c r="A882" t="inlineStr">
        <is>
          <t>T-0686</t>
        </is>
      </c>
      <c r="B882" t="inlineStr">
        <is>
          <t>Indraprastha Gas (IGL)</t>
        </is>
      </c>
      <c r="C882" t="inlineStr">
        <is>
          <t>Indraprastha Gas (IGL)</t>
        </is>
      </c>
      <c r="F882" t="inlineStr">
        <is>
          <t>New Lead</t>
        </is>
      </c>
      <c r="H882" t="inlineStr">
        <is>
          <t>View Tender</t>
        </is>
      </c>
      <c r="K882" t="inlineStr">
        <is>
          <t>Not found</t>
        </is>
      </c>
      <c r="L882" t="inlineStr">
        <is>
          <t>Unknown</t>
        </is>
      </c>
      <c r="T882" t="inlineStr">
        <is>
          <t>https://tenders.iglonline.net/tenderDetail/325/Active Tenders And Corrigendum-Addendum</t>
        </is>
      </c>
      <c r="U882" t="inlineStr">
        <is>
          <t>No</t>
        </is>
      </c>
      <c r="V882" t="inlineStr">
        <is>
          <t>Bot tarafindan tespit edildi (2026-07-01)</t>
        </is>
      </c>
    </row>
    <row r="883">
      <c r="A883" t="inlineStr">
        <is>
          <t>T-0687</t>
        </is>
      </c>
      <c r="B883" t="inlineStr">
        <is>
          <t>Indraprastha Gas (IGL)</t>
        </is>
      </c>
      <c r="C883" t="inlineStr">
        <is>
          <t>Indraprastha Gas (IGL)</t>
        </is>
      </c>
      <c r="F883" t="inlineStr">
        <is>
          <t>New Lead</t>
        </is>
      </c>
      <c r="H883" t="inlineStr">
        <is>
          <t>Corrigendum_-11.pdf</t>
        </is>
      </c>
      <c r="K883" t="inlineStr">
        <is>
          <t>Not found</t>
        </is>
      </c>
      <c r="L883" t="inlineStr">
        <is>
          <t>Unknown</t>
        </is>
      </c>
      <c r="T883" t="inlineStr">
        <is>
          <t>https://tenders.iglonline.net/uploads/tender/Corrigendum_-11.pdf</t>
        </is>
      </c>
      <c r="U883" t="inlineStr">
        <is>
          <t>No</t>
        </is>
      </c>
      <c r="V883" t="inlineStr">
        <is>
          <t>Bot tarafindan tespit edildi (2026-07-01)</t>
        </is>
      </c>
    </row>
    <row r="884">
      <c r="A884" t="inlineStr">
        <is>
          <t>T-0688</t>
        </is>
      </c>
      <c r="B884" t="inlineStr">
        <is>
          <t>Indraprastha Gas (IGL)</t>
        </is>
      </c>
      <c r="C884" t="inlineStr">
        <is>
          <t>Indraprastha Gas (IGL)</t>
        </is>
      </c>
      <c r="F884" t="inlineStr">
        <is>
          <t>New Lead</t>
        </is>
      </c>
      <c r="H884" t="inlineStr">
        <is>
          <t>CORRIGENDUM_II1.pdf</t>
        </is>
      </c>
      <c r="K884" t="inlineStr">
        <is>
          <t>Not found</t>
        </is>
      </c>
      <c r="L884" t="inlineStr">
        <is>
          <t>Unknown</t>
        </is>
      </c>
      <c r="T884" t="inlineStr">
        <is>
          <t>https://tenders.iglonline.net/uploads/tender/CORRIGENDUM_II1.pdf</t>
        </is>
      </c>
      <c r="U884" t="inlineStr">
        <is>
          <t>No</t>
        </is>
      </c>
      <c r="V884" t="inlineStr">
        <is>
          <t>Bot tarafindan tespit edildi (2026-07-01)</t>
        </is>
      </c>
    </row>
    <row r="885">
      <c r="A885" t="inlineStr">
        <is>
          <t>T-0689</t>
        </is>
      </c>
      <c r="B885" t="inlineStr">
        <is>
          <t>Indraprastha Gas (IGL)</t>
        </is>
      </c>
      <c r="C885" t="inlineStr">
        <is>
          <t>Indraprastha Gas (IGL)</t>
        </is>
      </c>
      <c r="F885" t="inlineStr">
        <is>
          <t>New Lead</t>
        </is>
      </c>
      <c r="H885" t="inlineStr">
        <is>
          <t>Reply_to_Bidders_CM18040.pdf</t>
        </is>
      </c>
      <c r="K885" t="inlineStr">
        <is>
          <t>Not found</t>
        </is>
      </c>
      <c r="L885" t="inlineStr">
        <is>
          <t>Unknown</t>
        </is>
      </c>
      <c r="T885" t="inlineStr">
        <is>
          <t>https://tenders.iglonline.net/uploads/tender/Reply_to_Bidders_CM18040.pdf</t>
        </is>
      </c>
      <c r="U885" t="inlineStr">
        <is>
          <t>No</t>
        </is>
      </c>
      <c r="V885" t="inlineStr">
        <is>
          <t>Bot tarafindan tespit edildi (2026-07-01)</t>
        </is>
      </c>
    </row>
    <row r="886">
      <c r="A886" t="inlineStr">
        <is>
          <t>T-0690</t>
        </is>
      </c>
      <c r="B886" t="inlineStr">
        <is>
          <t>Indraprastha Gas (IGL)</t>
        </is>
      </c>
      <c r="C886" t="inlineStr">
        <is>
          <t>Indraprastha Gas (IGL)</t>
        </is>
      </c>
      <c r="F886" t="inlineStr">
        <is>
          <t>New Lead</t>
        </is>
      </c>
      <c r="H886" t="inlineStr">
        <is>
          <t>CORRIGENDUM_III_CM18040.pdf</t>
        </is>
      </c>
      <c r="K886" t="inlineStr">
        <is>
          <t>Not found</t>
        </is>
      </c>
      <c r="L886" t="inlineStr">
        <is>
          <t>Unknown</t>
        </is>
      </c>
      <c r="T886" t="inlineStr">
        <is>
          <t>https://tenders.iglonline.net/uploads/tender/CORRIGENDUM_III_CM18040.pdf</t>
        </is>
      </c>
      <c r="U886" t="inlineStr">
        <is>
          <t>No</t>
        </is>
      </c>
      <c r="V886" t="inlineStr">
        <is>
          <t>Bot tarafindan tespit edildi (2026-07-01)</t>
        </is>
      </c>
    </row>
    <row r="887">
      <c r="A887" t="inlineStr">
        <is>
          <t>T-0691</t>
        </is>
      </c>
      <c r="B887" t="inlineStr">
        <is>
          <t>Indraprastha Gas (IGL)</t>
        </is>
      </c>
      <c r="C887" t="inlineStr">
        <is>
          <t>Indraprastha Gas (IGL)</t>
        </is>
      </c>
      <c r="F887" t="inlineStr">
        <is>
          <t>New Lead</t>
        </is>
      </c>
      <c r="H887" t="inlineStr">
        <is>
          <t>Annexure_-_IV_Security_Checklist_v13.pdf</t>
        </is>
      </c>
      <c r="K887" t="inlineStr">
        <is>
          <t>Not found</t>
        </is>
      </c>
      <c r="L887" t="inlineStr">
        <is>
          <t>Unknown</t>
        </is>
      </c>
      <c r="T887" t="inlineStr">
        <is>
          <t>https://tenders.iglonline.net/uploads/tender/Annexure_-_IV_Security_Checklist_v13.pdf</t>
        </is>
      </c>
      <c r="U887" t="inlineStr">
        <is>
          <t>No</t>
        </is>
      </c>
      <c r="V887" t="inlineStr">
        <is>
          <t>Bot tarafindan tespit edildi (2026-07-01)</t>
        </is>
      </c>
    </row>
    <row r="888">
      <c r="A888" t="inlineStr">
        <is>
          <t>T-0692</t>
        </is>
      </c>
      <c r="B888" t="inlineStr">
        <is>
          <t>Indraprastha Gas (IGL)</t>
        </is>
      </c>
      <c r="C888" t="inlineStr">
        <is>
          <t>Indraprastha Gas (IGL)</t>
        </is>
      </c>
      <c r="F888" t="inlineStr">
        <is>
          <t>New Lead</t>
        </is>
      </c>
      <c r="H888" t="inlineStr">
        <is>
          <t>Corrigendum_IV_CM18040.pdf</t>
        </is>
      </c>
      <c r="K888" t="inlineStr">
        <is>
          <t>Not found</t>
        </is>
      </c>
      <c r="L888" t="inlineStr">
        <is>
          <t>Unknown</t>
        </is>
      </c>
      <c r="T888" t="inlineStr">
        <is>
          <t>https://tenders.iglonline.net/uploads/tender/Corrigendum_IV_CM18040.pdf</t>
        </is>
      </c>
      <c r="U888" t="inlineStr">
        <is>
          <t>No</t>
        </is>
      </c>
      <c r="V888" t="inlineStr">
        <is>
          <t>Bot tarafindan tespit edildi (2026-07-01)</t>
        </is>
      </c>
    </row>
    <row r="889">
      <c r="A889" t="inlineStr">
        <is>
          <t>T-0693</t>
        </is>
      </c>
      <c r="B889" t="inlineStr">
        <is>
          <t>Indraprastha Gas (IGL)</t>
        </is>
      </c>
      <c r="C889" t="inlineStr">
        <is>
          <t>Indraprastha Gas (IGL)</t>
        </is>
      </c>
      <c r="F889" t="inlineStr">
        <is>
          <t>New Lead</t>
        </is>
      </c>
      <c r="H889" t="inlineStr">
        <is>
          <t>CORRIGENDUM_V1.pdf</t>
        </is>
      </c>
      <c r="K889" t="inlineStr">
        <is>
          <t>Not found</t>
        </is>
      </c>
      <c r="L889" t="inlineStr">
        <is>
          <t>Unknown</t>
        </is>
      </c>
      <c r="T889" t="inlineStr">
        <is>
          <t>https://tenders.iglonline.net/uploads/tender/CORRIGENDUM_V1.pdf</t>
        </is>
      </c>
      <c r="U889" t="inlineStr">
        <is>
          <t>No</t>
        </is>
      </c>
      <c r="V889" t="inlineStr">
        <is>
          <t>Bot tarafindan tespit edildi (2026-07-01)</t>
        </is>
      </c>
    </row>
    <row r="890">
      <c r="A890" t="inlineStr">
        <is>
          <t>T-0694</t>
        </is>
      </c>
      <c r="B890" t="inlineStr">
        <is>
          <t>Indraprastha Gas (IGL)</t>
        </is>
      </c>
      <c r="C890" t="inlineStr">
        <is>
          <t>Indraprastha Gas (IGL)</t>
        </is>
      </c>
      <c r="F890" t="inlineStr">
        <is>
          <t>New Lead</t>
        </is>
      </c>
      <c r="H890" t="inlineStr">
        <is>
          <t>CORRIGENDUM_VI.pdf</t>
        </is>
      </c>
      <c r="K890" t="inlineStr">
        <is>
          <t>Not found</t>
        </is>
      </c>
      <c r="L890" t="inlineStr">
        <is>
          <t>Unknown</t>
        </is>
      </c>
      <c r="T890" t="inlineStr">
        <is>
          <t>https://tenders.iglonline.net/uploads/tender/CORRIGENDUM_VI.pdf</t>
        </is>
      </c>
      <c r="U890" t="inlineStr">
        <is>
          <t>No</t>
        </is>
      </c>
      <c r="V890" t="inlineStr">
        <is>
          <t>Bot tarafindan tespit edildi (2026-07-01)</t>
        </is>
      </c>
    </row>
    <row r="891">
      <c r="A891" t="inlineStr">
        <is>
          <t>T-0695</t>
        </is>
      </c>
      <c r="B891" t="inlineStr">
        <is>
          <t>Indraprastha Gas (IGL)</t>
        </is>
      </c>
      <c r="C891" t="inlineStr">
        <is>
          <t>Indraprastha Gas (IGL)</t>
        </is>
      </c>
      <c r="F891" t="inlineStr">
        <is>
          <t>New Lead</t>
        </is>
      </c>
      <c r="H891" t="inlineStr">
        <is>
          <t>CORRIGENDUM_VII.pdf</t>
        </is>
      </c>
      <c r="K891" t="inlineStr">
        <is>
          <t>Not found</t>
        </is>
      </c>
      <c r="L891" t="inlineStr">
        <is>
          <t>Unknown</t>
        </is>
      </c>
      <c r="T891" t="inlineStr">
        <is>
          <t>https://tenders.iglonline.net/uploads/tender/CORRIGENDUM_VII.pdf</t>
        </is>
      </c>
      <c r="U891" t="inlineStr">
        <is>
          <t>No</t>
        </is>
      </c>
      <c r="V891" t="inlineStr">
        <is>
          <t>Bot tarafindan tespit edildi (2026-07-01)</t>
        </is>
      </c>
    </row>
    <row r="892">
      <c r="A892" t="inlineStr">
        <is>
          <t>T-0696</t>
        </is>
      </c>
      <c r="B892" t="inlineStr">
        <is>
          <t>Indraprastha Gas (IGL)</t>
        </is>
      </c>
      <c r="C892" t="inlineStr">
        <is>
          <t>Indraprastha Gas (IGL)</t>
        </is>
      </c>
      <c r="F892" t="inlineStr">
        <is>
          <t>New Lead</t>
        </is>
      </c>
      <c r="H892" t="inlineStr">
        <is>
          <t>View Tender</t>
        </is>
      </c>
      <c r="K892" t="inlineStr">
        <is>
          <t>Not found</t>
        </is>
      </c>
      <c r="L892" t="inlineStr">
        <is>
          <t>Unknown</t>
        </is>
      </c>
      <c r="T892" t="inlineStr">
        <is>
          <t>https://tenders.iglonline.net/tenderDetail/324/Active Tenders And Corrigendum-Addendum</t>
        </is>
      </c>
      <c r="U892" t="inlineStr">
        <is>
          <t>No</t>
        </is>
      </c>
      <c r="V892" t="inlineStr">
        <is>
          <t>Bot tarafindan tespit edildi (2026-07-01)</t>
        </is>
      </c>
    </row>
    <row r="893">
      <c r="A893" t="inlineStr">
        <is>
          <t>T-0697</t>
        </is>
      </c>
      <c r="B893" t="inlineStr">
        <is>
          <t>Indraprastha Gas (IGL)</t>
        </is>
      </c>
      <c r="C893" t="inlineStr">
        <is>
          <t>Indraprastha Gas (IGL)</t>
        </is>
      </c>
      <c r="F893" t="inlineStr">
        <is>
          <t>New Lead</t>
        </is>
      </c>
      <c r="H893" t="inlineStr">
        <is>
          <t>View Tender</t>
        </is>
      </c>
      <c r="K893" t="inlineStr">
        <is>
          <t>Not found</t>
        </is>
      </c>
      <c r="L893" t="inlineStr">
        <is>
          <t>Unknown</t>
        </is>
      </c>
      <c r="T893" t="inlineStr">
        <is>
          <t>https://tenders.iglonline.net/tenderDetail/323/Active Tenders And Corrigendum-Addendum</t>
        </is>
      </c>
      <c r="U893" t="inlineStr">
        <is>
          <t>No</t>
        </is>
      </c>
      <c r="V893" t="inlineStr">
        <is>
          <t>Bot tarafindan tespit edildi (2026-07-01)</t>
        </is>
      </c>
    </row>
    <row r="894">
      <c r="A894" t="inlineStr">
        <is>
          <t>T-0698</t>
        </is>
      </c>
      <c r="B894" t="inlineStr">
        <is>
          <t>Indraprastha Gas (IGL)</t>
        </is>
      </c>
      <c r="C894" t="inlineStr">
        <is>
          <t>Indraprastha Gas (IGL)</t>
        </is>
      </c>
      <c r="F894" t="inlineStr">
        <is>
          <t>New Lead</t>
        </is>
      </c>
      <c r="H894" t="inlineStr">
        <is>
          <t>RTPBQ_CM18202.pdf</t>
        </is>
      </c>
      <c r="K894" t="inlineStr">
        <is>
          <t>Not found</t>
        </is>
      </c>
      <c r="L894" t="inlineStr">
        <is>
          <t>Unknown</t>
        </is>
      </c>
      <c r="T894" t="inlineStr">
        <is>
          <t>https://tenders.iglonline.net/uploads/tender/RTPBQ_CM18202.pdf</t>
        </is>
      </c>
      <c r="U894" t="inlineStr">
        <is>
          <t>No</t>
        </is>
      </c>
      <c r="V894" t="inlineStr">
        <is>
          <t>Bot tarafindan tespit edildi (2026-07-01)</t>
        </is>
      </c>
    </row>
    <row r="895">
      <c r="A895" t="inlineStr">
        <is>
          <t>T-0699</t>
        </is>
      </c>
      <c r="B895" t="inlineStr">
        <is>
          <t>Indraprastha Gas (IGL)</t>
        </is>
      </c>
      <c r="C895" t="inlineStr">
        <is>
          <t>Indraprastha Gas (IGL)</t>
        </is>
      </c>
      <c r="F895" t="inlineStr">
        <is>
          <t>New Lead</t>
        </is>
      </c>
      <c r="G895" t="inlineStr">
        <is>
          <t>Regulating station</t>
        </is>
      </c>
      <c r="H895" t="inlineStr">
        <is>
          <t>View Tender</t>
        </is>
      </c>
      <c r="K895" t="inlineStr">
        <is>
          <t>Not found</t>
        </is>
      </c>
      <c r="L895" t="inlineStr">
        <is>
          <t>Unknown</t>
        </is>
      </c>
      <c r="T895" t="inlineStr">
        <is>
          <t>https://tenders.iglonline.net/tenderDetail/322/Active Tenders And Corrigendum-Addendum</t>
        </is>
      </c>
      <c r="U895" t="inlineStr">
        <is>
          <t>No</t>
        </is>
      </c>
      <c r="V895" t="inlineStr">
        <is>
          <t>Bot tarafindan tespit edildi (2026-07-01); Bot tespit/zenginlestirme (2026-07-01); meta:score=100;priority=High;source_type=html_table;closing_date=;equipment=Regulating station;reasons=equipment:Regulating station,station/skid keyword,document source,commercial/price signal; Bot clean extraction (2026-07-01); meta:score=100;priority=High;source_type=html_table;closing_date=;equipment=Regulating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896">
      <c r="A896" t="inlineStr">
        <is>
          <t>T-0700</t>
        </is>
      </c>
      <c r="B896" t="inlineStr">
        <is>
          <t>Indraprastha Gas (IGL)</t>
        </is>
      </c>
      <c r="C896" t="inlineStr">
        <is>
          <t>Indraprastha Gas (IGL)</t>
        </is>
      </c>
      <c r="D896" t="inlineStr">
        <is>
          <t>DOCUMENT</t>
        </is>
      </c>
      <c r="F896" t="inlineStr">
        <is>
          <t>Awarded</t>
        </is>
      </c>
      <c r="G896" t="inlineStr">
        <is>
          <t>DRS</t>
        </is>
      </c>
      <c r="H896" t="inlineStr">
        <is>
          <t>RTPBQ1.pdf</t>
        </is>
      </c>
      <c r="I896" t="inlineStr">
        <is>
          <t>100</t>
        </is>
      </c>
      <c r="K896" t="inlineStr">
        <is>
          <t>representative as well as the inspection surveyor. But it is not clear that in to</t>
        </is>
      </c>
      <c r="L896" t="inlineStr">
        <is>
          <t>Unknown</t>
        </is>
      </c>
      <c r="M896" t="n">
        <v>75</v>
      </c>
      <c r="T896" t="inlineStr">
        <is>
          <t>https://tenders.iglonline.net/uploads/tender/RTPBQ1.pdf</t>
        </is>
      </c>
      <c r="U896" t="inlineStr">
        <is>
          <t>No</t>
        </is>
      </c>
      <c r="V896" t="inlineStr">
        <is>
          <t>Bot tarafindan tespit edildi (2026-07-01) | Bot enrich; date=2026-07-01; type=pdf; score=320; pdf_conf=Medium; Bot tespit/zenginlestirme (2026-07-01); meta:score=100;priority=High;source_type=html_table;closing_date=None;equipment=Regulating station;reasons=equipment:Regulating station,station/skid keyword,document source,commercial/price signal</t>
        </is>
      </c>
    </row>
    <row r="897">
      <c r="A897" t="inlineStr">
        <is>
          <t>T-0701</t>
        </is>
      </c>
      <c r="B897" t="inlineStr">
        <is>
          <t>Indraprastha Gas (IGL)</t>
        </is>
      </c>
      <c r="C897" t="inlineStr">
        <is>
          <t>Indraprastha Gas (IGL)</t>
        </is>
      </c>
      <c r="F897" t="inlineStr">
        <is>
          <t>New Lead</t>
        </is>
      </c>
      <c r="H897" t="inlineStr">
        <is>
          <t>View Tender</t>
        </is>
      </c>
      <c r="K897" t="inlineStr">
        <is>
          <t>Not found</t>
        </is>
      </c>
      <c r="L897" t="inlineStr">
        <is>
          <t>Unknown</t>
        </is>
      </c>
      <c r="T897" t="inlineStr">
        <is>
          <t>https://tenders.iglonline.net/tenderDetail/321/Active Tenders And Corrigendum-Addendum</t>
        </is>
      </c>
      <c r="U897" t="inlineStr">
        <is>
          <t>No</t>
        </is>
      </c>
      <c r="V897" t="inlineStr">
        <is>
          <t>Bot tarafindan tespit edildi (2026-07-01)</t>
        </is>
      </c>
    </row>
    <row r="898">
      <c r="A898" t="inlineStr">
        <is>
          <t>T-0702</t>
        </is>
      </c>
      <c r="B898" t="inlineStr">
        <is>
          <t>Indraprastha Gas (IGL)</t>
        </is>
      </c>
      <c r="C898" t="inlineStr">
        <is>
          <t>Indraprastha Gas (IGL)</t>
        </is>
      </c>
      <c r="F898" t="inlineStr">
        <is>
          <t>New Lead</t>
        </is>
      </c>
      <c r="H898" t="inlineStr">
        <is>
          <t>RTBQ_CC18165.pdf</t>
        </is>
      </c>
      <c r="K898" t="inlineStr">
        <is>
          <t>Not found</t>
        </is>
      </c>
      <c r="L898" t="inlineStr">
        <is>
          <t>Unknown</t>
        </is>
      </c>
      <c r="T898" t="inlineStr">
        <is>
          <t>https://tenders.iglonline.net/uploads/tender/RTBQ_CC18165.pdf</t>
        </is>
      </c>
      <c r="U898" t="inlineStr">
        <is>
          <t>No</t>
        </is>
      </c>
      <c r="V898" t="inlineStr">
        <is>
          <t>Bot tarafindan tespit edildi (2026-07-01)</t>
        </is>
      </c>
    </row>
    <row r="899">
      <c r="A899" t="inlineStr">
        <is>
          <t>T-0703</t>
        </is>
      </c>
      <c r="B899" t="inlineStr">
        <is>
          <t>Indraprastha Gas (IGL)</t>
        </is>
      </c>
      <c r="C899" t="inlineStr">
        <is>
          <t>Indraprastha Gas (IGL)</t>
        </is>
      </c>
      <c r="F899" t="inlineStr">
        <is>
          <t>New Lead</t>
        </is>
      </c>
      <c r="H899" t="inlineStr">
        <is>
          <t>Corrigendum_I_with_SOR_CC18165.pdf</t>
        </is>
      </c>
      <c r="K899" t="inlineStr">
        <is>
          <t>Not found</t>
        </is>
      </c>
      <c r="L899" t="inlineStr">
        <is>
          <t>Unknown</t>
        </is>
      </c>
      <c r="T899" t="inlineStr">
        <is>
          <t>https://tenders.iglonline.net/uploads/tender/Corrigendum_I_with_SOR_CC18165.pdf</t>
        </is>
      </c>
      <c r="U899" t="inlineStr">
        <is>
          <t>No</t>
        </is>
      </c>
      <c r="V899" t="inlineStr">
        <is>
          <t>Bot tarafindan tespit edildi (2026-07-01)</t>
        </is>
      </c>
    </row>
    <row r="900">
      <c r="A900" t="inlineStr">
        <is>
          <t>T-0704</t>
        </is>
      </c>
      <c r="B900" t="inlineStr">
        <is>
          <t>Indraprastha Gas (IGL)</t>
        </is>
      </c>
      <c r="C900" t="inlineStr">
        <is>
          <t>Indraprastha Gas (IGL)</t>
        </is>
      </c>
      <c r="F900" t="inlineStr">
        <is>
          <t>New Lead</t>
        </is>
      </c>
      <c r="H900" t="inlineStr">
        <is>
          <t>CORRIGENDUM_II_CC18165.pdf</t>
        </is>
      </c>
      <c r="K900" t="inlineStr">
        <is>
          <t>Not found</t>
        </is>
      </c>
      <c r="L900" t="inlineStr">
        <is>
          <t>Unknown</t>
        </is>
      </c>
      <c r="T900" t="inlineStr">
        <is>
          <t>https://tenders.iglonline.net/uploads/tender/CORRIGENDUM_II_CC18165.pdf</t>
        </is>
      </c>
      <c r="U900" t="inlineStr">
        <is>
          <t>No</t>
        </is>
      </c>
      <c r="V900" t="inlineStr">
        <is>
          <t>Bot tarafindan tespit edildi (2026-07-01)</t>
        </is>
      </c>
    </row>
    <row r="901">
      <c r="A901" t="inlineStr">
        <is>
          <t>T-0705</t>
        </is>
      </c>
      <c r="B901" t="inlineStr">
        <is>
          <t>Indraprastha Gas (IGL)</t>
        </is>
      </c>
      <c r="C901" t="inlineStr">
        <is>
          <t>Indraprastha Gas (IGL)</t>
        </is>
      </c>
      <c r="F901" t="inlineStr">
        <is>
          <t>New Lead</t>
        </is>
      </c>
      <c r="H901" t="inlineStr">
        <is>
          <t>View Tender</t>
        </is>
      </c>
      <c r="K901" t="inlineStr">
        <is>
          <t>Not found</t>
        </is>
      </c>
      <c r="L901" t="inlineStr">
        <is>
          <t>Unknown</t>
        </is>
      </c>
      <c r="T901" t="inlineStr">
        <is>
          <t>https://tenders.iglonline.net/tenderDetail/320/Active Tenders And Corrigendum-Addendum</t>
        </is>
      </c>
      <c r="U901" t="inlineStr">
        <is>
          <t>No</t>
        </is>
      </c>
      <c r="V901" t="inlineStr">
        <is>
          <t>Bot tarafindan tespit edildi (2026-07-01)</t>
        </is>
      </c>
    </row>
    <row r="902">
      <c r="A902" t="inlineStr">
        <is>
          <t>T-0706</t>
        </is>
      </c>
      <c r="B902" t="inlineStr">
        <is>
          <t>Indraprastha Gas (IGL)</t>
        </is>
      </c>
      <c r="C902" t="inlineStr">
        <is>
          <t>Indraprastha Gas (IGL)</t>
        </is>
      </c>
      <c r="F902" t="inlineStr">
        <is>
          <t>New Lead</t>
        </is>
      </c>
      <c r="H902" t="inlineStr">
        <is>
          <t>View Tender</t>
        </is>
      </c>
      <c r="K902" t="inlineStr">
        <is>
          <t>Not found</t>
        </is>
      </c>
      <c r="L902" t="inlineStr">
        <is>
          <t>Unknown</t>
        </is>
      </c>
      <c r="T902" t="inlineStr">
        <is>
          <t>https://tenders.iglonline.net/tenderDetail/319/Active Tenders And Corrigendum-Addendum</t>
        </is>
      </c>
      <c r="U902" t="inlineStr">
        <is>
          <t>No</t>
        </is>
      </c>
      <c r="V902" t="inlineStr">
        <is>
          <t>Bot tarafindan tespit edildi (2026-07-01)</t>
        </is>
      </c>
    </row>
    <row r="903">
      <c r="A903" t="inlineStr">
        <is>
          <t>T-0707</t>
        </is>
      </c>
      <c r="B903" t="inlineStr">
        <is>
          <t>Indraprastha Gas (IGL)</t>
        </is>
      </c>
      <c r="C903" t="inlineStr">
        <is>
          <t>Indraprastha Gas (IGL)</t>
        </is>
      </c>
      <c r="F903" t="inlineStr">
        <is>
          <t>New Lead</t>
        </is>
      </c>
      <c r="H903" t="inlineStr">
        <is>
          <t>View Tender</t>
        </is>
      </c>
      <c r="K903" t="inlineStr">
        <is>
          <t>Not found</t>
        </is>
      </c>
      <c r="L903" t="inlineStr">
        <is>
          <t>Unknown</t>
        </is>
      </c>
      <c r="T903" t="inlineStr">
        <is>
          <t>https://tenders.iglonline.net/tenderDetail/318/Active Tenders And Corrigendum-Addendum</t>
        </is>
      </c>
      <c r="U903" t="inlineStr">
        <is>
          <t>No</t>
        </is>
      </c>
      <c r="V903" t="inlineStr">
        <is>
          <t>Bot tarafindan tespit edildi (2026-07-01)</t>
        </is>
      </c>
    </row>
    <row r="904">
      <c r="A904" t="inlineStr">
        <is>
          <t>T-0708</t>
        </is>
      </c>
      <c r="B904" t="inlineStr">
        <is>
          <t>Indraprastha Gas (IGL)</t>
        </is>
      </c>
      <c r="C904" t="inlineStr">
        <is>
          <t>Indraprastha Gas (IGL)</t>
        </is>
      </c>
      <c r="F904" t="inlineStr">
        <is>
          <t>New Lead</t>
        </is>
      </c>
      <c r="G904" t="inlineStr">
        <is>
          <t>Gas-related / review</t>
        </is>
      </c>
      <c r="H904" t="inlineStr">
        <is>
          <t>Corrigendum_I_CC18114.pdf</t>
        </is>
      </c>
      <c r="K904" t="inlineStr">
        <is>
          <t>Not found</t>
        </is>
      </c>
      <c r="L904" t="inlineStr">
        <is>
          <t>Unknown</t>
        </is>
      </c>
      <c r="T904" t="inlineStr">
        <is>
          <t>https://tenders.iglonline.net/uploads/tender/Corrigendum_I_CC18114.pdf</t>
        </is>
      </c>
      <c r="U904" t="inlineStr">
        <is>
          <t>No</t>
        </is>
      </c>
      <c r="V904" t="inlineStr">
        <is>
          <t>Bot tarafindan tespit edildi (2026-07-01); Bot tespit/zenginlestirme (2026-07-01); meta:score=35;priority=Low;source_type=html_table;closing_date=;equipment=Gas-related / review;reasons=equipment:Gas-related / review,document source</t>
        </is>
      </c>
    </row>
    <row r="905">
      <c r="A905" t="inlineStr">
        <is>
          <t>T-0709</t>
        </is>
      </c>
      <c r="B905" t="inlineStr">
        <is>
          <t>Indraprastha Gas (IGL)</t>
        </is>
      </c>
      <c r="C905" t="inlineStr">
        <is>
          <t>Indraprastha Gas (IGL)</t>
        </is>
      </c>
      <c r="F905" t="inlineStr">
        <is>
          <t>New Lead</t>
        </is>
      </c>
      <c r="G905" t="inlineStr">
        <is>
          <t>Gas-related / review</t>
        </is>
      </c>
      <c r="H905" t="inlineStr">
        <is>
          <t>RTBQ_CC18114.pdf</t>
        </is>
      </c>
      <c r="K905" t="inlineStr">
        <is>
          <t>Not found</t>
        </is>
      </c>
      <c r="L905" t="inlineStr">
        <is>
          <t>Unknown</t>
        </is>
      </c>
      <c r="T905" t="inlineStr">
        <is>
          <t>https://tenders.iglonline.net/uploads/tender/RTBQ_CC18114.pdf</t>
        </is>
      </c>
      <c r="U905" t="inlineStr">
        <is>
          <t>No</t>
        </is>
      </c>
      <c r="V905" t="inlineStr">
        <is>
          <t>Bot tarafindan tespit edildi (2026-07-01); Bot tespit/zenginlestirme (2026-07-01); meta:score=35;priority=Low;source_type=html_table;closing_date=;equipment=Gas-related / review;reasons=equipment:Gas-related / review,document source</t>
        </is>
      </c>
    </row>
    <row r="906">
      <c r="A906" t="inlineStr">
        <is>
          <t>T-0710</t>
        </is>
      </c>
      <c r="B906" t="inlineStr">
        <is>
          <t>Indraprastha Gas (IGL)</t>
        </is>
      </c>
      <c r="C906" t="inlineStr">
        <is>
          <t>Indraprastha Gas (IGL)</t>
        </is>
      </c>
      <c r="F906" t="inlineStr">
        <is>
          <t>New Lead</t>
        </is>
      </c>
      <c r="G906" t="inlineStr">
        <is>
          <t>Gas-related / review</t>
        </is>
      </c>
      <c r="H906" t="inlineStr">
        <is>
          <t>CORRIGENDUM__2_CC18114.pdf</t>
        </is>
      </c>
      <c r="K906" t="inlineStr">
        <is>
          <t>Not found</t>
        </is>
      </c>
      <c r="L906" t="inlineStr">
        <is>
          <t>Unknown</t>
        </is>
      </c>
      <c r="T906" t="inlineStr">
        <is>
          <t>https://tenders.iglonline.net/uploads/tender/CORRIGENDUM__2_CC18114.pdf</t>
        </is>
      </c>
      <c r="U906" t="inlineStr">
        <is>
          <t>No</t>
        </is>
      </c>
      <c r="V906" t="inlineStr">
        <is>
          <t>Bot tarafindan tespit edildi (2026-07-01); Bot tespit/zenginlestirme (2026-07-01); meta:score=35;priority=Low;source_type=html_table;closing_date=;equipment=Gas-related / review;reasons=equipment:Gas-related / review,document source</t>
        </is>
      </c>
    </row>
    <row r="907">
      <c r="A907" t="inlineStr">
        <is>
          <t>T-0711</t>
        </is>
      </c>
      <c r="B907" t="inlineStr">
        <is>
          <t>Indraprastha Gas (IGL)</t>
        </is>
      </c>
      <c r="C907" t="inlineStr">
        <is>
          <t>Indraprastha Gas (IGL)</t>
        </is>
      </c>
      <c r="F907" t="inlineStr">
        <is>
          <t>New Lead</t>
        </is>
      </c>
      <c r="H907" t="inlineStr">
        <is>
          <t>View Tender</t>
        </is>
      </c>
      <c r="K907" t="inlineStr">
        <is>
          <t>Not found</t>
        </is>
      </c>
      <c r="L907" t="inlineStr">
        <is>
          <t>Unknown</t>
        </is>
      </c>
      <c r="T907" t="inlineStr">
        <is>
          <t>https://tenders.iglonline.net/tenderDetail/317/Active Tenders And Corrigendum-Addendum</t>
        </is>
      </c>
      <c r="U907" t="inlineStr">
        <is>
          <t>No</t>
        </is>
      </c>
      <c r="V907" t="inlineStr">
        <is>
          <t>Bot tarafindan tespit edildi (2026-07-01)</t>
        </is>
      </c>
    </row>
    <row r="908">
      <c r="A908" t="inlineStr">
        <is>
          <t>T-0712</t>
        </is>
      </c>
      <c r="B908" t="inlineStr">
        <is>
          <t>Indraprastha Gas (IGL)</t>
        </is>
      </c>
      <c r="C908" t="inlineStr">
        <is>
          <t>Indraprastha Gas (IGL)</t>
        </is>
      </c>
      <c r="D908" t="inlineStr">
        <is>
          <t>IGL/ET2/CP/CC18059</t>
        </is>
      </c>
      <c r="F908" t="inlineStr">
        <is>
          <t>New Lead</t>
        </is>
      </c>
      <c r="G908" t="inlineStr">
        <is>
          <t>Gas-related / review</t>
        </is>
      </c>
      <c r="H908" t="inlineStr">
        <is>
          <t>RTBQ_CC18059.pdf</t>
        </is>
      </c>
      <c r="K908" t="inlineStr">
        <is>
          <t>fails to provide the required CONTRACT FOR services attributed to him, then penal</t>
        </is>
      </c>
      <c r="L908" t="inlineStr">
        <is>
          <t>Unknown</t>
        </is>
      </c>
      <c r="T908" t="inlineStr">
        <is>
          <t>https://tenders.iglonline.net/uploads/tender/RTBQ_CC18059.pdf</t>
        </is>
      </c>
      <c r="U908" t="inlineStr">
        <is>
          <t>No</t>
        </is>
      </c>
      <c r="V908" t="inlineStr">
        <is>
          <t>Bot tarafindan tespit edildi (2026-07-01); Bot tespit/zenginlestirme (2026-07-01); meta:score=55;priority=Medium;source_type=html_table;closing_date=;equipment=Gas-related / review;reasons=equipment:Gas-related / review,document source,quantity signal</t>
        </is>
      </c>
    </row>
    <row r="909">
      <c r="A909" t="inlineStr">
        <is>
          <t>T-0713</t>
        </is>
      </c>
      <c r="B909" t="inlineStr">
        <is>
          <t>Indraprastha Gas (IGL)</t>
        </is>
      </c>
      <c r="C909" t="inlineStr">
        <is>
          <t>Indraprastha Gas (IGL)</t>
        </is>
      </c>
      <c r="F909" t="inlineStr">
        <is>
          <t>New Lead</t>
        </is>
      </c>
      <c r="G909" t="inlineStr">
        <is>
          <t>Gas-related / review</t>
        </is>
      </c>
      <c r="H909" t="inlineStr">
        <is>
          <t>Corrigendum_II_CC18059_(1).pdf</t>
        </is>
      </c>
      <c r="K909" t="inlineStr">
        <is>
          <t>Not found</t>
        </is>
      </c>
      <c r="L909" t="inlineStr">
        <is>
          <t>Unknown</t>
        </is>
      </c>
      <c r="T909" t="inlineStr">
        <is>
          <t>https://tenders.iglonline.net/uploads/tender/Corrigendum_II_CC18059_(1).pdf</t>
        </is>
      </c>
      <c r="U909" t="inlineStr">
        <is>
          <t>No</t>
        </is>
      </c>
      <c r="V909" t="inlineStr">
        <is>
          <t>Bot tarafindan tespit edildi (2026-07-01); Bot tespit/zenginlestirme (2026-07-01); meta:score=55;priority=Medium;source_type=html_table;closing_date=;equipment=Gas-related / review;reasons=equipment:Gas-related / review,document source,quantity signal</t>
        </is>
      </c>
    </row>
    <row r="910">
      <c r="A910" t="inlineStr">
        <is>
          <t>T-0714</t>
        </is>
      </c>
      <c r="B910" t="inlineStr">
        <is>
          <t>Indraprastha Gas (IGL)</t>
        </is>
      </c>
      <c r="C910" t="inlineStr">
        <is>
          <t>Indraprastha Gas (IGL)</t>
        </is>
      </c>
      <c r="F910" t="inlineStr">
        <is>
          <t>New Lead</t>
        </is>
      </c>
      <c r="G910" t="inlineStr">
        <is>
          <t>Gas-related / review</t>
        </is>
      </c>
      <c r="H910" t="inlineStr">
        <is>
          <t>Corrigendum_I_CC18059_(1).pdf</t>
        </is>
      </c>
      <c r="K910" t="inlineStr">
        <is>
          <t>Not found</t>
        </is>
      </c>
      <c r="L910" t="inlineStr">
        <is>
          <t>Unknown</t>
        </is>
      </c>
      <c r="T910" t="inlineStr">
        <is>
          <t>https://tenders.iglonline.net/uploads/tender/Corrigendum_I_CC18059_(1).pdf</t>
        </is>
      </c>
      <c r="U910" t="inlineStr">
        <is>
          <t>No</t>
        </is>
      </c>
      <c r="V910" t="inlineStr">
        <is>
          <t>Bot tarafindan tespit edildi (2026-07-01); Bot tespit/zenginlestirme (2026-07-01); meta:score=55;priority=Medium;source_type=html_table;closing_date=;equipment=Gas-related / review;reasons=equipment:Gas-related / review,document source,quantity signal</t>
        </is>
      </c>
    </row>
    <row r="911">
      <c r="A911" t="inlineStr">
        <is>
          <t>T-0715</t>
        </is>
      </c>
      <c r="B911" t="inlineStr">
        <is>
          <t>Indraprastha Gas (IGL)</t>
        </is>
      </c>
      <c r="C911" t="inlineStr">
        <is>
          <t>Indraprastha Gas (IGL)</t>
        </is>
      </c>
      <c r="F911" t="inlineStr">
        <is>
          <t>New Lead</t>
        </is>
      </c>
      <c r="G911" t="inlineStr">
        <is>
          <t>Gas-related / review</t>
        </is>
      </c>
      <c r="H911" t="inlineStr">
        <is>
          <t>Corrigendum_III_CC18059.pdf</t>
        </is>
      </c>
      <c r="K911" t="inlineStr">
        <is>
          <t>Not found</t>
        </is>
      </c>
      <c r="L911" t="inlineStr">
        <is>
          <t>Unknown</t>
        </is>
      </c>
      <c r="T911" t="inlineStr">
        <is>
          <t>https://tenders.iglonline.net/uploads/tender/Corrigendum_III_CC18059.pdf</t>
        </is>
      </c>
      <c r="U911" t="inlineStr">
        <is>
          <t>No</t>
        </is>
      </c>
      <c r="V911" t="inlineStr">
        <is>
          <t>Bot tarafindan tespit edildi (2026-07-01); Bot tespit/zenginlestirme (2026-07-01); meta:score=55;priority=Medium;source_type=html_table;closing_date=;equipment=Gas-related / review;reasons=equipment:Gas-related / review,document source,quantity signal</t>
        </is>
      </c>
    </row>
    <row r="912">
      <c r="A912" t="inlineStr">
        <is>
          <t>T-0716</t>
        </is>
      </c>
      <c r="B912" t="inlineStr">
        <is>
          <t>Indraprastha Gas (IGL)</t>
        </is>
      </c>
      <c r="C912" t="inlineStr">
        <is>
          <t>Indraprastha Gas (IGL)</t>
        </is>
      </c>
      <c r="F912" t="inlineStr">
        <is>
          <t>New Lead</t>
        </is>
      </c>
      <c r="G912" t="inlineStr">
        <is>
          <t>Gas-related / review</t>
        </is>
      </c>
      <c r="H912" t="inlineStr">
        <is>
          <t>Corrigendum_IV_CC18059.pdf</t>
        </is>
      </c>
      <c r="K912" t="inlineStr">
        <is>
          <t>Not found</t>
        </is>
      </c>
      <c r="L912" t="inlineStr">
        <is>
          <t>Unknown</t>
        </is>
      </c>
      <c r="T912" t="inlineStr">
        <is>
          <t>https://tenders.iglonline.net/uploads/tender/Corrigendum_IV_CC18059.pdf</t>
        </is>
      </c>
      <c r="U912" t="inlineStr">
        <is>
          <t>No</t>
        </is>
      </c>
      <c r="V912" t="inlineStr">
        <is>
          <t>Bot tarafindan tespit edildi (2026-07-01); Bot tespit/zenginlestirme (2026-07-01); meta:score=55;priority=Medium;source_type=html_table;closing_date=;equipment=Gas-related / review;reasons=equipment:Gas-related / review,document source,quantity signal</t>
        </is>
      </c>
    </row>
    <row r="913">
      <c r="A913" t="inlineStr">
        <is>
          <t>T-0717</t>
        </is>
      </c>
      <c r="B913" t="inlineStr">
        <is>
          <t>Indraprastha Gas (IGL)</t>
        </is>
      </c>
      <c r="C913" t="inlineStr">
        <is>
          <t>Indraprastha Gas (IGL)</t>
        </is>
      </c>
      <c r="F913" t="inlineStr">
        <is>
          <t>New Lead</t>
        </is>
      </c>
      <c r="H913" t="inlineStr">
        <is>
          <t>View Tender</t>
        </is>
      </c>
      <c r="K913" t="inlineStr">
        <is>
          <t>Not found</t>
        </is>
      </c>
      <c r="L913" t="inlineStr">
        <is>
          <t>Unknown</t>
        </is>
      </c>
      <c r="T913" t="inlineStr">
        <is>
          <t>https://tenders.iglonline.net/tenderDetail/316/Active Tenders And Corrigendum-Addendum</t>
        </is>
      </c>
      <c r="U913" t="inlineStr">
        <is>
          <t>No</t>
        </is>
      </c>
      <c r="V913" t="inlineStr">
        <is>
          <t>Bot tarafindan tespit edildi (2026-07-01)</t>
        </is>
      </c>
    </row>
    <row r="914">
      <c r="A914" t="inlineStr">
        <is>
          <t>T-0718</t>
        </is>
      </c>
      <c r="B914" t="inlineStr">
        <is>
          <t>Indraprastha Gas (IGL)</t>
        </is>
      </c>
      <c r="C914" t="inlineStr">
        <is>
          <t>Indraprastha Gas (IGL)</t>
        </is>
      </c>
      <c r="F914" t="inlineStr">
        <is>
          <t>New Lead</t>
        </is>
      </c>
      <c r="H914" t="inlineStr">
        <is>
          <t>Corrigendum_1_CP18143.pdf</t>
        </is>
      </c>
      <c r="K914" t="inlineStr">
        <is>
          <t>Not found</t>
        </is>
      </c>
      <c r="L914" t="inlineStr">
        <is>
          <t>Unknown</t>
        </is>
      </c>
      <c r="T914" t="inlineStr">
        <is>
          <t>https://tenders.iglonline.net/uploads/tender/Corrigendum_1_CP18143.pdf</t>
        </is>
      </c>
      <c r="U914" t="inlineStr">
        <is>
          <t>No</t>
        </is>
      </c>
      <c r="V914" t="inlineStr">
        <is>
          <t>Bot tarafindan tespit edildi (2026-07-01)</t>
        </is>
      </c>
    </row>
    <row r="915">
      <c r="A915" t="inlineStr">
        <is>
          <t>T-0719</t>
        </is>
      </c>
      <c r="B915" t="inlineStr">
        <is>
          <t>Indraprastha Gas (IGL)</t>
        </is>
      </c>
      <c r="C915" t="inlineStr">
        <is>
          <t>Indraprastha Gas (IGL)</t>
        </is>
      </c>
      <c r="F915" t="inlineStr">
        <is>
          <t>New Lead</t>
        </is>
      </c>
      <c r="H915" t="inlineStr">
        <is>
          <t>RTBQ_1_CP18143.pdf</t>
        </is>
      </c>
      <c r="K915" t="inlineStr">
        <is>
          <t>Not found</t>
        </is>
      </c>
      <c r="L915" t="inlineStr">
        <is>
          <t>Unknown</t>
        </is>
      </c>
      <c r="T915" t="inlineStr">
        <is>
          <t>https://tenders.iglonline.net/uploads/tender/RTBQ_1_CP18143.pdf</t>
        </is>
      </c>
      <c r="U915" t="inlineStr">
        <is>
          <t>No</t>
        </is>
      </c>
      <c r="V915" t="inlineStr">
        <is>
          <t>Bot tarafindan tespit edildi (2026-07-01)</t>
        </is>
      </c>
    </row>
    <row r="916">
      <c r="A916" t="inlineStr">
        <is>
          <t>T-0720</t>
        </is>
      </c>
      <c r="B916" t="inlineStr">
        <is>
          <t>Indraprastha Gas (IGL)</t>
        </is>
      </c>
      <c r="C916" t="inlineStr">
        <is>
          <t>Indraprastha Gas (IGL)</t>
        </is>
      </c>
      <c r="F916" t="inlineStr">
        <is>
          <t>New Lead</t>
        </is>
      </c>
      <c r="H916" t="inlineStr">
        <is>
          <t>RTBQ_2_CP18143.pdf</t>
        </is>
      </c>
      <c r="K916" t="inlineStr">
        <is>
          <t>Not found</t>
        </is>
      </c>
      <c r="L916" t="inlineStr">
        <is>
          <t>Unknown</t>
        </is>
      </c>
      <c r="T916" t="inlineStr">
        <is>
          <t>https://tenders.iglonline.net/uploads/tender/RTBQ_2_CP18143.pdf</t>
        </is>
      </c>
      <c r="U916" t="inlineStr">
        <is>
          <t>No</t>
        </is>
      </c>
      <c r="V916" t="inlineStr">
        <is>
          <t>Bot tarafindan tespit edildi (2026-07-01)</t>
        </is>
      </c>
    </row>
    <row r="917">
      <c r="A917" t="inlineStr">
        <is>
          <t>T-0721</t>
        </is>
      </c>
      <c r="B917" t="inlineStr">
        <is>
          <t>Indraprastha Gas (IGL)</t>
        </is>
      </c>
      <c r="C917" t="inlineStr">
        <is>
          <t>Indraprastha Gas (IGL)</t>
        </is>
      </c>
      <c r="F917" t="inlineStr">
        <is>
          <t>New Lead</t>
        </is>
      </c>
      <c r="H917" t="inlineStr">
        <is>
          <t>Corrigendum_2_CP18143.pdf</t>
        </is>
      </c>
      <c r="K917" t="inlineStr">
        <is>
          <t>Not found</t>
        </is>
      </c>
      <c r="L917" t="inlineStr">
        <is>
          <t>Unknown</t>
        </is>
      </c>
      <c r="T917" t="inlineStr">
        <is>
          <t>https://tenders.iglonline.net/uploads/tender/Corrigendum_2_CP18143.pdf</t>
        </is>
      </c>
      <c r="U917" t="inlineStr">
        <is>
          <t>No</t>
        </is>
      </c>
      <c r="V917" t="inlineStr">
        <is>
          <t>Bot tarafindan tespit edildi (2026-07-01)</t>
        </is>
      </c>
    </row>
    <row r="918">
      <c r="A918" t="inlineStr">
        <is>
          <t>T-0722</t>
        </is>
      </c>
      <c r="B918" t="inlineStr">
        <is>
          <t>Indraprastha Gas (IGL)</t>
        </is>
      </c>
      <c r="C918" t="inlineStr">
        <is>
          <t>Indraprastha Gas (IGL)</t>
        </is>
      </c>
      <c r="F918" t="inlineStr">
        <is>
          <t>New Lead</t>
        </is>
      </c>
      <c r="H918" t="inlineStr">
        <is>
          <t>View Tender</t>
        </is>
      </c>
      <c r="K918" t="inlineStr">
        <is>
          <t>Not found</t>
        </is>
      </c>
      <c r="L918" t="inlineStr">
        <is>
          <t>Unknown</t>
        </is>
      </c>
      <c r="T918" t="inlineStr">
        <is>
          <t>https://tenders.iglonline.net/tenderDetail/315/Active Tenders And Corrigendum-Addendum</t>
        </is>
      </c>
      <c r="U918" t="inlineStr">
        <is>
          <t>No</t>
        </is>
      </c>
      <c r="V918" t="inlineStr">
        <is>
          <t>Bot tarafindan tespit edildi (2026-07-01)</t>
        </is>
      </c>
    </row>
    <row r="919">
      <c r="A919" t="inlineStr">
        <is>
          <t>T-0723</t>
        </is>
      </c>
      <c r="B919" t="inlineStr">
        <is>
          <t>Indraprastha Gas (IGL)</t>
        </is>
      </c>
      <c r="C919" t="inlineStr">
        <is>
          <t>Indraprastha Gas (IGL)</t>
        </is>
      </c>
      <c r="F919" t="inlineStr">
        <is>
          <t>New Lead</t>
        </is>
      </c>
      <c r="H919" t="inlineStr">
        <is>
          <t>View Tender</t>
        </is>
      </c>
      <c r="K919" t="inlineStr">
        <is>
          <t>Not found</t>
        </is>
      </c>
      <c r="L919" t="inlineStr">
        <is>
          <t>Unknown</t>
        </is>
      </c>
      <c r="T919" t="inlineStr">
        <is>
          <t>https://tenders.iglonline.net/tenderDetail/314/Active Tenders And Corrigendum-Addendum</t>
        </is>
      </c>
      <c r="U919" t="inlineStr">
        <is>
          <t>No</t>
        </is>
      </c>
      <c r="V919" t="inlineStr">
        <is>
          <t>Bot tarafindan tespit edildi (2026-07-01)</t>
        </is>
      </c>
    </row>
    <row r="920">
      <c r="A920" t="inlineStr">
        <is>
          <t>T-0724</t>
        </is>
      </c>
      <c r="B920" t="inlineStr">
        <is>
          <t>Indraprastha Gas (IGL)</t>
        </is>
      </c>
      <c r="C920" t="inlineStr">
        <is>
          <t>Indraprastha Gas (IGL)</t>
        </is>
      </c>
      <c r="F920" t="inlineStr">
        <is>
          <t>New Lead</t>
        </is>
      </c>
      <c r="H920" t="inlineStr">
        <is>
          <t>CORRIGENDUM_I_CM18032.pdf</t>
        </is>
      </c>
      <c r="K920" t="inlineStr">
        <is>
          <t>Not found</t>
        </is>
      </c>
      <c r="L920" t="inlineStr">
        <is>
          <t>Unknown</t>
        </is>
      </c>
      <c r="T920" t="inlineStr">
        <is>
          <t>https://tenders.iglonline.net/uploads/tender/CORRIGENDUM_I_CM18032.pdf</t>
        </is>
      </c>
      <c r="U920" t="inlineStr">
        <is>
          <t>No</t>
        </is>
      </c>
      <c r="V920" t="inlineStr">
        <is>
          <t>Bot tarafindan tespit edildi (2026-07-01)</t>
        </is>
      </c>
    </row>
    <row r="921">
      <c r="A921" t="inlineStr">
        <is>
          <t>T-0725</t>
        </is>
      </c>
      <c r="B921" t="inlineStr">
        <is>
          <t>Indraprastha Gas (IGL)</t>
        </is>
      </c>
      <c r="C921" t="inlineStr">
        <is>
          <t>Indraprastha Gas (IGL)</t>
        </is>
      </c>
      <c r="F921" t="inlineStr">
        <is>
          <t>New Lead</t>
        </is>
      </c>
      <c r="G921" t="inlineStr">
        <is>
          <t>Gas filter station / filter equipment</t>
        </is>
      </c>
      <c r="H921" t="inlineStr">
        <is>
          <t>View Tender</t>
        </is>
      </c>
      <c r="K921" t="inlineStr">
        <is>
          <t>Not found</t>
        </is>
      </c>
      <c r="L921" t="inlineStr">
        <is>
          <t>Unknown</t>
        </is>
      </c>
      <c r="T921" t="inlineStr">
        <is>
          <t>https://tenders.iglonline.net/tenderDetail/313/Active Tenders And Corrigendum-Addendum</t>
        </is>
      </c>
      <c r="U921" t="inlineStr">
        <is>
          <t>No</t>
        </is>
      </c>
      <c r="V921" t="inlineStr">
        <is>
          <t>Bot tarafindan tespit edildi (2026-07-01);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2">
      <c r="A922" t="inlineStr">
        <is>
          <t>T-0726</t>
        </is>
      </c>
      <c r="B922" t="inlineStr">
        <is>
          <t>Indraprastha Gas (IGL)</t>
        </is>
      </c>
      <c r="C922" t="inlineStr">
        <is>
          <t>Indraprastha Gas (IGL)</t>
        </is>
      </c>
      <c r="D922" t="inlineStr">
        <is>
          <t>IGL/ET2/CP/CC17954</t>
        </is>
      </c>
      <c r="F922" t="inlineStr">
        <is>
          <t>New Lead</t>
        </is>
      </c>
      <c r="G922" t="inlineStr">
        <is>
          <t>Gas-related / review</t>
        </is>
      </c>
      <c r="H922" t="inlineStr">
        <is>
          <t>Corrigendum-I_CC17954.pdf</t>
        </is>
      </c>
      <c r="K922" t="inlineStr">
        <is>
          <t>fails to 11.3 Price Reduction will be applicable</t>
        </is>
      </c>
      <c r="L922" t="inlineStr">
        <is>
          <t>Unknown</t>
        </is>
      </c>
      <c r="T922" t="inlineStr">
        <is>
          <t>https://tenders.iglonline.net/uploads/tender/Corrigendum-I_CC17954.pdf</t>
        </is>
      </c>
      <c r="U922" t="inlineStr">
        <is>
          <t>No</t>
        </is>
      </c>
      <c r="V922"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3">
      <c r="A923" t="inlineStr">
        <is>
          <t>T-0727</t>
        </is>
      </c>
      <c r="B923" t="inlineStr">
        <is>
          <t>Indraprastha Gas (IGL)</t>
        </is>
      </c>
      <c r="C923" t="inlineStr">
        <is>
          <t>Indraprastha Gas (IGL)</t>
        </is>
      </c>
      <c r="D923" t="inlineStr">
        <is>
          <t>IGL/ET2/CP/CC17954</t>
        </is>
      </c>
      <c r="F923" t="inlineStr">
        <is>
          <t>New Lead</t>
        </is>
      </c>
      <c r="G923" t="inlineStr">
        <is>
          <t>Gas-related / review</t>
        </is>
      </c>
      <c r="H923" t="inlineStr">
        <is>
          <t>Corrigendum-II__CC17954.pdf</t>
        </is>
      </c>
      <c r="K923" t="inlineStr">
        <is>
          <t>Not found</t>
        </is>
      </c>
      <c r="L923" t="inlineStr">
        <is>
          <t>Unknown</t>
        </is>
      </c>
      <c r="T923" t="inlineStr">
        <is>
          <t>https://tenders.iglonline.net/uploads/tender/Corrigendum-II__CC17954.pdf</t>
        </is>
      </c>
      <c r="U923" t="inlineStr">
        <is>
          <t>No</t>
        </is>
      </c>
      <c r="V923"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4">
      <c r="A924" t="inlineStr">
        <is>
          <t>T-0728</t>
        </is>
      </c>
      <c r="B924" t="inlineStr">
        <is>
          <t>Indraprastha Gas (IGL)</t>
        </is>
      </c>
      <c r="C924" t="inlineStr">
        <is>
          <t>Indraprastha Gas (IGL)</t>
        </is>
      </c>
      <c r="F924" t="inlineStr">
        <is>
          <t>New Lead</t>
        </is>
      </c>
      <c r="G924" t="inlineStr">
        <is>
          <t>Gas-related / review</t>
        </is>
      </c>
      <c r="H924" t="inlineStr">
        <is>
          <t>RTBQ_CC17954_I.pdf</t>
        </is>
      </c>
      <c r="K924" t="inlineStr">
        <is>
          <t>Not found</t>
        </is>
      </c>
      <c r="L924" t="inlineStr">
        <is>
          <t>Unknown</t>
        </is>
      </c>
      <c r="T924" t="inlineStr">
        <is>
          <t>https://tenders.iglonline.net/uploads/tender/RTBQ_CC17954_I.pdf</t>
        </is>
      </c>
      <c r="U924" t="inlineStr">
        <is>
          <t>No</t>
        </is>
      </c>
      <c r="V924"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5">
      <c r="A925" t="inlineStr">
        <is>
          <t>T-0729</t>
        </is>
      </c>
      <c r="B925" t="inlineStr">
        <is>
          <t>Indraprastha Gas (IGL)</t>
        </is>
      </c>
      <c r="C925" t="inlineStr">
        <is>
          <t>Indraprastha Gas (IGL)</t>
        </is>
      </c>
      <c r="F925" t="inlineStr">
        <is>
          <t>New Lead</t>
        </is>
      </c>
      <c r="H925" t="inlineStr">
        <is>
          <t>View Tender</t>
        </is>
      </c>
      <c r="K925" t="inlineStr">
        <is>
          <t>Not found</t>
        </is>
      </c>
      <c r="L925" t="inlineStr">
        <is>
          <t>Unknown</t>
        </is>
      </c>
      <c r="T925" t="inlineStr">
        <is>
          <t>https://tenders.iglonline.net/tenderDetail/312/Active Tenders And Corrigendum-Addendum</t>
        </is>
      </c>
      <c r="U925" t="inlineStr">
        <is>
          <t>No</t>
        </is>
      </c>
      <c r="V925" t="inlineStr">
        <is>
          <t>Bot tarafindan tespit edildi (2026-07-01)</t>
        </is>
      </c>
    </row>
    <row r="926">
      <c r="A926" t="inlineStr">
        <is>
          <t>T-0730</t>
        </is>
      </c>
      <c r="B926" t="inlineStr">
        <is>
          <t>Indraprastha Gas (IGL)</t>
        </is>
      </c>
      <c r="C926" t="inlineStr">
        <is>
          <t>Indraprastha Gas (IGL)</t>
        </is>
      </c>
      <c r="F926" t="inlineStr">
        <is>
          <t>New Lead</t>
        </is>
      </c>
      <c r="H926" t="inlineStr">
        <is>
          <t>Reply_to_Pre_Bid_Queries_CC18103.pdf</t>
        </is>
      </c>
      <c r="K926" t="inlineStr">
        <is>
          <t>Not found</t>
        </is>
      </c>
      <c r="L926" t="inlineStr">
        <is>
          <t>Unknown</t>
        </is>
      </c>
      <c r="T926" t="inlineStr">
        <is>
          <t>https://tenders.iglonline.net/uploads/tender/Reply_to_Pre_Bid_Queries_CC18103.pdf</t>
        </is>
      </c>
      <c r="U926" t="inlineStr">
        <is>
          <t>No</t>
        </is>
      </c>
      <c r="V926" t="inlineStr">
        <is>
          <t>Bot tarafindan tespit edildi (2026-07-01)</t>
        </is>
      </c>
    </row>
    <row r="927">
      <c r="A927" t="inlineStr">
        <is>
          <t>T-0731</t>
        </is>
      </c>
      <c r="B927" t="inlineStr">
        <is>
          <t>Indraprastha Gas (IGL)</t>
        </is>
      </c>
      <c r="C927" t="inlineStr">
        <is>
          <t>Indraprastha Gas (IGL)</t>
        </is>
      </c>
      <c r="F927" t="inlineStr">
        <is>
          <t>New Lead</t>
        </is>
      </c>
      <c r="H927" t="inlineStr">
        <is>
          <t>Corrigendum_I_CC18103.pdf</t>
        </is>
      </c>
      <c r="K927" t="inlineStr">
        <is>
          <t>Not found</t>
        </is>
      </c>
      <c r="L927" t="inlineStr">
        <is>
          <t>Unknown</t>
        </is>
      </c>
      <c r="T927" t="inlineStr">
        <is>
          <t>https://tenders.iglonline.net/uploads/tender/Corrigendum_I_CC18103.pdf</t>
        </is>
      </c>
      <c r="U927" t="inlineStr">
        <is>
          <t>No</t>
        </is>
      </c>
      <c r="V927" t="inlineStr">
        <is>
          <t>Bot tarafindan tespit edildi (2026-07-01)</t>
        </is>
      </c>
    </row>
    <row r="928">
      <c r="A928" t="inlineStr">
        <is>
          <t>T-0732</t>
        </is>
      </c>
      <c r="B928" t="inlineStr">
        <is>
          <t>Indraprastha Gas (IGL)</t>
        </is>
      </c>
      <c r="C928" t="inlineStr">
        <is>
          <t>Indraprastha Gas (IGL)</t>
        </is>
      </c>
      <c r="F928" t="inlineStr">
        <is>
          <t>New Lead</t>
        </is>
      </c>
      <c r="H928" t="inlineStr">
        <is>
          <t>CORRIGENDUM_II_18103.pdf</t>
        </is>
      </c>
      <c r="K928" t="inlineStr">
        <is>
          <t>Not found</t>
        </is>
      </c>
      <c r="L928" t="inlineStr">
        <is>
          <t>Unknown</t>
        </is>
      </c>
      <c r="T928" t="inlineStr">
        <is>
          <t>https://tenders.iglonline.net/uploads/tender/CORRIGENDUM_II_18103.pdf</t>
        </is>
      </c>
      <c r="U928" t="inlineStr">
        <is>
          <t>No</t>
        </is>
      </c>
      <c r="V928" t="inlineStr">
        <is>
          <t>Bot tarafindan tespit edildi (2026-07-01)</t>
        </is>
      </c>
    </row>
    <row r="929">
      <c r="A929" t="inlineStr">
        <is>
          <t>T-0733</t>
        </is>
      </c>
      <c r="B929" t="inlineStr">
        <is>
          <t>Indraprastha Gas (IGL)</t>
        </is>
      </c>
      <c r="C929" t="inlineStr">
        <is>
          <t>Indraprastha Gas (IGL)</t>
        </is>
      </c>
      <c r="F929" t="inlineStr">
        <is>
          <t>New Lead</t>
        </is>
      </c>
      <c r="H929" t="inlineStr">
        <is>
          <t>View Tender</t>
        </is>
      </c>
      <c r="K929" t="inlineStr">
        <is>
          <t>Not found</t>
        </is>
      </c>
      <c r="L929" t="inlineStr">
        <is>
          <t>Unknown</t>
        </is>
      </c>
      <c r="T929" t="inlineStr">
        <is>
          <t>https://tenders.iglonline.net/tenderDetail/311/Active Tenders And Corrigendum-Addendum</t>
        </is>
      </c>
      <c r="U929" t="inlineStr">
        <is>
          <t>No</t>
        </is>
      </c>
      <c r="V929" t="inlineStr">
        <is>
          <t>Bot tarafindan tespit edildi (2026-07-01)</t>
        </is>
      </c>
    </row>
    <row r="930">
      <c r="A930" t="inlineStr">
        <is>
          <t>T-0734</t>
        </is>
      </c>
      <c r="B930" t="inlineStr">
        <is>
          <t>Indraprastha Gas (IGL)</t>
        </is>
      </c>
      <c r="C930" t="inlineStr">
        <is>
          <t>Indraprastha Gas (IGL)</t>
        </is>
      </c>
      <c r="F930" t="inlineStr">
        <is>
          <t>New Lead</t>
        </is>
      </c>
      <c r="H930" t="inlineStr">
        <is>
          <t>Corrigendum_-1.pdf</t>
        </is>
      </c>
      <c r="K930" t="inlineStr">
        <is>
          <t>Not found</t>
        </is>
      </c>
      <c r="L930" t="inlineStr">
        <is>
          <t>Unknown</t>
        </is>
      </c>
      <c r="T930" t="inlineStr">
        <is>
          <t>https://tenders.iglonline.net/uploads/tender/Corrigendum_-1.pdf</t>
        </is>
      </c>
      <c r="U930" t="inlineStr">
        <is>
          <t>No</t>
        </is>
      </c>
      <c r="V930" t="inlineStr">
        <is>
          <t>Bot tarafindan tespit edildi (2026-07-01)</t>
        </is>
      </c>
    </row>
    <row r="931">
      <c r="A931" t="inlineStr">
        <is>
          <t>T-0735</t>
        </is>
      </c>
      <c r="B931" t="inlineStr">
        <is>
          <t>Indraprastha Gas (IGL)</t>
        </is>
      </c>
      <c r="C931" t="inlineStr">
        <is>
          <t>Indraprastha Gas (IGL)</t>
        </is>
      </c>
      <c r="F931" t="inlineStr">
        <is>
          <t>New Lead</t>
        </is>
      </c>
      <c r="H931" t="inlineStr">
        <is>
          <t>Corrigendum-2.pdf</t>
        </is>
      </c>
      <c r="K931" t="inlineStr">
        <is>
          <t>Not found</t>
        </is>
      </c>
      <c r="L931" t="inlineStr">
        <is>
          <t>Unknown</t>
        </is>
      </c>
      <c r="T931" t="inlineStr">
        <is>
          <t>https://tenders.iglonline.net/uploads/tender/Corrigendum-2.pdf</t>
        </is>
      </c>
      <c r="U931" t="inlineStr">
        <is>
          <t>No</t>
        </is>
      </c>
      <c r="V931" t="inlineStr">
        <is>
          <t>Bot tarafindan tespit edildi (2026-07-01)</t>
        </is>
      </c>
    </row>
    <row r="932">
      <c r="A932" t="inlineStr">
        <is>
          <t>T-0736</t>
        </is>
      </c>
      <c r="B932" t="inlineStr">
        <is>
          <t>Indraprastha Gas (IGL)</t>
        </is>
      </c>
      <c r="C932" t="inlineStr">
        <is>
          <t>Indraprastha Gas (IGL)</t>
        </is>
      </c>
      <c r="F932" t="inlineStr">
        <is>
          <t>New Lead</t>
        </is>
      </c>
      <c r="H932" t="inlineStr">
        <is>
          <t>Corrigendum_37.pdf</t>
        </is>
      </c>
      <c r="K932" t="inlineStr">
        <is>
          <t>Not found</t>
        </is>
      </c>
      <c r="L932" t="inlineStr">
        <is>
          <t>Unknown</t>
        </is>
      </c>
      <c r="T932" t="inlineStr">
        <is>
          <t>https://tenders.iglonline.net/uploads/tender/Corrigendum_37.pdf</t>
        </is>
      </c>
      <c r="U932" t="inlineStr">
        <is>
          <t>No</t>
        </is>
      </c>
      <c r="V932" t="inlineStr">
        <is>
          <t>Bot tarafindan tespit edildi (2026-07-01)</t>
        </is>
      </c>
    </row>
    <row r="933">
      <c r="A933" t="inlineStr">
        <is>
          <t>T-0737</t>
        </is>
      </c>
      <c r="B933" t="inlineStr">
        <is>
          <t>Indraprastha Gas (IGL)</t>
        </is>
      </c>
      <c r="C933" t="inlineStr">
        <is>
          <t>Indraprastha Gas (IGL)</t>
        </is>
      </c>
      <c r="F933" t="inlineStr">
        <is>
          <t>New Lead</t>
        </is>
      </c>
      <c r="H933" t="inlineStr">
        <is>
          <t>View Tender</t>
        </is>
      </c>
      <c r="K933" t="inlineStr">
        <is>
          <t>Not found</t>
        </is>
      </c>
      <c r="L933" t="inlineStr">
        <is>
          <t>Unknown</t>
        </is>
      </c>
      <c r="T933" t="inlineStr">
        <is>
          <t>https://tenders.iglonline.net/tenderDetail/310/Active Tenders And Corrigendum-Addendum</t>
        </is>
      </c>
      <c r="U933" t="inlineStr">
        <is>
          <t>No</t>
        </is>
      </c>
      <c r="V933" t="inlineStr">
        <is>
          <t>Bot tarafindan tespit edildi (2026-07-01)</t>
        </is>
      </c>
    </row>
    <row r="934">
      <c r="A934" t="inlineStr">
        <is>
          <t>T-0738</t>
        </is>
      </c>
      <c r="B934" t="inlineStr">
        <is>
          <t>Indraprastha Gas (IGL)</t>
        </is>
      </c>
      <c r="C934" t="inlineStr">
        <is>
          <t>Indraprastha Gas (IGL)</t>
        </is>
      </c>
      <c r="F934" t="inlineStr">
        <is>
          <t>New Lead</t>
        </is>
      </c>
      <c r="H934" t="inlineStr">
        <is>
          <t>RTPBQ_CM18147.pdf</t>
        </is>
      </c>
      <c r="K934" t="inlineStr">
        <is>
          <t>Not found</t>
        </is>
      </c>
      <c r="L934" t="inlineStr">
        <is>
          <t>Unknown</t>
        </is>
      </c>
      <c r="T934" t="inlineStr">
        <is>
          <t>https://tenders.iglonline.net/uploads/tender/RTPBQ_CM18147.pdf</t>
        </is>
      </c>
      <c r="U934" t="inlineStr">
        <is>
          <t>No</t>
        </is>
      </c>
      <c r="V934" t="inlineStr">
        <is>
          <t>Bot tarafindan tespit edildi (2026-07-01)</t>
        </is>
      </c>
    </row>
    <row r="935">
      <c r="A935" t="inlineStr">
        <is>
          <t>T-0739</t>
        </is>
      </c>
      <c r="B935" t="inlineStr">
        <is>
          <t>Indraprastha Gas (IGL)</t>
        </is>
      </c>
      <c r="C935" t="inlineStr">
        <is>
          <t>Indraprastha Gas (IGL)</t>
        </is>
      </c>
      <c r="F935" t="inlineStr">
        <is>
          <t>New Lead</t>
        </is>
      </c>
      <c r="H935" t="inlineStr">
        <is>
          <t>Corrigendum_1_Amendment.pdf</t>
        </is>
      </c>
      <c r="K935" t="inlineStr">
        <is>
          <t>Not found</t>
        </is>
      </c>
      <c r="L935" t="inlineStr">
        <is>
          <t>Unknown</t>
        </is>
      </c>
      <c r="T935" t="inlineStr">
        <is>
          <t>https://tenders.iglonline.net/uploads/tender/Corrigendum_1_Amendment.pdf</t>
        </is>
      </c>
      <c r="U935" t="inlineStr">
        <is>
          <t>No</t>
        </is>
      </c>
      <c r="V935" t="inlineStr">
        <is>
          <t>Bot tarafindan tespit edildi (2026-07-01)</t>
        </is>
      </c>
    </row>
    <row r="936">
      <c r="A936" t="inlineStr">
        <is>
          <t>T-0740</t>
        </is>
      </c>
      <c r="B936" t="inlineStr">
        <is>
          <t>Indraprastha Gas (IGL)</t>
        </is>
      </c>
      <c r="C936" t="inlineStr">
        <is>
          <t>Indraprastha Gas (IGL)</t>
        </is>
      </c>
      <c r="F936" t="inlineStr">
        <is>
          <t>New Lead</t>
        </is>
      </c>
      <c r="H936" t="inlineStr">
        <is>
          <t>Corrigendum_26.pdf</t>
        </is>
      </c>
      <c r="K936" t="inlineStr">
        <is>
          <t>Not found</t>
        </is>
      </c>
      <c r="L936" t="inlineStr">
        <is>
          <t>Unknown</t>
        </is>
      </c>
      <c r="T936" t="inlineStr">
        <is>
          <t>https://tenders.iglonline.net/uploads/tender/Corrigendum_26.pdf</t>
        </is>
      </c>
      <c r="U936" t="inlineStr">
        <is>
          <t>No</t>
        </is>
      </c>
      <c r="V936" t="inlineStr">
        <is>
          <t>Bot tarafindan tespit edildi (2026-07-01)</t>
        </is>
      </c>
    </row>
    <row r="937">
      <c r="A937" t="inlineStr">
        <is>
          <t>T-0741</t>
        </is>
      </c>
      <c r="B937" t="inlineStr">
        <is>
          <t>Indraprastha Gas (IGL)</t>
        </is>
      </c>
      <c r="C937" t="inlineStr">
        <is>
          <t>Indraprastha Gas (IGL)</t>
        </is>
      </c>
      <c r="F937" t="inlineStr">
        <is>
          <t>New Lead</t>
        </is>
      </c>
      <c r="H937" t="inlineStr">
        <is>
          <t>View Tender</t>
        </is>
      </c>
      <c r="K937" t="inlineStr">
        <is>
          <t>Not found</t>
        </is>
      </c>
      <c r="L937" t="inlineStr">
        <is>
          <t>Unknown</t>
        </is>
      </c>
      <c r="T937" t="inlineStr">
        <is>
          <t>https://tenders.iglonline.net/tenderDetail/309/Active Tenders And Corrigendum-Addendum</t>
        </is>
      </c>
      <c r="U937" t="inlineStr">
        <is>
          <t>No</t>
        </is>
      </c>
      <c r="V937" t="inlineStr">
        <is>
          <t>Bot tarafindan tespit edildi (2026-07-01)</t>
        </is>
      </c>
    </row>
    <row r="938">
      <c r="A938" t="inlineStr">
        <is>
          <t>T-0742</t>
        </is>
      </c>
      <c r="B938" t="inlineStr">
        <is>
          <t>Indraprastha Gas (IGL)</t>
        </is>
      </c>
      <c r="C938" t="inlineStr">
        <is>
          <t>Indraprastha Gas (IGL)</t>
        </is>
      </c>
      <c r="F938" t="inlineStr">
        <is>
          <t>New Lead</t>
        </is>
      </c>
      <c r="H938" t="inlineStr">
        <is>
          <t>View Tender</t>
        </is>
      </c>
      <c r="K938" t="inlineStr">
        <is>
          <t>Not found</t>
        </is>
      </c>
      <c r="L938" t="inlineStr">
        <is>
          <t>Unknown</t>
        </is>
      </c>
      <c r="T938" t="inlineStr">
        <is>
          <t>https://tenders.iglonline.net/tenderDetail/308/Active Tenders And Corrigendum-Addendum</t>
        </is>
      </c>
      <c r="U938" t="inlineStr">
        <is>
          <t>No</t>
        </is>
      </c>
      <c r="V938" t="inlineStr">
        <is>
          <t>Bot tarafindan tespit edildi (2026-07-01)</t>
        </is>
      </c>
    </row>
    <row r="939">
      <c r="A939" t="inlineStr">
        <is>
          <t>T-0743</t>
        </is>
      </c>
      <c r="B939" t="inlineStr">
        <is>
          <t>Indraprastha Gas (IGL)</t>
        </is>
      </c>
      <c r="C939" t="inlineStr">
        <is>
          <t>Indraprastha Gas (IGL)</t>
        </is>
      </c>
      <c r="F939" t="inlineStr">
        <is>
          <t>New Lead</t>
        </is>
      </c>
      <c r="H939" t="inlineStr">
        <is>
          <t>Corrigendum-I_CC18009.pdf</t>
        </is>
      </c>
      <c r="K939" t="inlineStr">
        <is>
          <t>Not found</t>
        </is>
      </c>
      <c r="L939" t="inlineStr">
        <is>
          <t>Unknown</t>
        </is>
      </c>
      <c r="T939" t="inlineStr">
        <is>
          <t>https://tenders.iglonline.net/uploads/tender/Corrigendum-I_CC18009.pdf</t>
        </is>
      </c>
      <c r="U939" t="inlineStr">
        <is>
          <t>No</t>
        </is>
      </c>
      <c r="V939" t="inlineStr">
        <is>
          <t>Bot tarafindan tespit edildi (2026-07-01)</t>
        </is>
      </c>
    </row>
    <row r="940">
      <c r="A940" t="inlineStr">
        <is>
          <t>T-0744</t>
        </is>
      </c>
      <c r="B940" t="inlineStr">
        <is>
          <t>Indraprastha Gas (IGL)</t>
        </is>
      </c>
      <c r="C940" t="inlineStr">
        <is>
          <t>Indraprastha Gas (IGL)</t>
        </is>
      </c>
      <c r="F940" t="inlineStr">
        <is>
          <t>New Lead</t>
        </is>
      </c>
      <c r="H940" t="inlineStr">
        <is>
          <t>Corrigendum-II__CC18009.pdf</t>
        </is>
      </c>
      <c r="K940" t="inlineStr">
        <is>
          <t>Not found</t>
        </is>
      </c>
      <c r="L940" t="inlineStr">
        <is>
          <t>Unknown</t>
        </is>
      </c>
      <c r="T940" t="inlineStr">
        <is>
          <t>https://tenders.iglonline.net/uploads/tender/Corrigendum-II__CC18009.pdf</t>
        </is>
      </c>
      <c r="U940" t="inlineStr">
        <is>
          <t>No</t>
        </is>
      </c>
      <c r="V940" t="inlineStr">
        <is>
          <t>Bot tarafindan tespit edildi (2026-07-01)</t>
        </is>
      </c>
    </row>
    <row r="941">
      <c r="A941" t="inlineStr">
        <is>
          <t>T-0745</t>
        </is>
      </c>
      <c r="B941" t="inlineStr">
        <is>
          <t>Indraprastha Gas (IGL)</t>
        </is>
      </c>
      <c r="C941" t="inlineStr">
        <is>
          <t>Indraprastha Gas (IGL)</t>
        </is>
      </c>
      <c r="F941" t="inlineStr">
        <is>
          <t>New Lead</t>
        </is>
      </c>
      <c r="H941" t="inlineStr">
        <is>
          <t>Corrigendum_for_Cancellation_CC18009.pdf</t>
        </is>
      </c>
      <c r="K941" t="inlineStr">
        <is>
          <t>Not found</t>
        </is>
      </c>
      <c r="L941" t="inlineStr">
        <is>
          <t>Unknown</t>
        </is>
      </c>
      <c r="T941" t="inlineStr">
        <is>
          <t>https://tenders.iglonline.net/uploads/tender/Corrigendum_for_Cancellation_CC18009.pdf</t>
        </is>
      </c>
      <c r="U941" t="inlineStr">
        <is>
          <t>No</t>
        </is>
      </c>
      <c r="V941" t="inlineStr">
        <is>
          <t>Bot tarafindan tespit edildi (2026-07-01)</t>
        </is>
      </c>
    </row>
    <row r="942">
      <c r="A942" t="inlineStr">
        <is>
          <t>T-0746</t>
        </is>
      </c>
      <c r="B942" t="inlineStr">
        <is>
          <t>Indraprastha Gas (IGL)</t>
        </is>
      </c>
      <c r="C942" t="inlineStr">
        <is>
          <t>Indraprastha Gas (IGL)</t>
        </is>
      </c>
      <c r="F942" t="inlineStr">
        <is>
          <t>New Lead</t>
        </is>
      </c>
      <c r="H942" t="inlineStr">
        <is>
          <t>View Tender</t>
        </is>
      </c>
      <c r="K942" t="inlineStr">
        <is>
          <t>Not found</t>
        </is>
      </c>
      <c r="L942" t="inlineStr">
        <is>
          <t>Unknown</t>
        </is>
      </c>
      <c r="T942" t="inlineStr">
        <is>
          <t>https://tenders.iglonline.net/tenderDetail/307/Active Tenders And Corrigendum-Addendum</t>
        </is>
      </c>
      <c r="U942" t="inlineStr">
        <is>
          <t>No</t>
        </is>
      </c>
      <c r="V942" t="inlineStr">
        <is>
          <t>Bot tarafindan tespit edildi (2026-07-01)</t>
        </is>
      </c>
    </row>
    <row r="943">
      <c r="A943" t="inlineStr">
        <is>
          <t>T-0747</t>
        </is>
      </c>
      <c r="B943" t="inlineStr">
        <is>
          <t>Indraprastha Gas (IGL)</t>
        </is>
      </c>
      <c r="C943" t="inlineStr">
        <is>
          <t>Indraprastha Gas (IGL)</t>
        </is>
      </c>
      <c r="F943" t="inlineStr">
        <is>
          <t>New Lead</t>
        </is>
      </c>
      <c r="H943" t="inlineStr">
        <is>
          <t>Corrigendum-I_CC18063.pdf</t>
        </is>
      </c>
      <c r="K943" t="inlineStr">
        <is>
          <t>Not found</t>
        </is>
      </c>
      <c r="L943" t="inlineStr">
        <is>
          <t>Unknown</t>
        </is>
      </c>
      <c r="T943" t="inlineStr">
        <is>
          <t>https://tenders.iglonline.net/uploads/tender/Corrigendum-I_CC18063.pdf</t>
        </is>
      </c>
      <c r="U943" t="inlineStr">
        <is>
          <t>No</t>
        </is>
      </c>
      <c r="V943" t="inlineStr">
        <is>
          <t>Bot tarafindan tespit edildi (2026-07-01)</t>
        </is>
      </c>
    </row>
    <row r="944">
      <c r="A944" t="inlineStr">
        <is>
          <t>T-0748</t>
        </is>
      </c>
      <c r="B944" t="inlineStr">
        <is>
          <t>Indraprastha Gas (IGL)</t>
        </is>
      </c>
      <c r="C944" t="inlineStr">
        <is>
          <t>Indraprastha Gas (IGL)</t>
        </is>
      </c>
      <c r="F944" t="inlineStr">
        <is>
          <t>New Lead</t>
        </is>
      </c>
      <c r="H944" t="inlineStr">
        <is>
          <t>Corrigendum-II__CC18063.pdf</t>
        </is>
      </c>
      <c r="K944" t="inlineStr">
        <is>
          <t>Not found</t>
        </is>
      </c>
      <c r="L944" t="inlineStr">
        <is>
          <t>Unknown</t>
        </is>
      </c>
      <c r="T944" t="inlineStr">
        <is>
          <t>https://tenders.iglonline.net/uploads/tender/Corrigendum-II__CC18063.pdf</t>
        </is>
      </c>
      <c r="U944" t="inlineStr">
        <is>
          <t>No</t>
        </is>
      </c>
      <c r="V944" t="inlineStr">
        <is>
          <t>Bot tarafindan tespit edildi (2026-07-01)</t>
        </is>
      </c>
    </row>
    <row r="945">
      <c r="A945" t="inlineStr">
        <is>
          <t>T-0749</t>
        </is>
      </c>
      <c r="B945" t="inlineStr">
        <is>
          <t>Indraprastha Gas (IGL)</t>
        </is>
      </c>
      <c r="C945" t="inlineStr">
        <is>
          <t>Indraprastha Gas (IGL)</t>
        </is>
      </c>
      <c r="F945" t="inlineStr">
        <is>
          <t>New Lead</t>
        </is>
      </c>
      <c r="H945" t="inlineStr">
        <is>
          <t>View Tender</t>
        </is>
      </c>
      <c r="K945" t="inlineStr">
        <is>
          <t>Not found</t>
        </is>
      </c>
      <c r="L945" t="inlineStr">
        <is>
          <t>Unknown</t>
        </is>
      </c>
      <c r="T945" t="inlineStr">
        <is>
          <t>https://tenders.iglonline.net/tenderDetail/306/Active Tenders And Corrigendum-Addendum</t>
        </is>
      </c>
      <c r="U945" t="inlineStr">
        <is>
          <t>No</t>
        </is>
      </c>
      <c r="V945" t="inlineStr">
        <is>
          <t>Bot tarafindan tespit edildi (2026-07-01)</t>
        </is>
      </c>
    </row>
    <row r="946">
      <c r="A946" t="inlineStr">
        <is>
          <t>T-0750</t>
        </is>
      </c>
      <c r="B946" t="inlineStr">
        <is>
          <t>Indraprastha Gas (IGL)</t>
        </is>
      </c>
      <c r="C946" t="inlineStr">
        <is>
          <t>Indraprastha Gas (IGL)</t>
        </is>
      </c>
      <c r="D946" t="inlineStr">
        <is>
          <t>oring</t>
        </is>
      </c>
      <c r="F946" t="inlineStr">
        <is>
          <t>New Lead</t>
        </is>
      </c>
      <c r="G946" t="inlineStr">
        <is>
          <t>Unclassified</t>
        </is>
      </c>
      <c r="H946" t="inlineStr">
        <is>
          <t>CORRIGENDUM_1_CC18091.pdf</t>
        </is>
      </c>
      <c r="K946" t="inlineStr">
        <is>
          <t>Not found</t>
        </is>
      </c>
      <c r="L946" t="inlineStr">
        <is>
          <t>Unknown</t>
        </is>
      </c>
      <c r="T946" t="inlineStr">
        <is>
          <t>https://tenders.iglonline.net/uploads/tender/CORRIGENDUM_1_CC18091.pdf</t>
        </is>
      </c>
      <c r="U946" t="inlineStr">
        <is>
          <t>No</t>
        </is>
      </c>
      <c r="V946" t="inlineStr">
        <is>
          <t>Bot tarafindan tespit edildi (2026-07-01); Bot tespit/zenginlestirme (2026-07-01); meta:score=35;priority=Low;source_type=html_table;closing_date=;equipment=Unclassified;reasons=document source,tender reference signal</t>
        </is>
      </c>
    </row>
    <row r="947">
      <c r="A947" t="inlineStr">
        <is>
          <t>T-0751</t>
        </is>
      </c>
      <c r="B947" t="inlineStr">
        <is>
          <t>Indraprastha Gas (IGL)</t>
        </is>
      </c>
      <c r="C947" t="inlineStr">
        <is>
          <t>Indraprastha Gas (IGL)</t>
        </is>
      </c>
      <c r="F947" t="inlineStr">
        <is>
          <t>New Lead</t>
        </is>
      </c>
      <c r="H947" t="inlineStr">
        <is>
          <t>View Tender</t>
        </is>
      </c>
      <c r="K947" t="inlineStr">
        <is>
          <t>Not found</t>
        </is>
      </c>
      <c r="L947" t="inlineStr">
        <is>
          <t>Unknown</t>
        </is>
      </c>
      <c r="T947" t="inlineStr">
        <is>
          <t>https://tenders.iglonline.net/tenderDetail/305/Active Tenders And Corrigendum-Addendum</t>
        </is>
      </c>
      <c r="U947" t="inlineStr">
        <is>
          <t>No</t>
        </is>
      </c>
      <c r="V947" t="inlineStr">
        <is>
          <t>Bot tarafindan tespit edildi (2026-07-01)</t>
        </is>
      </c>
    </row>
    <row r="948">
      <c r="A948" t="inlineStr">
        <is>
          <t>T-0752</t>
        </is>
      </c>
      <c r="B948" t="inlineStr">
        <is>
          <t>Indraprastha Gas (IGL)</t>
        </is>
      </c>
      <c r="C948" t="inlineStr">
        <is>
          <t>Indraprastha Gas (IGL)</t>
        </is>
      </c>
      <c r="F948" t="inlineStr">
        <is>
          <t>New Lead</t>
        </is>
      </c>
      <c r="G948" t="inlineStr">
        <is>
          <t>Gas-related / review</t>
        </is>
      </c>
      <c r="H948" t="inlineStr">
        <is>
          <t>CP18074_RTBQ_1.pdf</t>
        </is>
      </c>
      <c r="K948" t="inlineStr">
        <is>
          <t>Not found</t>
        </is>
      </c>
      <c r="L948" t="inlineStr">
        <is>
          <t>Unknown</t>
        </is>
      </c>
      <c r="T948" t="inlineStr">
        <is>
          <t>https://tenders.iglonline.net/uploads/tender/CP18074_RTBQ_1.pdf</t>
        </is>
      </c>
      <c r="U948" t="inlineStr">
        <is>
          <t>No</t>
        </is>
      </c>
      <c r="V948" t="inlineStr">
        <is>
          <t>Bot tarafindan tespit edildi (2026-07-01); Bot tespit/zenginlestirme (2026-07-01); meta:score=35;priority=Low;source_type=html_table;closing_date=;equipment=Gas-related / review;reasons=equipment:Gas-related / review,document source</t>
        </is>
      </c>
    </row>
    <row r="949">
      <c r="A949" t="inlineStr">
        <is>
          <t>T-0753</t>
        </is>
      </c>
      <c r="B949" t="inlineStr">
        <is>
          <t>Indraprastha Gas (IGL)</t>
        </is>
      </c>
      <c r="C949" t="inlineStr">
        <is>
          <t>Indraprastha Gas (IGL)</t>
        </is>
      </c>
      <c r="F949" t="inlineStr">
        <is>
          <t>New Lead</t>
        </is>
      </c>
      <c r="G949" t="inlineStr">
        <is>
          <t>Gas-related / review</t>
        </is>
      </c>
      <c r="H949" t="inlineStr">
        <is>
          <t>CP18074_RTBQ_2.pdf</t>
        </is>
      </c>
      <c r="K949" t="inlineStr">
        <is>
          <t>Not found</t>
        </is>
      </c>
      <c r="L949" t="inlineStr">
        <is>
          <t>Unknown</t>
        </is>
      </c>
      <c r="T949" t="inlineStr">
        <is>
          <t>https://tenders.iglonline.net/uploads/tender/CP18074_RTBQ_2.pdf</t>
        </is>
      </c>
      <c r="U949" t="inlineStr">
        <is>
          <t>No</t>
        </is>
      </c>
      <c r="V949" t="inlineStr">
        <is>
          <t>Bot tarafindan tespit edildi (2026-07-01); Bot tespit/zenginlestirme (2026-07-01); meta:score=35;priority=Low;source_type=html_table;closing_date=;equipment=Gas-related / review;reasons=equipment:Gas-related / review,document source</t>
        </is>
      </c>
    </row>
    <row r="950">
      <c r="A950" t="inlineStr">
        <is>
          <t>T-0754</t>
        </is>
      </c>
      <c r="B950" t="inlineStr">
        <is>
          <t>Indraprastha Gas (IGL)</t>
        </is>
      </c>
      <c r="C950" t="inlineStr">
        <is>
          <t>Indraprastha Gas (IGL)</t>
        </is>
      </c>
      <c r="F950" t="inlineStr">
        <is>
          <t>New Lead</t>
        </is>
      </c>
      <c r="G950" t="inlineStr">
        <is>
          <t>Gas-related / review</t>
        </is>
      </c>
      <c r="H950" t="inlineStr">
        <is>
          <t>Corrigendum_1_CP18074.pdf</t>
        </is>
      </c>
      <c r="K950" t="inlineStr">
        <is>
          <t>Not found</t>
        </is>
      </c>
      <c r="L950" t="inlineStr">
        <is>
          <t>Unknown</t>
        </is>
      </c>
      <c r="T950" t="inlineStr">
        <is>
          <t>https://tenders.iglonline.net/uploads/tender/Corrigendum_1_CP18074.pdf</t>
        </is>
      </c>
      <c r="U950" t="inlineStr">
        <is>
          <t>No</t>
        </is>
      </c>
      <c r="V950" t="inlineStr">
        <is>
          <t>Bot tarafindan tespit edildi (2026-07-01); Bot tespit/zenginlestirme (2026-07-01); meta:score=35;priority=Low;source_type=html_table;closing_date=;equipment=Gas-related / review;reasons=equipment:Gas-related / review,document source</t>
        </is>
      </c>
    </row>
    <row r="951">
      <c r="A951" t="inlineStr">
        <is>
          <t>T-0755</t>
        </is>
      </c>
      <c r="B951" t="inlineStr">
        <is>
          <t>Indraprastha Gas (IGL)</t>
        </is>
      </c>
      <c r="C951" t="inlineStr">
        <is>
          <t>Indraprastha Gas (IGL)</t>
        </is>
      </c>
      <c r="F951" t="inlineStr">
        <is>
          <t>New Lead</t>
        </is>
      </c>
      <c r="H951" t="inlineStr">
        <is>
          <t>View Tender</t>
        </is>
      </c>
      <c r="K951" t="inlineStr">
        <is>
          <t>Not found</t>
        </is>
      </c>
      <c r="L951" t="inlineStr">
        <is>
          <t>Unknown</t>
        </is>
      </c>
      <c r="T951" t="inlineStr">
        <is>
          <t>https://tenders.iglonline.net/tenderDetail/304/Active Tenders And Corrigendum-Addendum</t>
        </is>
      </c>
      <c r="U951" t="inlineStr">
        <is>
          <t>No</t>
        </is>
      </c>
      <c r="V951" t="inlineStr">
        <is>
          <t>Bot tarafindan tespit edildi (2026-07-01)</t>
        </is>
      </c>
    </row>
    <row r="952">
      <c r="A952" t="inlineStr">
        <is>
          <t>T-0756</t>
        </is>
      </c>
      <c r="B952" t="inlineStr">
        <is>
          <t>Indraprastha Gas (IGL)</t>
        </is>
      </c>
      <c r="C952" t="inlineStr">
        <is>
          <t>Indraprastha Gas (IGL)</t>
        </is>
      </c>
      <c r="F952" t="inlineStr">
        <is>
          <t>New Lead</t>
        </is>
      </c>
      <c r="H952" t="inlineStr">
        <is>
          <t>View Tender</t>
        </is>
      </c>
      <c r="K952" t="inlineStr">
        <is>
          <t>Not found</t>
        </is>
      </c>
      <c r="L952" t="inlineStr">
        <is>
          <t>Unknown</t>
        </is>
      </c>
      <c r="T952" t="inlineStr">
        <is>
          <t>https://tenders.iglonline.net/tenderDetail/303/Active Tenders And Corrigendum-Addendum</t>
        </is>
      </c>
      <c r="U952" t="inlineStr">
        <is>
          <t>No</t>
        </is>
      </c>
      <c r="V952" t="inlineStr">
        <is>
          <t>Bot tarafindan tespit edildi (2026-07-01)</t>
        </is>
      </c>
    </row>
    <row r="953">
      <c r="A953" t="inlineStr">
        <is>
          <t>T-0757</t>
        </is>
      </c>
      <c r="B953" t="inlineStr">
        <is>
          <t>Indraprastha Gas (IGL)</t>
        </is>
      </c>
      <c r="C953" t="inlineStr">
        <is>
          <t>Indraprastha Gas (IGL)</t>
        </is>
      </c>
      <c r="F953" t="inlineStr">
        <is>
          <t>New Lead</t>
        </is>
      </c>
      <c r="H953" t="inlineStr">
        <is>
          <t>View Tender</t>
        </is>
      </c>
      <c r="K953" t="inlineStr">
        <is>
          <t>Not found</t>
        </is>
      </c>
      <c r="L953" t="inlineStr">
        <is>
          <t>Unknown</t>
        </is>
      </c>
      <c r="T953" t="inlineStr">
        <is>
          <t>https://tenders.iglonline.net/tenderDetail/302/Active Tenders And Corrigendum-Addendum</t>
        </is>
      </c>
      <c r="U953" t="inlineStr">
        <is>
          <t>No</t>
        </is>
      </c>
      <c r="V953" t="inlineStr">
        <is>
          <t>Bot tarafindan tespit edildi (2026-07-01)</t>
        </is>
      </c>
    </row>
    <row r="954">
      <c r="A954" t="inlineStr">
        <is>
          <t>T-0758</t>
        </is>
      </c>
      <c r="B954" t="inlineStr">
        <is>
          <t>Indraprastha Gas (IGL)</t>
        </is>
      </c>
      <c r="C954" t="inlineStr">
        <is>
          <t>Indraprastha Gas (IGL)</t>
        </is>
      </c>
      <c r="F954" t="inlineStr">
        <is>
          <t>New Lead</t>
        </is>
      </c>
      <c r="G954" t="inlineStr">
        <is>
          <t>Gas-related / review</t>
        </is>
      </c>
      <c r="H954" t="inlineStr">
        <is>
          <t>Corrigendum_1_CP18120.pdf</t>
        </is>
      </c>
      <c r="K954" t="inlineStr">
        <is>
          <t>Not found</t>
        </is>
      </c>
      <c r="L954" t="inlineStr">
        <is>
          <t>Unknown</t>
        </is>
      </c>
      <c r="T954" t="inlineStr">
        <is>
          <t>https://tenders.iglonline.net/uploads/tender/Corrigendum_1_CP18120.pdf</t>
        </is>
      </c>
      <c r="U954" t="inlineStr">
        <is>
          <t>No</t>
        </is>
      </c>
      <c r="V954" t="inlineStr">
        <is>
          <t>Bot tarafindan tespit edildi (2026-07-01); Bot tespit/zenginlestirme (2026-07-01); meta:score=35;priority=Low;source_type=html_table;closing_date=;equipment=Gas-related / review;reasons=equipment:Gas-related / review,document source</t>
        </is>
      </c>
    </row>
    <row r="955">
      <c r="A955" t="inlineStr">
        <is>
          <t>T-0759</t>
        </is>
      </c>
      <c r="B955" t="inlineStr">
        <is>
          <t>Indraprastha Gas (IGL)</t>
        </is>
      </c>
      <c r="C955" t="inlineStr">
        <is>
          <t>Indraprastha Gas (IGL)</t>
        </is>
      </c>
      <c r="F955" t="inlineStr">
        <is>
          <t>New Lead</t>
        </is>
      </c>
      <c r="G955" t="inlineStr">
        <is>
          <t>Gas-related / review</t>
        </is>
      </c>
      <c r="H955" t="inlineStr">
        <is>
          <t>RTBQ_1_CP18120.pdf</t>
        </is>
      </c>
      <c r="K955" t="inlineStr">
        <is>
          <t>Not found</t>
        </is>
      </c>
      <c r="L955" t="inlineStr">
        <is>
          <t>Unknown</t>
        </is>
      </c>
      <c r="T955" t="inlineStr">
        <is>
          <t>https://tenders.iglonline.net/uploads/tender/RTBQ_1_CP18120.pdf</t>
        </is>
      </c>
      <c r="U955" t="inlineStr">
        <is>
          <t>No</t>
        </is>
      </c>
      <c r="V955" t="inlineStr">
        <is>
          <t>Bot tarafindan tespit edildi (2026-07-01); Bot tespit/zenginlestirme (2026-07-01); meta:score=35;priority=Low;source_type=html_table;closing_date=;equipment=Gas-related / review;reasons=equipment:Gas-related / review,document source</t>
        </is>
      </c>
    </row>
    <row r="956">
      <c r="A956" t="inlineStr">
        <is>
          <t>T-0760</t>
        </is>
      </c>
      <c r="B956" t="inlineStr">
        <is>
          <t>Indraprastha Gas (IGL)</t>
        </is>
      </c>
      <c r="C956" t="inlineStr">
        <is>
          <t>Indraprastha Gas (IGL)</t>
        </is>
      </c>
      <c r="F956" t="inlineStr">
        <is>
          <t>New Lead</t>
        </is>
      </c>
      <c r="G956" t="inlineStr">
        <is>
          <t>Gas-related / review</t>
        </is>
      </c>
      <c r="H956" t="inlineStr">
        <is>
          <t>RTBQ_2_CP18120.pdf</t>
        </is>
      </c>
      <c r="K956" t="inlineStr">
        <is>
          <t>Not found</t>
        </is>
      </c>
      <c r="L956" t="inlineStr">
        <is>
          <t>Unknown</t>
        </is>
      </c>
      <c r="T956" t="inlineStr">
        <is>
          <t>https://tenders.iglonline.net/uploads/tender/RTBQ_2_CP18120.pdf</t>
        </is>
      </c>
      <c r="U956" t="inlineStr">
        <is>
          <t>No</t>
        </is>
      </c>
      <c r="V956" t="inlineStr">
        <is>
          <t>Bot tarafindan tespit edildi (2026-07-01); Bot tespit/zenginlestirme (2026-07-01); meta:score=35;priority=Low;source_type=html_table;closing_date=;equipment=Gas-related / review;reasons=equipment:Gas-related / review,document source</t>
        </is>
      </c>
    </row>
    <row r="957">
      <c r="A957" t="inlineStr">
        <is>
          <t>T-0761</t>
        </is>
      </c>
      <c r="B957" t="inlineStr">
        <is>
          <t>Indraprastha Gas (IGL)</t>
        </is>
      </c>
      <c r="C957" t="inlineStr">
        <is>
          <t>Indraprastha Gas (IGL)</t>
        </is>
      </c>
      <c r="F957" t="inlineStr">
        <is>
          <t>New Lead</t>
        </is>
      </c>
      <c r="G957" t="inlineStr">
        <is>
          <t>Gas-related / review</t>
        </is>
      </c>
      <c r="H957" t="inlineStr">
        <is>
          <t>Corrigendum_2_CP18120.pdf</t>
        </is>
      </c>
      <c r="K957" t="inlineStr">
        <is>
          <t>Not found</t>
        </is>
      </c>
      <c r="L957" t="inlineStr">
        <is>
          <t>Unknown</t>
        </is>
      </c>
      <c r="T957" t="inlineStr">
        <is>
          <t>https://tenders.iglonline.net/uploads/tender/Corrigendum_2_CP18120.pdf</t>
        </is>
      </c>
      <c r="U957" t="inlineStr">
        <is>
          <t>No</t>
        </is>
      </c>
      <c r="V957" t="inlineStr">
        <is>
          <t>Bot tarafindan tespit edildi (2026-07-01); Bot tespit/zenginlestirme (2026-07-01); meta:score=35;priority=Low;source_type=html_table;closing_date=;equipment=Gas-related / review;reasons=equipment:Gas-related / review,document source</t>
        </is>
      </c>
    </row>
    <row r="958">
      <c r="A958" t="inlineStr">
        <is>
          <t>T-0762</t>
        </is>
      </c>
      <c r="B958" t="inlineStr">
        <is>
          <t>Indraprastha Gas (IGL)</t>
        </is>
      </c>
      <c r="C958" t="inlineStr">
        <is>
          <t>Indraprastha Gas (IGL)</t>
        </is>
      </c>
      <c r="F958" t="inlineStr">
        <is>
          <t>New Lead</t>
        </is>
      </c>
      <c r="H958" t="inlineStr">
        <is>
          <t>View Tender</t>
        </is>
      </c>
      <c r="K958" t="inlineStr">
        <is>
          <t>Not found</t>
        </is>
      </c>
      <c r="L958" t="inlineStr">
        <is>
          <t>Unknown</t>
        </is>
      </c>
      <c r="T958" t="inlineStr">
        <is>
          <t>https://tenders.iglonline.net/tenderDetail/301/Active Tenders And Corrigendum-Addendum</t>
        </is>
      </c>
      <c r="U958" t="inlineStr">
        <is>
          <t>No</t>
        </is>
      </c>
      <c r="V958" t="inlineStr">
        <is>
          <t>Bot tarafindan tespit edildi (2026-07-01)</t>
        </is>
      </c>
    </row>
    <row r="959">
      <c r="A959" t="inlineStr">
        <is>
          <t>T-0763</t>
        </is>
      </c>
      <c r="B959" t="inlineStr">
        <is>
          <t>Indraprastha Gas (IGL)</t>
        </is>
      </c>
      <c r="C959" t="inlineStr">
        <is>
          <t>Indraprastha Gas (IGL)</t>
        </is>
      </c>
      <c r="F959" t="inlineStr">
        <is>
          <t>New Lead</t>
        </is>
      </c>
      <c r="H959" t="inlineStr">
        <is>
          <t>RTBQ_CP18113.pdf</t>
        </is>
      </c>
      <c r="K959" t="inlineStr">
        <is>
          <t>Not found</t>
        </is>
      </c>
      <c r="L959" t="inlineStr">
        <is>
          <t>Unknown</t>
        </is>
      </c>
      <c r="T959" t="inlineStr">
        <is>
          <t>https://tenders.iglonline.net/uploads/tender/RTBQ_CP18113.pdf</t>
        </is>
      </c>
      <c r="U959" t="inlineStr">
        <is>
          <t>No</t>
        </is>
      </c>
      <c r="V959" t="inlineStr">
        <is>
          <t>Bot tarafindan tespit edildi (2026-07-01)</t>
        </is>
      </c>
    </row>
    <row r="960">
      <c r="A960" t="inlineStr">
        <is>
          <t>T-0764</t>
        </is>
      </c>
      <c r="B960" t="inlineStr">
        <is>
          <t>Indraprastha Gas (IGL)</t>
        </is>
      </c>
      <c r="C960" t="inlineStr">
        <is>
          <t>Indraprastha Gas (IGL)</t>
        </is>
      </c>
      <c r="F960" t="inlineStr">
        <is>
          <t>New Lead</t>
        </is>
      </c>
      <c r="H960" t="inlineStr">
        <is>
          <t>View Tender</t>
        </is>
      </c>
      <c r="K960" t="inlineStr">
        <is>
          <t>Not found</t>
        </is>
      </c>
      <c r="L960" t="inlineStr">
        <is>
          <t>Unknown</t>
        </is>
      </c>
      <c r="T960" t="inlineStr">
        <is>
          <t>https://tenders.iglonline.net/tenderDetail/300/Active Tenders And Corrigendum-Addendum</t>
        </is>
      </c>
      <c r="U960" t="inlineStr">
        <is>
          <t>No</t>
        </is>
      </c>
      <c r="V960" t="inlineStr">
        <is>
          <t>Bot tarafindan tespit edildi (2026-07-01)</t>
        </is>
      </c>
    </row>
    <row r="961">
      <c r="A961" t="inlineStr">
        <is>
          <t>T-0765</t>
        </is>
      </c>
      <c r="B961" t="inlineStr">
        <is>
          <t>Indraprastha Gas (IGL)</t>
        </is>
      </c>
      <c r="C961" t="inlineStr">
        <is>
          <t>Indraprastha Gas (IGL)</t>
        </is>
      </c>
      <c r="F961" t="inlineStr">
        <is>
          <t>New Lead</t>
        </is>
      </c>
      <c r="H961" t="inlineStr">
        <is>
          <t>Corrigendum-I__CC18109.pdf</t>
        </is>
      </c>
      <c r="K961" t="inlineStr">
        <is>
          <t>Not found</t>
        </is>
      </c>
      <c r="L961" t="inlineStr">
        <is>
          <t>Unknown</t>
        </is>
      </c>
      <c r="T961" t="inlineStr">
        <is>
          <t>https://tenders.iglonline.net/uploads/tender/Corrigendum-I__CC18109.pdf</t>
        </is>
      </c>
      <c r="U961" t="inlineStr">
        <is>
          <t>No</t>
        </is>
      </c>
      <c r="V961" t="inlineStr">
        <is>
          <t>Bot tarafindan tespit edildi (2026-07-01)</t>
        </is>
      </c>
    </row>
    <row r="962">
      <c r="A962" t="inlineStr">
        <is>
          <t>T-0766</t>
        </is>
      </c>
      <c r="B962" t="inlineStr">
        <is>
          <t>Indraprastha Gas (IGL)</t>
        </is>
      </c>
      <c r="C962" t="inlineStr">
        <is>
          <t>Indraprastha Gas (IGL)</t>
        </is>
      </c>
      <c r="F962" t="inlineStr">
        <is>
          <t>New Lead</t>
        </is>
      </c>
      <c r="H962" t="inlineStr">
        <is>
          <t>Corrigendum-II_CC18109.pdf</t>
        </is>
      </c>
      <c r="K962" t="inlineStr">
        <is>
          <t>Not found</t>
        </is>
      </c>
      <c r="L962" t="inlineStr">
        <is>
          <t>Unknown</t>
        </is>
      </c>
      <c r="T962" t="inlineStr">
        <is>
          <t>https://tenders.iglonline.net/uploads/tender/Corrigendum-II_CC18109.pdf</t>
        </is>
      </c>
      <c r="U962" t="inlineStr">
        <is>
          <t>No</t>
        </is>
      </c>
      <c r="V962" t="inlineStr">
        <is>
          <t>Bot tarafindan tespit edildi (2026-07-01)</t>
        </is>
      </c>
    </row>
    <row r="963">
      <c r="A963" t="inlineStr">
        <is>
          <t>T-0767</t>
        </is>
      </c>
      <c r="B963" t="inlineStr">
        <is>
          <t>Indraprastha Gas (IGL)</t>
        </is>
      </c>
      <c r="C963" t="inlineStr">
        <is>
          <t>Indraprastha Gas (IGL)</t>
        </is>
      </c>
      <c r="F963" t="inlineStr">
        <is>
          <t>New Lead</t>
        </is>
      </c>
      <c r="H963" t="inlineStr">
        <is>
          <t>RTBQ_CC18109_merged_Annexures.pdf</t>
        </is>
      </c>
      <c r="K963" t="inlineStr">
        <is>
          <t>Not found</t>
        </is>
      </c>
      <c r="L963" t="inlineStr">
        <is>
          <t>Unknown</t>
        </is>
      </c>
      <c r="T963" t="inlineStr">
        <is>
          <t>https://tenders.iglonline.net/uploads/tender/RTBQ_CC18109_merged_Annexures.pdf</t>
        </is>
      </c>
      <c r="U963" t="inlineStr">
        <is>
          <t>No</t>
        </is>
      </c>
      <c r="V963" t="inlineStr">
        <is>
          <t>Bot tarafindan tespit edildi (2026-07-01)</t>
        </is>
      </c>
    </row>
    <row r="964">
      <c r="A964" t="inlineStr">
        <is>
          <t>T-0768</t>
        </is>
      </c>
      <c r="B964" t="inlineStr">
        <is>
          <t>Indraprastha Gas (IGL)</t>
        </is>
      </c>
      <c r="C964" t="inlineStr">
        <is>
          <t>Indraprastha Gas (IGL)</t>
        </is>
      </c>
      <c r="F964" t="inlineStr">
        <is>
          <t>New Lead</t>
        </is>
      </c>
      <c r="H964" t="inlineStr">
        <is>
          <t>RTBQ_CC18109_II.pdf</t>
        </is>
      </c>
      <c r="K964" t="inlineStr">
        <is>
          <t>Not found</t>
        </is>
      </c>
      <c r="L964" t="inlineStr">
        <is>
          <t>Unknown</t>
        </is>
      </c>
      <c r="T964" t="inlineStr">
        <is>
          <t>https://tenders.iglonline.net/uploads/tender/RTBQ_CC18109_II.pdf</t>
        </is>
      </c>
      <c r="U964" t="inlineStr">
        <is>
          <t>No</t>
        </is>
      </c>
      <c r="V964" t="inlineStr">
        <is>
          <t>Bot tarafindan tespit edildi (2026-07-01)</t>
        </is>
      </c>
    </row>
    <row r="965">
      <c r="A965" t="inlineStr">
        <is>
          <t>T-0769</t>
        </is>
      </c>
      <c r="B965" t="inlineStr">
        <is>
          <t>Indraprastha Gas (IGL)</t>
        </is>
      </c>
      <c r="C965" t="inlineStr">
        <is>
          <t>Indraprastha Gas (IGL)</t>
        </is>
      </c>
      <c r="F965" t="inlineStr">
        <is>
          <t>New Lead</t>
        </is>
      </c>
      <c r="H965" t="inlineStr">
        <is>
          <t>Corrigendum-III_CC18109.pdf</t>
        </is>
      </c>
      <c r="K965" t="inlineStr">
        <is>
          <t>Not found</t>
        </is>
      </c>
      <c r="L965" t="inlineStr">
        <is>
          <t>Unknown</t>
        </is>
      </c>
      <c r="T965" t="inlineStr">
        <is>
          <t>https://tenders.iglonline.net/uploads/tender/Corrigendum-III_CC18109.pdf</t>
        </is>
      </c>
      <c r="U965" t="inlineStr">
        <is>
          <t>No</t>
        </is>
      </c>
      <c r="V965" t="inlineStr">
        <is>
          <t>Bot tarafindan tespit edildi (2026-07-01)</t>
        </is>
      </c>
    </row>
    <row r="966">
      <c r="A966" t="inlineStr">
        <is>
          <t>T-0770</t>
        </is>
      </c>
      <c r="B966" t="inlineStr">
        <is>
          <t>Indraprastha Gas (IGL)</t>
        </is>
      </c>
      <c r="C966" t="inlineStr">
        <is>
          <t>Indraprastha Gas (IGL)</t>
        </is>
      </c>
      <c r="F966" t="inlineStr">
        <is>
          <t>New Lead</t>
        </is>
      </c>
      <c r="H966" t="inlineStr">
        <is>
          <t>Corrigendum-IV__CC18109.pdf</t>
        </is>
      </c>
      <c r="K966" t="inlineStr">
        <is>
          <t>Not found</t>
        </is>
      </c>
      <c r="L966" t="inlineStr">
        <is>
          <t>Unknown</t>
        </is>
      </c>
      <c r="T966" t="inlineStr">
        <is>
          <t>https://tenders.iglonline.net/uploads/tender/Corrigendum-IV__CC18109.pdf</t>
        </is>
      </c>
      <c r="U966" t="inlineStr">
        <is>
          <t>No</t>
        </is>
      </c>
      <c r="V966" t="inlineStr">
        <is>
          <t>Bot tarafindan tespit edildi (2026-07-01)</t>
        </is>
      </c>
    </row>
    <row r="967">
      <c r="A967" t="inlineStr">
        <is>
          <t>T-0771</t>
        </is>
      </c>
      <c r="B967" t="inlineStr">
        <is>
          <t>Indraprastha Gas (IGL)</t>
        </is>
      </c>
      <c r="C967" t="inlineStr">
        <is>
          <t>Indraprastha Gas (IGL)</t>
        </is>
      </c>
      <c r="F967" t="inlineStr">
        <is>
          <t>New Lead</t>
        </is>
      </c>
      <c r="H967" t="inlineStr">
        <is>
          <t>RTBQ_CC18109_III.pdf</t>
        </is>
      </c>
      <c r="K967" t="inlineStr">
        <is>
          <t>Not found</t>
        </is>
      </c>
      <c r="L967" t="inlineStr">
        <is>
          <t>Unknown</t>
        </is>
      </c>
      <c r="T967" t="inlineStr">
        <is>
          <t>https://tenders.iglonline.net/uploads/tender/RTBQ_CC18109_III.pdf</t>
        </is>
      </c>
      <c r="U967" t="inlineStr">
        <is>
          <t>No</t>
        </is>
      </c>
      <c r="V967" t="inlineStr">
        <is>
          <t>Bot tarafindan tespit edildi (2026-07-01)</t>
        </is>
      </c>
    </row>
    <row r="968">
      <c r="A968" t="inlineStr">
        <is>
          <t>T-0772</t>
        </is>
      </c>
      <c r="B968" t="inlineStr">
        <is>
          <t>Indraprastha Gas (IGL)</t>
        </is>
      </c>
      <c r="C968" t="inlineStr">
        <is>
          <t>Indraprastha Gas (IGL)</t>
        </is>
      </c>
      <c r="F968" t="inlineStr">
        <is>
          <t>New Lead</t>
        </is>
      </c>
      <c r="H968" t="inlineStr">
        <is>
          <t>View Tender</t>
        </is>
      </c>
      <c r="K968" t="inlineStr">
        <is>
          <t>Not found</t>
        </is>
      </c>
      <c r="L968" t="inlineStr">
        <is>
          <t>Unknown</t>
        </is>
      </c>
      <c r="T968" t="inlineStr">
        <is>
          <t>https://tenders.iglonline.net/tenderDetail/299/Active Tenders And Corrigendum-Addendum</t>
        </is>
      </c>
      <c r="U968" t="inlineStr">
        <is>
          <t>No</t>
        </is>
      </c>
      <c r="V968" t="inlineStr">
        <is>
          <t>Bot tarafindan tespit edildi (2026-07-01)</t>
        </is>
      </c>
    </row>
    <row r="969">
      <c r="A969" t="inlineStr">
        <is>
          <t>T-0773</t>
        </is>
      </c>
      <c r="B969" t="inlineStr">
        <is>
          <t>Indraprastha Gas (IGL)</t>
        </is>
      </c>
      <c r="C969" t="inlineStr">
        <is>
          <t>Indraprastha Gas (IGL)</t>
        </is>
      </c>
      <c r="F969" t="inlineStr">
        <is>
          <t>New Lead</t>
        </is>
      </c>
      <c r="H969" t="inlineStr">
        <is>
          <t>RTBQ_CP18119.pdf</t>
        </is>
      </c>
      <c r="K969" t="inlineStr">
        <is>
          <t>Not found</t>
        </is>
      </c>
      <c r="L969" t="inlineStr">
        <is>
          <t>Unknown</t>
        </is>
      </c>
      <c r="T969" t="inlineStr">
        <is>
          <t>https://tenders.iglonline.net/uploads/tender/RTBQ_CP18119.pdf</t>
        </is>
      </c>
      <c r="U969" t="inlineStr">
        <is>
          <t>No</t>
        </is>
      </c>
      <c r="V969" t="inlineStr">
        <is>
          <t>Bot tarafindan tespit edildi (2026-07-01)</t>
        </is>
      </c>
    </row>
    <row r="970">
      <c r="A970" t="inlineStr">
        <is>
          <t>T-0774</t>
        </is>
      </c>
      <c r="B970" t="inlineStr">
        <is>
          <t>Indraprastha Gas (IGL)</t>
        </is>
      </c>
      <c r="C970" t="inlineStr">
        <is>
          <t>Indraprastha Gas (IGL)</t>
        </is>
      </c>
      <c r="F970" t="inlineStr">
        <is>
          <t>New Lead</t>
        </is>
      </c>
      <c r="H970" t="inlineStr">
        <is>
          <t>View Tender</t>
        </is>
      </c>
      <c r="K970" t="inlineStr">
        <is>
          <t>Not found</t>
        </is>
      </c>
      <c r="L970" t="inlineStr">
        <is>
          <t>Unknown</t>
        </is>
      </c>
      <c r="T970" t="inlineStr">
        <is>
          <t>https://tenders.iglonline.net/tenderDetail/298/Active Tenders And Corrigendum-Addendum</t>
        </is>
      </c>
      <c r="U970" t="inlineStr">
        <is>
          <t>No</t>
        </is>
      </c>
      <c r="V970" t="inlineStr">
        <is>
          <t>Bot tarafindan tespit edildi (2026-07-01)</t>
        </is>
      </c>
    </row>
    <row r="971">
      <c r="A971" t="inlineStr">
        <is>
          <t>T-0775</t>
        </is>
      </c>
      <c r="B971" t="inlineStr">
        <is>
          <t>Indraprastha Gas (IGL)</t>
        </is>
      </c>
      <c r="C971" t="inlineStr">
        <is>
          <t>Indraprastha Gas (IGL)</t>
        </is>
      </c>
      <c r="F971" t="inlineStr">
        <is>
          <t>New Lead</t>
        </is>
      </c>
      <c r="H971" t="inlineStr">
        <is>
          <t>View Tender</t>
        </is>
      </c>
      <c r="K971" t="inlineStr">
        <is>
          <t>Not found</t>
        </is>
      </c>
      <c r="L971" t="inlineStr">
        <is>
          <t>Unknown</t>
        </is>
      </c>
      <c r="T971" t="inlineStr">
        <is>
          <t>https://tenders.iglonline.net/tenderDetail/297/Active Tenders And Corrigendum-Addendum</t>
        </is>
      </c>
      <c r="U971" t="inlineStr">
        <is>
          <t>No</t>
        </is>
      </c>
      <c r="V971" t="inlineStr">
        <is>
          <t>Bot tarafindan tespit edildi (2026-07-01)</t>
        </is>
      </c>
    </row>
    <row r="972">
      <c r="A972" t="inlineStr">
        <is>
          <t>T-0776</t>
        </is>
      </c>
      <c r="B972" t="inlineStr">
        <is>
          <t>Indraprastha Gas (IGL)</t>
        </is>
      </c>
      <c r="C972" t="inlineStr">
        <is>
          <t>Indraprastha Gas (IGL)</t>
        </is>
      </c>
      <c r="F972" t="inlineStr">
        <is>
          <t>New Lead</t>
        </is>
      </c>
      <c r="G972" t="inlineStr">
        <is>
          <t>Gas-related / review</t>
        </is>
      </c>
      <c r="H972" t="inlineStr">
        <is>
          <t>CORRIGENDUM_1_CC18092.pdf</t>
        </is>
      </c>
      <c r="K972" t="inlineStr">
        <is>
          <t>Not found</t>
        </is>
      </c>
      <c r="L972" t="inlineStr">
        <is>
          <t>Unknown</t>
        </is>
      </c>
      <c r="T972" t="inlineStr">
        <is>
          <t>https://tenders.iglonline.net/uploads/tender/CORRIGENDUM_1_CC18092.pdf</t>
        </is>
      </c>
      <c r="U972" t="inlineStr">
        <is>
          <t>No</t>
        </is>
      </c>
      <c r="V972" t="inlineStr">
        <is>
          <t>Bot tarafindan tespit edildi (2026-07-01); Bot tespit/zenginlestirme (2026-07-01); meta:score=35;priority=Low;source_type=html_table;closing_date=;equipment=Gas-related / review;reasons=equipment:Gas-related / review,document source</t>
        </is>
      </c>
    </row>
    <row r="973">
      <c r="A973" t="inlineStr">
        <is>
          <t>T-0777</t>
        </is>
      </c>
      <c r="B973" t="inlineStr">
        <is>
          <t>Indraprastha Gas (IGL)</t>
        </is>
      </c>
      <c r="C973" t="inlineStr">
        <is>
          <t>Indraprastha Gas (IGL)</t>
        </is>
      </c>
      <c r="F973" t="inlineStr">
        <is>
          <t>New Lead</t>
        </is>
      </c>
      <c r="G973" t="inlineStr">
        <is>
          <t>Gas-related / review</t>
        </is>
      </c>
      <c r="H973" t="inlineStr">
        <is>
          <t>Corrigendum_II_CC18092.pdf</t>
        </is>
      </c>
      <c r="K973" t="inlineStr">
        <is>
          <t>Not found</t>
        </is>
      </c>
      <c r="L973" t="inlineStr">
        <is>
          <t>Unknown</t>
        </is>
      </c>
      <c r="T973" t="inlineStr">
        <is>
          <t>https://tenders.iglonline.net/uploads/tender/Corrigendum_II_CC18092.pdf</t>
        </is>
      </c>
      <c r="U973" t="inlineStr">
        <is>
          <t>No</t>
        </is>
      </c>
      <c r="V973" t="inlineStr">
        <is>
          <t>Bot tarafindan tespit edildi (2026-07-01); Bot tespit/zenginlestirme (2026-07-01); meta:score=35;priority=Low;source_type=html_table;closing_date=;equipment=Gas-related / review;reasons=equipment:Gas-related / review,document source</t>
        </is>
      </c>
    </row>
    <row r="974">
      <c r="A974" t="inlineStr">
        <is>
          <t>T-0778</t>
        </is>
      </c>
      <c r="B974" t="inlineStr">
        <is>
          <t>Indraprastha Gas (IGL)</t>
        </is>
      </c>
      <c r="C974" t="inlineStr">
        <is>
          <t>Indraprastha Gas (IGL)</t>
        </is>
      </c>
      <c r="F974" t="inlineStr">
        <is>
          <t>New Lead</t>
        </is>
      </c>
      <c r="G974" t="inlineStr">
        <is>
          <t>Gas-related / review</t>
        </is>
      </c>
      <c r="H974" t="inlineStr">
        <is>
          <t>Corrigendum_III_CC18092.pdf</t>
        </is>
      </c>
      <c r="K974" t="inlineStr">
        <is>
          <t>Not found</t>
        </is>
      </c>
      <c r="L974" t="inlineStr">
        <is>
          <t>Unknown</t>
        </is>
      </c>
      <c r="T974" t="inlineStr">
        <is>
          <t>https://tenders.iglonline.net/uploads/tender/Corrigendum_III_CC18092.pdf</t>
        </is>
      </c>
      <c r="U974" t="inlineStr">
        <is>
          <t>No</t>
        </is>
      </c>
      <c r="V974" t="inlineStr">
        <is>
          <t>Bot tarafindan tespit edildi (2026-07-01); Bot tespit/zenginlestirme (2026-07-01); meta:score=35;priority=Low;source_type=html_table;closing_date=;equipment=Gas-related / review;reasons=equipment:Gas-related / review,document source</t>
        </is>
      </c>
    </row>
    <row r="975">
      <c r="A975" t="inlineStr">
        <is>
          <t>T-0779</t>
        </is>
      </c>
      <c r="B975" t="inlineStr">
        <is>
          <t>Indraprastha Gas (IGL)</t>
        </is>
      </c>
      <c r="C975" t="inlineStr">
        <is>
          <t>Indraprastha Gas (IGL)</t>
        </is>
      </c>
      <c r="F975" t="inlineStr">
        <is>
          <t>New Lead</t>
        </is>
      </c>
      <c r="H975" t="inlineStr">
        <is>
          <t>View Tender</t>
        </is>
      </c>
      <c r="K975" t="inlineStr">
        <is>
          <t>Not found</t>
        </is>
      </c>
      <c r="L975" t="inlineStr">
        <is>
          <t>Unknown</t>
        </is>
      </c>
      <c r="T975" t="inlineStr">
        <is>
          <t>https://tenders.iglonline.net/tenderDetail/296/Active Tenders And Corrigendum-Addendum</t>
        </is>
      </c>
      <c r="U975" t="inlineStr">
        <is>
          <t>No</t>
        </is>
      </c>
      <c r="V975" t="inlineStr">
        <is>
          <t>Bot tarafindan tespit edildi (2026-07-01)</t>
        </is>
      </c>
    </row>
    <row r="976">
      <c r="A976" t="inlineStr">
        <is>
          <t>T-0780</t>
        </is>
      </c>
      <c r="B976" t="inlineStr">
        <is>
          <t>Indraprastha Gas (IGL)</t>
        </is>
      </c>
      <c r="C976" t="inlineStr">
        <is>
          <t>Indraprastha Gas (IGL)</t>
        </is>
      </c>
      <c r="F976" t="inlineStr">
        <is>
          <t>New Lead</t>
        </is>
      </c>
      <c r="H976" t="inlineStr">
        <is>
          <t>Pre-bid_queries_CM18064.pdf</t>
        </is>
      </c>
      <c r="K976" t="inlineStr">
        <is>
          <t>Not found</t>
        </is>
      </c>
      <c r="L976" t="inlineStr">
        <is>
          <t>Unknown</t>
        </is>
      </c>
      <c r="T976" t="inlineStr">
        <is>
          <t>https://tenders.iglonline.net/uploads/tender/Pre-bid_queries_CM18064.pdf</t>
        </is>
      </c>
      <c r="U976" t="inlineStr">
        <is>
          <t>No</t>
        </is>
      </c>
      <c r="V976" t="inlineStr">
        <is>
          <t>Bot tarafindan tespit edildi (2026-07-01)</t>
        </is>
      </c>
    </row>
    <row r="977">
      <c r="A977" t="inlineStr">
        <is>
          <t>T-0781</t>
        </is>
      </c>
      <c r="B977" t="inlineStr">
        <is>
          <t>Indraprastha Gas (IGL)</t>
        </is>
      </c>
      <c r="C977" t="inlineStr">
        <is>
          <t>Indraprastha Gas (IGL)</t>
        </is>
      </c>
      <c r="F977" t="inlineStr">
        <is>
          <t>New Lead</t>
        </is>
      </c>
      <c r="H977" t="inlineStr">
        <is>
          <t>CORRIGENDUM_I_CM18064.pdf</t>
        </is>
      </c>
      <c r="K977" t="inlineStr">
        <is>
          <t>Not found</t>
        </is>
      </c>
      <c r="L977" t="inlineStr">
        <is>
          <t>Unknown</t>
        </is>
      </c>
      <c r="T977" t="inlineStr">
        <is>
          <t>https://tenders.iglonline.net/uploads/tender/CORRIGENDUM_I_CM18064.pdf</t>
        </is>
      </c>
      <c r="U977" t="inlineStr">
        <is>
          <t>No</t>
        </is>
      </c>
      <c r="V977" t="inlineStr">
        <is>
          <t>Bot tarafindan tespit edildi (2026-07-01)</t>
        </is>
      </c>
    </row>
    <row r="978">
      <c r="A978" t="inlineStr">
        <is>
          <t>T-0782</t>
        </is>
      </c>
      <c r="B978" t="inlineStr">
        <is>
          <t>Indraprastha Gas (IGL)</t>
        </is>
      </c>
      <c r="C978" t="inlineStr">
        <is>
          <t>Indraprastha Gas (IGL)</t>
        </is>
      </c>
      <c r="F978" t="inlineStr">
        <is>
          <t>New Lead</t>
        </is>
      </c>
      <c r="H978" t="inlineStr">
        <is>
          <t>CORRIGENDUM_II_CM18064.pdf</t>
        </is>
      </c>
      <c r="K978" t="inlineStr">
        <is>
          <t>Not found</t>
        </is>
      </c>
      <c r="L978" t="inlineStr">
        <is>
          <t>Unknown</t>
        </is>
      </c>
      <c r="T978" t="inlineStr">
        <is>
          <t>https://tenders.iglonline.net/uploads/tender/CORRIGENDUM_II_CM18064.pdf</t>
        </is>
      </c>
      <c r="U978" t="inlineStr">
        <is>
          <t>No</t>
        </is>
      </c>
      <c r="V978" t="inlineStr">
        <is>
          <t>Bot tarafindan tespit edildi (2026-07-01)</t>
        </is>
      </c>
    </row>
    <row r="979">
      <c r="A979" t="inlineStr">
        <is>
          <t>T-0783</t>
        </is>
      </c>
      <c r="B979" t="inlineStr">
        <is>
          <t>Indraprastha Gas (IGL)</t>
        </is>
      </c>
      <c r="C979" t="inlineStr">
        <is>
          <t>Indraprastha Gas (IGL)</t>
        </is>
      </c>
      <c r="F979" t="inlineStr">
        <is>
          <t>New Lead</t>
        </is>
      </c>
      <c r="G979" t="inlineStr">
        <is>
          <t>Skid / gas train</t>
        </is>
      </c>
      <c r="H979" t="inlineStr">
        <is>
          <t>View Tender</t>
        </is>
      </c>
      <c r="K979" t="inlineStr">
        <is>
          <t>Not found</t>
        </is>
      </c>
      <c r="L979" t="inlineStr">
        <is>
          <t>Unknown</t>
        </is>
      </c>
      <c r="T979" t="inlineStr">
        <is>
          <t>https://tenders.iglonline.net/tenderDetail/295/Active Tenders And Corrigendum-Addendum</t>
        </is>
      </c>
      <c r="U979" t="inlineStr">
        <is>
          <t>No</t>
        </is>
      </c>
      <c r="V97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0">
      <c r="A980" t="inlineStr">
        <is>
          <t>T-0784</t>
        </is>
      </c>
      <c r="B980" t="inlineStr">
        <is>
          <t>Indraprastha Gas (IGL)</t>
        </is>
      </c>
      <c r="C980" t="inlineStr">
        <is>
          <t>Indraprastha Gas (IGL)</t>
        </is>
      </c>
      <c r="D980" t="inlineStr">
        <is>
          <t>IGL/ET2/CP/CC17990</t>
        </is>
      </c>
      <c r="F980" t="inlineStr">
        <is>
          <t>Awarded</t>
        </is>
      </c>
      <c r="G980" t="inlineStr">
        <is>
          <t>metering skid</t>
        </is>
      </c>
      <c r="H980" t="inlineStr">
        <is>
          <t>Corrigendum-I__CC17990.pdf</t>
        </is>
      </c>
      <c r="K980" t="inlineStr">
        <is>
          <t>Not found</t>
        </is>
      </c>
      <c r="L980" t="inlineStr">
        <is>
          <t>Unknown</t>
        </is>
      </c>
      <c r="T980" t="inlineStr">
        <is>
          <t>https://tenders.iglonline.net/uploads/tender/Corrigendum-I__CC17990.pdf</t>
        </is>
      </c>
      <c r="U980" t="inlineStr">
        <is>
          <t>No</t>
        </is>
      </c>
      <c r="V98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1">
      <c r="A981" t="inlineStr">
        <is>
          <t>T-0785</t>
        </is>
      </c>
      <c r="B981" t="inlineStr">
        <is>
          <t>Indraprastha Gas (IGL)</t>
        </is>
      </c>
      <c r="C981" t="inlineStr">
        <is>
          <t>Indraprastha Gas (IGL)</t>
        </is>
      </c>
      <c r="D981" t="inlineStr">
        <is>
          <t>IGL/ET2/CP/CC17990</t>
        </is>
      </c>
      <c r="F981" t="inlineStr">
        <is>
          <t>Awarded</t>
        </is>
      </c>
      <c r="G981" t="inlineStr">
        <is>
          <t>metering skid</t>
        </is>
      </c>
      <c r="H981" t="inlineStr">
        <is>
          <t>Corrigendum-II__CC17990.pdf</t>
        </is>
      </c>
      <c r="K981" t="inlineStr">
        <is>
          <t>Not found</t>
        </is>
      </c>
      <c r="L981" t="inlineStr">
        <is>
          <t>Unknown</t>
        </is>
      </c>
      <c r="T981" t="inlineStr">
        <is>
          <t>https://tenders.iglonline.net/uploads/tender/Corrigendum-II__CC17990.pdf</t>
        </is>
      </c>
      <c r="U981" t="inlineStr">
        <is>
          <t>No</t>
        </is>
      </c>
      <c r="V981"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2">
      <c r="A982" t="inlineStr">
        <is>
          <t>T-0786</t>
        </is>
      </c>
      <c r="B982" t="inlineStr">
        <is>
          <t>Indraprastha Gas (IGL)</t>
        </is>
      </c>
      <c r="C982" t="inlineStr">
        <is>
          <t>Indraprastha Gas (IGL)</t>
        </is>
      </c>
      <c r="D982" t="inlineStr">
        <is>
          <t>IGL/ET2/CP/CC17990</t>
        </is>
      </c>
      <c r="F982" t="inlineStr">
        <is>
          <t>Awarded</t>
        </is>
      </c>
      <c r="G982" t="inlineStr">
        <is>
          <t>metering skid</t>
        </is>
      </c>
      <c r="H982" t="inlineStr">
        <is>
          <t>Corrigendum-III_CC17990.pdf</t>
        </is>
      </c>
      <c r="K982" t="inlineStr">
        <is>
          <t>Not found</t>
        </is>
      </c>
      <c r="L982" t="inlineStr">
        <is>
          <t>Unknown</t>
        </is>
      </c>
      <c r="T982" t="inlineStr">
        <is>
          <t>https://tenders.iglonline.net/uploads/tender/Corrigendum-III_CC17990.pdf</t>
        </is>
      </c>
      <c r="U982" t="inlineStr">
        <is>
          <t>No</t>
        </is>
      </c>
      <c r="V98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3">
      <c r="A983" t="inlineStr">
        <is>
          <t>T-0787</t>
        </is>
      </c>
      <c r="B983" t="inlineStr">
        <is>
          <t>Indraprastha Gas (IGL)</t>
        </is>
      </c>
      <c r="C983" t="inlineStr">
        <is>
          <t>Indraprastha Gas (IGL)</t>
        </is>
      </c>
      <c r="D983" t="inlineStr">
        <is>
          <t>DOCUMENT</t>
        </is>
      </c>
      <c r="F983" t="inlineStr">
        <is>
          <t>Awarded</t>
        </is>
      </c>
      <c r="G983" t="inlineStr">
        <is>
          <t>metering skid</t>
        </is>
      </c>
      <c r="H983" t="inlineStr">
        <is>
          <t>RTBQ_CC17990.pdf</t>
        </is>
      </c>
      <c r="K983" t="inlineStr">
        <is>
          <t>Not found</t>
        </is>
      </c>
      <c r="L983" t="inlineStr">
        <is>
          <t>Unknown</t>
        </is>
      </c>
      <c r="T983" t="inlineStr">
        <is>
          <t>https://tenders.iglonline.net/uploads/tender/RTBQ_CC17990.pdf</t>
        </is>
      </c>
      <c r="U983" t="inlineStr">
        <is>
          <t>No</t>
        </is>
      </c>
      <c r="V98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train;quality_status=market_target;market_relevance=High;document_type=boq;unit_price_inr=;amount_label=;matched_terms=Skid / gas train;reject_reasons=employment/corporate,retail/cng station noise;scope=market_intelligence_only;excluded_scope=no_bid_or_offer_submission_automation</t>
        </is>
      </c>
    </row>
    <row r="984">
      <c r="A984" t="inlineStr">
        <is>
          <t>T-0788</t>
        </is>
      </c>
      <c r="B984" t="inlineStr">
        <is>
          <t>Indraprastha Gas (IGL)</t>
        </is>
      </c>
      <c r="C984" t="inlineStr">
        <is>
          <t>Indraprastha Gas (IGL)</t>
        </is>
      </c>
      <c r="D984" t="inlineStr">
        <is>
          <t>IGL/ET2/CP/CC17990</t>
        </is>
      </c>
      <c r="F984" t="inlineStr">
        <is>
          <t>Awarded</t>
        </is>
      </c>
      <c r="G984" t="inlineStr">
        <is>
          <t>metering skid</t>
        </is>
      </c>
      <c r="H984" t="inlineStr">
        <is>
          <t>Corrigendum-IV__CC17990.pdf</t>
        </is>
      </c>
      <c r="K984" t="inlineStr">
        <is>
          <t>Not found</t>
        </is>
      </c>
      <c r="L984" t="inlineStr">
        <is>
          <t>Unknown</t>
        </is>
      </c>
      <c r="T984" t="inlineStr">
        <is>
          <t>https://tenders.iglonline.net/uploads/tender/Corrigendum-IV__CC17990.pdf</t>
        </is>
      </c>
      <c r="U984" t="inlineStr">
        <is>
          <t>No</t>
        </is>
      </c>
      <c r="V984"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5">
      <c r="A985" t="inlineStr">
        <is>
          <t>T-0789</t>
        </is>
      </c>
      <c r="B985" t="inlineStr">
        <is>
          <t>Indraprastha Gas (IGL)</t>
        </is>
      </c>
      <c r="C985" t="inlineStr">
        <is>
          <t>Indraprastha Gas (IGL)</t>
        </is>
      </c>
      <c r="D985" t="inlineStr">
        <is>
          <t>IGL/ET2/CP/CC17990</t>
        </is>
      </c>
      <c r="F985" t="inlineStr">
        <is>
          <t>Awarded</t>
        </is>
      </c>
      <c r="G985" t="inlineStr">
        <is>
          <t>metering skid</t>
        </is>
      </c>
      <c r="H985" t="inlineStr">
        <is>
          <t>Corrigendum-V_CC17990.pdf</t>
        </is>
      </c>
      <c r="K985" t="inlineStr">
        <is>
          <t>fails to 12.3 Price Reduction will be applicable</t>
        </is>
      </c>
      <c r="L985" t="inlineStr">
        <is>
          <t>Unknown</t>
        </is>
      </c>
      <c r="T985" t="inlineStr">
        <is>
          <t>https://tenders.iglonline.net/uploads/tender/Corrigendum-V_CC17990.pdf</t>
        </is>
      </c>
      <c r="U985" t="inlineStr">
        <is>
          <t>No</t>
        </is>
      </c>
      <c r="V985"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meta:score=50;priority=Medium;source_type=html_table;closing_date=None;equipment=Regulating / metering station;quality_status=market_target;market_relevance=High;document_type=corrigendum;unit_price_inr=;amount_label=;matched_terms=Regulating / metering station,Skid / gas train;reject_reasons=retail/cng station noise;scope=market_intelligence_only;excluded_scope=no_bid_or_offer_submission_automation</t>
        </is>
      </c>
    </row>
    <row r="986">
      <c r="A986" t="inlineStr">
        <is>
          <t>T-0790</t>
        </is>
      </c>
      <c r="B986" t="inlineStr">
        <is>
          <t>Indraprastha Gas (IGL)</t>
        </is>
      </c>
      <c r="C986" t="inlineStr">
        <is>
          <t>Indraprastha Gas (IGL)</t>
        </is>
      </c>
      <c r="D986" t="inlineStr">
        <is>
          <t>IGL/ET2/CP/CC17990</t>
        </is>
      </c>
      <c r="F986" t="inlineStr">
        <is>
          <t>Awarded</t>
        </is>
      </c>
      <c r="G986" t="inlineStr">
        <is>
          <t>metering skid</t>
        </is>
      </c>
      <c r="H986" t="inlineStr">
        <is>
          <t>Corrigendum_for_cancellation_CC17990.pdf</t>
        </is>
      </c>
      <c r="K986" t="inlineStr">
        <is>
          <t>Not found</t>
        </is>
      </c>
      <c r="L986" t="inlineStr">
        <is>
          <t>Unknown</t>
        </is>
      </c>
      <c r="T986" t="inlineStr">
        <is>
          <t>https://tenders.iglonline.net/uploads/tender/Corrigendum_for_cancellation_CC17990.pdf</t>
        </is>
      </c>
      <c r="U986" t="inlineStr">
        <is>
          <t>No</t>
        </is>
      </c>
      <c r="V986"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7">
      <c r="A987" t="inlineStr">
        <is>
          <t>T-0791</t>
        </is>
      </c>
      <c r="B987" t="inlineStr">
        <is>
          <t>Indraprastha Gas (IGL)</t>
        </is>
      </c>
      <c r="C987" t="inlineStr">
        <is>
          <t>Indraprastha Gas (IGL)</t>
        </is>
      </c>
      <c r="F987" t="inlineStr">
        <is>
          <t>New Lead</t>
        </is>
      </c>
      <c r="H987" t="inlineStr">
        <is>
          <t>View Tender</t>
        </is>
      </c>
      <c r="K987" t="inlineStr">
        <is>
          <t>Not found</t>
        </is>
      </c>
      <c r="L987" t="inlineStr">
        <is>
          <t>Unknown</t>
        </is>
      </c>
      <c r="T987" t="inlineStr">
        <is>
          <t>https://tenders.iglonline.net/tenderDetail/294/Active Tenders And Corrigendum-Addendum</t>
        </is>
      </c>
      <c r="U987" t="inlineStr">
        <is>
          <t>No</t>
        </is>
      </c>
      <c r="V987" t="inlineStr">
        <is>
          <t>Bot tarafindan tespit edildi (2026-07-01)</t>
        </is>
      </c>
    </row>
    <row r="988">
      <c r="A988" t="inlineStr">
        <is>
          <t>T-0792</t>
        </is>
      </c>
      <c r="B988" t="inlineStr">
        <is>
          <t>Indraprastha Gas (IGL)</t>
        </is>
      </c>
      <c r="C988" t="inlineStr">
        <is>
          <t>Indraprastha Gas (IGL)</t>
        </is>
      </c>
      <c r="F988" t="inlineStr">
        <is>
          <t>New Lead</t>
        </is>
      </c>
      <c r="H988" t="inlineStr">
        <is>
          <t>RTPBQ.pdf</t>
        </is>
      </c>
      <c r="K988" t="inlineStr">
        <is>
          <t>Not found</t>
        </is>
      </c>
      <c r="L988" t="inlineStr">
        <is>
          <t>Unknown</t>
        </is>
      </c>
      <c r="T988" t="inlineStr">
        <is>
          <t>https://tenders.iglonline.net/uploads/tender/RTPBQ.pdf</t>
        </is>
      </c>
      <c r="U988" t="inlineStr">
        <is>
          <t>No</t>
        </is>
      </c>
      <c r="V988" t="inlineStr">
        <is>
          <t>Bot tarafindan tespit edildi (2026-07-01)</t>
        </is>
      </c>
    </row>
    <row r="989">
      <c r="A989" t="inlineStr">
        <is>
          <t>T-0793</t>
        </is>
      </c>
      <c r="B989" t="inlineStr">
        <is>
          <t>Indraprastha Gas (IGL)</t>
        </is>
      </c>
      <c r="C989" t="inlineStr">
        <is>
          <t>Indraprastha Gas (IGL)</t>
        </is>
      </c>
      <c r="F989" t="inlineStr">
        <is>
          <t>New Lead</t>
        </is>
      </c>
      <c r="H989" t="inlineStr">
        <is>
          <t>Corrigendum_1_(1)1.pdf</t>
        </is>
      </c>
      <c r="K989" t="inlineStr">
        <is>
          <t>Not found</t>
        </is>
      </c>
      <c r="L989" t="inlineStr">
        <is>
          <t>Unknown</t>
        </is>
      </c>
      <c r="T989" t="inlineStr">
        <is>
          <t>https://tenders.iglonline.net/uploads/tender/Corrigendum_1_(1)1.pdf</t>
        </is>
      </c>
      <c r="U989" t="inlineStr">
        <is>
          <t>No</t>
        </is>
      </c>
      <c r="V989" t="inlineStr">
        <is>
          <t>Bot tarafindan tespit edildi (2026-07-01)</t>
        </is>
      </c>
    </row>
    <row r="990">
      <c r="A990" t="inlineStr">
        <is>
          <t>T-0794</t>
        </is>
      </c>
      <c r="B990" t="inlineStr">
        <is>
          <t>Indraprastha Gas (IGL)</t>
        </is>
      </c>
      <c r="C990" t="inlineStr">
        <is>
          <t>Indraprastha Gas (IGL)</t>
        </is>
      </c>
      <c r="F990" t="inlineStr">
        <is>
          <t>New Lead</t>
        </is>
      </c>
      <c r="H990" t="inlineStr">
        <is>
          <t>Reply_to_Bidders_2.pdf</t>
        </is>
      </c>
      <c r="K990" t="inlineStr">
        <is>
          <t>Not found</t>
        </is>
      </c>
      <c r="L990" t="inlineStr">
        <is>
          <t>Unknown</t>
        </is>
      </c>
      <c r="T990" t="inlineStr">
        <is>
          <t>https://tenders.iglonline.net/uploads/tender/Reply_to_Bidders_2.pdf</t>
        </is>
      </c>
      <c r="U990" t="inlineStr">
        <is>
          <t>No</t>
        </is>
      </c>
      <c r="V990" t="inlineStr">
        <is>
          <t>Bot tarafindan tespit edildi (2026-07-01)</t>
        </is>
      </c>
    </row>
    <row r="991">
      <c r="A991" t="inlineStr">
        <is>
          <t>T-0795</t>
        </is>
      </c>
      <c r="B991" t="inlineStr">
        <is>
          <t>Indraprastha Gas (IGL)</t>
        </is>
      </c>
      <c r="C991" t="inlineStr">
        <is>
          <t>Indraprastha Gas (IGL)</t>
        </is>
      </c>
      <c r="F991" t="inlineStr">
        <is>
          <t>New Lead</t>
        </is>
      </c>
      <c r="H991" t="inlineStr">
        <is>
          <t>Corrigendum_2_Cancellation_of_tender.pdf</t>
        </is>
      </c>
      <c r="K991" t="inlineStr">
        <is>
          <t>Not found</t>
        </is>
      </c>
      <c r="L991" t="inlineStr">
        <is>
          <t>Unknown</t>
        </is>
      </c>
      <c r="T991" t="inlineStr">
        <is>
          <t>https://tenders.iglonline.net/uploads/tender/Corrigendum_2_Cancellation_of_tender.pdf</t>
        </is>
      </c>
      <c r="U991" t="inlineStr">
        <is>
          <t>No</t>
        </is>
      </c>
      <c r="V991" t="inlineStr">
        <is>
          <t>Bot tarafindan tespit edildi (2026-07-01)</t>
        </is>
      </c>
    </row>
    <row r="992">
      <c r="A992" t="inlineStr">
        <is>
          <t>T-0796</t>
        </is>
      </c>
      <c r="B992" t="inlineStr">
        <is>
          <t>Indraprastha Gas (IGL)</t>
        </is>
      </c>
      <c r="C992" t="inlineStr">
        <is>
          <t>Indraprastha Gas (IGL)</t>
        </is>
      </c>
      <c r="F992" t="inlineStr">
        <is>
          <t>New Lead</t>
        </is>
      </c>
      <c r="H992" t="inlineStr">
        <is>
          <t>View Tender</t>
        </is>
      </c>
      <c r="K992" t="inlineStr">
        <is>
          <t>Not found</t>
        </is>
      </c>
      <c r="L992" t="inlineStr">
        <is>
          <t>Unknown</t>
        </is>
      </c>
      <c r="T992" t="inlineStr">
        <is>
          <t>https://tenders.iglonline.net/tenderDetail/293/Active Tenders And Corrigendum-Addendum</t>
        </is>
      </c>
      <c r="U992" t="inlineStr">
        <is>
          <t>No</t>
        </is>
      </c>
      <c r="V992" t="inlineStr">
        <is>
          <t>Bot tarafindan tespit edildi (2026-07-01)</t>
        </is>
      </c>
    </row>
    <row r="993">
      <c r="A993" t="inlineStr">
        <is>
          <t>T-0797</t>
        </is>
      </c>
      <c r="B993" t="inlineStr">
        <is>
          <t>Indraprastha Gas (IGL)</t>
        </is>
      </c>
      <c r="C993" t="inlineStr">
        <is>
          <t>Indraprastha Gas (IGL)</t>
        </is>
      </c>
      <c r="F993" t="inlineStr">
        <is>
          <t>New Lead</t>
        </is>
      </c>
      <c r="H993" t="inlineStr">
        <is>
          <t>Replies_to_bidders_queries5.pdf</t>
        </is>
      </c>
      <c r="K993" t="inlineStr">
        <is>
          <t>Not found</t>
        </is>
      </c>
      <c r="L993" t="inlineStr">
        <is>
          <t>Unknown</t>
        </is>
      </c>
      <c r="T993" t="inlineStr">
        <is>
          <t>https://tenders.iglonline.net/uploads/tender/Replies_to_bidders_queries5.pdf</t>
        </is>
      </c>
      <c r="U993" t="inlineStr">
        <is>
          <t>No</t>
        </is>
      </c>
      <c r="V993" t="inlineStr">
        <is>
          <t>Bot tarafindan tespit edildi (2026-07-01)</t>
        </is>
      </c>
    </row>
    <row r="994">
      <c r="A994" t="inlineStr">
        <is>
          <t>T-0798</t>
        </is>
      </c>
      <c r="B994" t="inlineStr">
        <is>
          <t>Indraprastha Gas (IGL)</t>
        </is>
      </c>
      <c r="C994" t="inlineStr">
        <is>
          <t>Indraprastha Gas (IGL)</t>
        </is>
      </c>
      <c r="F994" t="inlineStr">
        <is>
          <t>New Lead</t>
        </is>
      </c>
      <c r="H994" t="inlineStr">
        <is>
          <t>Corrigendum_1_CP18070.pdf</t>
        </is>
      </c>
      <c r="K994" t="inlineStr">
        <is>
          <t>Not found</t>
        </is>
      </c>
      <c r="L994" t="inlineStr">
        <is>
          <t>Unknown</t>
        </is>
      </c>
      <c r="T994" t="inlineStr">
        <is>
          <t>https://tenders.iglonline.net/uploads/tender/Corrigendum_1_CP18070.pdf</t>
        </is>
      </c>
      <c r="U994" t="inlineStr">
        <is>
          <t>No</t>
        </is>
      </c>
      <c r="V994" t="inlineStr">
        <is>
          <t>Bot tarafindan tespit edildi (2026-07-01)</t>
        </is>
      </c>
    </row>
    <row r="995">
      <c r="A995" t="inlineStr">
        <is>
          <t>T-0799</t>
        </is>
      </c>
      <c r="B995" t="inlineStr">
        <is>
          <t>Indraprastha Gas (IGL)</t>
        </is>
      </c>
      <c r="C995" t="inlineStr">
        <is>
          <t>Indraprastha Gas (IGL)</t>
        </is>
      </c>
      <c r="F995" t="inlineStr">
        <is>
          <t>New Lead</t>
        </is>
      </c>
      <c r="H995" t="inlineStr">
        <is>
          <t>View Tender</t>
        </is>
      </c>
      <c r="K995" t="inlineStr">
        <is>
          <t>Not found</t>
        </is>
      </c>
      <c r="L995" t="inlineStr">
        <is>
          <t>Unknown</t>
        </is>
      </c>
      <c r="T995" t="inlineStr">
        <is>
          <t>https://tenders.iglonline.net/tenderDetail/292/Active Tenders And Corrigendum-Addendum</t>
        </is>
      </c>
      <c r="U995" t="inlineStr">
        <is>
          <t>No</t>
        </is>
      </c>
      <c r="V995" t="inlineStr">
        <is>
          <t>Bot tarafindan tespit edildi (2026-07-01)</t>
        </is>
      </c>
    </row>
    <row r="996">
      <c r="A996" t="inlineStr">
        <is>
          <t>T-0800</t>
        </is>
      </c>
      <c r="B996" t="inlineStr">
        <is>
          <t>Indraprastha Gas (IGL)</t>
        </is>
      </c>
      <c r="C996" t="inlineStr">
        <is>
          <t>Indraprastha Gas (IGL)</t>
        </is>
      </c>
      <c r="F996" t="inlineStr">
        <is>
          <t>New Lead</t>
        </is>
      </c>
      <c r="G996" t="inlineStr">
        <is>
          <t>Gas-related / review</t>
        </is>
      </c>
      <c r="H996" t="inlineStr">
        <is>
          <t>Corrigendum_1_CP18003.pdf</t>
        </is>
      </c>
      <c r="K996" t="inlineStr">
        <is>
          <t>Not found</t>
        </is>
      </c>
      <c r="L996" t="inlineStr">
        <is>
          <t>Unknown</t>
        </is>
      </c>
      <c r="T996" t="inlineStr">
        <is>
          <t>https://tenders.iglonline.net/uploads/tender/Corrigendum_1_CP18003.pdf</t>
        </is>
      </c>
      <c r="U996" t="inlineStr">
        <is>
          <t>No</t>
        </is>
      </c>
      <c r="V996" t="inlineStr">
        <is>
          <t>Bot tarafindan tespit edildi (2026-07-01); Bot tespit/zenginlestirme (2026-07-01); meta:score=35;priority=Low;source_type=html_table;closing_date=;equipment=Gas-related / review;reasons=equipment:Gas-related / review,document source</t>
        </is>
      </c>
    </row>
    <row r="997">
      <c r="A997" t="inlineStr">
        <is>
          <t>T-0801</t>
        </is>
      </c>
      <c r="B997" t="inlineStr">
        <is>
          <t>Indraprastha Gas (IGL)</t>
        </is>
      </c>
      <c r="C997" t="inlineStr">
        <is>
          <t>Indraprastha Gas (IGL)</t>
        </is>
      </c>
      <c r="F997" t="inlineStr">
        <is>
          <t>New Lead</t>
        </is>
      </c>
      <c r="G997" t="inlineStr">
        <is>
          <t>Gas-related / review</t>
        </is>
      </c>
      <c r="H997" t="inlineStr">
        <is>
          <t>RTBQ_CP18003.pdf</t>
        </is>
      </c>
      <c r="K997" t="inlineStr">
        <is>
          <t>Not found</t>
        </is>
      </c>
      <c r="L997" t="inlineStr">
        <is>
          <t>Unknown</t>
        </is>
      </c>
      <c r="T997" t="inlineStr">
        <is>
          <t>https://tenders.iglonline.net/uploads/tender/RTBQ_CP18003.pdf</t>
        </is>
      </c>
      <c r="U997" t="inlineStr">
        <is>
          <t>No</t>
        </is>
      </c>
      <c r="V997" t="inlineStr">
        <is>
          <t>Bot tarafindan tespit edildi (2026-07-01); Bot tespit/zenginlestirme (2026-07-01); meta:score=35;priority=Low;source_type=html_table;closing_date=;equipment=Gas-related / review;reasons=equipment:Gas-related / review,document source</t>
        </is>
      </c>
    </row>
    <row r="998">
      <c r="A998" t="inlineStr">
        <is>
          <t>T-0802</t>
        </is>
      </c>
      <c r="B998" t="inlineStr">
        <is>
          <t>Indraprastha Gas (IGL)</t>
        </is>
      </c>
      <c r="C998" t="inlineStr">
        <is>
          <t>Indraprastha Gas (IGL)</t>
        </is>
      </c>
      <c r="F998" t="inlineStr">
        <is>
          <t>New Lead</t>
        </is>
      </c>
      <c r="H998" t="inlineStr">
        <is>
          <t>View Tender</t>
        </is>
      </c>
      <c r="K998" t="inlineStr">
        <is>
          <t>Not found</t>
        </is>
      </c>
      <c r="L998" t="inlineStr">
        <is>
          <t>Unknown</t>
        </is>
      </c>
      <c r="T998" t="inlineStr">
        <is>
          <t>https://tenders.iglonline.net/tenderDetail/291/Active Tenders And Corrigendum-Addendum</t>
        </is>
      </c>
      <c r="U998" t="inlineStr">
        <is>
          <t>No</t>
        </is>
      </c>
      <c r="V998" t="inlineStr">
        <is>
          <t>Bot tarafindan tespit edildi (2026-07-01)</t>
        </is>
      </c>
    </row>
    <row r="999">
      <c r="A999" t="inlineStr">
        <is>
          <t>T-0803</t>
        </is>
      </c>
      <c r="B999" t="inlineStr">
        <is>
          <t>Indraprastha Gas (IGL)</t>
        </is>
      </c>
      <c r="C999" t="inlineStr">
        <is>
          <t>Indraprastha Gas (IGL)</t>
        </is>
      </c>
      <c r="D999" t="inlineStr">
        <is>
          <t>IGL/ET2/CP/CC18008</t>
        </is>
      </c>
      <c r="F999" t="inlineStr">
        <is>
          <t>New Lead</t>
        </is>
      </c>
      <c r="G999" t="inlineStr">
        <is>
          <t>Gas-related / review</t>
        </is>
      </c>
      <c r="H999" t="inlineStr">
        <is>
          <t>REPLIES_TO_PBQ_LNG__CC18008.pdf</t>
        </is>
      </c>
      <c r="K999" t="inlineStr">
        <is>
          <t>to EIC (Engineer-in-charge) subject project so that we may submit the necessary e</t>
        </is>
      </c>
      <c r="L999" t="inlineStr">
        <is>
          <t>Unknown</t>
        </is>
      </c>
      <c r="T999" t="inlineStr">
        <is>
          <t>https://tenders.iglonline.net/uploads/tender/REPLIES_TO_PBQ_LNG__CC18008.pdf</t>
        </is>
      </c>
      <c r="U999" t="inlineStr">
        <is>
          <t>No</t>
        </is>
      </c>
      <c r="V999" t="inlineStr">
        <is>
          <t>Bot tarafindan tespit edildi (2026-07-01); Bot tespit/zenginlestirme (2026-07-01); meta:score=55;priority=Medium;source_type=html_table;closing_date=;equipment=Gas-related / review;reasons=equipment:Gas-related / review,document source,quantity signal</t>
        </is>
      </c>
    </row>
    <row r="1000">
      <c r="A1000" t="inlineStr">
        <is>
          <t>T-0804</t>
        </is>
      </c>
      <c r="B1000" t="inlineStr">
        <is>
          <t>Indraprastha Gas (IGL)</t>
        </is>
      </c>
      <c r="C1000" t="inlineStr">
        <is>
          <t>Indraprastha Gas (IGL)</t>
        </is>
      </c>
      <c r="F1000" t="inlineStr">
        <is>
          <t>New Lead</t>
        </is>
      </c>
      <c r="G1000" t="inlineStr">
        <is>
          <t>Gas-related / review</t>
        </is>
      </c>
      <c r="H1000" t="inlineStr">
        <is>
          <t>Corrigendum_I_CC18008.pdf</t>
        </is>
      </c>
      <c r="K1000" t="inlineStr">
        <is>
          <t>Not found</t>
        </is>
      </c>
      <c r="L1000" t="inlineStr">
        <is>
          <t>Unknown</t>
        </is>
      </c>
      <c r="T1000" t="inlineStr">
        <is>
          <t>https://tenders.iglonline.net/uploads/tender/Corrigendum_I_CC18008.pdf</t>
        </is>
      </c>
      <c r="U1000" t="inlineStr">
        <is>
          <t>No</t>
        </is>
      </c>
      <c r="V1000" t="inlineStr">
        <is>
          <t>Bot tarafindan tespit edildi (2026-07-01); Bot tespit/zenginlestirme (2026-07-01); meta:score=55;priority=Medium;source_type=html_table;closing_date=;equipment=Gas-related / review;reasons=equipment:Gas-related / review,document source,quantity signal</t>
        </is>
      </c>
    </row>
    <row r="1001">
      <c r="A1001" t="inlineStr">
        <is>
          <t>T-0805</t>
        </is>
      </c>
      <c r="B1001" t="inlineStr">
        <is>
          <t>Indraprastha Gas (IGL)</t>
        </is>
      </c>
      <c r="C1001" t="inlineStr">
        <is>
          <t>Indraprastha Gas (IGL)</t>
        </is>
      </c>
      <c r="F1001" t="inlineStr">
        <is>
          <t>New Lead</t>
        </is>
      </c>
      <c r="G1001" t="inlineStr">
        <is>
          <t>Gas-related / review</t>
        </is>
      </c>
      <c r="H1001" t="inlineStr">
        <is>
          <t>Corrigendum_II_CC18008.pdf</t>
        </is>
      </c>
      <c r="K1001" t="inlineStr">
        <is>
          <t>Not found</t>
        </is>
      </c>
      <c r="L1001" t="inlineStr">
        <is>
          <t>Unknown</t>
        </is>
      </c>
      <c r="T1001" t="inlineStr">
        <is>
          <t>https://tenders.iglonline.net/uploads/tender/Corrigendum_II_CC18008.pdf</t>
        </is>
      </c>
      <c r="U1001" t="inlineStr">
        <is>
          <t>No</t>
        </is>
      </c>
      <c r="V1001" t="inlineStr">
        <is>
          <t>Bot tarafindan tespit edildi (2026-07-01); Bot tespit/zenginlestirme (2026-07-01); meta:score=55;priority=Medium;source_type=html_table;closing_date=;equipment=Gas-related / review;reasons=equipment:Gas-related / review,document source,quantity signal</t>
        </is>
      </c>
    </row>
    <row r="1002">
      <c r="A1002" t="inlineStr">
        <is>
          <t>T-0806</t>
        </is>
      </c>
      <c r="B1002" t="inlineStr">
        <is>
          <t>Indraprastha Gas (IGL)</t>
        </is>
      </c>
      <c r="C1002" t="inlineStr">
        <is>
          <t>Indraprastha Gas (IGL)</t>
        </is>
      </c>
      <c r="D1002" t="inlineStr">
        <is>
          <t>IGL/ET2/CP/CC18008</t>
        </is>
      </c>
      <c r="F1002" t="inlineStr">
        <is>
          <t>New Lead</t>
        </is>
      </c>
      <c r="G1002" t="inlineStr">
        <is>
          <t>Gas-related / review</t>
        </is>
      </c>
      <c r="H1002" t="inlineStr">
        <is>
          <t>Corrigendum_IV_CC18008.pdf</t>
        </is>
      </c>
      <c r="K1002" t="inlineStr">
        <is>
          <t>Not found</t>
        </is>
      </c>
      <c r="L1002" t="inlineStr">
        <is>
          <t>Unknown</t>
        </is>
      </c>
      <c r="T1002" t="inlineStr">
        <is>
          <t>https://tenders.iglonline.net/uploads/tender/Corrigendum_IV_CC18008.pdf</t>
        </is>
      </c>
      <c r="U1002" t="inlineStr">
        <is>
          <t>No</t>
        </is>
      </c>
      <c r="V1002" t="inlineStr">
        <is>
          <t>Bot tarafindan tespit edildi (2026-07-01); Bot tespit/zenginlestirme (2026-07-01); meta:score=55;priority=Medium;source_type=html_table;closing_date=;equipment=Gas-related / review;reasons=equipment:Gas-related / review,document source,quantity signal</t>
        </is>
      </c>
    </row>
    <row r="1003">
      <c r="A1003" t="inlineStr">
        <is>
          <t>T-0807</t>
        </is>
      </c>
      <c r="B1003" t="inlineStr">
        <is>
          <t>Indraprastha Gas (IGL)</t>
        </is>
      </c>
      <c r="C1003" t="inlineStr">
        <is>
          <t>Indraprastha Gas (IGL)</t>
        </is>
      </c>
      <c r="F1003" t="inlineStr">
        <is>
          <t>New Lead</t>
        </is>
      </c>
      <c r="H1003" t="inlineStr">
        <is>
          <t>View Tender</t>
        </is>
      </c>
      <c r="K1003" t="inlineStr">
        <is>
          <t>Not found</t>
        </is>
      </c>
      <c r="L1003" t="inlineStr">
        <is>
          <t>Unknown</t>
        </is>
      </c>
      <c r="T1003" t="inlineStr">
        <is>
          <t>https://tenders.iglonline.net/tenderDetail/290/Active Tenders And Corrigendum-Addendum</t>
        </is>
      </c>
      <c r="U1003" t="inlineStr">
        <is>
          <t>No</t>
        </is>
      </c>
      <c r="V1003" t="inlineStr">
        <is>
          <t>Bot tarafindan tespit edildi (2026-07-01)</t>
        </is>
      </c>
    </row>
    <row r="1004">
      <c r="A1004" t="inlineStr">
        <is>
          <t>T-0808</t>
        </is>
      </c>
      <c r="B1004" t="inlineStr">
        <is>
          <t>Indraprastha Gas (IGL)</t>
        </is>
      </c>
      <c r="C1004" t="inlineStr">
        <is>
          <t>Indraprastha Gas (IGL)</t>
        </is>
      </c>
      <c r="D1004" t="inlineStr">
        <is>
          <t>document</t>
        </is>
      </c>
      <c r="F1004" t="inlineStr">
        <is>
          <t>Awarded</t>
        </is>
      </c>
      <c r="G1004" t="inlineStr">
        <is>
          <t>FRS</t>
        </is>
      </c>
      <c r="H1004" t="inlineStr">
        <is>
          <t>Corrigendum_I4.pdf</t>
        </is>
      </c>
      <c r="K1004" t="inlineStr">
        <is>
          <t>Not found</t>
        </is>
      </c>
      <c r="L1004" t="inlineStr">
        <is>
          <t>Unknown</t>
        </is>
      </c>
      <c r="T1004" t="inlineStr">
        <is>
          <t>https://tenders.iglonline.net/uploads/tender/Corrigendum_I4.pdf</t>
        </is>
      </c>
      <c r="U1004" t="inlineStr">
        <is>
          <t>No</t>
        </is>
      </c>
      <c r="V1004"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5">
      <c r="A1005" t="inlineStr">
        <is>
          <t>T-0809</t>
        </is>
      </c>
      <c r="B1005" t="inlineStr">
        <is>
          <t>Indraprastha Gas (IGL)</t>
        </is>
      </c>
      <c r="C1005" t="inlineStr">
        <is>
          <t>Indraprastha Gas (IGL)</t>
        </is>
      </c>
      <c r="D1005" t="inlineStr">
        <is>
          <t>DOCUMENT</t>
        </is>
      </c>
      <c r="F1005" t="inlineStr">
        <is>
          <t>Awarded</t>
        </is>
      </c>
      <c r="G1005" t="inlineStr">
        <is>
          <t>FRS</t>
        </is>
      </c>
      <c r="H1005" t="inlineStr">
        <is>
          <t>RTPBQ_CM18044.pdf</t>
        </is>
      </c>
      <c r="K1005" t="inlineStr">
        <is>
          <t>Not found</t>
        </is>
      </c>
      <c r="L1005" t="inlineStr">
        <is>
          <t>Unknown</t>
        </is>
      </c>
      <c r="T1005" t="inlineStr">
        <is>
          <t>https://tenders.iglonline.net/uploads/tender/RTPBQ_CM18044.pdf</t>
        </is>
      </c>
      <c r="U1005" t="inlineStr">
        <is>
          <t>No</t>
        </is>
      </c>
      <c r="V1005"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6">
      <c r="A1006" t="inlineStr">
        <is>
          <t>T-0810</t>
        </is>
      </c>
      <c r="B1006" t="inlineStr">
        <is>
          <t>Indraprastha Gas (IGL)</t>
        </is>
      </c>
      <c r="C1006" t="inlineStr">
        <is>
          <t>Indraprastha Gas (IGL)</t>
        </is>
      </c>
      <c r="D1006" t="inlineStr">
        <is>
          <t>DOCUMENT</t>
        </is>
      </c>
      <c r="F1006" t="inlineStr">
        <is>
          <t>Awarded</t>
        </is>
      </c>
      <c r="G1006" t="inlineStr">
        <is>
          <t>FRS</t>
        </is>
      </c>
      <c r="H1006" t="inlineStr">
        <is>
          <t>RTPBQ_CM18044_-2.pdf</t>
        </is>
      </c>
      <c r="K1006" t="inlineStr">
        <is>
          <t>Not found</t>
        </is>
      </c>
      <c r="L1006" t="inlineStr">
        <is>
          <t>Unknown</t>
        </is>
      </c>
      <c r="T1006" t="inlineStr">
        <is>
          <t>https://tenders.iglonline.net/uploads/tender/RTPBQ_CM18044_-2.pdf</t>
        </is>
      </c>
      <c r="U1006" t="inlineStr">
        <is>
          <t>No</t>
        </is>
      </c>
      <c r="V1006"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7">
      <c r="A1007" t="inlineStr">
        <is>
          <t>T-0811</t>
        </is>
      </c>
      <c r="B1007" t="inlineStr">
        <is>
          <t>Indraprastha Gas (IGL)</t>
        </is>
      </c>
      <c r="C1007" t="inlineStr">
        <is>
          <t>Indraprastha Gas (IGL)</t>
        </is>
      </c>
      <c r="F1007" t="inlineStr">
        <is>
          <t>New Lead</t>
        </is>
      </c>
      <c r="H1007" t="inlineStr">
        <is>
          <t>View Tender</t>
        </is>
      </c>
      <c r="K1007" t="inlineStr">
        <is>
          <t>Not found</t>
        </is>
      </c>
      <c r="L1007" t="inlineStr">
        <is>
          <t>Unknown</t>
        </is>
      </c>
      <c r="T1007" t="inlineStr">
        <is>
          <t>https://tenders.iglonline.net/tenderDetail/289/Active Tenders And Corrigendum-Addendum</t>
        </is>
      </c>
      <c r="U1007" t="inlineStr">
        <is>
          <t>No</t>
        </is>
      </c>
      <c r="V1007" t="inlineStr">
        <is>
          <t>Bot tarafindan tespit edildi (2026-07-01)</t>
        </is>
      </c>
    </row>
    <row r="1008">
      <c r="A1008" t="inlineStr">
        <is>
          <t>T-0812</t>
        </is>
      </c>
      <c r="B1008" t="inlineStr">
        <is>
          <t>Indraprastha Gas (IGL)</t>
        </is>
      </c>
      <c r="C1008" t="inlineStr">
        <is>
          <t>Indraprastha Gas (IGL)</t>
        </is>
      </c>
      <c r="F1008" t="inlineStr">
        <is>
          <t>New Lead</t>
        </is>
      </c>
      <c r="G1008" t="inlineStr">
        <is>
          <t>Gas-related / review</t>
        </is>
      </c>
      <c r="H1008" t="inlineStr">
        <is>
          <t>RTPBQ_CM18056.pdf</t>
        </is>
      </c>
      <c r="K1008" t="inlineStr">
        <is>
          <t>Not found</t>
        </is>
      </c>
      <c r="L1008" t="inlineStr">
        <is>
          <t>Unknown</t>
        </is>
      </c>
      <c r="T1008" t="inlineStr">
        <is>
          <t>https://tenders.iglonline.net/uploads/tender/RTPBQ_CM18056.pdf</t>
        </is>
      </c>
      <c r="U1008" t="inlineStr">
        <is>
          <t>No</t>
        </is>
      </c>
      <c r="V1008" t="inlineStr">
        <is>
          <t>Bot tarafindan tespit edildi (2026-07-01); Bot tespit/zenginlestirme (2026-07-01); meta:score=35;priority=Low;source_type=html_table;closing_date=;equipment=Gas-related / review;reasons=equipment:Gas-related / review,document source</t>
        </is>
      </c>
    </row>
    <row r="1009">
      <c r="A1009" t="inlineStr">
        <is>
          <t>T-0813</t>
        </is>
      </c>
      <c r="B1009" t="inlineStr">
        <is>
          <t>Indraprastha Gas (IGL)</t>
        </is>
      </c>
      <c r="C1009" t="inlineStr">
        <is>
          <t>Indraprastha Gas (IGL)</t>
        </is>
      </c>
      <c r="F1009" t="inlineStr">
        <is>
          <t>New Lead</t>
        </is>
      </c>
      <c r="G1009" t="inlineStr">
        <is>
          <t>Gas-related / review</t>
        </is>
      </c>
      <c r="H1009" t="inlineStr">
        <is>
          <t>Corrigendum_14.pdf</t>
        </is>
      </c>
      <c r="K1009" t="inlineStr">
        <is>
          <t>Not found</t>
        </is>
      </c>
      <c r="L1009" t="inlineStr">
        <is>
          <t>Unknown</t>
        </is>
      </c>
      <c r="T1009" t="inlineStr">
        <is>
          <t>https://tenders.iglonline.net/uploads/tender/Corrigendum_14.pdf</t>
        </is>
      </c>
      <c r="U1009" t="inlineStr">
        <is>
          <t>No</t>
        </is>
      </c>
      <c r="V1009" t="inlineStr">
        <is>
          <t>Bot tarafindan tespit edildi (2026-07-01); Bot tespit/zenginlestirme (2026-07-01); meta:score=35;priority=Low;source_type=html_table;closing_date=;equipment=Gas-related / review;reasons=equipment:Gas-related / review,document source</t>
        </is>
      </c>
    </row>
    <row r="1010">
      <c r="A1010" t="inlineStr">
        <is>
          <t>T-0814</t>
        </is>
      </c>
      <c r="B1010" t="inlineStr">
        <is>
          <t>Indraprastha Gas (IGL)</t>
        </is>
      </c>
      <c r="C1010" t="inlineStr">
        <is>
          <t>Indraprastha Gas (IGL)</t>
        </is>
      </c>
      <c r="F1010" t="inlineStr">
        <is>
          <t>New Lead</t>
        </is>
      </c>
      <c r="G1010" t="inlineStr">
        <is>
          <t>Gas-related / review</t>
        </is>
      </c>
      <c r="H1010" t="inlineStr">
        <is>
          <t>Corrigendum_II_Cancellation_of_tender.pdf</t>
        </is>
      </c>
      <c r="K1010" t="inlineStr">
        <is>
          <t>Not found</t>
        </is>
      </c>
      <c r="L1010" t="inlineStr">
        <is>
          <t>Unknown</t>
        </is>
      </c>
      <c r="T1010" t="inlineStr">
        <is>
          <t>https://tenders.iglonline.net/uploads/tender/Corrigendum_II_Cancellation_of_tender.pdf</t>
        </is>
      </c>
      <c r="U1010" t="inlineStr">
        <is>
          <t>No</t>
        </is>
      </c>
      <c r="V1010" t="inlineStr">
        <is>
          <t>Bot tarafindan tespit edildi (2026-07-01); Bot tespit/zenginlestirme (2026-07-01); meta:score=35;priority=Low;source_type=html_table;closing_date=;equipment=Gas-related / review;reasons=equipment:Gas-related / review,document source</t>
        </is>
      </c>
    </row>
    <row r="1011">
      <c r="A1011" t="inlineStr">
        <is>
          <t>T-0815</t>
        </is>
      </c>
      <c r="B1011" t="inlineStr">
        <is>
          <t>Indraprastha Gas (IGL)</t>
        </is>
      </c>
      <c r="C1011" t="inlineStr">
        <is>
          <t>Indraprastha Gas (IGL)</t>
        </is>
      </c>
      <c r="F1011" t="inlineStr">
        <is>
          <t>New Lead</t>
        </is>
      </c>
      <c r="H1011" t="inlineStr">
        <is>
          <t>View Tender</t>
        </is>
      </c>
      <c r="K1011" t="inlineStr">
        <is>
          <t>Not found</t>
        </is>
      </c>
      <c r="L1011" t="inlineStr">
        <is>
          <t>Unknown</t>
        </is>
      </c>
      <c r="T1011" t="inlineStr">
        <is>
          <t>https://tenders.iglonline.net/tenderDetail/288/Active Tenders And Corrigendum-Addendum</t>
        </is>
      </c>
      <c r="U1011" t="inlineStr">
        <is>
          <t>No</t>
        </is>
      </c>
      <c r="V1011" t="inlineStr">
        <is>
          <t>Bot tarafindan tespit edildi (2026-07-01)</t>
        </is>
      </c>
    </row>
    <row r="1012">
      <c r="A1012" t="inlineStr">
        <is>
          <t>T-0816</t>
        </is>
      </c>
      <c r="B1012" t="inlineStr">
        <is>
          <t>Indraprastha Gas (IGL)</t>
        </is>
      </c>
      <c r="C1012" t="inlineStr">
        <is>
          <t>Indraprastha Gas (IGL)</t>
        </is>
      </c>
      <c r="F1012" t="inlineStr">
        <is>
          <t>New Lead</t>
        </is>
      </c>
      <c r="G1012" t="inlineStr">
        <is>
          <t>Gas-related / review</t>
        </is>
      </c>
      <c r="H1012" t="inlineStr">
        <is>
          <t>Corrigendum_I_CC17994.pdf</t>
        </is>
      </c>
      <c r="K1012" t="inlineStr">
        <is>
          <t>Not found</t>
        </is>
      </c>
      <c r="L1012" t="inlineStr">
        <is>
          <t>Unknown</t>
        </is>
      </c>
      <c r="T1012" t="inlineStr">
        <is>
          <t>https://tenders.iglonline.net/uploads/tender/Corrigendum_I_CC17994.pdf</t>
        </is>
      </c>
      <c r="U1012" t="inlineStr">
        <is>
          <t>No</t>
        </is>
      </c>
      <c r="V1012" t="inlineStr">
        <is>
          <t>Bot tarafindan tespit edildi (2026-07-01); Bot tespit/zenginlestirme (2026-07-01); meta:score=50;priority=Medium;source_type=html_table;closing_date=;equipment=Gas-related / review;reasons=equipment:Gas-related / review,document source,tender reference signal</t>
        </is>
      </c>
    </row>
    <row r="1013">
      <c r="A1013" t="inlineStr">
        <is>
          <t>T-0817</t>
        </is>
      </c>
      <c r="B1013" t="inlineStr">
        <is>
          <t>Indraprastha Gas (IGL)</t>
        </is>
      </c>
      <c r="C1013" t="inlineStr">
        <is>
          <t>Indraprastha Gas (IGL)</t>
        </is>
      </c>
      <c r="D1013" t="inlineStr">
        <is>
          <t>IGL/ET2/CP/CC17994</t>
        </is>
      </c>
      <c r="F1013" t="inlineStr">
        <is>
          <t>New Lead</t>
        </is>
      </c>
      <c r="G1013" t="inlineStr">
        <is>
          <t>Gas-related / review</t>
        </is>
      </c>
      <c r="H1013" t="inlineStr">
        <is>
          <t>Corrigendum_II_CC17994.pdf</t>
        </is>
      </c>
      <c r="K1013" t="inlineStr">
        <is>
          <t>Not found</t>
        </is>
      </c>
      <c r="L1013" t="inlineStr">
        <is>
          <t>Unknown</t>
        </is>
      </c>
      <c r="T1013" t="inlineStr">
        <is>
          <t>https://tenders.iglonline.net/uploads/tender/Corrigendum_II_CC17994.pdf</t>
        </is>
      </c>
      <c r="U1013" t="inlineStr">
        <is>
          <t>No</t>
        </is>
      </c>
      <c r="V1013" t="inlineStr">
        <is>
          <t>Bot tarafindan tespit edildi (2026-07-01); Bot tespit/zenginlestirme (2026-07-01); meta:score=50;priority=Medium;source_type=html_table;closing_date=;equipment=Gas-related / review;reasons=equipment:Gas-related / review,document source,tender reference signal</t>
        </is>
      </c>
    </row>
    <row r="1014">
      <c r="A1014" t="inlineStr">
        <is>
          <t>T-0818</t>
        </is>
      </c>
      <c r="B1014" t="inlineStr">
        <is>
          <t>Indraprastha Gas (IGL)</t>
        </is>
      </c>
      <c r="C1014" t="inlineStr">
        <is>
          <t>Indraprastha Gas (IGL)</t>
        </is>
      </c>
      <c r="F1014" t="inlineStr">
        <is>
          <t>New Lead</t>
        </is>
      </c>
      <c r="H1014" t="inlineStr">
        <is>
          <t>View Tender</t>
        </is>
      </c>
      <c r="K1014" t="inlineStr">
        <is>
          <t>Not found</t>
        </is>
      </c>
      <c r="L1014" t="inlineStr">
        <is>
          <t>Unknown</t>
        </is>
      </c>
      <c r="T1014" t="inlineStr">
        <is>
          <t>https://tenders.iglonline.net/tenderDetail/287/Active Tenders And Corrigendum-Addendum</t>
        </is>
      </c>
      <c r="U1014" t="inlineStr">
        <is>
          <t>No</t>
        </is>
      </c>
      <c r="V1014" t="inlineStr">
        <is>
          <t>Bot tarafindan tespit edildi (2026-07-01)</t>
        </is>
      </c>
    </row>
    <row r="1015">
      <c r="A1015" t="inlineStr">
        <is>
          <t>T-0819</t>
        </is>
      </c>
      <c r="B1015" t="inlineStr">
        <is>
          <t>Indraprastha Gas (IGL)</t>
        </is>
      </c>
      <c r="C1015" t="inlineStr">
        <is>
          <t>Indraprastha Gas (IGL)</t>
        </is>
      </c>
      <c r="F1015" t="inlineStr">
        <is>
          <t>New Lead</t>
        </is>
      </c>
      <c r="H1015" t="inlineStr">
        <is>
          <t>CORRIGENDUM_CC18016.pdf</t>
        </is>
      </c>
      <c r="K1015" t="inlineStr">
        <is>
          <t>Not found</t>
        </is>
      </c>
      <c r="L1015" t="inlineStr">
        <is>
          <t>Unknown</t>
        </is>
      </c>
      <c r="T1015" t="inlineStr">
        <is>
          <t>https://tenders.iglonline.net/uploads/tender/CORRIGENDUM_CC18016.pdf</t>
        </is>
      </c>
      <c r="U1015" t="inlineStr">
        <is>
          <t>No</t>
        </is>
      </c>
      <c r="V1015" t="inlineStr">
        <is>
          <t>Bot tarafindan tespit edildi (2026-07-01)</t>
        </is>
      </c>
    </row>
    <row r="1016">
      <c r="A1016" t="inlineStr">
        <is>
          <t>T-0820</t>
        </is>
      </c>
      <c r="B1016" t="inlineStr">
        <is>
          <t>Indraprastha Gas (IGL)</t>
        </is>
      </c>
      <c r="C1016" t="inlineStr">
        <is>
          <t>Indraprastha Gas (IGL)</t>
        </is>
      </c>
      <c r="F1016" t="inlineStr">
        <is>
          <t>New Lead</t>
        </is>
      </c>
      <c r="H1016" t="inlineStr">
        <is>
          <t>View Tender</t>
        </is>
      </c>
      <c r="K1016" t="inlineStr">
        <is>
          <t>Not found</t>
        </is>
      </c>
      <c r="L1016" t="inlineStr">
        <is>
          <t>Unknown</t>
        </is>
      </c>
      <c r="T1016" t="inlineStr">
        <is>
          <t>https://tenders.iglonline.net/tenderDetail/286/Active Tenders And Corrigendum-Addendum</t>
        </is>
      </c>
      <c r="U1016" t="inlineStr">
        <is>
          <t>No</t>
        </is>
      </c>
      <c r="V1016" t="inlineStr">
        <is>
          <t>Bot tarafindan tespit edildi (2026-07-01)</t>
        </is>
      </c>
    </row>
    <row r="1017">
      <c r="A1017" t="inlineStr">
        <is>
          <t>T-0821</t>
        </is>
      </c>
      <c r="B1017" t="inlineStr">
        <is>
          <t>Indraprastha Gas (IGL)</t>
        </is>
      </c>
      <c r="C1017" t="inlineStr">
        <is>
          <t>Indraprastha Gas (IGL)</t>
        </is>
      </c>
      <c r="F1017" t="inlineStr">
        <is>
          <t>New Lead</t>
        </is>
      </c>
      <c r="H1017" t="inlineStr">
        <is>
          <t>PRE-BID_QUERIES1.pdf</t>
        </is>
      </c>
      <c r="K1017" t="inlineStr">
        <is>
          <t>Not found</t>
        </is>
      </c>
      <c r="L1017" t="inlineStr">
        <is>
          <t>Unknown</t>
        </is>
      </c>
      <c r="T1017" t="inlineStr">
        <is>
          <t>https://tenders.iglonline.net/uploads/tender/PRE-BID_QUERIES1.pdf</t>
        </is>
      </c>
      <c r="U1017" t="inlineStr">
        <is>
          <t>No</t>
        </is>
      </c>
      <c r="V1017" t="inlineStr">
        <is>
          <t>Bot tarafindan tespit edildi (2026-07-01)</t>
        </is>
      </c>
    </row>
    <row r="1018">
      <c r="A1018" t="inlineStr">
        <is>
          <t>T-0822</t>
        </is>
      </c>
      <c r="B1018" t="inlineStr">
        <is>
          <t>Indraprastha Gas (IGL)</t>
        </is>
      </c>
      <c r="C1018" t="inlineStr">
        <is>
          <t>Indraprastha Gas (IGL)</t>
        </is>
      </c>
      <c r="F1018" t="inlineStr">
        <is>
          <t>New Lead</t>
        </is>
      </c>
      <c r="H1018" t="inlineStr">
        <is>
          <t>View Tender</t>
        </is>
      </c>
      <c r="K1018" t="inlineStr">
        <is>
          <t>Not found</t>
        </is>
      </c>
      <c r="L1018" t="inlineStr">
        <is>
          <t>Unknown</t>
        </is>
      </c>
      <c r="T1018" t="inlineStr">
        <is>
          <t>https://tenders.iglonline.net/tenderDetail/285/Active Tenders And Corrigendum-Addendum</t>
        </is>
      </c>
      <c r="U1018" t="inlineStr">
        <is>
          <t>No</t>
        </is>
      </c>
      <c r="V1018" t="inlineStr">
        <is>
          <t>Bot tarafindan tespit edildi (2026-07-01)</t>
        </is>
      </c>
    </row>
    <row r="1019">
      <c r="A1019" t="inlineStr">
        <is>
          <t>T-0823</t>
        </is>
      </c>
      <c r="B1019" t="inlineStr">
        <is>
          <t>Indraprastha Gas (IGL)</t>
        </is>
      </c>
      <c r="C1019" t="inlineStr">
        <is>
          <t>Indraprastha Gas (IGL)</t>
        </is>
      </c>
      <c r="F1019" t="inlineStr">
        <is>
          <t>New Lead</t>
        </is>
      </c>
      <c r="H1019" t="inlineStr">
        <is>
          <t>CORRIGENDUM_1-4.pdf</t>
        </is>
      </c>
      <c r="K1019" t="inlineStr">
        <is>
          <t>Not found</t>
        </is>
      </c>
      <c r="L1019" t="inlineStr">
        <is>
          <t>Unknown</t>
        </is>
      </c>
      <c r="T1019" t="inlineStr">
        <is>
          <t>https://tenders.iglonline.net/uploads/tender/CORRIGENDUM_1-4.pdf</t>
        </is>
      </c>
      <c r="U1019" t="inlineStr">
        <is>
          <t>No</t>
        </is>
      </c>
      <c r="V1019" t="inlineStr">
        <is>
          <t>Bot tarafindan tespit edildi (2026-07-01)</t>
        </is>
      </c>
    </row>
    <row r="1020">
      <c r="A1020" t="inlineStr">
        <is>
          <t>T-0824</t>
        </is>
      </c>
      <c r="B1020" t="inlineStr">
        <is>
          <t>Indraprastha Gas (IGL)</t>
        </is>
      </c>
      <c r="C1020" t="inlineStr">
        <is>
          <t>Indraprastha Gas (IGL)</t>
        </is>
      </c>
      <c r="F1020" t="inlineStr">
        <is>
          <t>New Lead</t>
        </is>
      </c>
      <c r="H1020" t="inlineStr">
        <is>
          <t>Reply_to_Bidders_CM18013.pdf</t>
        </is>
      </c>
      <c r="K1020" t="inlineStr">
        <is>
          <t>Not found</t>
        </is>
      </c>
      <c r="L1020" t="inlineStr">
        <is>
          <t>Unknown</t>
        </is>
      </c>
      <c r="T1020" t="inlineStr">
        <is>
          <t>https://tenders.iglonline.net/uploads/tender/Reply_to_Bidders_CM18013.pdf</t>
        </is>
      </c>
      <c r="U1020" t="inlineStr">
        <is>
          <t>No</t>
        </is>
      </c>
      <c r="V1020" t="inlineStr">
        <is>
          <t>Bot tarafindan tespit edildi (2026-07-01)</t>
        </is>
      </c>
    </row>
    <row r="1021">
      <c r="A1021" t="inlineStr">
        <is>
          <t>T-0825</t>
        </is>
      </c>
      <c r="B1021" t="inlineStr">
        <is>
          <t>Indraprastha Gas (IGL)</t>
        </is>
      </c>
      <c r="C1021" t="inlineStr">
        <is>
          <t>Indraprastha Gas (IGL)</t>
        </is>
      </c>
      <c r="F1021" t="inlineStr">
        <is>
          <t>New Lead</t>
        </is>
      </c>
      <c r="H1021" t="inlineStr">
        <is>
          <t>View Tender</t>
        </is>
      </c>
      <c r="K1021" t="inlineStr">
        <is>
          <t>Not found</t>
        </is>
      </c>
      <c r="L1021" t="inlineStr">
        <is>
          <t>Unknown</t>
        </is>
      </c>
      <c r="T1021" t="inlineStr">
        <is>
          <t>https://tenders.iglonline.net/tenderDetail/284/Active Tenders And Corrigendum-Addendum</t>
        </is>
      </c>
      <c r="U1021" t="inlineStr">
        <is>
          <t>No</t>
        </is>
      </c>
      <c r="V1021" t="inlineStr">
        <is>
          <t>Bot tarafindan tespit edildi (2026-07-01)</t>
        </is>
      </c>
    </row>
    <row r="1022">
      <c r="A1022" t="inlineStr">
        <is>
          <t>T-0826</t>
        </is>
      </c>
      <c r="B1022" t="inlineStr">
        <is>
          <t>Indraprastha Gas (IGL)</t>
        </is>
      </c>
      <c r="C1022" t="inlineStr">
        <is>
          <t>Indraprastha Gas (IGL)</t>
        </is>
      </c>
      <c r="F1022" t="inlineStr">
        <is>
          <t>New Lead</t>
        </is>
      </c>
      <c r="H1022" t="inlineStr">
        <is>
          <t>Corrigendum_I_CC17978.pdf</t>
        </is>
      </c>
      <c r="K1022" t="inlineStr">
        <is>
          <t>Not found</t>
        </is>
      </c>
      <c r="L1022" t="inlineStr">
        <is>
          <t>Unknown</t>
        </is>
      </c>
      <c r="T1022" t="inlineStr">
        <is>
          <t>https://tenders.iglonline.net/uploads/tender/Corrigendum_I_CC17978.pdf</t>
        </is>
      </c>
      <c r="U1022" t="inlineStr">
        <is>
          <t>No</t>
        </is>
      </c>
      <c r="V1022" t="inlineStr">
        <is>
          <t>Bot tarafindan tespit edildi (2026-07-01)</t>
        </is>
      </c>
    </row>
    <row r="1023">
      <c r="A1023" t="inlineStr">
        <is>
          <t>T-0827</t>
        </is>
      </c>
      <c r="B1023" t="inlineStr">
        <is>
          <t>Indraprastha Gas (IGL)</t>
        </is>
      </c>
      <c r="C1023" t="inlineStr">
        <is>
          <t>Indraprastha Gas (IGL)</t>
        </is>
      </c>
      <c r="F1023" t="inlineStr">
        <is>
          <t>New Lead</t>
        </is>
      </c>
      <c r="H1023" t="inlineStr">
        <is>
          <t>View Tender</t>
        </is>
      </c>
      <c r="K1023" t="inlineStr">
        <is>
          <t>Not found</t>
        </is>
      </c>
      <c r="L1023" t="inlineStr">
        <is>
          <t>Unknown</t>
        </is>
      </c>
      <c r="T1023" t="inlineStr">
        <is>
          <t>https://tenders.iglonline.net/tenderDetail/283/Active Tenders And Corrigendum-Addendum</t>
        </is>
      </c>
      <c r="U1023" t="inlineStr">
        <is>
          <t>No</t>
        </is>
      </c>
      <c r="V1023" t="inlineStr">
        <is>
          <t>Bot tarafindan tespit edildi (2026-07-01)</t>
        </is>
      </c>
    </row>
    <row r="1024">
      <c r="A1024" t="inlineStr">
        <is>
          <t>T-0828</t>
        </is>
      </c>
      <c r="B1024" t="inlineStr">
        <is>
          <t>Indraprastha Gas (IGL)</t>
        </is>
      </c>
      <c r="C1024" t="inlineStr">
        <is>
          <t>Indraprastha Gas (IGL)</t>
        </is>
      </c>
      <c r="D1024" t="inlineStr">
        <is>
          <t>oring</t>
        </is>
      </c>
      <c r="F1024" t="inlineStr">
        <is>
          <t>New Lead</t>
        </is>
      </c>
      <c r="G1024" t="inlineStr">
        <is>
          <t>Unclassified</t>
        </is>
      </c>
      <c r="H1024" t="inlineStr">
        <is>
          <t>Corrigendum_1_CP17972.pdf</t>
        </is>
      </c>
      <c r="K1024" t="inlineStr">
        <is>
          <t>Not found</t>
        </is>
      </c>
      <c r="L1024" t="inlineStr">
        <is>
          <t>Unknown</t>
        </is>
      </c>
      <c r="T1024" t="inlineStr">
        <is>
          <t>https://tenders.iglonline.net/uploads/tender/Corrigendum_1_CP17972.pdf</t>
        </is>
      </c>
      <c r="U1024" t="inlineStr">
        <is>
          <t>No</t>
        </is>
      </c>
      <c r="V1024" t="inlineStr">
        <is>
          <t>Bot tarafindan tespit edildi (2026-07-01); Bot tespit/zenginlestirme (2026-07-01); meta:score=35;priority=Low;source_type=html_table;closing_date=;equipment=Unclassified;reasons=document source,tender reference signal</t>
        </is>
      </c>
    </row>
    <row r="1025">
      <c r="A1025" t="inlineStr">
        <is>
          <t>T-0829</t>
        </is>
      </c>
      <c r="B1025" t="inlineStr">
        <is>
          <t>Indraprastha Gas (IGL)</t>
        </is>
      </c>
      <c r="C1025" t="inlineStr">
        <is>
          <t>Indraprastha Gas (IGL)</t>
        </is>
      </c>
      <c r="D1025" t="inlineStr">
        <is>
          <t>oring</t>
        </is>
      </c>
      <c r="F1025" t="inlineStr">
        <is>
          <t>New Lead</t>
        </is>
      </c>
      <c r="G1025" t="inlineStr">
        <is>
          <t>Unclassified</t>
        </is>
      </c>
      <c r="H1025" t="inlineStr">
        <is>
          <t>RTBQ-11.pdf</t>
        </is>
      </c>
      <c r="K1025" t="inlineStr">
        <is>
          <t>Not found</t>
        </is>
      </c>
      <c r="L1025" t="inlineStr">
        <is>
          <t>Unknown</t>
        </is>
      </c>
      <c r="T1025" t="inlineStr">
        <is>
          <t>https://tenders.iglonline.net/uploads/tender/RTBQ-11.pdf</t>
        </is>
      </c>
      <c r="U1025" t="inlineStr">
        <is>
          <t>No</t>
        </is>
      </c>
      <c r="V1025" t="inlineStr">
        <is>
          <t>Bot tarafindan tespit edildi (2026-07-01); Bot tespit/zenginlestirme (2026-07-01); meta:score=35;priority=Low;source_type=html_table;closing_date=;equipment=Unclassified;reasons=document source,tender reference signal</t>
        </is>
      </c>
    </row>
    <row r="1026">
      <c r="A1026" t="inlineStr">
        <is>
          <t>T-0830</t>
        </is>
      </c>
      <c r="B1026" t="inlineStr">
        <is>
          <t>Indraprastha Gas (IGL)</t>
        </is>
      </c>
      <c r="C1026" t="inlineStr">
        <is>
          <t>Indraprastha Gas (IGL)</t>
        </is>
      </c>
      <c r="F1026" t="inlineStr">
        <is>
          <t>New Lead</t>
        </is>
      </c>
      <c r="H1026" t="inlineStr">
        <is>
          <t>View Tender</t>
        </is>
      </c>
      <c r="K1026" t="inlineStr">
        <is>
          <t>Not found</t>
        </is>
      </c>
      <c r="L1026" t="inlineStr">
        <is>
          <t>Unknown</t>
        </is>
      </c>
      <c r="T1026" t="inlineStr">
        <is>
          <t>https://tenders.iglonline.net/tenderDetail/282/Active Tenders And Corrigendum-Addendum</t>
        </is>
      </c>
      <c r="U1026" t="inlineStr">
        <is>
          <t>No</t>
        </is>
      </c>
      <c r="V1026" t="inlineStr">
        <is>
          <t>Bot tarafindan tespit edildi (2026-07-01)</t>
        </is>
      </c>
    </row>
    <row r="1027">
      <c r="A1027" t="inlineStr">
        <is>
          <t>T-0831</t>
        </is>
      </c>
      <c r="B1027" t="inlineStr">
        <is>
          <t>Indraprastha Gas (IGL)</t>
        </is>
      </c>
      <c r="C1027" t="inlineStr">
        <is>
          <t>Indraprastha Gas (IGL)</t>
        </is>
      </c>
      <c r="F1027" t="inlineStr">
        <is>
          <t>New Lead</t>
        </is>
      </c>
      <c r="H1027" t="inlineStr">
        <is>
          <t>Corrigendum-I_CC17931.pdf</t>
        </is>
      </c>
      <c r="K1027" t="inlineStr">
        <is>
          <t>Not found</t>
        </is>
      </c>
      <c r="L1027" t="inlineStr">
        <is>
          <t>Unknown</t>
        </is>
      </c>
      <c r="T1027" t="inlineStr">
        <is>
          <t>https://tenders.iglonline.net/uploads/tender/Corrigendum-I_CC17931.pdf</t>
        </is>
      </c>
      <c r="U1027" t="inlineStr">
        <is>
          <t>No</t>
        </is>
      </c>
      <c r="V1027" t="inlineStr">
        <is>
          <t>Bot tarafindan tespit edildi (2026-07-01)</t>
        </is>
      </c>
    </row>
    <row r="1028">
      <c r="A1028" t="inlineStr">
        <is>
          <t>T-0832</t>
        </is>
      </c>
      <c r="B1028" t="inlineStr">
        <is>
          <t>Indraprastha Gas (IGL)</t>
        </is>
      </c>
      <c r="C1028" t="inlineStr">
        <is>
          <t>Indraprastha Gas (IGL)</t>
        </is>
      </c>
      <c r="F1028" t="inlineStr">
        <is>
          <t>New Lead</t>
        </is>
      </c>
      <c r="H1028" t="inlineStr">
        <is>
          <t>View Tender</t>
        </is>
      </c>
      <c r="K1028" t="inlineStr">
        <is>
          <t>Not found</t>
        </is>
      </c>
      <c r="L1028" t="inlineStr">
        <is>
          <t>Unknown</t>
        </is>
      </c>
      <c r="T1028" t="inlineStr">
        <is>
          <t>https://tenders.iglonline.net/tenderDetail/281/Active Tenders And Corrigendum-Addendum</t>
        </is>
      </c>
      <c r="U1028" t="inlineStr">
        <is>
          <t>No</t>
        </is>
      </c>
      <c r="V1028" t="inlineStr">
        <is>
          <t>Bot tarafindan tespit edildi (2026-07-01)</t>
        </is>
      </c>
    </row>
    <row r="1029">
      <c r="A1029" t="inlineStr">
        <is>
          <t>T-0833</t>
        </is>
      </c>
      <c r="B1029" t="inlineStr">
        <is>
          <t>Indraprastha Gas (IGL)</t>
        </is>
      </c>
      <c r="C1029" t="inlineStr">
        <is>
          <t>Indraprastha Gas (IGL)</t>
        </is>
      </c>
      <c r="F1029" t="inlineStr">
        <is>
          <t>New Lead</t>
        </is>
      </c>
      <c r="H1029" t="inlineStr">
        <is>
          <t>View Tender</t>
        </is>
      </c>
      <c r="K1029" t="inlineStr">
        <is>
          <t>Not found</t>
        </is>
      </c>
      <c r="L1029" t="inlineStr">
        <is>
          <t>Unknown</t>
        </is>
      </c>
      <c r="T1029" t="inlineStr">
        <is>
          <t>https://tenders.iglonline.net/tenderDetail/280/Active Tenders And Corrigendum-Addendum</t>
        </is>
      </c>
      <c r="U1029" t="inlineStr">
        <is>
          <t>No</t>
        </is>
      </c>
      <c r="V1029" t="inlineStr">
        <is>
          <t>Bot tarafindan tespit edildi (2026-07-01)</t>
        </is>
      </c>
    </row>
    <row r="1030">
      <c r="A1030" t="inlineStr">
        <is>
          <t>T-0834</t>
        </is>
      </c>
      <c r="B1030" t="inlineStr">
        <is>
          <t>Indraprastha Gas (IGL)</t>
        </is>
      </c>
      <c r="C1030" t="inlineStr">
        <is>
          <t>Indraprastha Gas (IGL)</t>
        </is>
      </c>
      <c r="F1030" t="inlineStr">
        <is>
          <t>New Lead</t>
        </is>
      </c>
      <c r="G1030" t="inlineStr">
        <is>
          <t>Unclassified</t>
        </is>
      </c>
      <c r="H1030" t="inlineStr">
        <is>
          <t>Pre-bid_reply_CM18000.pdf</t>
        </is>
      </c>
      <c r="K1030" t="inlineStr">
        <is>
          <t>Not found</t>
        </is>
      </c>
      <c r="L1030" t="inlineStr">
        <is>
          <t>Unknown</t>
        </is>
      </c>
      <c r="T1030" t="inlineStr">
        <is>
          <t>https://tenders.iglonline.net/uploads/tender/Pre-bid_reply_CM18000.pdf</t>
        </is>
      </c>
      <c r="U1030" t="inlineStr">
        <is>
          <t>No</t>
        </is>
      </c>
      <c r="V1030" t="inlineStr">
        <is>
          <t>Bot tarafindan tespit edildi (2026-07-01); Bot tespit/zenginlestirme (2026-07-01); meta:score=40;priority=Medium;source_type=html_table;closing_date=;equipment=Unclassified;reasons=document source,quantity signal</t>
        </is>
      </c>
    </row>
    <row r="1031">
      <c r="A1031" t="inlineStr">
        <is>
          <t>T-0835</t>
        </is>
      </c>
      <c r="B1031" t="inlineStr">
        <is>
          <t>Indraprastha Gas (IGL)</t>
        </is>
      </c>
      <c r="C1031" t="inlineStr">
        <is>
          <t>Indraprastha Gas (IGL)</t>
        </is>
      </c>
      <c r="F1031" t="inlineStr">
        <is>
          <t>New Lead</t>
        </is>
      </c>
      <c r="G1031" t="inlineStr">
        <is>
          <t>Unclassified</t>
        </is>
      </c>
      <c r="H1031" t="inlineStr">
        <is>
          <t>Corrigendum_1-1.pdf</t>
        </is>
      </c>
      <c r="K1031" t="inlineStr">
        <is>
          <t>Not found</t>
        </is>
      </c>
      <c r="L1031" t="inlineStr">
        <is>
          <t>Unknown</t>
        </is>
      </c>
      <c r="T1031" t="inlineStr">
        <is>
          <t>https://tenders.iglonline.net/uploads/tender/Corrigendum_1-1.pdf</t>
        </is>
      </c>
      <c r="U1031" t="inlineStr">
        <is>
          <t>No</t>
        </is>
      </c>
      <c r="V1031" t="inlineStr">
        <is>
          <t>Bot tarafindan tespit edildi (2026-07-01); Bot tespit/zenginlestirme (2026-07-01); meta:score=40;priority=Medium;source_type=html_table;closing_date=;equipment=Unclassified;reasons=document source,quantity signal</t>
        </is>
      </c>
    </row>
    <row r="1032">
      <c r="A1032" t="inlineStr">
        <is>
          <t>T-0836</t>
        </is>
      </c>
      <c r="B1032" t="inlineStr">
        <is>
          <t>Indraprastha Gas (IGL)</t>
        </is>
      </c>
      <c r="C1032" t="inlineStr">
        <is>
          <t>Indraprastha Gas (IGL)</t>
        </is>
      </c>
      <c r="F1032" t="inlineStr">
        <is>
          <t>New Lead</t>
        </is>
      </c>
      <c r="G1032" t="inlineStr">
        <is>
          <t>Unclassified</t>
        </is>
      </c>
      <c r="H1032" t="inlineStr">
        <is>
          <t>RTPBQ_CM18000.pdf</t>
        </is>
      </c>
      <c r="K1032" t="inlineStr">
        <is>
          <t>Not found</t>
        </is>
      </c>
      <c r="L1032" t="inlineStr">
        <is>
          <t>Unknown</t>
        </is>
      </c>
      <c r="T1032" t="inlineStr">
        <is>
          <t>https://tenders.iglonline.net/uploads/tender/RTPBQ_CM18000.pdf</t>
        </is>
      </c>
      <c r="U1032" t="inlineStr">
        <is>
          <t>No</t>
        </is>
      </c>
      <c r="V1032" t="inlineStr">
        <is>
          <t>Bot tarafindan tespit edildi (2026-07-01); Bot tespit/zenginlestirme (2026-07-01); meta:score=40;priority=Medium;source_type=html_table;closing_date=;equipment=Unclassified;reasons=document source,quantity signal</t>
        </is>
      </c>
    </row>
    <row r="1033">
      <c r="A1033" t="inlineStr">
        <is>
          <t>T-0837</t>
        </is>
      </c>
      <c r="B1033" t="inlineStr">
        <is>
          <t>Indraprastha Gas (IGL)</t>
        </is>
      </c>
      <c r="C1033" t="inlineStr">
        <is>
          <t>Indraprastha Gas (IGL)</t>
        </is>
      </c>
      <c r="F1033" t="inlineStr">
        <is>
          <t>New Lead</t>
        </is>
      </c>
      <c r="G1033" t="inlineStr">
        <is>
          <t>Unclassified</t>
        </is>
      </c>
      <c r="H1033" t="inlineStr">
        <is>
          <t>Corrigendum_25.pdf</t>
        </is>
      </c>
      <c r="K1033" t="inlineStr">
        <is>
          <t>Not found</t>
        </is>
      </c>
      <c r="L1033" t="inlineStr">
        <is>
          <t>Unknown</t>
        </is>
      </c>
      <c r="T1033" t="inlineStr">
        <is>
          <t>https://tenders.iglonline.net/uploads/tender/Corrigendum_25.pdf</t>
        </is>
      </c>
      <c r="U1033" t="inlineStr">
        <is>
          <t>No</t>
        </is>
      </c>
      <c r="V1033" t="inlineStr">
        <is>
          <t>Bot tarafindan tespit edildi (2026-07-01); Bot tespit/zenginlestirme (2026-07-01); meta:score=40;priority=Medium;source_type=html_table;closing_date=;equipment=Unclassified;reasons=document source,quantity signal</t>
        </is>
      </c>
    </row>
    <row r="1034">
      <c r="A1034" t="inlineStr">
        <is>
          <t>T-0838</t>
        </is>
      </c>
      <c r="B1034" t="inlineStr">
        <is>
          <t>Indraprastha Gas (IGL)</t>
        </is>
      </c>
      <c r="C1034" t="inlineStr">
        <is>
          <t>Indraprastha Gas (IGL)</t>
        </is>
      </c>
      <c r="F1034" t="inlineStr">
        <is>
          <t>New Lead</t>
        </is>
      </c>
      <c r="H1034" t="inlineStr">
        <is>
          <t>View Tender</t>
        </is>
      </c>
      <c r="K1034" t="inlineStr">
        <is>
          <t>Not found</t>
        </is>
      </c>
      <c r="L1034" t="inlineStr">
        <is>
          <t>Unknown</t>
        </is>
      </c>
      <c r="T1034" t="inlineStr">
        <is>
          <t>https://tenders.iglonline.net/tenderDetail/279/Active Tenders And Corrigendum-Addendum</t>
        </is>
      </c>
      <c r="U1034" t="inlineStr">
        <is>
          <t>No</t>
        </is>
      </c>
      <c r="V1034" t="inlineStr">
        <is>
          <t>Bot tarafindan tespit edildi (2026-07-01)</t>
        </is>
      </c>
    </row>
    <row r="1035">
      <c r="A1035" t="inlineStr">
        <is>
          <t>T-0839</t>
        </is>
      </c>
      <c r="B1035" t="inlineStr">
        <is>
          <t>Indraprastha Gas (IGL)</t>
        </is>
      </c>
      <c r="C1035" t="inlineStr">
        <is>
          <t>Indraprastha Gas (IGL)</t>
        </is>
      </c>
      <c r="F1035" t="inlineStr">
        <is>
          <t>New Lead</t>
        </is>
      </c>
      <c r="H1035" t="inlineStr">
        <is>
          <t>Corrigendum_13.pdf</t>
        </is>
      </c>
      <c r="K1035" t="inlineStr">
        <is>
          <t>Not found</t>
        </is>
      </c>
      <c r="L1035" t="inlineStr">
        <is>
          <t>Unknown</t>
        </is>
      </c>
      <c r="T1035" t="inlineStr">
        <is>
          <t>https://tenders.iglonline.net/uploads/tender/Corrigendum_13.pdf</t>
        </is>
      </c>
      <c r="U1035" t="inlineStr">
        <is>
          <t>No</t>
        </is>
      </c>
      <c r="V1035" t="inlineStr">
        <is>
          <t>Bot tarafindan tespit edildi (2026-07-01)</t>
        </is>
      </c>
    </row>
    <row r="1036">
      <c r="A1036" t="inlineStr">
        <is>
          <t>T-0840</t>
        </is>
      </c>
      <c r="B1036" t="inlineStr">
        <is>
          <t>Indraprastha Gas (IGL)</t>
        </is>
      </c>
      <c r="C1036" t="inlineStr">
        <is>
          <t>Indraprastha Gas (IGL)</t>
        </is>
      </c>
      <c r="F1036" t="inlineStr">
        <is>
          <t>New Lead</t>
        </is>
      </c>
      <c r="H1036" t="inlineStr">
        <is>
          <t>Corrigendum__2_CP17996.pdf</t>
        </is>
      </c>
      <c r="K1036" t="inlineStr">
        <is>
          <t>Not found</t>
        </is>
      </c>
      <c r="L1036" t="inlineStr">
        <is>
          <t>Unknown</t>
        </is>
      </c>
      <c r="T1036" t="inlineStr">
        <is>
          <t>https://tenders.iglonline.net/uploads/tender/Corrigendum__2_CP17996.pdf</t>
        </is>
      </c>
      <c r="U1036" t="inlineStr">
        <is>
          <t>No</t>
        </is>
      </c>
      <c r="V1036" t="inlineStr">
        <is>
          <t>Bot tarafindan tespit edildi (2026-07-01)</t>
        </is>
      </c>
    </row>
    <row r="1037">
      <c r="A1037" t="inlineStr">
        <is>
          <t>T-0841</t>
        </is>
      </c>
      <c r="B1037" t="inlineStr">
        <is>
          <t>Indraprastha Gas (IGL)</t>
        </is>
      </c>
      <c r="C1037" t="inlineStr">
        <is>
          <t>Indraprastha Gas (IGL)</t>
        </is>
      </c>
      <c r="F1037" t="inlineStr">
        <is>
          <t>New Lead</t>
        </is>
      </c>
      <c r="H1037" t="inlineStr">
        <is>
          <t>Replies_to_bidders_queries_CP17996.pdf</t>
        </is>
      </c>
      <c r="K1037" t="inlineStr">
        <is>
          <t>Not found</t>
        </is>
      </c>
      <c r="L1037" t="inlineStr">
        <is>
          <t>Unknown</t>
        </is>
      </c>
      <c r="T1037" t="inlineStr">
        <is>
          <t>https://tenders.iglonline.net/uploads/tender/Replies_to_bidders_queries_CP17996.pdf</t>
        </is>
      </c>
      <c r="U1037" t="inlineStr">
        <is>
          <t>No</t>
        </is>
      </c>
      <c r="V1037" t="inlineStr">
        <is>
          <t>Bot tarafindan tespit edildi (2026-07-01)</t>
        </is>
      </c>
    </row>
    <row r="1038">
      <c r="A1038" t="inlineStr">
        <is>
          <t>T-0842</t>
        </is>
      </c>
      <c r="B1038" t="inlineStr">
        <is>
          <t>Indraprastha Gas (IGL)</t>
        </is>
      </c>
      <c r="C1038" t="inlineStr">
        <is>
          <t>Indraprastha Gas (IGL)</t>
        </is>
      </c>
      <c r="F1038" t="inlineStr">
        <is>
          <t>New Lead</t>
        </is>
      </c>
      <c r="H1038" t="inlineStr">
        <is>
          <t>Corrigendum_3_CP17996.pdf</t>
        </is>
      </c>
      <c r="K1038" t="inlineStr">
        <is>
          <t>Not found</t>
        </is>
      </c>
      <c r="L1038" t="inlineStr">
        <is>
          <t>Unknown</t>
        </is>
      </c>
      <c r="T1038" t="inlineStr">
        <is>
          <t>https://tenders.iglonline.net/uploads/tender/Corrigendum_3_CP17996.pdf</t>
        </is>
      </c>
      <c r="U1038" t="inlineStr">
        <is>
          <t>No</t>
        </is>
      </c>
      <c r="V1038" t="inlineStr">
        <is>
          <t>Bot tarafindan tespit edildi (2026-07-01)</t>
        </is>
      </c>
    </row>
    <row r="1039">
      <c r="A1039" t="inlineStr">
        <is>
          <t>T-0843</t>
        </is>
      </c>
      <c r="B1039" t="inlineStr">
        <is>
          <t>Indraprastha Gas (IGL)</t>
        </is>
      </c>
      <c r="C1039" t="inlineStr">
        <is>
          <t>Indraprastha Gas (IGL)</t>
        </is>
      </c>
      <c r="F1039" t="inlineStr">
        <is>
          <t>New Lead</t>
        </is>
      </c>
      <c r="H1039" t="inlineStr">
        <is>
          <t>Reply_to_Pre_bid_queries_2.pdf</t>
        </is>
      </c>
      <c r="K1039" t="inlineStr">
        <is>
          <t>Not found</t>
        </is>
      </c>
      <c r="L1039" t="inlineStr">
        <is>
          <t>Unknown</t>
        </is>
      </c>
      <c r="T1039" t="inlineStr">
        <is>
          <t>https://tenders.iglonline.net/uploads/tender/Reply_to_Pre_bid_queries_2.pdf</t>
        </is>
      </c>
      <c r="U1039" t="inlineStr">
        <is>
          <t>No</t>
        </is>
      </c>
      <c r="V1039" t="inlineStr">
        <is>
          <t>Bot tarafindan tespit edildi (2026-07-01)</t>
        </is>
      </c>
    </row>
    <row r="1040">
      <c r="A1040" t="inlineStr">
        <is>
          <t>T-0844</t>
        </is>
      </c>
      <c r="B1040" t="inlineStr">
        <is>
          <t>Indraprastha Gas (IGL)</t>
        </is>
      </c>
      <c r="C1040" t="inlineStr">
        <is>
          <t>Indraprastha Gas (IGL)</t>
        </is>
      </c>
      <c r="F1040" t="inlineStr">
        <is>
          <t>New Lead</t>
        </is>
      </c>
      <c r="H1040" t="inlineStr">
        <is>
          <t>Corrigendum_48.pdf</t>
        </is>
      </c>
      <c r="K1040" t="inlineStr">
        <is>
          <t>Not found</t>
        </is>
      </c>
      <c r="L1040" t="inlineStr">
        <is>
          <t>Unknown</t>
        </is>
      </c>
      <c r="T1040" t="inlineStr">
        <is>
          <t>https://tenders.iglonline.net/uploads/tender/Corrigendum_48.pdf</t>
        </is>
      </c>
      <c r="U1040" t="inlineStr">
        <is>
          <t>No</t>
        </is>
      </c>
      <c r="V1040" t="inlineStr">
        <is>
          <t>Bot tarafindan tespit edildi (2026-07-01)</t>
        </is>
      </c>
    </row>
    <row r="1041">
      <c r="A1041" t="inlineStr">
        <is>
          <t>T-0845</t>
        </is>
      </c>
      <c r="B1041" t="inlineStr">
        <is>
          <t>Indraprastha Gas (IGL)</t>
        </is>
      </c>
      <c r="C1041" t="inlineStr">
        <is>
          <t>Indraprastha Gas (IGL)</t>
        </is>
      </c>
      <c r="F1041" t="inlineStr">
        <is>
          <t>New Lead</t>
        </is>
      </c>
      <c r="H1041" t="inlineStr">
        <is>
          <t>View Tender</t>
        </is>
      </c>
      <c r="K1041" t="inlineStr">
        <is>
          <t>Not found</t>
        </is>
      </c>
      <c r="L1041" t="inlineStr">
        <is>
          <t>Unknown</t>
        </is>
      </c>
      <c r="T1041" t="inlineStr">
        <is>
          <t>https://tenders.iglonline.net/tenderDetail/278/Active Tenders And Corrigendum-Addendum</t>
        </is>
      </c>
      <c r="U1041" t="inlineStr">
        <is>
          <t>No</t>
        </is>
      </c>
      <c r="V1041" t="inlineStr">
        <is>
          <t>Bot tarafindan tespit edildi (2026-07-01)</t>
        </is>
      </c>
    </row>
    <row r="1042">
      <c r="A1042" t="inlineStr">
        <is>
          <t>T-0846</t>
        </is>
      </c>
      <c r="B1042" t="inlineStr">
        <is>
          <t>Indraprastha Gas (IGL)</t>
        </is>
      </c>
      <c r="C1042" t="inlineStr">
        <is>
          <t>Indraprastha Gas (IGL)</t>
        </is>
      </c>
      <c r="F1042" t="inlineStr">
        <is>
          <t>New Lead</t>
        </is>
      </c>
      <c r="H1042" t="inlineStr">
        <is>
          <t>View Tender</t>
        </is>
      </c>
      <c r="K1042" t="inlineStr">
        <is>
          <t>Not found</t>
        </is>
      </c>
      <c r="L1042" t="inlineStr">
        <is>
          <t>Unknown</t>
        </is>
      </c>
      <c r="T1042" t="inlineStr">
        <is>
          <t>https://tenders.iglonline.net/tenderDetail/277/Active Tenders And Corrigendum-Addendum</t>
        </is>
      </c>
      <c r="U1042" t="inlineStr">
        <is>
          <t>No</t>
        </is>
      </c>
      <c r="V1042" t="inlineStr">
        <is>
          <t>Bot tarafindan tespit edildi (2026-07-01)</t>
        </is>
      </c>
    </row>
    <row r="1043">
      <c r="A1043" t="inlineStr">
        <is>
          <t>T-0847</t>
        </is>
      </c>
      <c r="B1043" t="inlineStr">
        <is>
          <t>Indraprastha Gas (IGL)</t>
        </is>
      </c>
      <c r="C1043" t="inlineStr">
        <is>
          <t>Indraprastha Gas (IGL)</t>
        </is>
      </c>
      <c r="F1043" t="inlineStr">
        <is>
          <t>New Lead</t>
        </is>
      </c>
      <c r="G1043" t="inlineStr">
        <is>
          <t>Gas-related / review</t>
        </is>
      </c>
      <c r="H1043" t="inlineStr">
        <is>
          <t>CORRIGENDUM11.pdf</t>
        </is>
      </c>
      <c r="K1043" t="inlineStr">
        <is>
          <t>Not found</t>
        </is>
      </c>
      <c r="L1043" t="inlineStr">
        <is>
          <t>Unknown</t>
        </is>
      </c>
      <c r="T1043" t="inlineStr">
        <is>
          <t>https://tenders.iglonline.net/uploads/tender/CORRIGENDUM11.pdf</t>
        </is>
      </c>
      <c r="U1043" t="inlineStr">
        <is>
          <t>No</t>
        </is>
      </c>
      <c r="V1043" t="inlineStr">
        <is>
          <t>Bot tarafindan tespit edildi (2026-07-01); Bot tespit/zenginlestirme (2026-07-01); meta:score=35;priority=Low;source_type=html_table;closing_date=;equipment=Gas-related / review;reasons=equipment:Gas-related / review,document source</t>
        </is>
      </c>
    </row>
    <row r="1044">
      <c r="A1044" t="inlineStr">
        <is>
          <t>T-0848</t>
        </is>
      </c>
      <c r="B1044" t="inlineStr">
        <is>
          <t>Indraprastha Gas (IGL)</t>
        </is>
      </c>
      <c r="C1044" t="inlineStr">
        <is>
          <t>Indraprastha Gas (IGL)</t>
        </is>
      </c>
      <c r="F1044" t="inlineStr">
        <is>
          <t>New Lead</t>
        </is>
      </c>
      <c r="H1044" t="inlineStr">
        <is>
          <t>CORRIGENDUM_2_(1).pdf</t>
        </is>
      </c>
      <c r="K1044" t="inlineStr">
        <is>
          <t>Not found</t>
        </is>
      </c>
      <c r="L1044" t="inlineStr">
        <is>
          <t>Unknown</t>
        </is>
      </c>
      <c r="T1044" t="inlineStr">
        <is>
          <t>https://tenders.iglonline.net/uploads/tender/CORRIGENDUM_2_(1).pdf</t>
        </is>
      </c>
      <c r="U1044" t="inlineStr">
        <is>
          <t>No</t>
        </is>
      </c>
      <c r="V1044" t="inlineStr">
        <is>
          <t>Bot tarafindan tespit edildi (2026-07-01)</t>
        </is>
      </c>
    </row>
    <row r="1045">
      <c r="A1045" t="inlineStr">
        <is>
          <t>T-0849</t>
        </is>
      </c>
      <c r="B1045" t="inlineStr">
        <is>
          <t>Indraprastha Gas (IGL)</t>
        </is>
      </c>
      <c r="C1045" t="inlineStr">
        <is>
          <t>Indraprastha Gas (IGL)</t>
        </is>
      </c>
      <c r="F1045" t="inlineStr">
        <is>
          <t>New Lead</t>
        </is>
      </c>
      <c r="H1045" t="inlineStr">
        <is>
          <t>View Tender</t>
        </is>
      </c>
      <c r="K1045" t="inlineStr">
        <is>
          <t>Not found</t>
        </is>
      </c>
      <c r="L1045" t="inlineStr">
        <is>
          <t>Unknown</t>
        </is>
      </c>
      <c r="T1045" t="inlineStr">
        <is>
          <t>https://tenders.iglonline.net/tenderDetail/276/Active Tenders And Corrigendum-Addendum</t>
        </is>
      </c>
      <c r="U1045" t="inlineStr">
        <is>
          <t>No</t>
        </is>
      </c>
      <c r="V1045" t="inlineStr">
        <is>
          <t>Bot tarafindan tespit edildi (2026-07-01)</t>
        </is>
      </c>
    </row>
    <row r="1046">
      <c r="A1046" t="inlineStr">
        <is>
          <t>T-0850</t>
        </is>
      </c>
      <c r="B1046" t="inlineStr">
        <is>
          <t>Indraprastha Gas (IGL)</t>
        </is>
      </c>
      <c r="C1046" t="inlineStr">
        <is>
          <t>Indraprastha Gas (IGL)</t>
        </is>
      </c>
      <c r="F1046" t="inlineStr">
        <is>
          <t>New Lead</t>
        </is>
      </c>
      <c r="H1046" t="inlineStr">
        <is>
          <t>Corrigendum_1_Annexure_1_merged.pdf</t>
        </is>
      </c>
      <c r="K1046" t="inlineStr">
        <is>
          <t>Not found</t>
        </is>
      </c>
      <c r="L1046" t="inlineStr">
        <is>
          <t>Unknown</t>
        </is>
      </c>
      <c r="T1046" t="inlineStr">
        <is>
          <t>https://tenders.iglonline.net/uploads/tender/Corrigendum_1_Annexure_1_merged.pdf</t>
        </is>
      </c>
      <c r="U1046" t="inlineStr">
        <is>
          <t>No</t>
        </is>
      </c>
      <c r="V1046" t="inlineStr">
        <is>
          <t>Bot tarafindan tespit edildi (2026-07-01)</t>
        </is>
      </c>
    </row>
    <row r="1047">
      <c r="A1047" t="inlineStr">
        <is>
          <t>T-0851</t>
        </is>
      </c>
      <c r="B1047" t="inlineStr">
        <is>
          <t>Indraprastha Gas (IGL)</t>
        </is>
      </c>
      <c r="C1047" t="inlineStr">
        <is>
          <t>Indraprastha Gas (IGL)</t>
        </is>
      </c>
      <c r="F1047" t="inlineStr">
        <is>
          <t>New Lead</t>
        </is>
      </c>
      <c r="H1047" t="inlineStr">
        <is>
          <t>Corrigendum-II__CC17807.pdf</t>
        </is>
      </c>
      <c r="K1047" t="inlineStr">
        <is>
          <t>Not found</t>
        </is>
      </c>
      <c r="L1047" t="inlineStr">
        <is>
          <t>Unknown</t>
        </is>
      </c>
      <c r="T1047" t="inlineStr">
        <is>
          <t>https://tenders.iglonline.net/uploads/tender/Corrigendum-II__CC17807.pdf</t>
        </is>
      </c>
      <c r="U1047" t="inlineStr">
        <is>
          <t>No</t>
        </is>
      </c>
      <c r="V1047" t="inlineStr">
        <is>
          <t>Bot tarafindan tespit edildi (2026-07-01)</t>
        </is>
      </c>
    </row>
    <row r="1048">
      <c r="A1048" t="inlineStr">
        <is>
          <t>T-0852</t>
        </is>
      </c>
      <c r="B1048" t="inlineStr">
        <is>
          <t>Indraprastha Gas (IGL)</t>
        </is>
      </c>
      <c r="C1048" t="inlineStr">
        <is>
          <t>Indraprastha Gas (IGL)</t>
        </is>
      </c>
      <c r="F1048" t="inlineStr">
        <is>
          <t>New Lead</t>
        </is>
      </c>
      <c r="H1048" t="inlineStr">
        <is>
          <t>View Tender</t>
        </is>
      </c>
      <c r="K1048" t="inlineStr">
        <is>
          <t>Not found</t>
        </is>
      </c>
      <c r="L1048" t="inlineStr">
        <is>
          <t>Unknown</t>
        </is>
      </c>
      <c r="T1048" t="inlineStr">
        <is>
          <t>https://tenders.iglonline.net/tenderDetail/275/Active Tenders And Corrigendum-Addendum</t>
        </is>
      </c>
      <c r="U1048" t="inlineStr">
        <is>
          <t>No</t>
        </is>
      </c>
      <c r="V1048" t="inlineStr">
        <is>
          <t>Bot tarafindan tespit edildi (2026-07-01)</t>
        </is>
      </c>
    </row>
    <row r="1049">
      <c r="A1049" t="inlineStr">
        <is>
          <t>T-0853</t>
        </is>
      </c>
      <c r="B1049" t="inlineStr">
        <is>
          <t>Indraprastha Gas (IGL)</t>
        </is>
      </c>
      <c r="C1049" t="inlineStr">
        <is>
          <t>Indraprastha Gas (IGL)</t>
        </is>
      </c>
      <c r="F1049" t="inlineStr">
        <is>
          <t>New Lead</t>
        </is>
      </c>
      <c r="H1049" t="inlineStr">
        <is>
          <t>RTBQ_CP17988.pdf</t>
        </is>
      </c>
      <c r="K1049" t="inlineStr">
        <is>
          <t>Not found</t>
        </is>
      </c>
      <c r="L1049" t="inlineStr">
        <is>
          <t>Unknown</t>
        </is>
      </c>
      <c r="T1049" t="inlineStr">
        <is>
          <t>https://tenders.iglonline.net/uploads/tender/RTBQ_CP17988.pdf</t>
        </is>
      </c>
      <c r="U1049" t="inlineStr">
        <is>
          <t>No</t>
        </is>
      </c>
      <c r="V1049" t="inlineStr">
        <is>
          <t>Bot tarafindan tespit edildi (2026-07-01)</t>
        </is>
      </c>
    </row>
    <row r="1050">
      <c r="A1050" t="inlineStr">
        <is>
          <t>T-0854</t>
        </is>
      </c>
      <c r="B1050" t="inlineStr">
        <is>
          <t>Indraprastha Gas (IGL)</t>
        </is>
      </c>
      <c r="C1050" t="inlineStr">
        <is>
          <t>Indraprastha Gas (IGL)</t>
        </is>
      </c>
      <c r="F1050" t="inlineStr">
        <is>
          <t>New Lead</t>
        </is>
      </c>
      <c r="H1050" t="inlineStr">
        <is>
          <t>Corrigendum_1_CP17988.pdf</t>
        </is>
      </c>
      <c r="K1050" t="inlineStr">
        <is>
          <t>Not found</t>
        </is>
      </c>
      <c r="L1050" t="inlineStr">
        <is>
          <t>Unknown</t>
        </is>
      </c>
      <c r="T1050" t="inlineStr">
        <is>
          <t>https://tenders.iglonline.net/uploads/tender/Corrigendum_1_CP17988.pdf</t>
        </is>
      </c>
      <c r="U1050" t="inlineStr">
        <is>
          <t>No</t>
        </is>
      </c>
      <c r="V1050" t="inlineStr">
        <is>
          <t>Bot tarafindan tespit edildi (2026-07-01)</t>
        </is>
      </c>
    </row>
    <row r="1051">
      <c r="A1051" t="inlineStr">
        <is>
          <t>T-0855</t>
        </is>
      </c>
      <c r="B1051" t="inlineStr">
        <is>
          <t>Indraprastha Gas (IGL)</t>
        </is>
      </c>
      <c r="C1051" t="inlineStr">
        <is>
          <t>Indraprastha Gas (IGL)</t>
        </is>
      </c>
      <c r="F1051" t="inlineStr">
        <is>
          <t>New Lead</t>
        </is>
      </c>
      <c r="H1051" t="inlineStr">
        <is>
          <t>View Tender</t>
        </is>
      </c>
      <c r="K1051" t="inlineStr">
        <is>
          <t>Not found</t>
        </is>
      </c>
      <c r="L1051" t="inlineStr">
        <is>
          <t>Unknown</t>
        </is>
      </c>
      <c r="T1051" t="inlineStr">
        <is>
          <t>https://tenders.iglonline.net/tenderDetail/274/Active Tenders And Corrigendum-Addendum</t>
        </is>
      </c>
      <c r="U1051" t="inlineStr">
        <is>
          <t>No</t>
        </is>
      </c>
      <c r="V1051" t="inlineStr">
        <is>
          <t>Bot tarafindan tespit edildi (2026-07-01)</t>
        </is>
      </c>
    </row>
    <row r="1052">
      <c r="A1052" t="inlineStr">
        <is>
          <t>T-0856</t>
        </is>
      </c>
      <c r="B1052" t="inlineStr">
        <is>
          <t>Indraprastha Gas (IGL)</t>
        </is>
      </c>
      <c r="C1052" t="inlineStr">
        <is>
          <t>Indraprastha Gas (IGL)</t>
        </is>
      </c>
      <c r="F1052" t="inlineStr">
        <is>
          <t>New Lead</t>
        </is>
      </c>
      <c r="H1052" t="inlineStr">
        <is>
          <t>Corrigendum_1_CP17981.pdf</t>
        </is>
      </c>
      <c r="K1052" t="inlineStr">
        <is>
          <t>Not found</t>
        </is>
      </c>
      <c r="L1052" t="inlineStr">
        <is>
          <t>Unknown</t>
        </is>
      </c>
      <c r="T1052" t="inlineStr">
        <is>
          <t>https://tenders.iglonline.net/uploads/tender/Corrigendum_1_CP17981.pdf</t>
        </is>
      </c>
      <c r="U1052" t="inlineStr">
        <is>
          <t>No</t>
        </is>
      </c>
      <c r="V1052" t="inlineStr">
        <is>
          <t>Bot tarafindan tespit edildi (2026-07-01)</t>
        </is>
      </c>
    </row>
    <row r="1053">
      <c r="A1053" t="inlineStr">
        <is>
          <t>T-0857</t>
        </is>
      </c>
      <c r="B1053" t="inlineStr">
        <is>
          <t>Indraprastha Gas (IGL)</t>
        </is>
      </c>
      <c r="C1053" t="inlineStr">
        <is>
          <t>Indraprastha Gas (IGL)</t>
        </is>
      </c>
      <c r="F1053" t="inlineStr">
        <is>
          <t>New Lead</t>
        </is>
      </c>
      <c r="H1053" t="inlineStr">
        <is>
          <t>View Tender</t>
        </is>
      </c>
      <c r="K1053" t="inlineStr">
        <is>
          <t>Not found</t>
        </is>
      </c>
      <c r="L1053" t="inlineStr">
        <is>
          <t>Unknown</t>
        </is>
      </c>
      <c r="T1053" t="inlineStr">
        <is>
          <t>https://tenders.iglonline.net/tenderDetail/273/Active Tenders And Corrigendum-Addendum</t>
        </is>
      </c>
      <c r="U1053" t="inlineStr">
        <is>
          <t>No</t>
        </is>
      </c>
      <c r="V1053" t="inlineStr">
        <is>
          <t>Bot tarafindan tespit edildi (2026-07-01)</t>
        </is>
      </c>
    </row>
    <row r="1054">
      <c r="A1054" t="inlineStr">
        <is>
          <t>T-0858</t>
        </is>
      </c>
      <c r="B1054" t="inlineStr">
        <is>
          <t>Indraprastha Gas (IGL)</t>
        </is>
      </c>
      <c r="C1054" t="inlineStr">
        <is>
          <t>Indraprastha Gas (IGL)</t>
        </is>
      </c>
      <c r="F1054" t="inlineStr">
        <is>
          <t>New Lead</t>
        </is>
      </c>
      <c r="H1054" t="inlineStr">
        <is>
          <t>View Tender</t>
        </is>
      </c>
      <c r="K1054" t="inlineStr">
        <is>
          <t>Not found</t>
        </is>
      </c>
      <c r="L1054" t="inlineStr">
        <is>
          <t>Unknown</t>
        </is>
      </c>
      <c r="T1054" t="inlineStr">
        <is>
          <t>https://tenders.iglonline.net/tenderDetail/272/Active Tenders And Corrigendum-Addendum</t>
        </is>
      </c>
      <c r="U1054" t="inlineStr">
        <is>
          <t>No</t>
        </is>
      </c>
      <c r="V1054" t="inlineStr">
        <is>
          <t>Bot tarafindan tespit edildi (2026-07-01)</t>
        </is>
      </c>
    </row>
    <row r="1055">
      <c r="A1055" t="inlineStr">
        <is>
          <t>T-0859</t>
        </is>
      </c>
      <c r="B1055" t="inlineStr">
        <is>
          <t>Indraprastha Gas (IGL)</t>
        </is>
      </c>
      <c r="C1055" t="inlineStr">
        <is>
          <t>Indraprastha Gas (IGL)</t>
        </is>
      </c>
      <c r="F1055" t="inlineStr">
        <is>
          <t>New Lead</t>
        </is>
      </c>
      <c r="H1055" t="inlineStr">
        <is>
          <t>Pre-bid_reply_CC18010.pdf</t>
        </is>
      </c>
      <c r="K1055" t="inlineStr">
        <is>
          <t>Not found</t>
        </is>
      </c>
      <c r="L1055" t="inlineStr">
        <is>
          <t>Unknown</t>
        </is>
      </c>
      <c r="T1055" t="inlineStr">
        <is>
          <t>https://tenders.iglonline.net/uploads/tender/Pre-bid_reply_CC18010.pdf</t>
        </is>
      </c>
      <c r="U1055" t="inlineStr">
        <is>
          <t>No</t>
        </is>
      </c>
      <c r="V1055" t="inlineStr">
        <is>
          <t>Bot tarafindan tespit edildi (2026-07-01)</t>
        </is>
      </c>
    </row>
    <row r="1056">
      <c r="A1056" t="inlineStr">
        <is>
          <t>T-0860</t>
        </is>
      </c>
      <c r="B1056" t="inlineStr">
        <is>
          <t>Indraprastha Gas (IGL)</t>
        </is>
      </c>
      <c r="C1056" t="inlineStr">
        <is>
          <t>Indraprastha Gas (IGL)</t>
        </is>
      </c>
      <c r="F1056" t="inlineStr">
        <is>
          <t>New Lead</t>
        </is>
      </c>
      <c r="H1056" t="inlineStr">
        <is>
          <t>View Tender</t>
        </is>
      </c>
      <c r="K1056" t="inlineStr">
        <is>
          <t>Not found</t>
        </is>
      </c>
      <c r="L1056" t="inlineStr">
        <is>
          <t>Unknown</t>
        </is>
      </c>
      <c r="T1056" t="inlineStr">
        <is>
          <t>https://tenders.iglonline.net/tenderDetail/271/Active Tenders And Corrigendum-Addendum</t>
        </is>
      </c>
      <c r="U1056" t="inlineStr">
        <is>
          <t>No</t>
        </is>
      </c>
      <c r="V1056" t="inlineStr">
        <is>
          <t>Bot tarafindan tespit edildi (2026-07-01)</t>
        </is>
      </c>
    </row>
    <row r="1057">
      <c r="A1057" t="inlineStr">
        <is>
          <t>T-0861</t>
        </is>
      </c>
      <c r="B1057" t="inlineStr">
        <is>
          <t>Indraprastha Gas (IGL)</t>
        </is>
      </c>
      <c r="C1057" t="inlineStr">
        <is>
          <t>Indraprastha Gas (IGL)</t>
        </is>
      </c>
      <c r="F1057" t="inlineStr">
        <is>
          <t>New Lead</t>
        </is>
      </c>
      <c r="H1057" t="inlineStr">
        <is>
          <t>View Tender</t>
        </is>
      </c>
      <c r="K1057" t="inlineStr">
        <is>
          <t>Not found</t>
        </is>
      </c>
      <c r="L1057" t="inlineStr">
        <is>
          <t>Unknown</t>
        </is>
      </c>
      <c r="T1057" t="inlineStr">
        <is>
          <t>https://tenders.iglonline.net/tenderDetail/270/Active Tenders And Corrigendum-Addendum</t>
        </is>
      </c>
      <c r="U1057" t="inlineStr">
        <is>
          <t>No</t>
        </is>
      </c>
      <c r="V1057" t="inlineStr">
        <is>
          <t>Bot tarafindan tespit edildi (2026-07-01)</t>
        </is>
      </c>
    </row>
    <row r="1058">
      <c r="A1058" t="inlineStr">
        <is>
          <t>T-0862</t>
        </is>
      </c>
      <c r="B1058" t="inlineStr">
        <is>
          <t>Indraprastha Gas (IGL)</t>
        </is>
      </c>
      <c r="C1058" t="inlineStr">
        <is>
          <t>Indraprastha Gas (IGL)</t>
        </is>
      </c>
      <c r="F1058" t="inlineStr">
        <is>
          <t>New Lead</t>
        </is>
      </c>
      <c r="H1058" t="inlineStr">
        <is>
          <t>View Tender</t>
        </is>
      </c>
      <c r="K1058" t="inlineStr">
        <is>
          <t>Not found</t>
        </is>
      </c>
      <c r="L1058" t="inlineStr">
        <is>
          <t>Unknown</t>
        </is>
      </c>
      <c r="T1058" t="inlineStr">
        <is>
          <t>https://tenders.iglonline.net/tenderDetail/269/Active Tenders And Corrigendum-Addendum</t>
        </is>
      </c>
      <c r="U1058" t="inlineStr">
        <is>
          <t>No</t>
        </is>
      </c>
      <c r="V1058" t="inlineStr">
        <is>
          <t>Bot tarafindan tespit edildi (2026-07-01)</t>
        </is>
      </c>
    </row>
    <row r="1059">
      <c r="A1059" t="inlineStr">
        <is>
          <t>T-0863</t>
        </is>
      </c>
      <c r="B1059" t="inlineStr">
        <is>
          <t>Indraprastha Gas (IGL)</t>
        </is>
      </c>
      <c r="C1059" t="inlineStr">
        <is>
          <t>Indraprastha Gas (IGL)</t>
        </is>
      </c>
      <c r="F1059" t="inlineStr">
        <is>
          <t>New Lead</t>
        </is>
      </c>
      <c r="H1059" t="inlineStr">
        <is>
          <t>Corrigendum_I_CC17918.pdf</t>
        </is>
      </c>
      <c r="K1059" t="inlineStr">
        <is>
          <t>Not found</t>
        </is>
      </c>
      <c r="L1059" t="inlineStr">
        <is>
          <t>Unknown</t>
        </is>
      </c>
      <c r="T1059" t="inlineStr">
        <is>
          <t>https://tenders.iglonline.net/uploads/tender/Corrigendum_I_CC17918.pdf</t>
        </is>
      </c>
      <c r="U1059" t="inlineStr">
        <is>
          <t>No</t>
        </is>
      </c>
      <c r="V1059" t="inlineStr">
        <is>
          <t>Bot tarafindan tespit edildi (2026-07-01)</t>
        </is>
      </c>
    </row>
    <row r="1060">
      <c r="A1060" t="inlineStr">
        <is>
          <t>T-0864</t>
        </is>
      </c>
      <c r="B1060" t="inlineStr">
        <is>
          <t>Indraprastha Gas (IGL)</t>
        </is>
      </c>
      <c r="C1060" t="inlineStr">
        <is>
          <t>Indraprastha Gas (IGL)</t>
        </is>
      </c>
      <c r="F1060" t="inlineStr">
        <is>
          <t>New Lead</t>
        </is>
      </c>
      <c r="H1060" t="inlineStr">
        <is>
          <t>Corrigendum_II_CP17918.pdf</t>
        </is>
      </c>
      <c r="K1060" t="inlineStr">
        <is>
          <t>Not found</t>
        </is>
      </c>
      <c r="L1060" t="inlineStr">
        <is>
          <t>Unknown</t>
        </is>
      </c>
      <c r="T1060" t="inlineStr">
        <is>
          <t>https://tenders.iglonline.net/uploads/tender/Corrigendum_II_CP17918.pdf</t>
        </is>
      </c>
      <c r="U1060" t="inlineStr">
        <is>
          <t>No</t>
        </is>
      </c>
      <c r="V1060" t="inlineStr">
        <is>
          <t>Bot tarafindan tespit edildi (2026-07-01)</t>
        </is>
      </c>
    </row>
    <row r="1061">
      <c r="A1061" t="inlineStr">
        <is>
          <t>T-0865</t>
        </is>
      </c>
      <c r="B1061" t="inlineStr">
        <is>
          <t>Indraprastha Gas (IGL)</t>
        </is>
      </c>
      <c r="C1061" t="inlineStr">
        <is>
          <t>Indraprastha Gas (IGL)</t>
        </is>
      </c>
      <c r="F1061" t="inlineStr">
        <is>
          <t>New Lead</t>
        </is>
      </c>
      <c r="H1061" t="inlineStr">
        <is>
          <t>Corrigendum_III_CP17918.pdf</t>
        </is>
      </c>
      <c r="K1061" t="inlineStr">
        <is>
          <t>Not found</t>
        </is>
      </c>
      <c r="L1061" t="inlineStr">
        <is>
          <t>Unknown</t>
        </is>
      </c>
      <c r="T1061" t="inlineStr">
        <is>
          <t>https://tenders.iglonline.net/uploads/tender/Corrigendum_III_CP17918.pdf</t>
        </is>
      </c>
      <c r="U1061" t="inlineStr">
        <is>
          <t>No</t>
        </is>
      </c>
      <c r="V1061" t="inlineStr">
        <is>
          <t>Bot tarafindan tespit edildi (2026-07-01)</t>
        </is>
      </c>
    </row>
    <row r="1062">
      <c r="A1062" t="inlineStr">
        <is>
          <t>T-0866</t>
        </is>
      </c>
      <c r="B1062" t="inlineStr">
        <is>
          <t>Indraprastha Gas (IGL)</t>
        </is>
      </c>
      <c r="C1062" t="inlineStr">
        <is>
          <t>Indraprastha Gas (IGL)</t>
        </is>
      </c>
      <c r="F1062" t="inlineStr">
        <is>
          <t>New Lead</t>
        </is>
      </c>
      <c r="H1062" t="inlineStr">
        <is>
          <t>View Tender</t>
        </is>
      </c>
      <c r="K1062" t="inlineStr">
        <is>
          <t>Not found</t>
        </is>
      </c>
      <c r="L1062" t="inlineStr">
        <is>
          <t>Unknown</t>
        </is>
      </c>
      <c r="T1062" t="inlineStr">
        <is>
          <t>https://tenders.iglonline.net/tenderDetail/268/Active Tenders And Corrigendum-Addendum</t>
        </is>
      </c>
      <c r="U1062" t="inlineStr">
        <is>
          <t>No</t>
        </is>
      </c>
      <c r="V1062" t="inlineStr">
        <is>
          <t>Bot tarafindan tespit edildi (2026-07-01)</t>
        </is>
      </c>
    </row>
    <row r="1063">
      <c r="A1063" t="inlineStr">
        <is>
          <t>T-0867</t>
        </is>
      </c>
      <c r="B1063" t="inlineStr">
        <is>
          <t>Indraprastha Gas (IGL)</t>
        </is>
      </c>
      <c r="C1063" t="inlineStr">
        <is>
          <t>Indraprastha Gas (IGL)</t>
        </is>
      </c>
      <c r="F1063" t="inlineStr">
        <is>
          <t>New Lead</t>
        </is>
      </c>
      <c r="H1063" t="inlineStr">
        <is>
          <t>View Tender</t>
        </is>
      </c>
      <c r="K1063" t="inlineStr">
        <is>
          <t>Not found</t>
        </is>
      </c>
      <c r="L1063" t="inlineStr">
        <is>
          <t>Unknown</t>
        </is>
      </c>
      <c r="T1063" t="inlineStr">
        <is>
          <t>https://tenders.iglonline.net/tenderDetail/267/Active Tenders And Corrigendum-Addendum</t>
        </is>
      </c>
      <c r="U1063" t="inlineStr">
        <is>
          <t>No</t>
        </is>
      </c>
      <c r="V1063" t="inlineStr">
        <is>
          <t>Bot tarafindan tespit edildi (2026-07-01)</t>
        </is>
      </c>
    </row>
    <row r="1064">
      <c r="A1064" t="inlineStr">
        <is>
          <t>T-0868</t>
        </is>
      </c>
      <c r="B1064" t="inlineStr">
        <is>
          <t>Indraprastha Gas (IGL)</t>
        </is>
      </c>
      <c r="C1064" t="inlineStr">
        <is>
          <t>Indraprastha Gas (IGL)</t>
        </is>
      </c>
      <c r="F1064" t="inlineStr">
        <is>
          <t>New Lead</t>
        </is>
      </c>
      <c r="H1064" t="inlineStr">
        <is>
          <t>Corrigendum_1_CP17914.pdf</t>
        </is>
      </c>
      <c r="K1064" t="inlineStr">
        <is>
          <t>Not found</t>
        </is>
      </c>
      <c r="L1064" t="inlineStr">
        <is>
          <t>Unknown</t>
        </is>
      </c>
      <c r="T1064" t="inlineStr">
        <is>
          <t>https://tenders.iglonline.net/uploads/tender/Corrigendum_1_CP17914.pdf</t>
        </is>
      </c>
      <c r="U1064" t="inlineStr">
        <is>
          <t>No</t>
        </is>
      </c>
      <c r="V1064" t="inlineStr">
        <is>
          <t>Bot tarafindan tespit edildi (2026-07-01)</t>
        </is>
      </c>
    </row>
    <row r="1065">
      <c r="A1065" t="inlineStr">
        <is>
          <t>T-0869</t>
        </is>
      </c>
      <c r="B1065" t="inlineStr">
        <is>
          <t>Indraprastha Gas (IGL)</t>
        </is>
      </c>
      <c r="C1065" t="inlineStr">
        <is>
          <t>Indraprastha Gas (IGL)</t>
        </is>
      </c>
      <c r="F1065" t="inlineStr">
        <is>
          <t>New Lead</t>
        </is>
      </c>
      <c r="H1065" t="inlineStr">
        <is>
          <t>View Tender</t>
        </is>
      </c>
      <c r="K1065" t="inlineStr">
        <is>
          <t>Not found</t>
        </is>
      </c>
      <c r="L1065" t="inlineStr">
        <is>
          <t>Unknown</t>
        </is>
      </c>
      <c r="T1065" t="inlineStr">
        <is>
          <t>https://tenders.iglonline.net/tenderDetail/266/Active Tenders And Corrigendum-Addendum</t>
        </is>
      </c>
      <c r="U1065" t="inlineStr">
        <is>
          <t>No</t>
        </is>
      </c>
      <c r="V1065" t="inlineStr">
        <is>
          <t>Bot tarafindan tespit edildi (2026-07-01)</t>
        </is>
      </c>
    </row>
    <row r="1066">
      <c r="A1066" t="inlineStr">
        <is>
          <t>T-0870</t>
        </is>
      </c>
      <c r="B1066" t="inlineStr">
        <is>
          <t>Indraprastha Gas (IGL)</t>
        </is>
      </c>
      <c r="C1066" t="inlineStr">
        <is>
          <t>Indraprastha Gas (IGL)</t>
        </is>
      </c>
      <c r="F1066" t="inlineStr">
        <is>
          <t>New Lead</t>
        </is>
      </c>
      <c r="H1066" t="inlineStr">
        <is>
          <t>View Tender</t>
        </is>
      </c>
      <c r="K1066" t="inlineStr">
        <is>
          <t>Not found</t>
        </is>
      </c>
      <c r="L1066" t="inlineStr">
        <is>
          <t>Unknown</t>
        </is>
      </c>
      <c r="T1066" t="inlineStr">
        <is>
          <t>https://tenders.iglonline.net/tenderDetail/265/Active Tenders And Corrigendum-Addendum</t>
        </is>
      </c>
      <c r="U1066" t="inlineStr">
        <is>
          <t>No</t>
        </is>
      </c>
      <c r="V1066" t="inlineStr">
        <is>
          <t>Bot tarafindan tespit edildi (2026-07-01)</t>
        </is>
      </c>
    </row>
    <row r="1067">
      <c r="A1067" t="inlineStr">
        <is>
          <t>T-0871</t>
        </is>
      </c>
      <c r="B1067" t="inlineStr">
        <is>
          <t>Indraprastha Gas (IGL)</t>
        </is>
      </c>
      <c r="C1067" t="inlineStr">
        <is>
          <t>Indraprastha Gas (IGL)</t>
        </is>
      </c>
      <c r="F1067" t="inlineStr">
        <is>
          <t>New Lead</t>
        </is>
      </c>
      <c r="H1067" t="inlineStr">
        <is>
          <t>Corrigendum-I__CC17892.pdf</t>
        </is>
      </c>
      <c r="K1067" t="inlineStr">
        <is>
          <t>Not found</t>
        </is>
      </c>
      <c r="L1067" t="inlineStr">
        <is>
          <t>Unknown</t>
        </is>
      </c>
      <c r="T1067" t="inlineStr">
        <is>
          <t>https://tenders.iglonline.net/uploads/tender/Corrigendum-I__CC17892.pdf</t>
        </is>
      </c>
      <c r="U1067" t="inlineStr">
        <is>
          <t>No</t>
        </is>
      </c>
      <c r="V1067" t="inlineStr">
        <is>
          <t>Bot tarafindan tespit edildi (2026-07-01)</t>
        </is>
      </c>
    </row>
    <row r="1068">
      <c r="A1068" t="inlineStr">
        <is>
          <t>T-0872</t>
        </is>
      </c>
      <c r="B1068" t="inlineStr">
        <is>
          <t>Indraprastha Gas (IGL)</t>
        </is>
      </c>
      <c r="C1068" t="inlineStr">
        <is>
          <t>Indraprastha Gas (IGL)</t>
        </is>
      </c>
      <c r="F1068" t="inlineStr">
        <is>
          <t>New Lead</t>
        </is>
      </c>
      <c r="H1068" t="inlineStr">
        <is>
          <t>Corrigendum-II__CC17892.pdf</t>
        </is>
      </c>
      <c r="K1068" t="inlineStr">
        <is>
          <t>Not found</t>
        </is>
      </c>
      <c r="L1068" t="inlineStr">
        <is>
          <t>Unknown</t>
        </is>
      </c>
      <c r="T1068" t="inlineStr">
        <is>
          <t>https://tenders.iglonline.net/uploads/tender/Corrigendum-II__CC17892.pdf</t>
        </is>
      </c>
      <c r="U1068" t="inlineStr">
        <is>
          <t>No</t>
        </is>
      </c>
      <c r="V1068" t="inlineStr">
        <is>
          <t>Bot tarafindan tespit edildi (2026-07-01)</t>
        </is>
      </c>
    </row>
    <row r="1069">
      <c r="A1069" t="inlineStr">
        <is>
          <t>T-0873</t>
        </is>
      </c>
      <c r="B1069" t="inlineStr">
        <is>
          <t>Indraprastha Gas (IGL)</t>
        </is>
      </c>
      <c r="C1069" t="inlineStr">
        <is>
          <t>Indraprastha Gas (IGL)</t>
        </is>
      </c>
      <c r="F1069" t="inlineStr">
        <is>
          <t>New Lead</t>
        </is>
      </c>
      <c r="H1069" t="inlineStr">
        <is>
          <t>View Tender</t>
        </is>
      </c>
      <c r="K1069" t="inlineStr">
        <is>
          <t>Not found</t>
        </is>
      </c>
      <c r="L1069" t="inlineStr">
        <is>
          <t>Unknown</t>
        </is>
      </c>
      <c r="T1069" t="inlineStr">
        <is>
          <t>https://tenders.iglonline.net/tenderDetail/264/Active Tenders And Corrigendum-Addendum</t>
        </is>
      </c>
      <c r="U1069" t="inlineStr">
        <is>
          <t>No</t>
        </is>
      </c>
      <c r="V1069" t="inlineStr">
        <is>
          <t>Bot tarafindan tespit edildi (2026-07-01)</t>
        </is>
      </c>
    </row>
    <row r="1070">
      <c r="A1070" t="inlineStr">
        <is>
          <t>T-0874</t>
        </is>
      </c>
      <c r="B1070" t="inlineStr">
        <is>
          <t>Indraprastha Gas (IGL)</t>
        </is>
      </c>
      <c r="C1070" t="inlineStr">
        <is>
          <t>Indraprastha Gas (IGL)</t>
        </is>
      </c>
      <c r="F1070" t="inlineStr">
        <is>
          <t>New Lead</t>
        </is>
      </c>
      <c r="H1070" t="inlineStr">
        <is>
          <t>Corrigendum-I__CC17903.pdf</t>
        </is>
      </c>
      <c r="K1070" t="inlineStr">
        <is>
          <t>Not found</t>
        </is>
      </c>
      <c r="L1070" t="inlineStr">
        <is>
          <t>Unknown</t>
        </is>
      </c>
      <c r="T1070" t="inlineStr">
        <is>
          <t>https://tenders.iglonline.net/uploads/tender/Corrigendum-I__CC17903.pdf</t>
        </is>
      </c>
      <c r="U1070" t="inlineStr">
        <is>
          <t>No</t>
        </is>
      </c>
      <c r="V1070" t="inlineStr">
        <is>
          <t>Bot tarafindan tespit edildi (2026-07-01)</t>
        </is>
      </c>
    </row>
    <row r="1071">
      <c r="A1071" t="inlineStr">
        <is>
          <t>T-0875</t>
        </is>
      </c>
      <c r="B1071" t="inlineStr">
        <is>
          <t>Indraprastha Gas (IGL)</t>
        </is>
      </c>
      <c r="C1071" t="inlineStr">
        <is>
          <t>Indraprastha Gas (IGL)</t>
        </is>
      </c>
      <c r="F1071" t="inlineStr">
        <is>
          <t>New Lead</t>
        </is>
      </c>
      <c r="H1071" t="inlineStr">
        <is>
          <t>Pre-bid_reply_CC17903.pdf</t>
        </is>
      </c>
      <c r="K1071" t="inlineStr">
        <is>
          <t>Not found</t>
        </is>
      </c>
      <c r="L1071" t="inlineStr">
        <is>
          <t>Unknown</t>
        </is>
      </c>
      <c r="T1071" t="inlineStr">
        <is>
          <t>https://tenders.iglonline.net/uploads/tender/Pre-bid_reply_CC17903.pdf</t>
        </is>
      </c>
      <c r="U1071" t="inlineStr">
        <is>
          <t>No</t>
        </is>
      </c>
      <c r="V1071" t="inlineStr">
        <is>
          <t>Bot tarafindan tespit edildi (2026-07-01)</t>
        </is>
      </c>
    </row>
    <row r="1072">
      <c r="A1072" t="inlineStr">
        <is>
          <t>T-0876</t>
        </is>
      </c>
      <c r="B1072" t="inlineStr">
        <is>
          <t>Indraprastha Gas (IGL)</t>
        </is>
      </c>
      <c r="C1072" t="inlineStr">
        <is>
          <t>Indraprastha Gas (IGL)</t>
        </is>
      </c>
      <c r="F1072" t="inlineStr">
        <is>
          <t>New Lead</t>
        </is>
      </c>
      <c r="H1072" t="inlineStr">
        <is>
          <t>Corrigendum-II__CC17903.pdf</t>
        </is>
      </c>
      <c r="K1072" t="inlineStr">
        <is>
          <t>Not found</t>
        </is>
      </c>
      <c r="L1072" t="inlineStr">
        <is>
          <t>Unknown</t>
        </is>
      </c>
      <c r="T1072" t="inlineStr">
        <is>
          <t>https://tenders.iglonline.net/uploads/tender/Corrigendum-II__CC17903.pdf</t>
        </is>
      </c>
      <c r="U1072" t="inlineStr">
        <is>
          <t>No</t>
        </is>
      </c>
      <c r="V1072" t="inlineStr">
        <is>
          <t>Bot tarafindan tespit edildi (2026-07-01)</t>
        </is>
      </c>
    </row>
    <row r="1073">
      <c r="A1073" t="inlineStr">
        <is>
          <t>T-0877</t>
        </is>
      </c>
      <c r="B1073" t="inlineStr">
        <is>
          <t>Indraprastha Gas (IGL)</t>
        </is>
      </c>
      <c r="C1073" t="inlineStr">
        <is>
          <t>Indraprastha Gas (IGL)</t>
        </is>
      </c>
      <c r="F1073" t="inlineStr">
        <is>
          <t>New Lead</t>
        </is>
      </c>
      <c r="H1073" t="inlineStr">
        <is>
          <t>Corrigendum-III__CC17903.pdf</t>
        </is>
      </c>
      <c r="K1073" t="inlineStr">
        <is>
          <t>Not found</t>
        </is>
      </c>
      <c r="L1073" t="inlineStr">
        <is>
          <t>Unknown</t>
        </is>
      </c>
      <c r="T1073" t="inlineStr">
        <is>
          <t>https://tenders.iglonline.net/uploads/tender/Corrigendum-III__CC17903.pdf</t>
        </is>
      </c>
      <c r="U1073" t="inlineStr">
        <is>
          <t>No</t>
        </is>
      </c>
      <c r="V1073" t="inlineStr">
        <is>
          <t>Bot tarafindan tespit edildi (2026-07-01)</t>
        </is>
      </c>
    </row>
    <row r="1074">
      <c r="A1074" t="inlineStr">
        <is>
          <t>T-0878</t>
        </is>
      </c>
      <c r="B1074" t="inlineStr">
        <is>
          <t>Indraprastha Gas (IGL)</t>
        </is>
      </c>
      <c r="C1074" t="inlineStr">
        <is>
          <t>Indraprastha Gas (IGL)</t>
        </is>
      </c>
      <c r="F1074" t="inlineStr">
        <is>
          <t>New Lead</t>
        </is>
      </c>
      <c r="H1074" t="inlineStr">
        <is>
          <t>Corrigendum-IV__CC17903.pdf</t>
        </is>
      </c>
      <c r="K1074" t="inlineStr">
        <is>
          <t>Not found</t>
        </is>
      </c>
      <c r="L1074" t="inlineStr">
        <is>
          <t>Unknown</t>
        </is>
      </c>
      <c r="T1074" t="inlineStr">
        <is>
          <t>https://tenders.iglonline.net/uploads/tender/Corrigendum-IV__CC17903.pdf</t>
        </is>
      </c>
      <c r="U1074" t="inlineStr">
        <is>
          <t>No</t>
        </is>
      </c>
      <c r="V1074" t="inlineStr">
        <is>
          <t>Bot tarafindan tespit edildi (2026-07-01)</t>
        </is>
      </c>
    </row>
    <row r="1075">
      <c r="A1075" t="inlineStr">
        <is>
          <t>T-0879</t>
        </is>
      </c>
      <c r="B1075" t="inlineStr">
        <is>
          <t>Indraprastha Gas (IGL)</t>
        </is>
      </c>
      <c r="C1075" t="inlineStr">
        <is>
          <t>Indraprastha Gas (IGL)</t>
        </is>
      </c>
      <c r="F1075" t="inlineStr">
        <is>
          <t>New Lead</t>
        </is>
      </c>
      <c r="H1075" t="inlineStr">
        <is>
          <t>Pre-bid_reply_CC17903_II.pdf</t>
        </is>
      </c>
      <c r="K1075" t="inlineStr">
        <is>
          <t>Not found</t>
        </is>
      </c>
      <c r="L1075" t="inlineStr">
        <is>
          <t>Unknown</t>
        </is>
      </c>
      <c r="T1075" t="inlineStr">
        <is>
          <t>https://tenders.iglonline.net/uploads/tender/Pre-bid_reply_CC17903_II.pdf</t>
        </is>
      </c>
      <c r="U1075" t="inlineStr">
        <is>
          <t>No</t>
        </is>
      </c>
      <c r="V1075" t="inlineStr">
        <is>
          <t>Bot tarafindan tespit edildi (2026-07-01)</t>
        </is>
      </c>
    </row>
    <row r="1076">
      <c r="A1076" t="inlineStr">
        <is>
          <t>T-0880</t>
        </is>
      </c>
      <c r="B1076" t="inlineStr">
        <is>
          <t>Indraprastha Gas (IGL)</t>
        </is>
      </c>
      <c r="C1076" t="inlineStr">
        <is>
          <t>Indraprastha Gas (IGL)</t>
        </is>
      </c>
      <c r="F1076" t="inlineStr">
        <is>
          <t>New Lead</t>
        </is>
      </c>
      <c r="H1076" t="inlineStr">
        <is>
          <t>Corrigendum-V__CC17903.pdf</t>
        </is>
      </c>
      <c r="K1076" t="inlineStr">
        <is>
          <t>Not found</t>
        </is>
      </c>
      <c r="L1076" t="inlineStr">
        <is>
          <t>Unknown</t>
        </is>
      </c>
      <c r="T1076" t="inlineStr">
        <is>
          <t>https://tenders.iglonline.net/uploads/tender/Corrigendum-V__CC17903.pdf</t>
        </is>
      </c>
      <c r="U1076" t="inlineStr">
        <is>
          <t>No</t>
        </is>
      </c>
      <c r="V1076" t="inlineStr">
        <is>
          <t>Bot tarafindan tespit edildi (2026-07-01)</t>
        </is>
      </c>
    </row>
    <row r="1077">
      <c r="A1077" t="inlineStr">
        <is>
          <t>T-0881</t>
        </is>
      </c>
      <c r="B1077" t="inlineStr">
        <is>
          <t>Indraprastha Gas (IGL)</t>
        </is>
      </c>
      <c r="C1077" t="inlineStr">
        <is>
          <t>Indraprastha Gas (IGL)</t>
        </is>
      </c>
      <c r="F1077" t="inlineStr">
        <is>
          <t>New Lead</t>
        </is>
      </c>
      <c r="H1077" t="inlineStr">
        <is>
          <t>Annexure-1_prebid_reply.pdf</t>
        </is>
      </c>
      <c r="K1077" t="inlineStr">
        <is>
          <t>Not found</t>
        </is>
      </c>
      <c r="L1077" t="inlineStr">
        <is>
          <t>Unknown</t>
        </is>
      </c>
      <c r="T1077" t="inlineStr">
        <is>
          <t>https://tenders.iglonline.net/uploads/tender/Annexure-1_prebid_reply.pdf</t>
        </is>
      </c>
      <c r="U1077" t="inlineStr">
        <is>
          <t>No</t>
        </is>
      </c>
      <c r="V1077" t="inlineStr">
        <is>
          <t>Bot tarafindan tespit edildi (2026-07-01)</t>
        </is>
      </c>
    </row>
    <row r="1078">
      <c r="A1078" t="inlineStr">
        <is>
          <t>T-0882</t>
        </is>
      </c>
      <c r="B1078" t="inlineStr">
        <is>
          <t>Indraprastha Gas (IGL)</t>
        </is>
      </c>
      <c r="C1078" t="inlineStr">
        <is>
          <t>Indraprastha Gas (IGL)</t>
        </is>
      </c>
      <c r="F1078" t="inlineStr">
        <is>
          <t>New Lead</t>
        </is>
      </c>
      <c r="H1078" t="inlineStr">
        <is>
          <t>Pre-bid_reply_CC17903_-_III.pdf</t>
        </is>
      </c>
      <c r="K1078" t="inlineStr">
        <is>
          <t>Not found</t>
        </is>
      </c>
      <c r="L1078" t="inlineStr">
        <is>
          <t>Unknown</t>
        </is>
      </c>
      <c r="T1078" t="inlineStr">
        <is>
          <t>https://tenders.iglonline.net/uploads/tender/Pre-bid_reply_CC17903_-_III.pdf</t>
        </is>
      </c>
      <c r="U1078" t="inlineStr">
        <is>
          <t>No</t>
        </is>
      </c>
      <c r="V1078" t="inlineStr">
        <is>
          <t>Bot tarafindan tespit edildi (2026-07-01)</t>
        </is>
      </c>
    </row>
    <row r="1079">
      <c r="A1079" t="inlineStr">
        <is>
          <t>T-0883</t>
        </is>
      </c>
      <c r="B1079" t="inlineStr">
        <is>
          <t>Indraprastha Gas (IGL)</t>
        </is>
      </c>
      <c r="C1079" t="inlineStr">
        <is>
          <t>Indraprastha Gas (IGL)</t>
        </is>
      </c>
      <c r="F1079" t="inlineStr">
        <is>
          <t>New Lead</t>
        </is>
      </c>
      <c r="H1079" t="inlineStr">
        <is>
          <t>Corrigendum_PBQ_Reply.pdf</t>
        </is>
      </c>
      <c r="K1079" t="inlineStr">
        <is>
          <t>Not found</t>
        </is>
      </c>
      <c r="L1079" t="inlineStr">
        <is>
          <t>Unknown</t>
        </is>
      </c>
      <c r="T1079" t="inlineStr">
        <is>
          <t>https://tenders.iglonline.net/uploads/tender/Corrigendum_PBQ_Reply.pdf</t>
        </is>
      </c>
      <c r="U1079" t="inlineStr">
        <is>
          <t>No</t>
        </is>
      </c>
      <c r="V1079" t="inlineStr">
        <is>
          <t>Bot tarafindan tespit edildi (2026-07-01)</t>
        </is>
      </c>
    </row>
    <row r="1080">
      <c r="A1080" t="inlineStr">
        <is>
          <t>T-0884</t>
        </is>
      </c>
      <c r="B1080" t="inlineStr">
        <is>
          <t>Indraprastha Gas (IGL)</t>
        </is>
      </c>
      <c r="C1080" t="inlineStr">
        <is>
          <t>Indraprastha Gas (IGL)</t>
        </is>
      </c>
      <c r="F1080" t="inlineStr">
        <is>
          <t>New Lead</t>
        </is>
      </c>
      <c r="H1080" t="inlineStr">
        <is>
          <t>View Tender</t>
        </is>
      </c>
      <c r="K1080" t="inlineStr">
        <is>
          <t>Not found</t>
        </is>
      </c>
      <c r="L1080" t="inlineStr">
        <is>
          <t>Unknown</t>
        </is>
      </c>
      <c r="T1080" t="inlineStr">
        <is>
          <t>https://tenders.iglonline.net/tenderDetail/263/Active Tenders And Corrigendum-Addendum</t>
        </is>
      </c>
      <c r="U1080" t="inlineStr">
        <is>
          <t>No</t>
        </is>
      </c>
      <c r="V1080" t="inlineStr">
        <is>
          <t>Bot tarafindan tespit edildi (2026-07-01)</t>
        </is>
      </c>
    </row>
    <row r="1081">
      <c r="A1081" t="inlineStr">
        <is>
          <t>T-0885</t>
        </is>
      </c>
      <c r="B1081" t="inlineStr">
        <is>
          <t>Indraprastha Gas (IGL)</t>
        </is>
      </c>
      <c r="C1081" t="inlineStr">
        <is>
          <t>Indraprastha Gas (IGL)</t>
        </is>
      </c>
      <c r="F1081" t="inlineStr">
        <is>
          <t>New Lead</t>
        </is>
      </c>
      <c r="H1081" t="inlineStr">
        <is>
          <t>Pre-bid_reply_CC17913.pdf</t>
        </is>
      </c>
      <c r="K1081" t="inlineStr">
        <is>
          <t>Not found</t>
        </is>
      </c>
      <c r="L1081" t="inlineStr">
        <is>
          <t>Unknown</t>
        </is>
      </c>
      <c r="T1081" t="inlineStr">
        <is>
          <t>https://tenders.iglonline.net/uploads/tender/Pre-bid_reply_CC17913.pdf</t>
        </is>
      </c>
      <c r="U1081" t="inlineStr">
        <is>
          <t>No</t>
        </is>
      </c>
      <c r="V1081" t="inlineStr">
        <is>
          <t>Bot tarafindan tespit edildi (2026-07-01)</t>
        </is>
      </c>
    </row>
    <row r="1082">
      <c r="A1082" t="inlineStr">
        <is>
          <t>T-0886</t>
        </is>
      </c>
      <c r="B1082" t="inlineStr">
        <is>
          <t>Indraprastha Gas (IGL)</t>
        </is>
      </c>
      <c r="C1082" t="inlineStr">
        <is>
          <t>Indraprastha Gas (IGL)</t>
        </is>
      </c>
      <c r="F1082" t="inlineStr">
        <is>
          <t>New Lead</t>
        </is>
      </c>
      <c r="H1082" t="inlineStr">
        <is>
          <t>Corrigendum_-I_CC17913.pdf</t>
        </is>
      </c>
      <c r="K1082" t="inlineStr">
        <is>
          <t>Not found</t>
        </is>
      </c>
      <c r="L1082" t="inlineStr">
        <is>
          <t>Unknown</t>
        </is>
      </c>
      <c r="T1082" t="inlineStr">
        <is>
          <t>https://tenders.iglonline.net/uploads/tender/Corrigendum_-I_CC17913.pdf</t>
        </is>
      </c>
      <c r="U1082" t="inlineStr">
        <is>
          <t>No</t>
        </is>
      </c>
      <c r="V1082" t="inlineStr">
        <is>
          <t>Bot tarafindan tespit edildi (2026-07-01)</t>
        </is>
      </c>
    </row>
    <row r="1083">
      <c r="A1083" t="inlineStr">
        <is>
          <t>T-0887</t>
        </is>
      </c>
      <c r="B1083" t="inlineStr">
        <is>
          <t>Indraprastha Gas (IGL)</t>
        </is>
      </c>
      <c r="C1083" t="inlineStr">
        <is>
          <t>Indraprastha Gas (IGL)</t>
        </is>
      </c>
      <c r="F1083" t="inlineStr">
        <is>
          <t>New Lead</t>
        </is>
      </c>
      <c r="H1083" t="inlineStr">
        <is>
          <t>Corrigendum-II__CC17913.pdf</t>
        </is>
      </c>
      <c r="K1083" t="inlineStr">
        <is>
          <t>Not found</t>
        </is>
      </c>
      <c r="L1083" t="inlineStr">
        <is>
          <t>Unknown</t>
        </is>
      </c>
      <c r="T1083" t="inlineStr">
        <is>
          <t>https://tenders.iglonline.net/uploads/tender/Corrigendum-II__CC17913.pdf</t>
        </is>
      </c>
      <c r="U1083" t="inlineStr">
        <is>
          <t>No</t>
        </is>
      </c>
      <c r="V1083" t="inlineStr">
        <is>
          <t>Bot tarafindan tespit edildi (2026-07-01)</t>
        </is>
      </c>
    </row>
    <row r="1084">
      <c r="A1084" t="inlineStr">
        <is>
          <t>T-0888</t>
        </is>
      </c>
      <c r="B1084" t="inlineStr">
        <is>
          <t>Indraprastha Gas (IGL)</t>
        </is>
      </c>
      <c r="C1084" t="inlineStr">
        <is>
          <t>Indraprastha Gas (IGL)</t>
        </is>
      </c>
      <c r="F1084" t="inlineStr">
        <is>
          <t>New Lead</t>
        </is>
      </c>
      <c r="H1084" t="inlineStr">
        <is>
          <t>View Tender</t>
        </is>
      </c>
      <c r="K1084" t="inlineStr">
        <is>
          <t>Not found</t>
        </is>
      </c>
      <c r="L1084" t="inlineStr">
        <is>
          <t>Unknown</t>
        </is>
      </c>
      <c r="T1084" t="inlineStr">
        <is>
          <t>https://tenders.iglonline.net/tenderDetail/262/Active Tenders And Corrigendum-Addendum</t>
        </is>
      </c>
      <c r="U1084" t="inlineStr">
        <is>
          <t>No</t>
        </is>
      </c>
      <c r="V1084" t="inlineStr">
        <is>
          <t>Bot tarafindan tespit edildi (2026-07-01)</t>
        </is>
      </c>
    </row>
    <row r="1085">
      <c r="A1085" t="inlineStr">
        <is>
          <t>T-0889</t>
        </is>
      </c>
      <c r="B1085" t="inlineStr">
        <is>
          <t>Indraprastha Gas (IGL)</t>
        </is>
      </c>
      <c r="C1085" t="inlineStr">
        <is>
          <t>Indraprastha Gas (IGL)</t>
        </is>
      </c>
      <c r="D1085" t="inlineStr">
        <is>
          <t>IGL/ET2/CP/CP17864</t>
        </is>
      </c>
      <c r="F1085" t="inlineStr">
        <is>
          <t>New Lead</t>
        </is>
      </c>
      <c r="G1085" t="inlineStr">
        <is>
          <t>Unclassified</t>
        </is>
      </c>
      <c r="H1085" t="inlineStr">
        <is>
          <t>Corrigendum_1_CP17864.pdf</t>
        </is>
      </c>
      <c r="K1085" t="inlineStr">
        <is>
          <t>Not found</t>
        </is>
      </c>
      <c r="L1085" t="inlineStr">
        <is>
          <t>Unknown</t>
        </is>
      </c>
      <c r="T1085" t="inlineStr">
        <is>
          <t>https://tenders.iglonline.net/uploads/tender/Corrigendum_1_CP17864.pdf</t>
        </is>
      </c>
      <c r="U1085" t="inlineStr">
        <is>
          <t>No</t>
        </is>
      </c>
      <c r="V1085" t="inlineStr">
        <is>
          <t>Bot tarafindan tespit edildi (2026-07-01); Bot tespit/zenginlestirme (2026-07-01); meta:score=55;priority=Medium;source_type=html_table;closing_date=;equipment=Unclassified;reasons=document source,quantity signal,tender reference signal</t>
        </is>
      </c>
    </row>
    <row r="1086">
      <c r="A1086" t="inlineStr">
        <is>
          <t>T-0890</t>
        </is>
      </c>
      <c r="B1086" t="inlineStr">
        <is>
          <t>Indraprastha Gas (IGL)</t>
        </is>
      </c>
      <c r="C1086" t="inlineStr">
        <is>
          <t>Indraprastha Gas (IGL)</t>
        </is>
      </c>
      <c r="D1086" t="inlineStr">
        <is>
          <t>IGL/ET2/CP/CP17864</t>
        </is>
      </c>
      <c r="F1086" t="inlineStr">
        <is>
          <t>New Lead</t>
        </is>
      </c>
      <c r="G1086" t="inlineStr">
        <is>
          <t>Unclassified</t>
        </is>
      </c>
      <c r="H1086" t="inlineStr">
        <is>
          <t>Replies_to_bidders_queries4.pdf</t>
        </is>
      </c>
      <c r="K1086" t="inlineStr">
        <is>
          <t>should ensure that personnel assembling the pipe work should be competent in the</t>
        </is>
      </c>
      <c r="L1086" t="inlineStr">
        <is>
          <t>Unknown</t>
        </is>
      </c>
      <c r="T1086" t="inlineStr">
        <is>
          <t>https://tenders.iglonline.net/uploads/tender/Replies_to_bidders_queries4.pdf</t>
        </is>
      </c>
      <c r="U1086" t="inlineStr">
        <is>
          <t>No</t>
        </is>
      </c>
      <c r="V1086" t="inlineStr">
        <is>
          <t>Bot tarafindan tespit edildi (2026-07-01); Bot tespit/zenginlestirme (2026-07-01); meta:score=55;priority=Medium;source_type=html_table;closing_date=;equipment=Unclassified;reasons=document source,quantity signal,tender reference signal</t>
        </is>
      </c>
    </row>
    <row r="1087">
      <c r="A1087" t="inlineStr">
        <is>
          <t>T-0891</t>
        </is>
      </c>
      <c r="B1087" t="inlineStr">
        <is>
          <t>Indraprastha Gas (IGL)</t>
        </is>
      </c>
      <c r="C1087" t="inlineStr">
        <is>
          <t>Indraprastha Gas (IGL)</t>
        </is>
      </c>
      <c r="F1087" t="inlineStr">
        <is>
          <t>New Lead</t>
        </is>
      </c>
      <c r="G1087" t="inlineStr">
        <is>
          <t>Unclassified</t>
        </is>
      </c>
      <c r="H1087" t="inlineStr">
        <is>
          <t>Corrigendum_2_CP17864.pdf</t>
        </is>
      </c>
      <c r="K1087" t="inlineStr">
        <is>
          <t>Not found</t>
        </is>
      </c>
      <c r="L1087" t="inlineStr">
        <is>
          <t>Unknown</t>
        </is>
      </c>
      <c r="T1087" t="inlineStr">
        <is>
          <t>https://tenders.iglonline.net/uploads/tender/Corrigendum_2_CP17864.pdf</t>
        </is>
      </c>
      <c r="U1087" t="inlineStr">
        <is>
          <t>No</t>
        </is>
      </c>
      <c r="V1087" t="inlineStr">
        <is>
          <t>Bot tarafindan tespit edildi (2026-07-01); Bot tespit/zenginlestirme (2026-07-01); meta:score=55;priority=Medium;source_type=html_table;closing_date=;equipment=Unclassified;reasons=document source,quantity signal,tender reference signal</t>
        </is>
      </c>
    </row>
    <row r="1088">
      <c r="A1088" t="inlineStr">
        <is>
          <t>T-0892</t>
        </is>
      </c>
      <c r="B1088" t="inlineStr">
        <is>
          <t>Indraprastha Gas (IGL)</t>
        </is>
      </c>
      <c r="C1088" t="inlineStr">
        <is>
          <t>Indraprastha Gas (IGL)</t>
        </is>
      </c>
      <c r="F1088" t="inlineStr">
        <is>
          <t>New Lead</t>
        </is>
      </c>
      <c r="H1088" t="inlineStr">
        <is>
          <t>View Tender</t>
        </is>
      </c>
      <c r="K1088" t="inlineStr">
        <is>
          <t>Not found</t>
        </is>
      </c>
      <c r="L1088" t="inlineStr">
        <is>
          <t>Unknown</t>
        </is>
      </c>
      <c r="T1088" t="inlineStr">
        <is>
          <t>https://tenders.iglonline.net/tenderDetail/261/Active Tenders And Corrigendum-Addendum</t>
        </is>
      </c>
      <c r="U1088" t="inlineStr">
        <is>
          <t>No</t>
        </is>
      </c>
      <c r="V1088" t="inlineStr">
        <is>
          <t>Bot tarafindan tespit edildi (2026-07-01)</t>
        </is>
      </c>
    </row>
    <row r="1089">
      <c r="A1089" t="inlineStr">
        <is>
          <t>T-0893</t>
        </is>
      </c>
      <c r="B1089" t="inlineStr">
        <is>
          <t>Indraprastha Gas (IGL)</t>
        </is>
      </c>
      <c r="C1089" t="inlineStr">
        <is>
          <t>Indraprastha Gas (IGL)</t>
        </is>
      </c>
      <c r="F1089" t="inlineStr">
        <is>
          <t>New Lead</t>
        </is>
      </c>
      <c r="H1089" t="inlineStr">
        <is>
          <t>Corrigendum_1_CP17885.pdf</t>
        </is>
      </c>
      <c r="K1089" t="inlineStr">
        <is>
          <t>Not found</t>
        </is>
      </c>
      <c r="L1089" t="inlineStr">
        <is>
          <t>Unknown</t>
        </is>
      </c>
      <c r="T1089" t="inlineStr">
        <is>
          <t>https://tenders.iglonline.net/uploads/tender/Corrigendum_1_CP17885.pdf</t>
        </is>
      </c>
      <c r="U1089" t="inlineStr">
        <is>
          <t>No</t>
        </is>
      </c>
      <c r="V1089" t="inlineStr">
        <is>
          <t>Bot tarafindan tespit edildi (2026-07-01)</t>
        </is>
      </c>
    </row>
    <row r="1090">
      <c r="A1090" t="inlineStr">
        <is>
          <t>T-0894</t>
        </is>
      </c>
      <c r="B1090" t="inlineStr">
        <is>
          <t>Indraprastha Gas (IGL)</t>
        </is>
      </c>
      <c r="C1090" t="inlineStr">
        <is>
          <t>Indraprastha Gas (IGL)</t>
        </is>
      </c>
      <c r="F1090" t="inlineStr">
        <is>
          <t>New Lead</t>
        </is>
      </c>
      <c r="H1090" t="inlineStr">
        <is>
          <t>Corrigendum_2_CP17885.pdf</t>
        </is>
      </c>
      <c r="K1090" t="inlineStr">
        <is>
          <t>Not found</t>
        </is>
      </c>
      <c r="L1090" t="inlineStr">
        <is>
          <t>Unknown</t>
        </is>
      </c>
      <c r="T1090" t="inlineStr">
        <is>
          <t>https://tenders.iglonline.net/uploads/tender/Corrigendum_2_CP17885.pdf</t>
        </is>
      </c>
      <c r="U1090" t="inlineStr">
        <is>
          <t>No</t>
        </is>
      </c>
      <c r="V1090" t="inlineStr">
        <is>
          <t>Bot tarafindan tespit edildi (2026-07-01)</t>
        </is>
      </c>
    </row>
    <row r="1091">
      <c r="A1091" t="inlineStr">
        <is>
          <t>T-0895</t>
        </is>
      </c>
      <c r="B1091" t="inlineStr">
        <is>
          <t>Indraprastha Gas (IGL)</t>
        </is>
      </c>
      <c r="C1091" t="inlineStr">
        <is>
          <t>Indraprastha Gas (IGL)</t>
        </is>
      </c>
      <c r="F1091" t="inlineStr">
        <is>
          <t>New Lead</t>
        </is>
      </c>
      <c r="H1091" t="inlineStr">
        <is>
          <t>Corrigendum_3_CP17885.pdf</t>
        </is>
      </c>
      <c r="K1091" t="inlineStr">
        <is>
          <t>Not found</t>
        </is>
      </c>
      <c r="L1091" t="inlineStr">
        <is>
          <t>Unknown</t>
        </is>
      </c>
      <c r="T1091" t="inlineStr">
        <is>
          <t>https://tenders.iglonline.net/uploads/tender/Corrigendum_3_CP17885.pdf</t>
        </is>
      </c>
      <c r="U1091" t="inlineStr">
        <is>
          <t>No</t>
        </is>
      </c>
      <c r="V1091" t="inlineStr">
        <is>
          <t>Bot tarafindan tespit edildi (2026-07-01)</t>
        </is>
      </c>
    </row>
    <row r="1092">
      <c r="A1092" t="inlineStr">
        <is>
          <t>T-0896</t>
        </is>
      </c>
      <c r="B1092" t="inlineStr">
        <is>
          <t>Indraprastha Gas (IGL)</t>
        </is>
      </c>
      <c r="C1092" t="inlineStr">
        <is>
          <t>Indraprastha Gas (IGL)</t>
        </is>
      </c>
      <c r="F1092" t="inlineStr">
        <is>
          <t>New Lead</t>
        </is>
      </c>
      <c r="H1092" t="inlineStr">
        <is>
          <t>RTBQ_CP17885.pdf</t>
        </is>
      </c>
      <c r="K1092" t="inlineStr">
        <is>
          <t>Not found</t>
        </is>
      </c>
      <c r="L1092" t="inlineStr">
        <is>
          <t>Unknown</t>
        </is>
      </c>
      <c r="T1092" t="inlineStr">
        <is>
          <t>https://tenders.iglonline.net/uploads/tender/RTBQ_CP17885.pdf</t>
        </is>
      </c>
      <c r="U1092" t="inlineStr">
        <is>
          <t>No</t>
        </is>
      </c>
      <c r="V1092" t="inlineStr">
        <is>
          <t>Bot tarafindan tespit edildi (2026-07-01)</t>
        </is>
      </c>
    </row>
    <row r="1093">
      <c r="A1093" t="inlineStr">
        <is>
          <t>T-0897</t>
        </is>
      </c>
      <c r="B1093" t="inlineStr">
        <is>
          <t>Indraprastha Gas (IGL)</t>
        </is>
      </c>
      <c r="C1093" t="inlineStr">
        <is>
          <t>Indraprastha Gas (IGL)</t>
        </is>
      </c>
      <c r="F1093" t="inlineStr">
        <is>
          <t>New Lead</t>
        </is>
      </c>
      <c r="H1093" t="inlineStr">
        <is>
          <t>Corrigendum_4_CP17885.pdf</t>
        </is>
      </c>
      <c r="K1093" t="inlineStr">
        <is>
          <t>Not found</t>
        </is>
      </c>
      <c r="L1093" t="inlineStr">
        <is>
          <t>Unknown</t>
        </is>
      </c>
      <c r="T1093" t="inlineStr">
        <is>
          <t>https://tenders.iglonline.net/uploads/tender/Corrigendum_4_CP17885.pdf</t>
        </is>
      </c>
      <c r="U1093" t="inlineStr">
        <is>
          <t>No</t>
        </is>
      </c>
      <c r="V1093" t="inlineStr">
        <is>
          <t>Bot tarafindan tespit edildi (2026-07-01)</t>
        </is>
      </c>
    </row>
    <row r="1094">
      <c r="A1094" t="inlineStr">
        <is>
          <t>T-0898</t>
        </is>
      </c>
      <c r="B1094" t="inlineStr">
        <is>
          <t>Indraprastha Gas (IGL)</t>
        </is>
      </c>
      <c r="C1094" t="inlineStr">
        <is>
          <t>Indraprastha Gas (IGL)</t>
        </is>
      </c>
      <c r="F1094" t="inlineStr">
        <is>
          <t>New Lead</t>
        </is>
      </c>
      <c r="H1094" t="inlineStr">
        <is>
          <t>RTBQ_CP17885_2.pdf</t>
        </is>
      </c>
      <c r="K1094" t="inlineStr">
        <is>
          <t>Not found</t>
        </is>
      </c>
      <c r="L1094" t="inlineStr">
        <is>
          <t>Unknown</t>
        </is>
      </c>
      <c r="T1094" t="inlineStr">
        <is>
          <t>https://tenders.iglonline.net/uploads/tender/RTBQ_CP17885_2.pdf</t>
        </is>
      </c>
      <c r="U1094" t="inlineStr">
        <is>
          <t>No</t>
        </is>
      </c>
      <c r="V1094" t="inlineStr">
        <is>
          <t>Bot tarafindan tespit edildi (2026-07-01)</t>
        </is>
      </c>
    </row>
    <row r="1095">
      <c r="A1095" t="inlineStr">
        <is>
          <t>T-0899</t>
        </is>
      </c>
      <c r="B1095" t="inlineStr">
        <is>
          <t>Indraprastha Gas (IGL)</t>
        </is>
      </c>
      <c r="C1095" t="inlineStr">
        <is>
          <t>Indraprastha Gas (IGL)</t>
        </is>
      </c>
      <c r="F1095" t="inlineStr">
        <is>
          <t>New Lead</t>
        </is>
      </c>
      <c r="H1095" t="inlineStr">
        <is>
          <t>RTBQ_CP17885_3.pdf</t>
        </is>
      </c>
      <c r="K1095" t="inlineStr">
        <is>
          <t>Not found</t>
        </is>
      </c>
      <c r="L1095" t="inlineStr">
        <is>
          <t>Unknown</t>
        </is>
      </c>
      <c r="T1095" t="inlineStr">
        <is>
          <t>https://tenders.iglonline.net/uploads/tender/RTBQ_CP17885_3.pdf</t>
        </is>
      </c>
      <c r="U1095" t="inlineStr">
        <is>
          <t>No</t>
        </is>
      </c>
      <c r="V1095" t="inlineStr">
        <is>
          <t>Bot tarafindan tespit edildi (2026-07-01)</t>
        </is>
      </c>
    </row>
    <row r="1096">
      <c r="A1096" t="inlineStr">
        <is>
          <t>T-0900</t>
        </is>
      </c>
      <c r="B1096" t="inlineStr">
        <is>
          <t>Indraprastha Gas (IGL)</t>
        </is>
      </c>
      <c r="C1096" t="inlineStr">
        <is>
          <t>Indraprastha Gas (IGL)</t>
        </is>
      </c>
      <c r="F1096" t="inlineStr">
        <is>
          <t>New Lead</t>
        </is>
      </c>
      <c r="H1096" t="inlineStr">
        <is>
          <t>View Tender</t>
        </is>
      </c>
      <c r="K1096" t="inlineStr">
        <is>
          <t>Not found</t>
        </is>
      </c>
      <c r="L1096" t="inlineStr">
        <is>
          <t>Unknown</t>
        </is>
      </c>
      <c r="T1096" t="inlineStr">
        <is>
          <t>https://tenders.iglonline.net/tenderDetail/260/Active Tenders And Corrigendum-Addendum</t>
        </is>
      </c>
      <c r="U1096" t="inlineStr">
        <is>
          <t>No</t>
        </is>
      </c>
      <c r="V1096" t="inlineStr">
        <is>
          <t>Bot tarafindan tespit edildi (2026-07-01)</t>
        </is>
      </c>
    </row>
    <row r="1097">
      <c r="A1097" t="inlineStr">
        <is>
          <t>T-0901</t>
        </is>
      </c>
      <c r="B1097" t="inlineStr">
        <is>
          <t>Indraprastha Gas (IGL)</t>
        </is>
      </c>
      <c r="C1097" t="inlineStr">
        <is>
          <t>Indraprastha Gas (IGL)</t>
        </is>
      </c>
      <c r="F1097" t="inlineStr">
        <is>
          <t>New Lead</t>
        </is>
      </c>
      <c r="H1097" t="inlineStr">
        <is>
          <t>Corrigendum__1_CP17865.pdf</t>
        </is>
      </c>
      <c r="K1097" t="inlineStr">
        <is>
          <t>Not found</t>
        </is>
      </c>
      <c r="L1097" t="inlineStr">
        <is>
          <t>Unknown</t>
        </is>
      </c>
      <c r="T1097" t="inlineStr">
        <is>
          <t>https://tenders.iglonline.net/uploads/tender/Corrigendum__1_CP17865.pdf</t>
        </is>
      </c>
      <c r="U1097" t="inlineStr">
        <is>
          <t>No</t>
        </is>
      </c>
      <c r="V1097" t="inlineStr">
        <is>
          <t>Bot tarafindan tespit edildi (2026-07-01)</t>
        </is>
      </c>
    </row>
    <row r="1098">
      <c r="A1098" t="inlineStr">
        <is>
          <t>T-0902</t>
        </is>
      </c>
      <c r="B1098" t="inlineStr">
        <is>
          <t>Indraprastha Gas (IGL)</t>
        </is>
      </c>
      <c r="C1098" t="inlineStr">
        <is>
          <t>Indraprastha Gas (IGL)</t>
        </is>
      </c>
      <c r="F1098" t="inlineStr">
        <is>
          <t>New Lead</t>
        </is>
      </c>
      <c r="H1098" t="inlineStr">
        <is>
          <t>Replies_to_bidders_queries3.pdf</t>
        </is>
      </c>
      <c r="K1098" t="inlineStr">
        <is>
          <t>Not found</t>
        </is>
      </c>
      <c r="L1098" t="inlineStr">
        <is>
          <t>Unknown</t>
        </is>
      </c>
      <c r="T1098" t="inlineStr">
        <is>
          <t>https://tenders.iglonline.net/uploads/tender/Replies_to_bidders_queries3.pdf</t>
        </is>
      </c>
      <c r="U1098" t="inlineStr">
        <is>
          <t>No</t>
        </is>
      </c>
      <c r="V1098" t="inlineStr">
        <is>
          <t>Bot tarafindan tespit edildi (2026-07-01)</t>
        </is>
      </c>
    </row>
    <row r="1099">
      <c r="A1099" t="inlineStr">
        <is>
          <t>T-0903</t>
        </is>
      </c>
      <c r="B1099" t="inlineStr">
        <is>
          <t>Indraprastha Gas (IGL)</t>
        </is>
      </c>
      <c r="C1099" t="inlineStr">
        <is>
          <t>Indraprastha Gas (IGL)</t>
        </is>
      </c>
      <c r="F1099" t="inlineStr">
        <is>
          <t>New Lead</t>
        </is>
      </c>
      <c r="H1099" t="inlineStr">
        <is>
          <t>Corrigendum_2_CP17865.pdf</t>
        </is>
      </c>
      <c r="K1099" t="inlineStr">
        <is>
          <t>Not found</t>
        </is>
      </c>
      <c r="L1099" t="inlineStr">
        <is>
          <t>Unknown</t>
        </is>
      </c>
      <c r="T1099" t="inlineStr">
        <is>
          <t>https://tenders.iglonline.net/uploads/tender/Corrigendum_2_CP17865.pdf</t>
        </is>
      </c>
      <c r="U1099" t="inlineStr">
        <is>
          <t>No</t>
        </is>
      </c>
      <c r="V1099" t="inlineStr">
        <is>
          <t>Bot tarafindan tespit edildi (2026-07-01)</t>
        </is>
      </c>
    </row>
    <row r="1100">
      <c r="A1100" t="inlineStr">
        <is>
          <t>T-0904</t>
        </is>
      </c>
      <c r="B1100" t="inlineStr">
        <is>
          <t>Indraprastha Gas (IGL)</t>
        </is>
      </c>
      <c r="C1100" t="inlineStr">
        <is>
          <t>Indraprastha Gas (IGL)</t>
        </is>
      </c>
      <c r="F1100" t="inlineStr">
        <is>
          <t>New Lead</t>
        </is>
      </c>
      <c r="H1100" t="inlineStr">
        <is>
          <t>Corrigendum_3_CP17865.pdf</t>
        </is>
      </c>
      <c r="K1100" t="inlineStr">
        <is>
          <t>Not found</t>
        </is>
      </c>
      <c r="L1100" t="inlineStr">
        <is>
          <t>Unknown</t>
        </is>
      </c>
      <c r="T1100" t="inlineStr">
        <is>
          <t>https://tenders.iglonline.net/uploads/tender/Corrigendum_3_CP17865.pdf</t>
        </is>
      </c>
      <c r="U1100" t="inlineStr">
        <is>
          <t>No</t>
        </is>
      </c>
      <c r="V1100" t="inlineStr">
        <is>
          <t>Bot tarafindan tespit edildi (2026-07-01)</t>
        </is>
      </c>
    </row>
    <row r="1101">
      <c r="A1101" t="inlineStr">
        <is>
          <t>T-0905</t>
        </is>
      </c>
      <c r="B1101" t="inlineStr">
        <is>
          <t>Indraprastha Gas (IGL)</t>
        </is>
      </c>
      <c r="C1101" t="inlineStr">
        <is>
          <t>Indraprastha Gas (IGL)</t>
        </is>
      </c>
      <c r="F1101" t="inlineStr">
        <is>
          <t>New Lead</t>
        </is>
      </c>
      <c r="H1101" t="inlineStr">
        <is>
          <t>View Tender</t>
        </is>
      </c>
      <c r="K1101" t="inlineStr">
        <is>
          <t>Not found</t>
        </is>
      </c>
      <c r="L1101" t="inlineStr">
        <is>
          <t>Unknown</t>
        </is>
      </c>
      <c r="T1101" t="inlineStr">
        <is>
          <t>https://tenders.iglonline.net/tenderDetail/259/Active Tenders And Corrigendum-Addendum</t>
        </is>
      </c>
      <c r="U1101" t="inlineStr">
        <is>
          <t>No</t>
        </is>
      </c>
      <c r="V1101" t="inlineStr">
        <is>
          <t>Bot tarafindan tespit edildi (2026-07-01)</t>
        </is>
      </c>
    </row>
    <row r="1102">
      <c r="A1102" t="inlineStr">
        <is>
          <t>T-0906</t>
        </is>
      </c>
      <c r="B1102" t="inlineStr">
        <is>
          <t>Indraprastha Gas (IGL)</t>
        </is>
      </c>
      <c r="C1102" t="inlineStr">
        <is>
          <t>Indraprastha Gas (IGL)</t>
        </is>
      </c>
      <c r="F1102" t="inlineStr">
        <is>
          <t>New Lead</t>
        </is>
      </c>
      <c r="H1102" t="inlineStr">
        <is>
          <t>CC17785.pdf</t>
        </is>
      </c>
      <c r="K1102" t="inlineStr">
        <is>
          <t>Not found</t>
        </is>
      </c>
      <c r="L1102" t="inlineStr">
        <is>
          <t>Unknown</t>
        </is>
      </c>
      <c r="T1102" t="inlineStr">
        <is>
          <t>https://tenders.iglonline.net/uploads/tender/CC17785.pdf</t>
        </is>
      </c>
      <c r="U1102" t="inlineStr">
        <is>
          <t>No</t>
        </is>
      </c>
      <c r="V1102" t="inlineStr">
        <is>
          <t>Bot tarafindan tespit edildi (2026-07-01)</t>
        </is>
      </c>
    </row>
    <row r="1103">
      <c r="A1103" t="inlineStr">
        <is>
          <t>T-0907</t>
        </is>
      </c>
      <c r="B1103" t="inlineStr">
        <is>
          <t>Indraprastha Gas (IGL)</t>
        </is>
      </c>
      <c r="C1103" t="inlineStr">
        <is>
          <t>Indraprastha Gas (IGL)</t>
        </is>
      </c>
      <c r="F1103" t="inlineStr">
        <is>
          <t>New Lead</t>
        </is>
      </c>
      <c r="H1103" t="inlineStr">
        <is>
          <t>View Tender</t>
        </is>
      </c>
      <c r="K1103" t="inlineStr">
        <is>
          <t>Not found</t>
        </is>
      </c>
      <c r="L1103" t="inlineStr">
        <is>
          <t>Unknown</t>
        </is>
      </c>
      <c r="T1103" t="inlineStr">
        <is>
          <t>https://tenders.iglonline.net/tenderDetail/258/Active Tenders And Corrigendum-Addendum</t>
        </is>
      </c>
      <c r="U1103" t="inlineStr">
        <is>
          <t>No</t>
        </is>
      </c>
      <c r="V1103" t="inlineStr">
        <is>
          <t>Bot tarafindan tespit edildi (2026-07-01)</t>
        </is>
      </c>
    </row>
    <row r="1104">
      <c r="A1104" t="inlineStr">
        <is>
          <t>T-0908</t>
        </is>
      </c>
      <c r="B1104" t="inlineStr">
        <is>
          <t>Indraprastha Gas (IGL)</t>
        </is>
      </c>
      <c r="C1104" t="inlineStr">
        <is>
          <t>Indraprastha Gas (IGL)</t>
        </is>
      </c>
      <c r="F1104" t="inlineStr">
        <is>
          <t>New Lead</t>
        </is>
      </c>
      <c r="H1104" t="inlineStr">
        <is>
          <t>CC17792.pdf</t>
        </is>
      </c>
      <c r="K1104" t="inlineStr">
        <is>
          <t>Not found</t>
        </is>
      </c>
      <c r="L1104" t="inlineStr">
        <is>
          <t>Unknown</t>
        </is>
      </c>
      <c r="T1104" t="inlineStr">
        <is>
          <t>https://tenders.iglonline.net/uploads/tender/CC17792.pdf</t>
        </is>
      </c>
      <c r="U1104" t="inlineStr">
        <is>
          <t>No</t>
        </is>
      </c>
      <c r="V1104" t="inlineStr">
        <is>
          <t>Bot tarafindan tespit edildi (2026-07-01)</t>
        </is>
      </c>
    </row>
    <row r="1105">
      <c r="A1105" t="inlineStr">
        <is>
          <t>T-0909</t>
        </is>
      </c>
      <c r="B1105" t="inlineStr">
        <is>
          <t>Indraprastha Gas (IGL)</t>
        </is>
      </c>
      <c r="C1105" t="inlineStr">
        <is>
          <t>Indraprastha Gas (IGL)</t>
        </is>
      </c>
      <c r="F1105" t="inlineStr">
        <is>
          <t>New Lead</t>
        </is>
      </c>
      <c r="H1105" t="inlineStr">
        <is>
          <t>CC17792_(A).pdf</t>
        </is>
      </c>
      <c r="K1105" t="inlineStr">
        <is>
          <t>Not found</t>
        </is>
      </c>
      <c r="L1105" t="inlineStr">
        <is>
          <t>Unknown</t>
        </is>
      </c>
      <c r="T1105" t="inlineStr">
        <is>
          <t>https://tenders.iglonline.net/uploads/tender/CC17792_(A).pdf</t>
        </is>
      </c>
      <c r="U1105" t="inlineStr">
        <is>
          <t>No</t>
        </is>
      </c>
      <c r="V1105" t="inlineStr">
        <is>
          <t>Bot tarafindan tespit edildi (2026-07-01)</t>
        </is>
      </c>
    </row>
    <row r="1106">
      <c r="A1106" t="inlineStr">
        <is>
          <t>T-0910</t>
        </is>
      </c>
      <c r="B1106" t="inlineStr">
        <is>
          <t>Indraprastha Gas (IGL)</t>
        </is>
      </c>
      <c r="C1106" t="inlineStr">
        <is>
          <t>Indraprastha Gas (IGL)</t>
        </is>
      </c>
      <c r="F1106" t="inlineStr">
        <is>
          <t>New Lead</t>
        </is>
      </c>
      <c r="H1106" t="inlineStr">
        <is>
          <t>CC17792_(B).pdf</t>
        </is>
      </c>
      <c r="K1106" t="inlineStr">
        <is>
          <t>Not found</t>
        </is>
      </c>
      <c r="L1106" t="inlineStr">
        <is>
          <t>Unknown</t>
        </is>
      </c>
      <c r="T1106" t="inlineStr">
        <is>
          <t>https://tenders.iglonline.net/uploads/tender/CC17792_(B).pdf</t>
        </is>
      </c>
      <c r="U1106" t="inlineStr">
        <is>
          <t>No</t>
        </is>
      </c>
      <c r="V1106" t="inlineStr">
        <is>
          <t>Bot tarafindan tespit edildi (2026-07-01)</t>
        </is>
      </c>
    </row>
    <row r="1107">
      <c r="A1107" t="inlineStr">
        <is>
          <t>T-0911</t>
        </is>
      </c>
      <c r="B1107" t="inlineStr">
        <is>
          <t>Indraprastha Gas (IGL)</t>
        </is>
      </c>
      <c r="C1107" t="inlineStr">
        <is>
          <t>Indraprastha Gas (IGL)</t>
        </is>
      </c>
      <c r="F1107" t="inlineStr">
        <is>
          <t>New Lead</t>
        </is>
      </c>
      <c r="H1107" t="inlineStr">
        <is>
          <t>View Tender</t>
        </is>
      </c>
      <c r="K1107" t="inlineStr">
        <is>
          <t>Not found</t>
        </is>
      </c>
      <c r="L1107" t="inlineStr">
        <is>
          <t>Unknown</t>
        </is>
      </c>
      <c r="T1107" t="inlineStr">
        <is>
          <t>https://tenders.iglonline.net/tenderDetail/257/Active Tenders And Corrigendum-Addendum</t>
        </is>
      </c>
      <c r="U1107" t="inlineStr">
        <is>
          <t>No</t>
        </is>
      </c>
      <c r="V1107" t="inlineStr">
        <is>
          <t>Bot tarafindan tespit edildi (2026-07-01)</t>
        </is>
      </c>
    </row>
    <row r="1108">
      <c r="A1108" t="inlineStr">
        <is>
          <t>T-0912</t>
        </is>
      </c>
      <c r="B1108" t="inlineStr">
        <is>
          <t>Indraprastha Gas (IGL)</t>
        </is>
      </c>
      <c r="C1108" t="inlineStr">
        <is>
          <t>Indraprastha Gas (IGL)</t>
        </is>
      </c>
      <c r="F1108" t="inlineStr">
        <is>
          <t>New Lead</t>
        </is>
      </c>
      <c r="H1108" t="inlineStr">
        <is>
          <t>RTBQ_CC17862.pdf</t>
        </is>
      </c>
      <c r="K1108" t="inlineStr">
        <is>
          <t>Not found</t>
        </is>
      </c>
      <c r="L1108" t="inlineStr">
        <is>
          <t>Unknown</t>
        </is>
      </c>
      <c r="T1108" t="inlineStr">
        <is>
          <t>https://tenders.iglonline.net/uploads/tender/RTBQ_CC17862.pdf</t>
        </is>
      </c>
      <c r="U1108" t="inlineStr">
        <is>
          <t>No</t>
        </is>
      </c>
      <c r="V1108" t="inlineStr">
        <is>
          <t>Bot tarafindan tespit edildi (2026-07-01)</t>
        </is>
      </c>
    </row>
    <row r="1109">
      <c r="A1109" t="inlineStr">
        <is>
          <t>T-0913</t>
        </is>
      </c>
      <c r="B1109" t="inlineStr">
        <is>
          <t>Indraprastha Gas (IGL)</t>
        </is>
      </c>
      <c r="C1109" t="inlineStr">
        <is>
          <t>Indraprastha Gas (IGL)</t>
        </is>
      </c>
      <c r="F1109" t="inlineStr">
        <is>
          <t>New Lead</t>
        </is>
      </c>
      <c r="G1109" t="inlineStr">
        <is>
          <t>Skid / gas train</t>
        </is>
      </c>
      <c r="H1109" t="inlineStr">
        <is>
          <t>View Tender</t>
        </is>
      </c>
      <c r="K1109" t="inlineStr">
        <is>
          <t>Not found</t>
        </is>
      </c>
      <c r="L1109" t="inlineStr">
        <is>
          <t>Unknown</t>
        </is>
      </c>
      <c r="T1109" t="inlineStr">
        <is>
          <t>https://tenders.iglonline.net/tenderDetail/256/Active Tenders And Corrigendum-Addendum</t>
        </is>
      </c>
      <c r="U1109" t="inlineStr">
        <is>
          <t>No</t>
        </is>
      </c>
      <c r="V110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1110">
      <c r="A1110" t="inlineStr">
        <is>
          <t>T-0914</t>
        </is>
      </c>
      <c r="B1110" t="inlineStr">
        <is>
          <t>Indraprastha Gas (IGL)</t>
        </is>
      </c>
      <c r="C1110" t="inlineStr">
        <is>
          <t>Indraprastha Gas (IGL)</t>
        </is>
      </c>
      <c r="D1110" t="inlineStr">
        <is>
          <t>document</t>
        </is>
      </c>
      <c r="F1110" t="inlineStr">
        <is>
          <t>Awarded</t>
        </is>
      </c>
      <c r="G1110" t="inlineStr">
        <is>
          <t>metering skid</t>
        </is>
      </c>
      <c r="H1110" t="inlineStr">
        <is>
          <t>Corrigendum_I-1.pdf</t>
        </is>
      </c>
      <c r="K1110" t="inlineStr">
        <is>
          <t>Not found</t>
        </is>
      </c>
      <c r="L1110" t="inlineStr">
        <is>
          <t>Unknown</t>
        </is>
      </c>
      <c r="T1110" t="inlineStr">
        <is>
          <t>https://tenders.iglonline.net/uploads/tender/Corrigendum_I-1.pdf</t>
        </is>
      </c>
      <c r="U1110" t="inlineStr">
        <is>
          <t>No</t>
        </is>
      </c>
      <c r="V111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train;reject_reasons=employment/corporate,retail/cng station noise;scope=market_intelligence_only;excluded_scope=no_bid_or_offer_submission_automation</t>
        </is>
      </c>
    </row>
    <row r="1111">
      <c r="A1111" t="inlineStr">
        <is>
          <t>T-0915</t>
        </is>
      </c>
      <c r="B1111" t="inlineStr">
        <is>
          <t>Indraprastha Gas (IGL)</t>
        </is>
      </c>
      <c r="C1111" t="inlineStr">
        <is>
          <t>Indraprastha Gas (IGL)</t>
        </is>
      </c>
      <c r="F1111" t="inlineStr">
        <is>
          <t>New Lead</t>
        </is>
      </c>
      <c r="H1111" t="inlineStr">
        <is>
          <t>View Tender</t>
        </is>
      </c>
      <c r="K1111" t="inlineStr">
        <is>
          <t>Not found</t>
        </is>
      </c>
      <c r="L1111" t="inlineStr">
        <is>
          <t>Unknown</t>
        </is>
      </c>
      <c r="T1111" t="inlineStr">
        <is>
          <t>https://tenders.iglonline.net/tenderDetail/255/Active Tenders And Corrigendum-Addendum</t>
        </is>
      </c>
      <c r="U1111" t="inlineStr">
        <is>
          <t>No</t>
        </is>
      </c>
      <c r="V1111" t="inlineStr">
        <is>
          <t>Bot tarafindan tespit edildi (2026-07-01)</t>
        </is>
      </c>
    </row>
    <row r="1112">
      <c r="A1112" t="inlineStr">
        <is>
          <t>T-0916</t>
        </is>
      </c>
      <c r="B1112" t="inlineStr">
        <is>
          <t>Indraprastha Gas (IGL)</t>
        </is>
      </c>
      <c r="C1112" t="inlineStr">
        <is>
          <t>Indraprastha Gas (IGL)</t>
        </is>
      </c>
      <c r="F1112" t="inlineStr">
        <is>
          <t>New Lead</t>
        </is>
      </c>
      <c r="H1112" t="inlineStr">
        <is>
          <t>CORRIGENDUM_1-3.pdf</t>
        </is>
      </c>
      <c r="K1112" t="inlineStr">
        <is>
          <t>Not found</t>
        </is>
      </c>
      <c r="L1112" t="inlineStr">
        <is>
          <t>Unknown</t>
        </is>
      </c>
      <c r="T1112" t="inlineStr">
        <is>
          <t>https://tenders.iglonline.net/uploads/tender/CORRIGENDUM_1-3.pdf</t>
        </is>
      </c>
      <c r="U1112" t="inlineStr">
        <is>
          <t>No</t>
        </is>
      </c>
      <c r="V1112" t="inlineStr">
        <is>
          <t>Bot tarafindan tespit edildi (2026-07-01)</t>
        </is>
      </c>
    </row>
    <row r="1113">
      <c r="A1113" t="inlineStr">
        <is>
          <t>T-0917</t>
        </is>
      </c>
      <c r="B1113" t="inlineStr">
        <is>
          <t>Indraprastha Gas (IGL)</t>
        </is>
      </c>
      <c r="C1113" t="inlineStr">
        <is>
          <t>Indraprastha Gas (IGL)</t>
        </is>
      </c>
      <c r="F1113" t="inlineStr">
        <is>
          <t>New Lead</t>
        </is>
      </c>
      <c r="H1113" t="inlineStr">
        <is>
          <t>CORRIGENDUM_2_CM17855.pdf</t>
        </is>
      </c>
      <c r="K1113" t="inlineStr">
        <is>
          <t>Not found</t>
        </is>
      </c>
      <c r="L1113" t="inlineStr">
        <is>
          <t>Unknown</t>
        </is>
      </c>
      <c r="T1113" t="inlineStr">
        <is>
          <t>https://tenders.iglonline.net/uploads/tender/CORRIGENDUM_2_CM17855.pdf</t>
        </is>
      </c>
      <c r="U1113" t="inlineStr">
        <is>
          <t>No</t>
        </is>
      </c>
      <c r="V1113" t="inlineStr">
        <is>
          <t>Bot tarafindan tespit edildi (2026-07-01)</t>
        </is>
      </c>
    </row>
    <row r="1114">
      <c r="A1114" t="inlineStr">
        <is>
          <t>T-0918</t>
        </is>
      </c>
      <c r="B1114" t="inlineStr">
        <is>
          <t>Indraprastha Gas (IGL)</t>
        </is>
      </c>
      <c r="C1114" t="inlineStr">
        <is>
          <t>Indraprastha Gas (IGL)</t>
        </is>
      </c>
      <c r="F1114" t="inlineStr">
        <is>
          <t>New Lead</t>
        </is>
      </c>
      <c r="H1114" t="inlineStr">
        <is>
          <t>View Tender</t>
        </is>
      </c>
      <c r="K1114" t="inlineStr">
        <is>
          <t>Not found</t>
        </is>
      </c>
      <c r="L1114" t="inlineStr">
        <is>
          <t>Unknown</t>
        </is>
      </c>
      <c r="T1114" t="inlineStr">
        <is>
          <t>https://tenders.iglonline.net/tenderDetail/254/Active Tenders And Corrigendum-Addendum</t>
        </is>
      </c>
      <c r="U1114" t="inlineStr">
        <is>
          <t>No</t>
        </is>
      </c>
      <c r="V1114" t="inlineStr">
        <is>
          <t>Bot tarafindan tespit edildi (2026-07-01)</t>
        </is>
      </c>
    </row>
    <row r="1115">
      <c r="A1115" t="inlineStr">
        <is>
          <t>T-0919</t>
        </is>
      </c>
      <c r="B1115" t="inlineStr">
        <is>
          <t>Indraprastha Gas (IGL)</t>
        </is>
      </c>
      <c r="C1115" t="inlineStr">
        <is>
          <t>Indraprastha Gas (IGL)</t>
        </is>
      </c>
      <c r="F1115" t="inlineStr">
        <is>
          <t>New Lead</t>
        </is>
      </c>
      <c r="H1115" t="inlineStr">
        <is>
          <t>CC17863.pdf</t>
        </is>
      </c>
      <c r="K1115" t="inlineStr">
        <is>
          <t>Not found</t>
        </is>
      </c>
      <c r="L1115" t="inlineStr">
        <is>
          <t>Unknown</t>
        </is>
      </c>
      <c r="T1115" t="inlineStr">
        <is>
          <t>https://tenders.iglonline.net/uploads/tender/CC17863.pdf</t>
        </is>
      </c>
      <c r="U1115" t="inlineStr">
        <is>
          <t>No</t>
        </is>
      </c>
      <c r="V1115" t="inlineStr">
        <is>
          <t>Bot tarafindan tespit edildi (2026-07-01)</t>
        </is>
      </c>
    </row>
    <row r="1116">
      <c r="A1116" t="inlineStr">
        <is>
          <t>T-0920</t>
        </is>
      </c>
      <c r="B1116" t="inlineStr">
        <is>
          <t>Indraprastha Gas (IGL)</t>
        </is>
      </c>
      <c r="C1116" t="inlineStr">
        <is>
          <t>Indraprastha Gas (IGL)</t>
        </is>
      </c>
      <c r="F1116" t="inlineStr">
        <is>
          <t>New Lead</t>
        </is>
      </c>
      <c r="H1116" t="inlineStr">
        <is>
          <t>CC17863_(A).pdf</t>
        </is>
      </c>
      <c r="K1116" t="inlineStr">
        <is>
          <t>Not found</t>
        </is>
      </c>
      <c r="L1116" t="inlineStr">
        <is>
          <t>Unknown</t>
        </is>
      </c>
      <c r="T1116" t="inlineStr">
        <is>
          <t>https://tenders.iglonline.net/uploads/tender/CC17863_(A).pdf</t>
        </is>
      </c>
      <c r="U1116" t="inlineStr">
        <is>
          <t>No</t>
        </is>
      </c>
      <c r="V1116" t="inlineStr">
        <is>
          <t>Bot tarafindan tespit edildi (2026-07-01)</t>
        </is>
      </c>
    </row>
    <row r="1117">
      <c r="A1117" t="inlineStr">
        <is>
          <t>T-0921</t>
        </is>
      </c>
      <c r="B1117" t="inlineStr">
        <is>
          <t>Indraprastha Gas (IGL)</t>
        </is>
      </c>
      <c r="C1117" t="inlineStr">
        <is>
          <t>Indraprastha Gas (IGL)</t>
        </is>
      </c>
      <c r="F1117" t="inlineStr">
        <is>
          <t>New Lead</t>
        </is>
      </c>
      <c r="H1117" t="inlineStr">
        <is>
          <t>CC17863_(B).pdf</t>
        </is>
      </c>
      <c r="K1117" t="inlineStr">
        <is>
          <t>Not found</t>
        </is>
      </c>
      <c r="L1117" t="inlineStr">
        <is>
          <t>Unknown</t>
        </is>
      </c>
      <c r="T1117" t="inlineStr">
        <is>
          <t>https://tenders.iglonline.net/uploads/tender/CC17863_(B).pdf</t>
        </is>
      </c>
      <c r="U1117" t="inlineStr">
        <is>
          <t>No</t>
        </is>
      </c>
      <c r="V1117" t="inlineStr">
        <is>
          <t>Bot tarafindan tespit edildi (2026-07-01)</t>
        </is>
      </c>
    </row>
    <row r="1118">
      <c r="A1118" t="inlineStr">
        <is>
          <t>T-0922</t>
        </is>
      </c>
      <c r="B1118" t="inlineStr">
        <is>
          <t>Indraprastha Gas (IGL)</t>
        </is>
      </c>
      <c r="C1118" t="inlineStr">
        <is>
          <t>Indraprastha Gas (IGL)</t>
        </is>
      </c>
      <c r="F1118" t="inlineStr">
        <is>
          <t>New Lead</t>
        </is>
      </c>
      <c r="H1118" t="inlineStr">
        <is>
          <t>View Tender</t>
        </is>
      </c>
      <c r="K1118" t="inlineStr">
        <is>
          <t>Not found</t>
        </is>
      </c>
      <c r="L1118" t="inlineStr">
        <is>
          <t>Unknown</t>
        </is>
      </c>
      <c r="T1118" t="inlineStr">
        <is>
          <t>https://tenders.iglonline.net/tenderDetail/253/Active Tenders And Corrigendum-Addendum</t>
        </is>
      </c>
      <c r="U1118" t="inlineStr">
        <is>
          <t>No</t>
        </is>
      </c>
      <c r="V1118" t="inlineStr">
        <is>
          <t>Bot tarafindan tespit edildi (2026-07-01)</t>
        </is>
      </c>
    </row>
    <row r="1119">
      <c r="A1119" t="inlineStr">
        <is>
          <t>T-0923</t>
        </is>
      </c>
      <c r="B1119" t="inlineStr">
        <is>
          <t>Indraprastha Gas (IGL)</t>
        </is>
      </c>
      <c r="C1119" t="inlineStr">
        <is>
          <t>Indraprastha Gas (IGL)</t>
        </is>
      </c>
      <c r="F1119" t="inlineStr">
        <is>
          <t>New Lead</t>
        </is>
      </c>
      <c r="H1119" t="inlineStr">
        <is>
          <t>CC17790-1.pdf</t>
        </is>
      </c>
      <c r="K1119" t="inlineStr">
        <is>
          <t>Not found</t>
        </is>
      </c>
      <c r="L1119" t="inlineStr">
        <is>
          <t>Unknown</t>
        </is>
      </c>
      <c r="T1119" t="inlineStr">
        <is>
          <t>https://tenders.iglonline.net/uploads/tender/CC17790-1.pdf</t>
        </is>
      </c>
      <c r="U1119" t="inlineStr">
        <is>
          <t>No</t>
        </is>
      </c>
      <c r="V1119" t="inlineStr">
        <is>
          <t>Bot tarafindan tespit edildi (2026-07-01)</t>
        </is>
      </c>
    </row>
    <row r="1120">
      <c r="A1120" t="inlineStr">
        <is>
          <t>T-0924</t>
        </is>
      </c>
      <c r="B1120" t="inlineStr">
        <is>
          <t>Indraprastha Gas (IGL)</t>
        </is>
      </c>
      <c r="C1120" t="inlineStr">
        <is>
          <t>Indraprastha Gas (IGL)</t>
        </is>
      </c>
      <c r="F1120" t="inlineStr">
        <is>
          <t>New Lead</t>
        </is>
      </c>
      <c r="H1120" t="inlineStr">
        <is>
          <t>CC17790_(A)-1.pdf</t>
        </is>
      </c>
      <c r="K1120" t="inlineStr">
        <is>
          <t>Not found</t>
        </is>
      </c>
      <c r="L1120" t="inlineStr">
        <is>
          <t>Unknown</t>
        </is>
      </c>
      <c r="T1120" t="inlineStr">
        <is>
          <t>https://tenders.iglonline.net/uploads/tender/CC17790_(A)-1.pdf</t>
        </is>
      </c>
      <c r="U1120" t="inlineStr">
        <is>
          <t>No</t>
        </is>
      </c>
      <c r="V1120" t="inlineStr">
        <is>
          <t>Bot tarafindan tespit edildi (2026-07-01)</t>
        </is>
      </c>
    </row>
    <row r="1121">
      <c r="A1121" t="inlineStr">
        <is>
          <t>T-0925</t>
        </is>
      </c>
      <c r="B1121" t="inlineStr">
        <is>
          <t>Indraprastha Gas (IGL)</t>
        </is>
      </c>
      <c r="C1121" t="inlineStr">
        <is>
          <t>Indraprastha Gas (IGL)</t>
        </is>
      </c>
      <c r="F1121" t="inlineStr">
        <is>
          <t>New Lead</t>
        </is>
      </c>
      <c r="H1121" t="inlineStr">
        <is>
          <t>CC17790_(B).pdf</t>
        </is>
      </c>
      <c r="K1121" t="inlineStr">
        <is>
          <t>Not found</t>
        </is>
      </c>
      <c r="L1121" t="inlineStr">
        <is>
          <t>Unknown</t>
        </is>
      </c>
      <c r="T1121" t="inlineStr">
        <is>
          <t>https://tenders.iglonline.net/uploads/tender/CC17790_(B).pdf</t>
        </is>
      </c>
      <c r="U1121" t="inlineStr">
        <is>
          <t>No</t>
        </is>
      </c>
      <c r="V1121" t="inlineStr">
        <is>
          <t>Bot tarafindan tespit edildi (2026-07-01)</t>
        </is>
      </c>
    </row>
    <row r="1122">
      <c r="A1122" t="inlineStr">
        <is>
          <t>T-0926</t>
        </is>
      </c>
      <c r="B1122" t="inlineStr">
        <is>
          <t>Indraprastha Gas (IGL)</t>
        </is>
      </c>
      <c r="C1122" t="inlineStr">
        <is>
          <t>Indraprastha Gas (IGL)</t>
        </is>
      </c>
      <c r="F1122" t="inlineStr">
        <is>
          <t>New Lead</t>
        </is>
      </c>
      <c r="H1122" t="inlineStr">
        <is>
          <t>View Tender</t>
        </is>
      </c>
      <c r="K1122" t="inlineStr">
        <is>
          <t>Not found</t>
        </is>
      </c>
      <c r="L1122" t="inlineStr">
        <is>
          <t>Unknown</t>
        </is>
      </c>
      <c r="T1122" t="inlineStr">
        <is>
          <t>https://tenders.iglonline.net/tenderDetail/252/Active Tenders And Corrigendum-Addendum</t>
        </is>
      </c>
      <c r="U1122" t="inlineStr">
        <is>
          <t>No</t>
        </is>
      </c>
      <c r="V1122" t="inlineStr">
        <is>
          <t>Bot tarafindan tespit edildi (2026-07-01)</t>
        </is>
      </c>
    </row>
    <row r="1123">
      <c r="A1123" t="inlineStr">
        <is>
          <t>T-0927</t>
        </is>
      </c>
      <c r="B1123" t="inlineStr">
        <is>
          <t>Indraprastha Gas (IGL)</t>
        </is>
      </c>
      <c r="C1123" t="inlineStr">
        <is>
          <t>Indraprastha Gas (IGL)</t>
        </is>
      </c>
      <c r="F1123" t="inlineStr">
        <is>
          <t>New Lead</t>
        </is>
      </c>
      <c r="H1123" t="inlineStr">
        <is>
          <t>View Tender</t>
        </is>
      </c>
      <c r="K1123" t="inlineStr">
        <is>
          <t>Not found</t>
        </is>
      </c>
      <c r="L1123" t="inlineStr">
        <is>
          <t>Unknown</t>
        </is>
      </c>
      <c r="T1123" t="inlineStr">
        <is>
          <t>https://tenders.iglonline.net/tenderDetail/251/Active Tenders And Corrigendum-Addendum</t>
        </is>
      </c>
      <c r="U1123" t="inlineStr">
        <is>
          <t>No</t>
        </is>
      </c>
      <c r="V1123" t="inlineStr">
        <is>
          <t>Bot tarafindan tespit edildi (2026-07-01)</t>
        </is>
      </c>
    </row>
    <row r="1124">
      <c r="A1124" t="inlineStr">
        <is>
          <t>T-0928</t>
        </is>
      </c>
      <c r="B1124" t="inlineStr">
        <is>
          <t>Indraprastha Gas (IGL)</t>
        </is>
      </c>
      <c r="C1124" t="inlineStr">
        <is>
          <t>Indraprastha Gas (IGL)</t>
        </is>
      </c>
      <c r="D1124" t="inlineStr">
        <is>
          <t>QUERIES</t>
        </is>
      </c>
      <c r="F1124" t="inlineStr">
        <is>
          <t>Awarded</t>
        </is>
      </c>
      <c r="G1124" t="inlineStr">
        <is>
          <t>meter regulator</t>
        </is>
      </c>
      <c r="H1124" t="inlineStr">
        <is>
          <t>RTBQ_CP17860.pdf</t>
        </is>
      </c>
      <c r="K1124" t="inlineStr">
        <is>
          <t>Not found</t>
        </is>
      </c>
      <c r="L1124" t="inlineStr">
        <is>
          <t>Unknown</t>
        </is>
      </c>
      <c r="M1124" t="n">
        <v>4</v>
      </c>
      <c r="T1124" t="inlineStr">
        <is>
          <t>https://tenders.iglonline.net/uploads/tender/RTBQ_CP17860.pdf</t>
        </is>
      </c>
      <c r="U1124" t="inlineStr">
        <is>
          <t>No</t>
        </is>
      </c>
      <c r="V1124" t="inlineStr">
        <is>
          <t>Bot tarafindan tespit edildi (2026-07-01) | Bot enrich; date=2026-07-01; type=pdf; score=320; pdf_conf=Low</t>
        </is>
      </c>
    </row>
    <row r="1125">
      <c r="A1125" t="inlineStr">
        <is>
          <t>T-0929</t>
        </is>
      </c>
      <c r="B1125" t="inlineStr">
        <is>
          <t>Indraprastha Gas (IGL)</t>
        </is>
      </c>
      <c r="C1125" t="inlineStr">
        <is>
          <t>Indraprastha Gas (IGL)</t>
        </is>
      </c>
      <c r="F1125" t="inlineStr">
        <is>
          <t>New Lead</t>
        </is>
      </c>
      <c r="H1125" t="inlineStr">
        <is>
          <t>View Tender</t>
        </is>
      </c>
      <c r="K1125" t="inlineStr">
        <is>
          <t>Not found</t>
        </is>
      </c>
      <c r="L1125" t="inlineStr">
        <is>
          <t>Unknown</t>
        </is>
      </c>
      <c r="T1125" t="inlineStr">
        <is>
          <t>https://tenders.iglonline.net/tenderDetail/250/Active Tenders And Corrigendum-Addendum</t>
        </is>
      </c>
      <c r="U1125" t="inlineStr">
        <is>
          <t>No</t>
        </is>
      </c>
      <c r="V1125" t="inlineStr">
        <is>
          <t>Bot tarafindan tespit edildi (2026-07-01)</t>
        </is>
      </c>
    </row>
    <row r="1126">
      <c r="A1126" t="inlineStr">
        <is>
          <t>T-0930</t>
        </is>
      </c>
      <c r="B1126" t="inlineStr">
        <is>
          <t>Indraprastha Gas (IGL)</t>
        </is>
      </c>
      <c r="C1126" t="inlineStr">
        <is>
          <t>Indraprastha Gas (IGL)</t>
        </is>
      </c>
      <c r="F1126" t="inlineStr">
        <is>
          <t>New Lead</t>
        </is>
      </c>
      <c r="H1126" t="inlineStr">
        <is>
          <t>Corrigendum_12.pdf</t>
        </is>
      </c>
      <c r="K1126" t="inlineStr">
        <is>
          <t>Not found</t>
        </is>
      </c>
      <c r="L1126" t="inlineStr">
        <is>
          <t>Unknown</t>
        </is>
      </c>
      <c r="T1126" t="inlineStr">
        <is>
          <t>https://tenders.iglonline.net/uploads/tender/Corrigendum_12.pdf</t>
        </is>
      </c>
      <c r="U1126" t="inlineStr">
        <is>
          <t>No</t>
        </is>
      </c>
      <c r="V1126" t="inlineStr">
        <is>
          <t>Bot tarafindan tespit edildi (2026-07-01)</t>
        </is>
      </c>
    </row>
    <row r="1127">
      <c r="A1127" t="inlineStr">
        <is>
          <t>T-0931</t>
        </is>
      </c>
      <c r="B1127" t="inlineStr">
        <is>
          <t>Indraprastha Gas (IGL)</t>
        </is>
      </c>
      <c r="C1127" t="inlineStr">
        <is>
          <t>Indraprastha Gas (IGL)</t>
        </is>
      </c>
      <c r="F1127" t="inlineStr">
        <is>
          <t>New Lead</t>
        </is>
      </c>
      <c r="H1127" t="inlineStr">
        <is>
          <t>RTPBQ_Tender_CC17861.pdf</t>
        </is>
      </c>
      <c r="K1127" t="inlineStr">
        <is>
          <t>Not found</t>
        </is>
      </c>
      <c r="L1127" t="inlineStr">
        <is>
          <t>Unknown</t>
        </is>
      </c>
      <c r="T1127" t="inlineStr">
        <is>
          <t>https://tenders.iglonline.net/uploads/tender/RTPBQ_Tender_CC17861.pdf</t>
        </is>
      </c>
      <c r="U1127" t="inlineStr">
        <is>
          <t>No</t>
        </is>
      </c>
      <c r="V1127" t="inlineStr">
        <is>
          <t>Bot tarafindan tespit edildi (2026-07-01)</t>
        </is>
      </c>
    </row>
    <row r="1128">
      <c r="A1128" t="inlineStr">
        <is>
          <t>T-0932</t>
        </is>
      </c>
      <c r="B1128" t="inlineStr">
        <is>
          <t>Indraprastha Gas (IGL)</t>
        </is>
      </c>
      <c r="C1128" t="inlineStr">
        <is>
          <t>Indraprastha Gas (IGL)</t>
        </is>
      </c>
      <c r="F1128" t="inlineStr">
        <is>
          <t>New Lead</t>
        </is>
      </c>
      <c r="H1128" t="inlineStr">
        <is>
          <t>View Tender</t>
        </is>
      </c>
      <c r="K1128" t="inlineStr">
        <is>
          <t>Not found</t>
        </is>
      </c>
      <c r="L1128" t="inlineStr">
        <is>
          <t>Unknown</t>
        </is>
      </c>
      <c r="T1128" t="inlineStr">
        <is>
          <t>https://tenders.iglonline.net/tenderDetail/249/Active Tenders And Corrigendum-Addendum</t>
        </is>
      </c>
      <c r="U1128" t="inlineStr">
        <is>
          <t>No</t>
        </is>
      </c>
      <c r="V1128" t="inlineStr">
        <is>
          <t>Bot tarafindan tespit edildi (2026-07-01)</t>
        </is>
      </c>
    </row>
    <row r="1129">
      <c r="A1129" t="inlineStr">
        <is>
          <t>T-0933</t>
        </is>
      </c>
      <c r="B1129" t="inlineStr">
        <is>
          <t>Indraprastha Gas (IGL)</t>
        </is>
      </c>
      <c r="C1129" t="inlineStr">
        <is>
          <t>Indraprastha Gas (IGL)</t>
        </is>
      </c>
      <c r="F1129" t="inlineStr">
        <is>
          <t>New Lead</t>
        </is>
      </c>
      <c r="H1129" t="inlineStr">
        <is>
          <t>Corrigendum_1_CP17847.pdf</t>
        </is>
      </c>
      <c r="K1129" t="inlineStr">
        <is>
          <t>Not found</t>
        </is>
      </c>
      <c r="L1129" t="inlineStr">
        <is>
          <t>Unknown</t>
        </is>
      </c>
      <c r="T1129" t="inlineStr">
        <is>
          <t>https://tenders.iglonline.net/uploads/tender/Corrigendum_1_CP17847.pdf</t>
        </is>
      </c>
      <c r="U1129" t="inlineStr">
        <is>
          <t>No</t>
        </is>
      </c>
      <c r="V1129" t="inlineStr">
        <is>
          <t>Bot tarafindan tespit edildi (2026-07-01)</t>
        </is>
      </c>
    </row>
    <row r="1130">
      <c r="A1130" t="inlineStr">
        <is>
          <t>T-0934</t>
        </is>
      </c>
      <c r="B1130" t="inlineStr">
        <is>
          <t>Indraprastha Gas (IGL)</t>
        </is>
      </c>
      <c r="C1130" t="inlineStr">
        <is>
          <t>Indraprastha Gas (IGL)</t>
        </is>
      </c>
      <c r="F1130" t="inlineStr">
        <is>
          <t>New Lead</t>
        </is>
      </c>
      <c r="H1130" t="inlineStr">
        <is>
          <t>RTBQ-1.pdf</t>
        </is>
      </c>
      <c r="K1130" t="inlineStr">
        <is>
          <t>Not found</t>
        </is>
      </c>
      <c r="L1130" t="inlineStr">
        <is>
          <t>Unknown</t>
        </is>
      </c>
      <c r="T1130" t="inlineStr">
        <is>
          <t>https://tenders.iglonline.net/uploads/tender/RTBQ-1.pdf</t>
        </is>
      </c>
      <c r="U1130" t="inlineStr">
        <is>
          <t>No</t>
        </is>
      </c>
      <c r="V1130" t="inlineStr">
        <is>
          <t>Bot tarafindan tespit edildi (2026-07-01)</t>
        </is>
      </c>
    </row>
    <row r="1131">
      <c r="A1131" t="inlineStr">
        <is>
          <t>T-0935</t>
        </is>
      </c>
      <c r="B1131" t="inlineStr">
        <is>
          <t>Indraprastha Gas (IGL)</t>
        </is>
      </c>
      <c r="C1131" t="inlineStr">
        <is>
          <t>Indraprastha Gas (IGL)</t>
        </is>
      </c>
      <c r="F1131" t="inlineStr">
        <is>
          <t>New Lead</t>
        </is>
      </c>
      <c r="H1131" t="inlineStr">
        <is>
          <t>Corrigendum_2_CP17847.pdf</t>
        </is>
      </c>
      <c r="K1131" t="inlineStr">
        <is>
          <t>Not found</t>
        </is>
      </c>
      <c r="L1131" t="inlineStr">
        <is>
          <t>Unknown</t>
        </is>
      </c>
      <c r="T1131" t="inlineStr">
        <is>
          <t>https://tenders.iglonline.net/uploads/tender/Corrigendum_2_CP17847.pdf</t>
        </is>
      </c>
      <c r="U1131" t="inlineStr">
        <is>
          <t>No</t>
        </is>
      </c>
      <c r="V1131" t="inlineStr">
        <is>
          <t>Bot tarafindan tespit edildi (2026-07-01)</t>
        </is>
      </c>
    </row>
    <row r="1132">
      <c r="A1132" t="inlineStr">
        <is>
          <t>T-0936</t>
        </is>
      </c>
      <c r="B1132" t="inlineStr">
        <is>
          <t>Indraprastha Gas (IGL)</t>
        </is>
      </c>
      <c r="C1132" t="inlineStr">
        <is>
          <t>Indraprastha Gas (IGL)</t>
        </is>
      </c>
      <c r="F1132" t="inlineStr">
        <is>
          <t>New Lead</t>
        </is>
      </c>
      <c r="H1132" t="inlineStr">
        <is>
          <t>Corrigendum_3_CP17847.pdf</t>
        </is>
      </c>
      <c r="K1132" t="inlineStr">
        <is>
          <t>Not found</t>
        </is>
      </c>
      <c r="L1132" t="inlineStr">
        <is>
          <t>Unknown</t>
        </is>
      </c>
      <c r="T1132" t="inlineStr">
        <is>
          <t>https://tenders.iglonline.net/uploads/tender/Corrigendum_3_CP17847.pdf</t>
        </is>
      </c>
      <c r="U1132" t="inlineStr">
        <is>
          <t>No</t>
        </is>
      </c>
      <c r="V1132" t="inlineStr">
        <is>
          <t>Bot tarafindan tespit edildi (2026-07-01)</t>
        </is>
      </c>
    </row>
    <row r="1133">
      <c r="A1133" t="inlineStr">
        <is>
          <t>T-0937</t>
        </is>
      </c>
      <c r="B1133" t="inlineStr">
        <is>
          <t>Indraprastha Gas (IGL)</t>
        </is>
      </c>
      <c r="C1133" t="inlineStr">
        <is>
          <t>Indraprastha Gas (IGL)</t>
        </is>
      </c>
      <c r="F1133" t="inlineStr">
        <is>
          <t>New Lead</t>
        </is>
      </c>
      <c r="H1133" t="inlineStr">
        <is>
          <t>View Tender</t>
        </is>
      </c>
      <c r="K1133" t="inlineStr">
        <is>
          <t>Not found</t>
        </is>
      </c>
      <c r="L1133" t="inlineStr">
        <is>
          <t>Unknown</t>
        </is>
      </c>
      <c r="T1133" t="inlineStr">
        <is>
          <t>https://tenders.iglonline.net/tenderDetail/248/Active Tenders And Corrigendum-Addendum</t>
        </is>
      </c>
      <c r="U1133" t="inlineStr">
        <is>
          <t>No</t>
        </is>
      </c>
      <c r="V1133" t="inlineStr">
        <is>
          <t>Bot tarafindan tespit edildi (2026-07-01)</t>
        </is>
      </c>
    </row>
    <row r="1134">
      <c r="A1134" t="inlineStr">
        <is>
          <t>T-0938</t>
        </is>
      </c>
      <c r="B1134" t="inlineStr">
        <is>
          <t>Indraprastha Gas (IGL)</t>
        </is>
      </c>
      <c r="C1134" t="inlineStr">
        <is>
          <t>Indraprastha Gas (IGL)</t>
        </is>
      </c>
      <c r="F1134" t="inlineStr">
        <is>
          <t>New Lead</t>
        </is>
      </c>
      <c r="H1134" t="inlineStr">
        <is>
          <t>Corrigendum-I__CC17830.pdf</t>
        </is>
      </c>
      <c r="K1134" t="inlineStr">
        <is>
          <t>Not found</t>
        </is>
      </c>
      <c r="L1134" t="inlineStr">
        <is>
          <t>Unknown</t>
        </is>
      </c>
      <c r="T1134" t="inlineStr">
        <is>
          <t>https://tenders.iglonline.net/uploads/tender/Corrigendum-I__CC17830.pdf</t>
        </is>
      </c>
      <c r="U1134" t="inlineStr">
        <is>
          <t>No</t>
        </is>
      </c>
      <c r="V1134" t="inlineStr">
        <is>
          <t>Bot tarafindan tespit edildi (2026-07-01)</t>
        </is>
      </c>
    </row>
    <row r="1135">
      <c r="A1135" t="inlineStr">
        <is>
          <t>T-0939</t>
        </is>
      </c>
      <c r="B1135" t="inlineStr">
        <is>
          <t>Indraprastha Gas (IGL)</t>
        </is>
      </c>
      <c r="C1135" t="inlineStr">
        <is>
          <t>Indraprastha Gas (IGL)</t>
        </is>
      </c>
      <c r="F1135" t="inlineStr">
        <is>
          <t>New Lead</t>
        </is>
      </c>
      <c r="H1135" t="inlineStr">
        <is>
          <t>Corrigendum-II__CC17830.pdf</t>
        </is>
      </c>
      <c r="K1135" t="inlineStr">
        <is>
          <t>Not found</t>
        </is>
      </c>
      <c r="L1135" t="inlineStr">
        <is>
          <t>Unknown</t>
        </is>
      </c>
      <c r="T1135" t="inlineStr">
        <is>
          <t>https://tenders.iglonline.net/uploads/tender/Corrigendum-II__CC17830.pdf</t>
        </is>
      </c>
      <c r="U1135" t="inlineStr">
        <is>
          <t>No</t>
        </is>
      </c>
      <c r="V1135" t="inlineStr">
        <is>
          <t>Bot tarafindan tespit edildi (2026-07-01)</t>
        </is>
      </c>
    </row>
    <row r="1136">
      <c r="A1136" t="inlineStr">
        <is>
          <t>T-0940</t>
        </is>
      </c>
      <c r="B1136" t="inlineStr">
        <is>
          <t>Indraprastha Gas (IGL)</t>
        </is>
      </c>
      <c r="C1136" t="inlineStr">
        <is>
          <t>Indraprastha Gas (IGL)</t>
        </is>
      </c>
      <c r="F1136" t="inlineStr">
        <is>
          <t>New Lead</t>
        </is>
      </c>
      <c r="H1136" t="inlineStr">
        <is>
          <t>Corrigendum-III__CC17830.pdf</t>
        </is>
      </c>
      <c r="K1136" t="inlineStr">
        <is>
          <t>Not found</t>
        </is>
      </c>
      <c r="L1136" t="inlineStr">
        <is>
          <t>Unknown</t>
        </is>
      </c>
      <c r="T1136" t="inlineStr">
        <is>
          <t>https://tenders.iglonline.net/uploads/tender/Corrigendum-III__CC17830.pdf</t>
        </is>
      </c>
      <c r="U1136" t="inlineStr">
        <is>
          <t>No</t>
        </is>
      </c>
      <c r="V1136" t="inlineStr">
        <is>
          <t>Bot tarafindan tespit edildi (2026-07-01)</t>
        </is>
      </c>
    </row>
    <row r="1137">
      <c r="A1137" t="inlineStr">
        <is>
          <t>T-0941</t>
        </is>
      </c>
      <c r="B1137" t="inlineStr">
        <is>
          <t>Indraprastha Gas (IGL)</t>
        </is>
      </c>
      <c r="C1137" t="inlineStr">
        <is>
          <t>Indraprastha Gas (IGL)</t>
        </is>
      </c>
      <c r="F1137" t="inlineStr">
        <is>
          <t>New Lead</t>
        </is>
      </c>
      <c r="H1137" t="inlineStr">
        <is>
          <t>View Tender</t>
        </is>
      </c>
      <c r="K1137" t="inlineStr">
        <is>
          <t>Not found</t>
        </is>
      </c>
      <c r="L1137" t="inlineStr">
        <is>
          <t>Unknown</t>
        </is>
      </c>
      <c r="T1137" t="inlineStr">
        <is>
          <t>https://tenders.iglonline.net/tenderDetail/247/Active Tenders And Corrigendum-Addendum</t>
        </is>
      </c>
      <c r="U1137" t="inlineStr">
        <is>
          <t>No</t>
        </is>
      </c>
      <c r="V1137" t="inlineStr">
        <is>
          <t>Bot tarafindan tespit edildi (2026-07-01)</t>
        </is>
      </c>
    </row>
    <row r="1138">
      <c r="A1138" t="inlineStr">
        <is>
          <t>T-0942</t>
        </is>
      </c>
      <c r="B1138" t="inlineStr">
        <is>
          <t>Indraprastha Gas (IGL)</t>
        </is>
      </c>
      <c r="C1138" t="inlineStr">
        <is>
          <t>Indraprastha Gas (IGL)</t>
        </is>
      </c>
      <c r="F1138" t="inlineStr">
        <is>
          <t>New Lead</t>
        </is>
      </c>
      <c r="H1138" t="inlineStr">
        <is>
          <t>Corrigendum-I__CC17829.pdf</t>
        </is>
      </c>
      <c r="K1138" t="inlineStr">
        <is>
          <t>Not found</t>
        </is>
      </c>
      <c r="L1138" t="inlineStr">
        <is>
          <t>Unknown</t>
        </is>
      </c>
      <c r="T1138" t="inlineStr">
        <is>
          <t>https://tenders.iglonline.net/uploads/tender/Corrigendum-I__CC17829.pdf</t>
        </is>
      </c>
      <c r="U1138" t="inlineStr">
        <is>
          <t>No</t>
        </is>
      </c>
      <c r="V1138" t="inlineStr">
        <is>
          <t>Bot tarafindan tespit edildi (2026-07-01)</t>
        </is>
      </c>
    </row>
    <row r="1139">
      <c r="A1139" t="inlineStr">
        <is>
          <t>T-0943</t>
        </is>
      </c>
      <c r="B1139" t="inlineStr">
        <is>
          <t>Indraprastha Gas (IGL)</t>
        </is>
      </c>
      <c r="C1139" t="inlineStr">
        <is>
          <t>Indraprastha Gas (IGL)</t>
        </is>
      </c>
      <c r="F1139" t="inlineStr">
        <is>
          <t>New Lead</t>
        </is>
      </c>
      <c r="H1139" t="inlineStr">
        <is>
          <t>Corrigendum-II__CC17829.pdf</t>
        </is>
      </c>
      <c r="K1139" t="inlineStr">
        <is>
          <t>Not found</t>
        </is>
      </c>
      <c r="L1139" t="inlineStr">
        <is>
          <t>Unknown</t>
        </is>
      </c>
      <c r="T1139" t="inlineStr">
        <is>
          <t>https://tenders.iglonline.net/uploads/tender/Corrigendum-II__CC17829.pdf</t>
        </is>
      </c>
      <c r="U1139" t="inlineStr">
        <is>
          <t>No</t>
        </is>
      </c>
      <c r="V1139" t="inlineStr">
        <is>
          <t>Bot tarafindan tespit edildi (2026-07-01)</t>
        </is>
      </c>
    </row>
    <row r="1140">
      <c r="A1140" t="inlineStr">
        <is>
          <t>T-0944</t>
        </is>
      </c>
      <c r="B1140" t="inlineStr">
        <is>
          <t>Indraprastha Gas (IGL)</t>
        </is>
      </c>
      <c r="C1140" t="inlineStr">
        <is>
          <t>Indraprastha Gas (IGL)</t>
        </is>
      </c>
      <c r="F1140" t="inlineStr">
        <is>
          <t>New Lead</t>
        </is>
      </c>
      <c r="H1140" t="inlineStr">
        <is>
          <t>Corrigendum-III__CC17829.pdf</t>
        </is>
      </c>
      <c r="K1140" t="inlineStr">
        <is>
          <t>Not found</t>
        </is>
      </c>
      <c r="L1140" t="inlineStr">
        <is>
          <t>Unknown</t>
        </is>
      </c>
      <c r="T1140" t="inlineStr">
        <is>
          <t>https://tenders.iglonline.net/uploads/tender/Corrigendum-III__CC17829.pdf</t>
        </is>
      </c>
      <c r="U1140" t="inlineStr">
        <is>
          <t>No</t>
        </is>
      </c>
      <c r="V1140" t="inlineStr">
        <is>
          <t>Bot tarafindan tespit edildi (2026-07-01)</t>
        </is>
      </c>
    </row>
    <row r="1141">
      <c r="A1141" t="inlineStr">
        <is>
          <t>T-0945</t>
        </is>
      </c>
      <c r="B1141" t="inlineStr">
        <is>
          <t>Indraprastha Gas (IGL)</t>
        </is>
      </c>
      <c r="C1141" t="inlineStr">
        <is>
          <t>Indraprastha Gas (IGL)</t>
        </is>
      </c>
      <c r="F1141" t="inlineStr">
        <is>
          <t>New Lead</t>
        </is>
      </c>
      <c r="H1141" t="inlineStr">
        <is>
          <t>View Tender</t>
        </is>
      </c>
      <c r="K1141" t="inlineStr">
        <is>
          <t>Not found</t>
        </is>
      </c>
      <c r="L1141" t="inlineStr">
        <is>
          <t>Unknown</t>
        </is>
      </c>
      <c r="T1141" t="inlineStr">
        <is>
          <t>https://tenders.iglonline.net/tenderDetail/246/Active Tenders And Corrigendum-Addendum</t>
        </is>
      </c>
      <c r="U1141" t="inlineStr">
        <is>
          <t>No</t>
        </is>
      </c>
      <c r="V1141" t="inlineStr">
        <is>
          <t>Bot tarafindan tespit edildi (2026-07-01)</t>
        </is>
      </c>
    </row>
    <row r="1142">
      <c r="A1142" t="inlineStr">
        <is>
          <t>T-0946</t>
        </is>
      </c>
      <c r="B1142" t="inlineStr">
        <is>
          <t>Indraprastha Gas (IGL)</t>
        </is>
      </c>
      <c r="C1142" t="inlineStr">
        <is>
          <t>Indraprastha Gas (IGL)</t>
        </is>
      </c>
      <c r="F1142" t="inlineStr">
        <is>
          <t>New Lead</t>
        </is>
      </c>
      <c r="H1142" t="inlineStr">
        <is>
          <t>Prebid_reply_17831.pdf</t>
        </is>
      </c>
      <c r="K1142" t="inlineStr">
        <is>
          <t>Not found</t>
        </is>
      </c>
      <c r="L1142" t="inlineStr">
        <is>
          <t>Unknown</t>
        </is>
      </c>
      <c r="T1142" t="inlineStr">
        <is>
          <t>https://tenders.iglonline.net/uploads/tender/Prebid_reply_17831.pdf</t>
        </is>
      </c>
      <c r="U1142" t="inlineStr">
        <is>
          <t>No</t>
        </is>
      </c>
      <c r="V1142" t="inlineStr">
        <is>
          <t>Bot tarafindan tespit edildi (2026-07-01)</t>
        </is>
      </c>
    </row>
    <row r="1143">
      <c r="A1143" t="inlineStr">
        <is>
          <t>T-0947</t>
        </is>
      </c>
      <c r="B1143" t="inlineStr">
        <is>
          <t>Indraprastha Gas (IGL)</t>
        </is>
      </c>
      <c r="C1143" t="inlineStr">
        <is>
          <t>Indraprastha Gas (IGL)</t>
        </is>
      </c>
      <c r="F1143" t="inlineStr">
        <is>
          <t>New Lead</t>
        </is>
      </c>
      <c r="H1143" t="inlineStr">
        <is>
          <t>View Tender</t>
        </is>
      </c>
      <c r="K1143" t="inlineStr">
        <is>
          <t>Not found</t>
        </is>
      </c>
      <c r="L1143" t="inlineStr">
        <is>
          <t>Unknown</t>
        </is>
      </c>
      <c r="T1143" t="inlineStr">
        <is>
          <t>https://tenders.iglonline.net/tenderDetail/245/Active Tenders And Corrigendum-Addendum</t>
        </is>
      </c>
      <c r="U1143" t="inlineStr">
        <is>
          <t>No</t>
        </is>
      </c>
      <c r="V1143" t="inlineStr">
        <is>
          <t>Bot tarafindan tespit edildi (2026-07-01)</t>
        </is>
      </c>
    </row>
    <row r="1144">
      <c r="A1144" t="inlineStr">
        <is>
          <t>T-0948</t>
        </is>
      </c>
      <c r="B1144" t="inlineStr">
        <is>
          <t>Indraprastha Gas (IGL)</t>
        </is>
      </c>
      <c r="C1144" t="inlineStr">
        <is>
          <t>Indraprastha Gas (IGL)</t>
        </is>
      </c>
      <c r="F1144" t="inlineStr">
        <is>
          <t>New Lead</t>
        </is>
      </c>
      <c r="H1144" t="inlineStr">
        <is>
          <t>Corrigendum_1_CM17850.pdf</t>
        </is>
      </c>
      <c r="K1144" t="inlineStr">
        <is>
          <t>Not found</t>
        </is>
      </c>
      <c r="L1144" t="inlineStr">
        <is>
          <t>Unknown</t>
        </is>
      </c>
      <c r="T1144" t="inlineStr">
        <is>
          <t>https://tenders.iglonline.net/uploads/tender/Corrigendum_1_CM17850.pdf</t>
        </is>
      </c>
      <c r="U1144" t="inlineStr">
        <is>
          <t>No</t>
        </is>
      </c>
      <c r="V1144" t="inlineStr">
        <is>
          <t>Bot tarafindan tespit edildi (2026-07-01)</t>
        </is>
      </c>
    </row>
    <row r="1145">
      <c r="A1145" t="inlineStr">
        <is>
          <t>T-0949</t>
        </is>
      </c>
      <c r="B1145" t="inlineStr">
        <is>
          <t>Indraprastha Gas (IGL)</t>
        </is>
      </c>
      <c r="C1145" t="inlineStr">
        <is>
          <t>Indraprastha Gas (IGL)</t>
        </is>
      </c>
      <c r="F1145" t="inlineStr">
        <is>
          <t>New Lead</t>
        </is>
      </c>
      <c r="H1145" t="inlineStr">
        <is>
          <t>View Tender</t>
        </is>
      </c>
      <c r="K1145" t="inlineStr">
        <is>
          <t>Not found</t>
        </is>
      </c>
      <c r="L1145" t="inlineStr">
        <is>
          <t>Unknown</t>
        </is>
      </c>
      <c r="T1145" t="inlineStr">
        <is>
          <t>https://tenders.iglonline.net/tenderDetail/244/Active Tenders And Corrigendum-Addendum</t>
        </is>
      </c>
      <c r="U1145" t="inlineStr">
        <is>
          <t>No</t>
        </is>
      </c>
      <c r="V1145" t="inlineStr">
        <is>
          <t>Bot tarafindan tespit edildi (2026-07-01)</t>
        </is>
      </c>
    </row>
    <row r="1146">
      <c r="A1146" t="inlineStr">
        <is>
          <t>T-0950</t>
        </is>
      </c>
      <c r="B1146" t="inlineStr">
        <is>
          <t>Indraprastha Gas (IGL)</t>
        </is>
      </c>
      <c r="C1146" t="inlineStr">
        <is>
          <t>Indraprastha Gas (IGL)</t>
        </is>
      </c>
      <c r="F1146" t="inlineStr">
        <is>
          <t>New Lead</t>
        </is>
      </c>
      <c r="H1146" t="inlineStr">
        <is>
          <t>SOR_GROUP_E_CC17846.pdf</t>
        </is>
      </c>
      <c r="K1146" t="inlineStr">
        <is>
          <t>Not found</t>
        </is>
      </c>
      <c r="L1146" t="inlineStr">
        <is>
          <t>Unknown</t>
        </is>
      </c>
      <c r="T1146" t="inlineStr">
        <is>
          <t>https://tenders.iglonline.net/uploads/tender/SOR_GROUP_E_CC17846.pdf</t>
        </is>
      </c>
      <c r="U1146" t="inlineStr">
        <is>
          <t>No</t>
        </is>
      </c>
      <c r="V1146" t="inlineStr">
        <is>
          <t>Bot tarafindan tespit edildi (2026-07-01)</t>
        </is>
      </c>
    </row>
    <row r="1147">
      <c r="A1147" t="inlineStr">
        <is>
          <t>T-0951</t>
        </is>
      </c>
      <c r="B1147" t="inlineStr">
        <is>
          <t>Indraprastha Gas (IGL)</t>
        </is>
      </c>
      <c r="C1147" t="inlineStr">
        <is>
          <t>Indraprastha Gas (IGL)</t>
        </is>
      </c>
      <c r="F1147" t="inlineStr">
        <is>
          <t>New Lead</t>
        </is>
      </c>
      <c r="H1147" t="inlineStr">
        <is>
          <t>SOR_GROUP_A_CC17846.pdf</t>
        </is>
      </c>
      <c r="K1147" t="inlineStr">
        <is>
          <t>Not found</t>
        </is>
      </c>
      <c r="L1147" t="inlineStr">
        <is>
          <t>Unknown</t>
        </is>
      </c>
      <c r="T1147" t="inlineStr">
        <is>
          <t>https://tenders.iglonline.net/uploads/tender/SOR_GROUP_A_CC17846.pdf</t>
        </is>
      </c>
      <c r="U1147" t="inlineStr">
        <is>
          <t>No</t>
        </is>
      </c>
      <c r="V1147" t="inlineStr">
        <is>
          <t>Bot tarafindan tespit edildi (2026-07-01)</t>
        </is>
      </c>
    </row>
    <row r="1148">
      <c r="A1148" t="inlineStr">
        <is>
          <t>T-0952</t>
        </is>
      </c>
      <c r="B1148" t="inlineStr">
        <is>
          <t>Indraprastha Gas (IGL)</t>
        </is>
      </c>
      <c r="C1148" t="inlineStr">
        <is>
          <t>Indraprastha Gas (IGL)</t>
        </is>
      </c>
      <c r="F1148" t="inlineStr">
        <is>
          <t>New Lead</t>
        </is>
      </c>
      <c r="H1148" t="inlineStr">
        <is>
          <t>SOR_GROUP_B_CC17846.pdf</t>
        </is>
      </c>
      <c r="K1148" t="inlineStr">
        <is>
          <t>Not found</t>
        </is>
      </c>
      <c r="L1148" t="inlineStr">
        <is>
          <t>Unknown</t>
        </is>
      </c>
      <c r="T1148" t="inlineStr">
        <is>
          <t>https://tenders.iglonline.net/uploads/tender/SOR_GROUP_B_CC17846.pdf</t>
        </is>
      </c>
      <c r="U1148" t="inlineStr">
        <is>
          <t>No</t>
        </is>
      </c>
      <c r="V1148" t="inlineStr">
        <is>
          <t>Bot tarafindan tespit edildi (2026-07-01)</t>
        </is>
      </c>
    </row>
    <row r="1149">
      <c r="A1149" t="inlineStr">
        <is>
          <t>T-0953</t>
        </is>
      </c>
      <c r="B1149" t="inlineStr">
        <is>
          <t>Indraprastha Gas (IGL)</t>
        </is>
      </c>
      <c r="C1149" t="inlineStr">
        <is>
          <t>Indraprastha Gas (IGL)</t>
        </is>
      </c>
      <c r="F1149" t="inlineStr">
        <is>
          <t>New Lead</t>
        </is>
      </c>
      <c r="H1149" t="inlineStr">
        <is>
          <t>SOR_GROUP_C_CC17846.pdf</t>
        </is>
      </c>
      <c r="K1149" t="inlineStr">
        <is>
          <t>Not found</t>
        </is>
      </c>
      <c r="L1149" t="inlineStr">
        <is>
          <t>Unknown</t>
        </is>
      </c>
      <c r="T1149" t="inlineStr">
        <is>
          <t>https://tenders.iglonline.net/uploads/tender/SOR_GROUP_C_CC17846.pdf</t>
        </is>
      </c>
      <c r="U1149" t="inlineStr">
        <is>
          <t>No</t>
        </is>
      </c>
      <c r="V1149" t="inlineStr">
        <is>
          <t>Bot tarafindan tespit edildi (2026-07-01)</t>
        </is>
      </c>
    </row>
    <row r="1150">
      <c r="A1150" t="inlineStr">
        <is>
          <t>T-0954</t>
        </is>
      </c>
      <c r="B1150" t="inlineStr">
        <is>
          <t>Indraprastha Gas (IGL)</t>
        </is>
      </c>
      <c r="C1150" t="inlineStr">
        <is>
          <t>Indraprastha Gas (IGL)</t>
        </is>
      </c>
      <c r="F1150" t="inlineStr">
        <is>
          <t>New Lead</t>
        </is>
      </c>
      <c r="H1150" t="inlineStr">
        <is>
          <t>SOR_GROUP_D_CC17846.pdf</t>
        </is>
      </c>
      <c r="K1150" t="inlineStr">
        <is>
          <t>Not found</t>
        </is>
      </c>
      <c r="L1150" t="inlineStr">
        <is>
          <t>Unknown</t>
        </is>
      </c>
      <c r="T1150" t="inlineStr">
        <is>
          <t>https://tenders.iglonline.net/uploads/tender/SOR_GROUP_D_CC17846.pdf</t>
        </is>
      </c>
      <c r="U1150" t="inlineStr">
        <is>
          <t>No</t>
        </is>
      </c>
      <c r="V1150" t="inlineStr">
        <is>
          <t>Bot tarafindan tespit edildi (2026-07-01)</t>
        </is>
      </c>
    </row>
    <row r="1151">
      <c r="A1151" t="inlineStr">
        <is>
          <t>T-0955</t>
        </is>
      </c>
      <c r="B1151" t="inlineStr">
        <is>
          <t>Indraprastha Gas (IGL)</t>
        </is>
      </c>
      <c r="C1151" t="inlineStr">
        <is>
          <t>Indraprastha Gas (IGL)</t>
        </is>
      </c>
      <c r="F1151" t="inlineStr">
        <is>
          <t>New Lead</t>
        </is>
      </c>
      <c r="H1151" t="inlineStr">
        <is>
          <t>Corrigendum-I_CC17846.pdf</t>
        </is>
      </c>
      <c r="K1151" t="inlineStr">
        <is>
          <t>Not found</t>
        </is>
      </c>
      <c r="L1151" t="inlineStr">
        <is>
          <t>Unknown</t>
        </is>
      </c>
      <c r="T1151" t="inlineStr">
        <is>
          <t>https://tenders.iglonline.net/uploads/tender/Corrigendum-I_CC17846.pdf</t>
        </is>
      </c>
      <c r="U1151" t="inlineStr">
        <is>
          <t>No</t>
        </is>
      </c>
      <c r="V1151" t="inlineStr">
        <is>
          <t>Bot tarafindan tespit edildi (2026-07-01)</t>
        </is>
      </c>
    </row>
    <row r="1152">
      <c r="A1152" t="inlineStr">
        <is>
          <t>T-0956</t>
        </is>
      </c>
      <c r="B1152" t="inlineStr">
        <is>
          <t>Indraprastha Gas (IGL)</t>
        </is>
      </c>
      <c r="C1152" t="inlineStr">
        <is>
          <t>Indraprastha Gas (IGL)</t>
        </is>
      </c>
      <c r="F1152" t="inlineStr">
        <is>
          <t>New Lead</t>
        </is>
      </c>
      <c r="H1152" t="inlineStr">
        <is>
          <t>View Tender</t>
        </is>
      </c>
      <c r="K1152" t="inlineStr">
        <is>
          <t>Not found</t>
        </is>
      </c>
      <c r="L1152" t="inlineStr">
        <is>
          <t>Unknown</t>
        </is>
      </c>
      <c r="T1152" t="inlineStr">
        <is>
          <t>https://tenders.iglonline.net/tenderDetail/243/Active Tenders And Corrigendum-Addendum</t>
        </is>
      </c>
      <c r="U1152" t="inlineStr">
        <is>
          <t>No</t>
        </is>
      </c>
      <c r="V1152" t="inlineStr">
        <is>
          <t>Bot tarafindan tespit edildi (2026-07-01)</t>
        </is>
      </c>
    </row>
    <row r="1153">
      <c r="A1153" t="inlineStr">
        <is>
          <t>T-0957</t>
        </is>
      </c>
      <c r="B1153" t="inlineStr">
        <is>
          <t>Indraprastha Gas (IGL)</t>
        </is>
      </c>
      <c r="C1153" t="inlineStr">
        <is>
          <t>Indraprastha Gas (IGL)</t>
        </is>
      </c>
      <c r="F1153" t="inlineStr">
        <is>
          <t>New Lead</t>
        </is>
      </c>
      <c r="H1153" t="inlineStr">
        <is>
          <t>CORRIGENDUM_1-1.pdf</t>
        </is>
      </c>
      <c r="K1153" t="inlineStr">
        <is>
          <t>Not found</t>
        </is>
      </c>
      <c r="L1153" t="inlineStr">
        <is>
          <t>Unknown</t>
        </is>
      </c>
      <c r="T1153" t="inlineStr">
        <is>
          <t>https://tenders.iglonline.net/uploads/tender/CORRIGENDUM_1-1.pdf</t>
        </is>
      </c>
      <c r="U1153" t="inlineStr">
        <is>
          <t>No</t>
        </is>
      </c>
      <c r="V1153" t="inlineStr">
        <is>
          <t>Bot tarafindan tespit edildi (2026-07-01)</t>
        </is>
      </c>
    </row>
    <row r="1154">
      <c r="A1154" t="inlineStr">
        <is>
          <t>T-0958</t>
        </is>
      </c>
      <c r="B1154" t="inlineStr">
        <is>
          <t>Indraprastha Gas (IGL)</t>
        </is>
      </c>
      <c r="C1154" t="inlineStr">
        <is>
          <t>Indraprastha Gas (IGL)</t>
        </is>
      </c>
      <c r="F1154" t="inlineStr">
        <is>
          <t>New Lead</t>
        </is>
      </c>
      <c r="H1154" t="inlineStr">
        <is>
          <t>RTBQ_E-office_final.pdf</t>
        </is>
      </c>
      <c r="K1154" t="inlineStr">
        <is>
          <t>Not found</t>
        </is>
      </c>
      <c r="L1154" t="inlineStr">
        <is>
          <t>Unknown</t>
        </is>
      </c>
      <c r="T1154" t="inlineStr">
        <is>
          <t>https://tenders.iglonline.net/uploads/tender/RTBQ_E-office_final.pdf</t>
        </is>
      </c>
      <c r="U1154" t="inlineStr">
        <is>
          <t>No</t>
        </is>
      </c>
      <c r="V1154" t="inlineStr">
        <is>
          <t>Bot tarafindan tespit edildi (2026-07-01)</t>
        </is>
      </c>
    </row>
    <row r="1155">
      <c r="A1155" t="inlineStr">
        <is>
          <t>T-0959</t>
        </is>
      </c>
      <c r="B1155" t="inlineStr">
        <is>
          <t>Indraprastha Gas (IGL)</t>
        </is>
      </c>
      <c r="C1155" t="inlineStr">
        <is>
          <t>Indraprastha Gas (IGL)</t>
        </is>
      </c>
      <c r="F1155" t="inlineStr">
        <is>
          <t>New Lead</t>
        </is>
      </c>
      <c r="H1155" t="inlineStr">
        <is>
          <t>CORRIGENDUM_4-1.pdf</t>
        </is>
      </c>
      <c r="K1155" t="inlineStr">
        <is>
          <t>Not found</t>
        </is>
      </c>
      <c r="L1155" t="inlineStr">
        <is>
          <t>Unknown</t>
        </is>
      </c>
      <c r="T1155" t="inlineStr">
        <is>
          <t>https://tenders.iglonline.net/uploads/tender/CORRIGENDUM_4-1.pdf</t>
        </is>
      </c>
      <c r="U1155" t="inlineStr">
        <is>
          <t>No</t>
        </is>
      </c>
      <c r="V1155" t="inlineStr">
        <is>
          <t>Bot tarafindan tespit edildi (2026-07-01)</t>
        </is>
      </c>
    </row>
    <row r="1156">
      <c r="A1156" t="inlineStr">
        <is>
          <t>T-0960</t>
        </is>
      </c>
      <c r="B1156" t="inlineStr">
        <is>
          <t>Indraprastha Gas (IGL)</t>
        </is>
      </c>
      <c r="C1156" t="inlineStr">
        <is>
          <t>Indraprastha Gas (IGL)</t>
        </is>
      </c>
      <c r="F1156" t="inlineStr">
        <is>
          <t>New Lead</t>
        </is>
      </c>
      <c r="H1156" t="inlineStr">
        <is>
          <t>reply_of_RTBQ_Queries.pdf</t>
        </is>
      </c>
      <c r="K1156" t="inlineStr">
        <is>
          <t>Not found</t>
        </is>
      </c>
      <c r="L1156" t="inlineStr">
        <is>
          <t>Unknown</t>
        </is>
      </c>
      <c r="T1156" t="inlineStr">
        <is>
          <t>https://tenders.iglonline.net/uploads/tender/reply_of_RTBQ_Queries.pdf</t>
        </is>
      </c>
      <c r="U1156" t="inlineStr">
        <is>
          <t>No</t>
        </is>
      </c>
      <c r="V1156" t="inlineStr">
        <is>
          <t>Bot tarafindan tespit edildi (2026-07-01)</t>
        </is>
      </c>
    </row>
    <row r="1157">
      <c r="A1157" t="inlineStr">
        <is>
          <t>T-0961</t>
        </is>
      </c>
      <c r="B1157" t="inlineStr">
        <is>
          <t>Indraprastha Gas (IGL)</t>
        </is>
      </c>
      <c r="C1157" t="inlineStr">
        <is>
          <t>Indraprastha Gas (IGL)</t>
        </is>
      </c>
      <c r="F1157" t="inlineStr">
        <is>
          <t>New Lead</t>
        </is>
      </c>
      <c r="H1157" t="inlineStr">
        <is>
          <t>CORRIGENDUM_52.pdf</t>
        </is>
      </c>
      <c r="K1157" t="inlineStr">
        <is>
          <t>Not found</t>
        </is>
      </c>
      <c r="L1157" t="inlineStr">
        <is>
          <t>Unknown</t>
        </is>
      </c>
      <c r="T1157" t="inlineStr">
        <is>
          <t>https://tenders.iglonline.net/uploads/tender/CORRIGENDUM_52.pdf</t>
        </is>
      </c>
      <c r="U1157" t="inlineStr">
        <is>
          <t>No</t>
        </is>
      </c>
      <c r="V1157" t="inlineStr">
        <is>
          <t>Bot tarafindan tespit edildi (2026-07-01)</t>
        </is>
      </c>
    </row>
    <row r="1158">
      <c r="A1158" t="inlineStr">
        <is>
          <t>T-0962</t>
        </is>
      </c>
      <c r="B1158" t="inlineStr">
        <is>
          <t>Indraprastha Gas (IGL)</t>
        </is>
      </c>
      <c r="C1158" t="inlineStr">
        <is>
          <t>Indraprastha Gas (IGL)</t>
        </is>
      </c>
      <c r="F1158" t="inlineStr">
        <is>
          <t>New Lead</t>
        </is>
      </c>
      <c r="H1158" t="inlineStr">
        <is>
          <t>CORRIGENDUM_61.pdf</t>
        </is>
      </c>
      <c r="K1158" t="inlineStr">
        <is>
          <t>Not found</t>
        </is>
      </c>
      <c r="L1158" t="inlineStr">
        <is>
          <t>Unknown</t>
        </is>
      </c>
      <c r="T1158" t="inlineStr">
        <is>
          <t>https://tenders.iglonline.net/uploads/tender/CORRIGENDUM_61.pdf</t>
        </is>
      </c>
      <c r="U1158" t="inlineStr">
        <is>
          <t>No</t>
        </is>
      </c>
      <c r="V1158" t="inlineStr">
        <is>
          <t>Bot tarafindan tespit edildi (2026-07-01)</t>
        </is>
      </c>
    </row>
    <row r="1159">
      <c r="A1159" t="inlineStr">
        <is>
          <t>T-0963</t>
        </is>
      </c>
      <c r="B1159" t="inlineStr">
        <is>
          <t>Indraprastha Gas (IGL)</t>
        </is>
      </c>
      <c r="C1159" t="inlineStr">
        <is>
          <t>Indraprastha Gas (IGL)</t>
        </is>
      </c>
      <c r="F1159" t="inlineStr">
        <is>
          <t>New Lead</t>
        </is>
      </c>
      <c r="H1159" t="inlineStr">
        <is>
          <t>CORRIGENDUM_7.pdf</t>
        </is>
      </c>
      <c r="K1159" t="inlineStr">
        <is>
          <t>Not found</t>
        </is>
      </c>
      <c r="L1159" t="inlineStr">
        <is>
          <t>Unknown</t>
        </is>
      </c>
      <c r="T1159" t="inlineStr">
        <is>
          <t>https://tenders.iglonline.net/uploads/tender/CORRIGENDUM_7.pdf</t>
        </is>
      </c>
      <c r="U1159" t="inlineStr">
        <is>
          <t>No</t>
        </is>
      </c>
      <c r="V1159" t="inlineStr">
        <is>
          <t>Bot tarafindan tespit edildi (2026-07-01)</t>
        </is>
      </c>
    </row>
    <row r="1160">
      <c r="A1160" t="inlineStr">
        <is>
          <t>T-0964</t>
        </is>
      </c>
      <c r="B1160" t="inlineStr">
        <is>
          <t>Indraprastha Gas (IGL)</t>
        </is>
      </c>
      <c r="C1160" t="inlineStr">
        <is>
          <t>Indraprastha Gas (IGL)</t>
        </is>
      </c>
      <c r="F1160" t="inlineStr">
        <is>
          <t>New Lead</t>
        </is>
      </c>
      <c r="H1160" t="inlineStr">
        <is>
          <t>View Tender</t>
        </is>
      </c>
      <c r="K1160" t="inlineStr">
        <is>
          <t>Not found</t>
        </is>
      </c>
      <c r="L1160" t="inlineStr">
        <is>
          <t>Unknown</t>
        </is>
      </c>
      <c r="T1160" t="inlineStr">
        <is>
          <t>https://tenders.iglonline.net/tenderDetail/242/Active Tenders And Corrigendum-Addendum</t>
        </is>
      </c>
      <c r="U1160" t="inlineStr">
        <is>
          <t>No</t>
        </is>
      </c>
      <c r="V1160" t="inlineStr">
        <is>
          <t>Bot tarafindan tespit edildi (2026-07-01)</t>
        </is>
      </c>
    </row>
    <row r="1161">
      <c r="A1161" t="inlineStr">
        <is>
          <t>T-0965</t>
        </is>
      </c>
      <c r="B1161" t="inlineStr">
        <is>
          <t>Indraprastha Gas (IGL)</t>
        </is>
      </c>
      <c r="C1161" t="inlineStr">
        <is>
          <t>Indraprastha Gas (IGL)</t>
        </is>
      </c>
      <c r="F1161" t="inlineStr">
        <is>
          <t>New Lead</t>
        </is>
      </c>
      <c r="H1161" t="inlineStr">
        <is>
          <t>CORRIGENDUM_1-2.pdf</t>
        </is>
      </c>
      <c r="K1161" t="inlineStr">
        <is>
          <t>Not found</t>
        </is>
      </c>
      <c r="L1161" t="inlineStr">
        <is>
          <t>Unknown</t>
        </is>
      </c>
      <c r="T1161" t="inlineStr">
        <is>
          <t>https://tenders.iglonline.net/uploads/tender/CORRIGENDUM_1-2.pdf</t>
        </is>
      </c>
      <c r="U1161" t="inlineStr">
        <is>
          <t>No</t>
        </is>
      </c>
      <c r="V1161" t="inlineStr">
        <is>
          <t>Bot tarafindan tespit edildi (2026-07-01)</t>
        </is>
      </c>
    </row>
    <row r="1162">
      <c r="A1162" t="inlineStr">
        <is>
          <t>T-0966</t>
        </is>
      </c>
      <c r="B1162" t="inlineStr">
        <is>
          <t>Indraprastha Gas (IGL)</t>
        </is>
      </c>
      <c r="C1162" t="inlineStr">
        <is>
          <t>Indraprastha Gas (IGL)</t>
        </is>
      </c>
      <c r="F1162" t="inlineStr">
        <is>
          <t>New Lead</t>
        </is>
      </c>
      <c r="H1162" t="inlineStr">
        <is>
          <t>CORRIGENDUM_21.pdf</t>
        </is>
      </c>
      <c r="K1162" t="inlineStr">
        <is>
          <t>Not found</t>
        </is>
      </c>
      <c r="L1162" t="inlineStr">
        <is>
          <t>Unknown</t>
        </is>
      </c>
      <c r="T1162" t="inlineStr">
        <is>
          <t>https://tenders.iglonline.net/uploads/tender/CORRIGENDUM_21.pdf</t>
        </is>
      </c>
      <c r="U1162" t="inlineStr">
        <is>
          <t>No</t>
        </is>
      </c>
      <c r="V1162" t="inlineStr">
        <is>
          <t>Bot tarafindan tespit edildi (2026-07-01)</t>
        </is>
      </c>
    </row>
    <row r="1163">
      <c r="A1163" t="inlineStr">
        <is>
          <t>T-0967</t>
        </is>
      </c>
      <c r="B1163" t="inlineStr">
        <is>
          <t>Indraprastha Gas (IGL)</t>
        </is>
      </c>
      <c r="C1163" t="inlineStr">
        <is>
          <t>Indraprastha Gas (IGL)</t>
        </is>
      </c>
      <c r="F1163" t="inlineStr">
        <is>
          <t>New Lead</t>
        </is>
      </c>
      <c r="H1163" t="inlineStr">
        <is>
          <t>View Tender</t>
        </is>
      </c>
      <c r="K1163" t="inlineStr">
        <is>
          <t>Not found</t>
        </is>
      </c>
      <c r="L1163" t="inlineStr">
        <is>
          <t>Unknown</t>
        </is>
      </c>
      <c r="T1163" t="inlineStr">
        <is>
          <t>https://tenders.iglonline.net/tenderDetail/241/Active Tenders And Corrigendum-Addendum</t>
        </is>
      </c>
      <c r="U1163" t="inlineStr">
        <is>
          <t>No</t>
        </is>
      </c>
      <c r="V1163" t="inlineStr">
        <is>
          <t>Bot tarafindan tespit edildi (2026-07-01)</t>
        </is>
      </c>
    </row>
    <row r="1164">
      <c r="A1164" t="inlineStr">
        <is>
          <t>T-0968</t>
        </is>
      </c>
      <c r="B1164" t="inlineStr">
        <is>
          <t>Indraprastha Gas (IGL)</t>
        </is>
      </c>
      <c r="C1164" t="inlineStr">
        <is>
          <t>Indraprastha Gas (IGL)</t>
        </is>
      </c>
      <c r="F1164" t="inlineStr">
        <is>
          <t>New Lead</t>
        </is>
      </c>
      <c r="H1164" t="inlineStr">
        <is>
          <t>Corrigendum_1_CP17825.pdf</t>
        </is>
      </c>
      <c r="K1164" t="inlineStr">
        <is>
          <t>Not found</t>
        </is>
      </c>
      <c r="L1164" t="inlineStr">
        <is>
          <t>Unknown</t>
        </is>
      </c>
      <c r="T1164" t="inlineStr">
        <is>
          <t>https://tenders.iglonline.net/uploads/tender/Corrigendum_1_CP17825.pdf</t>
        </is>
      </c>
      <c r="U1164" t="inlineStr">
        <is>
          <t>No</t>
        </is>
      </c>
      <c r="V1164" t="inlineStr">
        <is>
          <t>Bot tarafindan tespit edildi (2026-07-01)</t>
        </is>
      </c>
    </row>
    <row r="1165">
      <c r="A1165" t="inlineStr">
        <is>
          <t>T-0969</t>
        </is>
      </c>
      <c r="B1165" t="inlineStr">
        <is>
          <t>Indraprastha Gas (IGL)</t>
        </is>
      </c>
      <c r="C1165" t="inlineStr">
        <is>
          <t>Indraprastha Gas (IGL)</t>
        </is>
      </c>
      <c r="F1165" t="inlineStr">
        <is>
          <t>New Lead</t>
        </is>
      </c>
      <c r="H1165" t="inlineStr">
        <is>
          <t>RTBQ_CP17825.pdf</t>
        </is>
      </c>
      <c r="K1165" t="inlineStr">
        <is>
          <t>Not found</t>
        </is>
      </c>
      <c r="L1165" t="inlineStr">
        <is>
          <t>Unknown</t>
        </is>
      </c>
      <c r="T1165" t="inlineStr">
        <is>
          <t>https://tenders.iglonline.net/uploads/tender/RTBQ_CP17825.pdf</t>
        </is>
      </c>
      <c r="U1165" t="inlineStr">
        <is>
          <t>No</t>
        </is>
      </c>
      <c r="V1165" t="inlineStr">
        <is>
          <t>Bot tarafindan tespit edildi (2026-07-01)</t>
        </is>
      </c>
    </row>
    <row r="1166">
      <c r="A1166" t="inlineStr">
        <is>
          <t>T-0970</t>
        </is>
      </c>
      <c r="B1166" t="inlineStr">
        <is>
          <t>Indraprastha Gas (IGL)</t>
        </is>
      </c>
      <c r="C1166" t="inlineStr">
        <is>
          <t>Indraprastha Gas (IGL)</t>
        </is>
      </c>
      <c r="F1166" t="inlineStr">
        <is>
          <t>New Lead</t>
        </is>
      </c>
      <c r="H1166" t="inlineStr">
        <is>
          <t>View Tender</t>
        </is>
      </c>
      <c r="K1166" t="inlineStr">
        <is>
          <t>Not found</t>
        </is>
      </c>
      <c r="L1166" t="inlineStr">
        <is>
          <t>Unknown</t>
        </is>
      </c>
      <c r="T1166" t="inlineStr">
        <is>
          <t>https://tenders.iglonline.net/tenderDetail/240/Active Tenders And Corrigendum-Addendum</t>
        </is>
      </c>
      <c r="U1166" t="inlineStr">
        <is>
          <t>No</t>
        </is>
      </c>
      <c r="V1166" t="inlineStr">
        <is>
          <t>Bot tarafindan tespit edildi (2026-07-01)</t>
        </is>
      </c>
    </row>
    <row r="1167">
      <c r="A1167" t="inlineStr">
        <is>
          <t>T-0971</t>
        </is>
      </c>
      <c r="B1167" t="inlineStr">
        <is>
          <t>Indraprastha Gas (IGL)</t>
        </is>
      </c>
      <c r="C1167" t="inlineStr">
        <is>
          <t>Indraprastha Gas (IGL)</t>
        </is>
      </c>
      <c r="F1167" t="inlineStr">
        <is>
          <t>New Lead</t>
        </is>
      </c>
      <c r="H1167" t="inlineStr">
        <is>
          <t>Corrigendum__1_CP17817.pdf</t>
        </is>
      </c>
      <c r="K1167" t="inlineStr">
        <is>
          <t>Not found</t>
        </is>
      </c>
      <c r="L1167" t="inlineStr">
        <is>
          <t>Unknown</t>
        </is>
      </c>
      <c r="T1167" t="inlineStr">
        <is>
          <t>https://tenders.iglonline.net/uploads/tender/Corrigendum__1_CP17817.pdf</t>
        </is>
      </c>
      <c r="U1167" t="inlineStr">
        <is>
          <t>No</t>
        </is>
      </c>
      <c r="V1167" t="inlineStr">
        <is>
          <t>Bot tarafindan tespit edildi (2026-07-01)</t>
        </is>
      </c>
    </row>
    <row r="1168">
      <c r="A1168" t="inlineStr">
        <is>
          <t>T-0972</t>
        </is>
      </c>
      <c r="B1168" t="inlineStr">
        <is>
          <t>Indraprastha Gas (IGL)</t>
        </is>
      </c>
      <c r="C1168" t="inlineStr">
        <is>
          <t>Indraprastha Gas (IGL)</t>
        </is>
      </c>
      <c r="F1168" t="inlineStr">
        <is>
          <t>New Lead</t>
        </is>
      </c>
      <c r="H1168" t="inlineStr">
        <is>
          <t>Corrigendum_2_CP17817.pdf</t>
        </is>
      </c>
      <c r="K1168" t="inlineStr">
        <is>
          <t>Not found</t>
        </is>
      </c>
      <c r="L1168" t="inlineStr">
        <is>
          <t>Unknown</t>
        </is>
      </c>
      <c r="T1168" t="inlineStr">
        <is>
          <t>https://tenders.iglonline.net/uploads/tender/Corrigendum_2_CP17817.pdf</t>
        </is>
      </c>
      <c r="U1168" t="inlineStr">
        <is>
          <t>No</t>
        </is>
      </c>
      <c r="V1168" t="inlineStr">
        <is>
          <t>Bot tarafindan tespit edildi (2026-07-01)</t>
        </is>
      </c>
    </row>
    <row r="1169">
      <c r="A1169" t="inlineStr">
        <is>
          <t>T-0973</t>
        </is>
      </c>
      <c r="B1169" t="inlineStr">
        <is>
          <t>Indraprastha Gas (IGL)</t>
        </is>
      </c>
      <c r="C1169" t="inlineStr">
        <is>
          <t>Indraprastha Gas (IGL)</t>
        </is>
      </c>
      <c r="F1169" t="inlineStr">
        <is>
          <t>New Lead</t>
        </is>
      </c>
      <c r="H1169" t="inlineStr">
        <is>
          <t>Replies_to_bidders_queries2.pdf</t>
        </is>
      </c>
      <c r="K1169" t="inlineStr">
        <is>
          <t>Not found</t>
        </is>
      </c>
      <c r="L1169" t="inlineStr">
        <is>
          <t>Unknown</t>
        </is>
      </c>
      <c r="T1169" t="inlineStr">
        <is>
          <t>https://tenders.iglonline.net/uploads/tender/Replies_to_bidders_queries2.pdf</t>
        </is>
      </c>
      <c r="U1169" t="inlineStr">
        <is>
          <t>No</t>
        </is>
      </c>
      <c r="V1169" t="inlineStr">
        <is>
          <t>Bot tarafindan tespit edildi (2026-07-01)</t>
        </is>
      </c>
    </row>
    <row r="1170">
      <c r="A1170" t="inlineStr">
        <is>
          <t>T-0974</t>
        </is>
      </c>
      <c r="B1170" t="inlineStr">
        <is>
          <t>Indraprastha Gas (IGL)</t>
        </is>
      </c>
      <c r="C1170" t="inlineStr">
        <is>
          <t>Indraprastha Gas (IGL)</t>
        </is>
      </c>
      <c r="F1170" t="inlineStr">
        <is>
          <t>New Lead</t>
        </is>
      </c>
      <c r="H1170" t="inlineStr">
        <is>
          <t>Corrigendum_3_CP17817.pdf</t>
        </is>
      </c>
      <c r="K1170" t="inlineStr">
        <is>
          <t>Not found</t>
        </is>
      </c>
      <c r="L1170" t="inlineStr">
        <is>
          <t>Unknown</t>
        </is>
      </c>
      <c r="T1170" t="inlineStr">
        <is>
          <t>https://tenders.iglonline.net/uploads/tender/Corrigendum_3_CP17817.pdf</t>
        </is>
      </c>
      <c r="U1170" t="inlineStr">
        <is>
          <t>No</t>
        </is>
      </c>
      <c r="V1170" t="inlineStr">
        <is>
          <t>Bot tarafindan tespit edildi (2026-07-01)</t>
        </is>
      </c>
    </row>
    <row r="1171">
      <c r="A1171" t="inlineStr">
        <is>
          <t>T-0975</t>
        </is>
      </c>
      <c r="B1171" t="inlineStr">
        <is>
          <t>Indraprastha Gas (IGL)</t>
        </is>
      </c>
      <c r="C1171" t="inlineStr">
        <is>
          <t>Indraprastha Gas (IGL)</t>
        </is>
      </c>
      <c r="F1171" t="inlineStr">
        <is>
          <t>New Lead</t>
        </is>
      </c>
      <c r="H1171" t="inlineStr">
        <is>
          <t>Corrigendum__4_CP17817.pdf</t>
        </is>
      </c>
      <c r="K1171" t="inlineStr">
        <is>
          <t>Not found</t>
        </is>
      </c>
      <c r="L1171" t="inlineStr">
        <is>
          <t>Unknown</t>
        </is>
      </c>
      <c r="T1171" t="inlineStr">
        <is>
          <t>https://tenders.iglonline.net/uploads/tender/Corrigendum__4_CP17817.pdf</t>
        </is>
      </c>
      <c r="U1171" t="inlineStr">
        <is>
          <t>No</t>
        </is>
      </c>
      <c r="V1171" t="inlineStr">
        <is>
          <t>Bot tarafindan tespit edildi (2026-07-01)</t>
        </is>
      </c>
    </row>
    <row r="1172">
      <c r="A1172" t="inlineStr">
        <is>
          <t>T-0976</t>
        </is>
      </c>
      <c r="B1172" t="inlineStr">
        <is>
          <t>Indraprastha Gas (IGL)</t>
        </is>
      </c>
      <c r="C1172" t="inlineStr">
        <is>
          <t>Indraprastha Gas (IGL)</t>
        </is>
      </c>
      <c r="F1172" t="inlineStr">
        <is>
          <t>New Lead</t>
        </is>
      </c>
      <c r="H1172" t="inlineStr">
        <is>
          <t>Corrigendum_5_CP17817.pdf</t>
        </is>
      </c>
      <c r="K1172" t="inlineStr">
        <is>
          <t>Not found</t>
        </is>
      </c>
      <c r="L1172" t="inlineStr">
        <is>
          <t>Unknown</t>
        </is>
      </c>
      <c r="T1172" t="inlineStr">
        <is>
          <t>https://tenders.iglonline.net/uploads/tender/Corrigendum_5_CP17817.pdf</t>
        </is>
      </c>
      <c r="U1172" t="inlineStr">
        <is>
          <t>No</t>
        </is>
      </c>
      <c r="V1172" t="inlineStr">
        <is>
          <t>Bot tarafindan tespit edildi (2026-07-01)</t>
        </is>
      </c>
    </row>
    <row r="1173">
      <c r="A1173" t="inlineStr">
        <is>
          <t>T-0977</t>
        </is>
      </c>
      <c r="B1173" t="inlineStr">
        <is>
          <t>Indraprastha Gas (IGL)</t>
        </is>
      </c>
      <c r="C1173" t="inlineStr">
        <is>
          <t>Indraprastha Gas (IGL)</t>
        </is>
      </c>
      <c r="F1173" t="inlineStr">
        <is>
          <t>New Lead</t>
        </is>
      </c>
      <c r="H1173" t="inlineStr">
        <is>
          <t>View Tender</t>
        </is>
      </c>
      <c r="K1173" t="inlineStr">
        <is>
          <t>Not found</t>
        </is>
      </c>
      <c r="L1173" t="inlineStr">
        <is>
          <t>Unknown</t>
        </is>
      </c>
      <c r="T1173" t="inlineStr">
        <is>
          <t>https://tenders.iglonline.net/tenderDetail/239/Active Tenders And Corrigendum-Addendum</t>
        </is>
      </c>
      <c r="U1173" t="inlineStr">
        <is>
          <t>No</t>
        </is>
      </c>
      <c r="V1173" t="inlineStr">
        <is>
          <t>Bot tarafindan tespit edildi (2026-07-01)</t>
        </is>
      </c>
    </row>
    <row r="1174">
      <c r="A1174" t="inlineStr">
        <is>
          <t>T-0978</t>
        </is>
      </c>
      <c r="B1174" t="inlineStr">
        <is>
          <t>Indraprastha Gas (IGL)</t>
        </is>
      </c>
      <c r="C1174" t="inlineStr">
        <is>
          <t>Indraprastha Gas (IGL)</t>
        </is>
      </c>
      <c r="F1174" t="inlineStr">
        <is>
          <t>New Lead</t>
        </is>
      </c>
      <c r="H1174" t="inlineStr">
        <is>
          <t>Reply_to_Bidders_Queries_(CC17821)_(A).pdf</t>
        </is>
      </c>
      <c r="K1174" t="inlineStr">
        <is>
          <t>Not found</t>
        </is>
      </c>
      <c r="L1174" t="inlineStr">
        <is>
          <t>Unknown</t>
        </is>
      </c>
      <c r="T1174" t="inlineStr">
        <is>
          <t>https://tenders.iglonline.net/uploads/tender/Reply_to_Bidders_Queries_(CC17821)_(A).pdf</t>
        </is>
      </c>
      <c r="U1174" t="inlineStr">
        <is>
          <t>No</t>
        </is>
      </c>
      <c r="V1174" t="inlineStr">
        <is>
          <t>Bot tarafindan tespit edildi (2026-07-01)</t>
        </is>
      </c>
    </row>
    <row r="1175">
      <c r="A1175" t="inlineStr">
        <is>
          <t>T-0979</t>
        </is>
      </c>
      <c r="B1175" t="inlineStr">
        <is>
          <t>Indraprastha Gas (IGL)</t>
        </is>
      </c>
      <c r="C1175" t="inlineStr">
        <is>
          <t>Indraprastha Gas (IGL)</t>
        </is>
      </c>
      <c r="F1175" t="inlineStr">
        <is>
          <t>New Lead</t>
        </is>
      </c>
      <c r="H1175" t="inlineStr">
        <is>
          <t>CC17821.pdf</t>
        </is>
      </c>
      <c r="K1175" t="inlineStr">
        <is>
          <t>Not found</t>
        </is>
      </c>
      <c r="L1175" t="inlineStr">
        <is>
          <t>Unknown</t>
        </is>
      </c>
      <c r="T1175" t="inlineStr">
        <is>
          <t>https://tenders.iglonline.net/uploads/tender/CC17821.pdf</t>
        </is>
      </c>
      <c r="U1175" t="inlineStr">
        <is>
          <t>No</t>
        </is>
      </c>
      <c r="V1175" t="inlineStr">
        <is>
          <t>Bot tarafindan tespit edildi (2026-07-01)</t>
        </is>
      </c>
    </row>
    <row r="1176">
      <c r="A1176" t="inlineStr">
        <is>
          <t>T-0980</t>
        </is>
      </c>
      <c r="B1176" t="inlineStr">
        <is>
          <t>Indraprastha Gas (IGL)</t>
        </is>
      </c>
      <c r="C1176" t="inlineStr">
        <is>
          <t>Indraprastha Gas (IGL)</t>
        </is>
      </c>
      <c r="F1176" t="inlineStr">
        <is>
          <t>New Lead</t>
        </is>
      </c>
      <c r="H1176" t="inlineStr">
        <is>
          <t>View Tender</t>
        </is>
      </c>
      <c r="K1176" t="inlineStr">
        <is>
          <t>Not found</t>
        </is>
      </c>
      <c r="L1176" t="inlineStr">
        <is>
          <t>Unknown</t>
        </is>
      </c>
      <c r="T1176" t="inlineStr">
        <is>
          <t>https://tenders.iglonline.net/tenderDetail/238/Active Tenders And Corrigendum-Addendum</t>
        </is>
      </c>
      <c r="U1176" t="inlineStr">
        <is>
          <t>No</t>
        </is>
      </c>
      <c r="V1176" t="inlineStr">
        <is>
          <t>Bot tarafindan tespit edildi (2026-07-01)</t>
        </is>
      </c>
    </row>
    <row r="1177">
      <c r="A1177" t="inlineStr">
        <is>
          <t>T-0981</t>
        </is>
      </c>
      <c r="B1177" t="inlineStr">
        <is>
          <t>Indraprastha Gas (IGL)</t>
        </is>
      </c>
      <c r="C1177" t="inlineStr">
        <is>
          <t>Indraprastha Gas (IGL)</t>
        </is>
      </c>
      <c r="F1177" t="inlineStr">
        <is>
          <t>New Lead</t>
        </is>
      </c>
      <c r="H1177" t="inlineStr">
        <is>
          <t>CC17790.pdf</t>
        </is>
      </c>
      <c r="K1177" t="inlineStr">
        <is>
          <t>Not found</t>
        </is>
      </c>
      <c r="L1177" t="inlineStr">
        <is>
          <t>Unknown</t>
        </is>
      </c>
      <c r="T1177" t="inlineStr">
        <is>
          <t>https://tenders.iglonline.net/uploads/tender/CC17790.pdf</t>
        </is>
      </c>
      <c r="U1177" t="inlineStr">
        <is>
          <t>No</t>
        </is>
      </c>
      <c r="V1177" t="inlineStr">
        <is>
          <t>Bot tarafindan tespit edildi (2026-07-01)</t>
        </is>
      </c>
    </row>
    <row r="1178">
      <c r="A1178" t="inlineStr">
        <is>
          <t>T-0982</t>
        </is>
      </c>
      <c r="B1178" t="inlineStr">
        <is>
          <t>Indraprastha Gas (IGL)</t>
        </is>
      </c>
      <c r="C1178" t="inlineStr">
        <is>
          <t>Indraprastha Gas (IGL)</t>
        </is>
      </c>
      <c r="F1178" t="inlineStr">
        <is>
          <t>New Lead</t>
        </is>
      </c>
      <c r="H1178" t="inlineStr">
        <is>
          <t>CC17790_(A).pdf</t>
        </is>
      </c>
      <c r="K1178" t="inlineStr">
        <is>
          <t>Not found</t>
        </is>
      </c>
      <c r="L1178" t="inlineStr">
        <is>
          <t>Unknown</t>
        </is>
      </c>
      <c r="T1178" t="inlineStr">
        <is>
          <t>https://tenders.iglonline.net/uploads/tender/CC17790_(A).pdf</t>
        </is>
      </c>
      <c r="U1178" t="inlineStr">
        <is>
          <t>No</t>
        </is>
      </c>
      <c r="V1178" t="inlineStr">
        <is>
          <t>Bot tarafindan tespit edildi (2026-07-01)</t>
        </is>
      </c>
    </row>
    <row r="1179">
      <c r="A1179" t="inlineStr">
        <is>
          <t>T-0983</t>
        </is>
      </c>
      <c r="B1179" t="inlineStr">
        <is>
          <t>Indraprastha Gas (IGL)</t>
        </is>
      </c>
      <c r="C1179" t="inlineStr">
        <is>
          <t>Indraprastha Gas (IGL)</t>
        </is>
      </c>
      <c r="F1179" t="inlineStr">
        <is>
          <t>New Lead</t>
        </is>
      </c>
      <c r="H1179" t="inlineStr">
        <is>
          <t>View Tender</t>
        </is>
      </c>
      <c r="K1179" t="inlineStr">
        <is>
          <t>Not found</t>
        </is>
      </c>
      <c r="L1179" t="inlineStr">
        <is>
          <t>Unknown</t>
        </is>
      </c>
      <c r="T1179" t="inlineStr">
        <is>
          <t>https://tenders.iglonline.net/tenderDetail/237/Active Tenders And Corrigendum-Addendum</t>
        </is>
      </c>
      <c r="U1179" t="inlineStr">
        <is>
          <t>No</t>
        </is>
      </c>
      <c r="V1179" t="inlineStr">
        <is>
          <t>Bot tarafindan tespit edildi (2026-07-01)</t>
        </is>
      </c>
    </row>
    <row r="1180">
      <c r="A1180" t="inlineStr">
        <is>
          <t>T-0984</t>
        </is>
      </c>
      <c r="B1180" t="inlineStr">
        <is>
          <t>Indraprastha Gas (IGL)</t>
        </is>
      </c>
      <c r="C1180" t="inlineStr">
        <is>
          <t>Indraprastha Gas (IGL)</t>
        </is>
      </c>
      <c r="F1180" t="inlineStr">
        <is>
          <t>New Lead</t>
        </is>
      </c>
      <c r="H1180" t="inlineStr">
        <is>
          <t>Corrigendum_I_CM17796.pdf</t>
        </is>
      </c>
      <c r="K1180" t="inlineStr">
        <is>
          <t>Not found</t>
        </is>
      </c>
      <c r="L1180" t="inlineStr">
        <is>
          <t>Unknown</t>
        </is>
      </c>
      <c r="T1180" t="inlineStr">
        <is>
          <t>https://tenders.iglonline.net/uploads/tender/Corrigendum_I_CM17796.pdf</t>
        </is>
      </c>
      <c r="U1180" t="inlineStr">
        <is>
          <t>No</t>
        </is>
      </c>
      <c r="V1180" t="inlineStr">
        <is>
          <t>Bot tarafindan tespit edildi (2026-07-01)</t>
        </is>
      </c>
    </row>
    <row r="1181">
      <c r="A1181" t="inlineStr">
        <is>
          <t>T-0985</t>
        </is>
      </c>
      <c r="B1181" t="inlineStr">
        <is>
          <t>Indraprastha Gas (IGL)</t>
        </is>
      </c>
      <c r="C1181" t="inlineStr">
        <is>
          <t>Indraprastha Gas (IGL)</t>
        </is>
      </c>
      <c r="F1181" t="inlineStr">
        <is>
          <t>New Lead</t>
        </is>
      </c>
      <c r="H1181" t="inlineStr">
        <is>
          <t>View Tender</t>
        </is>
      </c>
      <c r="K1181" t="inlineStr">
        <is>
          <t>Not found</t>
        </is>
      </c>
      <c r="L1181" t="inlineStr">
        <is>
          <t>Unknown</t>
        </is>
      </c>
      <c r="T1181" t="inlineStr">
        <is>
          <t>https://tenders.iglonline.net/tenderDetail/236/Active Tenders And Corrigendum-Addendum</t>
        </is>
      </c>
      <c r="U1181" t="inlineStr">
        <is>
          <t>No</t>
        </is>
      </c>
      <c r="V1181" t="inlineStr">
        <is>
          <t>Bot tarafindan tespit edildi (2026-07-01)</t>
        </is>
      </c>
    </row>
    <row r="1182">
      <c r="A1182" t="inlineStr">
        <is>
          <t>T-0986</t>
        </is>
      </c>
      <c r="B1182" t="inlineStr">
        <is>
          <t>Indraprastha Gas (IGL)</t>
        </is>
      </c>
      <c r="C1182" t="inlineStr">
        <is>
          <t>Indraprastha Gas (IGL)</t>
        </is>
      </c>
      <c r="F1182" t="inlineStr">
        <is>
          <t>New Lead</t>
        </is>
      </c>
      <c r="H1182" t="inlineStr">
        <is>
          <t>CC17768_corrigendum.pdf</t>
        </is>
      </c>
      <c r="K1182" t="inlineStr">
        <is>
          <t>Not found</t>
        </is>
      </c>
      <c r="L1182" t="inlineStr">
        <is>
          <t>Unknown</t>
        </is>
      </c>
      <c r="T1182" t="inlineStr">
        <is>
          <t>https://tenders.iglonline.net/uploads/tender/CC17768_corrigendum.pdf</t>
        </is>
      </c>
      <c r="U1182" t="inlineStr">
        <is>
          <t>No</t>
        </is>
      </c>
      <c r="V1182" t="inlineStr">
        <is>
          <t>Bot tarafindan tespit edildi (2026-07-01)</t>
        </is>
      </c>
    </row>
    <row r="1183">
      <c r="A1183" t="inlineStr">
        <is>
          <t>T-0987</t>
        </is>
      </c>
      <c r="B1183" t="inlineStr">
        <is>
          <t>Indraprastha Gas (IGL)</t>
        </is>
      </c>
      <c r="C1183" t="inlineStr">
        <is>
          <t>Indraprastha Gas (IGL)</t>
        </is>
      </c>
      <c r="F1183" t="inlineStr">
        <is>
          <t>New Lead</t>
        </is>
      </c>
      <c r="H1183" t="inlineStr">
        <is>
          <t>Corrigendum-2__CC17768.pdf</t>
        </is>
      </c>
      <c r="K1183" t="inlineStr">
        <is>
          <t>Not found</t>
        </is>
      </c>
      <c r="L1183" t="inlineStr">
        <is>
          <t>Unknown</t>
        </is>
      </c>
      <c r="T1183" t="inlineStr">
        <is>
          <t>https://tenders.iglonline.net/uploads/tender/Corrigendum-2__CC17768.pdf</t>
        </is>
      </c>
      <c r="U1183" t="inlineStr">
        <is>
          <t>No</t>
        </is>
      </c>
      <c r="V1183" t="inlineStr">
        <is>
          <t>Bot tarafindan tespit edildi (2026-07-01)</t>
        </is>
      </c>
    </row>
    <row r="1184">
      <c r="A1184" t="inlineStr">
        <is>
          <t>T-0988</t>
        </is>
      </c>
      <c r="B1184" t="inlineStr">
        <is>
          <t>Indraprastha Gas (IGL)</t>
        </is>
      </c>
      <c r="C1184" t="inlineStr">
        <is>
          <t>Indraprastha Gas (IGL)</t>
        </is>
      </c>
      <c r="F1184" t="inlineStr">
        <is>
          <t>New Lead</t>
        </is>
      </c>
      <c r="H1184" t="inlineStr">
        <is>
          <t>View Tender</t>
        </is>
      </c>
      <c r="K1184" t="inlineStr">
        <is>
          <t>Not found</t>
        </is>
      </c>
      <c r="L1184" t="inlineStr">
        <is>
          <t>Unknown</t>
        </is>
      </c>
      <c r="T1184" t="inlineStr">
        <is>
          <t>https://tenders.iglonline.net/tenderDetail/235/Active Tenders And Corrigendum-Addendum</t>
        </is>
      </c>
      <c r="U1184" t="inlineStr">
        <is>
          <t>No</t>
        </is>
      </c>
      <c r="V1184" t="inlineStr">
        <is>
          <t>Bot tarafindan tespit edildi (2026-07-01)</t>
        </is>
      </c>
    </row>
    <row r="1185">
      <c r="A1185" t="inlineStr">
        <is>
          <t>T-0989</t>
        </is>
      </c>
      <c r="B1185" t="inlineStr">
        <is>
          <t>Indraprastha Gas (IGL)</t>
        </is>
      </c>
      <c r="C1185" t="inlineStr">
        <is>
          <t>Indraprastha Gas (IGL)</t>
        </is>
      </c>
      <c r="F1185" t="inlineStr">
        <is>
          <t>New Lead</t>
        </is>
      </c>
      <c r="H1185" t="inlineStr">
        <is>
          <t>CC17767_corrigendum.pdf</t>
        </is>
      </c>
      <c r="K1185" t="inlineStr">
        <is>
          <t>Not found</t>
        </is>
      </c>
      <c r="L1185" t="inlineStr">
        <is>
          <t>Unknown</t>
        </is>
      </c>
      <c r="T1185" t="inlineStr">
        <is>
          <t>https://tenders.iglonline.net/uploads/tender/CC17767_corrigendum.pdf</t>
        </is>
      </c>
      <c r="U1185" t="inlineStr">
        <is>
          <t>No</t>
        </is>
      </c>
      <c r="V1185" t="inlineStr">
        <is>
          <t>Bot tarafindan tespit edildi (2026-07-01)</t>
        </is>
      </c>
    </row>
    <row r="1186">
      <c r="A1186" t="inlineStr">
        <is>
          <t>T-0990</t>
        </is>
      </c>
      <c r="B1186" t="inlineStr">
        <is>
          <t>Indraprastha Gas (IGL)</t>
        </is>
      </c>
      <c r="C1186" t="inlineStr">
        <is>
          <t>Indraprastha Gas (IGL)</t>
        </is>
      </c>
      <c r="F1186" t="inlineStr">
        <is>
          <t>New Lead</t>
        </is>
      </c>
      <c r="H1186" t="inlineStr">
        <is>
          <t>View Tender</t>
        </is>
      </c>
      <c r="K1186" t="inlineStr">
        <is>
          <t>Not found</t>
        </is>
      </c>
      <c r="L1186" t="inlineStr">
        <is>
          <t>Unknown</t>
        </is>
      </c>
      <c r="T1186" t="inlineStr">
        <is>
          <t>https://tenders.iglonline.net/tenderDetail/234/Active Tenders And Corrigendum-Addendum</t>
        </is>
      </c>
      <c r="U1186" t="inlineStr">
        <is>
          <t>No</t>
        </is>
      </c>
      <c r="V1186" t="inlineStr">
        <is>
          <t>Bot tarafindan tespit edildi (2026-07-01)</t>
        </is>
      </c>
    </row>
    <row r="1187">
      <c r="A1187" t="inlineStr">
        <is>
          <t>T-0991</t>
        </is>
      </c>
      <c r="B1187" t="inlineStr">
        <is>
          <t>Indraprastha Gas (IGL)</t>
        </is>
      </c>
      <c r="C1187" t="inlineStr">
        <is>
          <t>Indraprastha Gas (IGL)</t>
        </is>
      </c>
      <c r="F1187" t="inlineStr">
        <is>
          <t>New Lead</t>
        </is>
      </c>
      <c r="H1187" t="inlineStr">
        <is>
          <t>Corrigendum_I_CC17823.pdf</t>
        </is>
      </c>
      <c r="K1187" t="inlineStr">
        <is>
          <t>Not found</t>
        </is>
      </c>
      <c r="L1187" t="inlineStr">
        <is>
          <t>Unknown</t>
        </is>
      </c>
      <c r="T1187" t="inlineStr">
        <is>
          <t>https://tenders.iglonline.net/uploads/tender/Corrigendum_I_CC17823.pdf</t>
        </is>
      </c>
      <c r="U1187" t="inlineStr">
        <is>
          <t>No</t>
        </is>
      </c>
      <c r="V1187" t="inlineStr">
        <is>
          <t>Bot tarafindan tespit edildi (2026-07-01)</t>
        </is>
      </c>
    </row>
    <row r="1188">
      <c r="A1188" t="inlineStr">
        <is>
          <t>T-0992</t>
        </is>
      </c>
      <c r="B1188" t="inlineStr">
        <is>
          <t>Indraprastha Gas (IGL)</t>
        </is>
      </c>
      <c r="C1188" t="inlineStr">
        <is>
          <t>Indraprastha Gas (IGL)</t>
        </is>
      </c>
      <c r="F1188" t="inlineStr">
        <is>
          <t>New Lead</t>
        </is>
      </c>
      <c r="H1188" t="inlineStr">
        <is>
          <t>RTPBQ-I_1200_SCMH_EMD.pdf</t>
        </is>
      </c>
      <c r="K1188" t="inlineStr">
        <is>
          <t>Not found</t>
        </is>
      </c>
      <c r="L1188" t="inlineStr">
        <is>
          <t>Unknown</t>
        </is>
      </c>
      <c r="T1188" t="inlineStr">
        <is>
          <t>https://tenders.iglonline.net/uploads/tender/RTPBQ-I_1200_SCMH_EMD.pdf</t>
        </is>
      </c>
      <c r="U1188" t="inlineStr">
        <is>
          <t>No</t>
        </is>
      </c>
      <c r="V1188" t="inlineStr">
        <is>
          <t>Bot tarafindan tespit edildi (2026-07-01)</t>
        </is>
      </c>
    </row>
    <row r="1189">
      <c r="A1189" t="inlineStr">
        <is>
          <t>T-0993</t>
        </is>
      </c>
      <c r="B1189" t="inlineStr">
        <is>
          <t>Indraprastha Gas (IGL)</t>
        </is>
      </c>
      <c r="C1189" t="inlineStr">
        <is>
          <t>Indraprastha Gas (IGL)</t>
        </is>
      </c>
      <c r="F1189" t="inlineStr">
        <is>
          <t>New Lead</t>
        </is>
      </c>
      <c r="H1189" t="inlineStr">
        <is>
          <t>Corrigendum_II_CC17823.pdf</t>
        </is>
      </c>
      <c r="K1189" t="inlineStr">
        <is>
          <t>Not found</t>
        </is>
      </c>
      <c r="L1189" t="inlineStr">
        <is>
          <t>Unknown</t>
        </is>
      </c>
      <c r="T1189" t="inlineStr">
        <is>
          <t>https://tenders.iglonline.net/uploads/tender/Corrigendum_II_CC17823.pdf</t>
        </is>
      </c>
      <c r="U1189" t="inlineStr">
        <is>
          <t>No</t>
        </is>
      </c>
      <c r="V1189" t="inlineStr">
        <is>
          <t>Bot tarafindan tespit edildi (2026-07-01)</t>
        </is>
      </c>
    </row>
    <row r="1190">
      <c r="A1190" t="inlineStr">
        <is>
          <t>T-0994</t>
        </is>
      </c>
      <c r="B1190" t="inlineStr">
        <is>
          <t>Indraprastha Gas (IGL)</t>
        </is>
      </c>
      <c r="C1190" t="inlineStr">
        <is>
          <t>Indraprastha Gas (IGL)</t>
        </is>
      </c>
      <c r="F1190" t="inlineStr">
        <is>
          <t>New Lead</t>
        </is>
      </c>
      <c r="H1190" t="inlineStr">
        <is>
          <t>Corrigendum_III_CC17823.pdf</t>
        </is>
      </c>
      <c r="K1190" t="inlineStr">
        <is>
          <t>Not found</t>
        </is>
      </c>
      <c r="L1190" t="inlineStr">
        <is>
          <t>Unknown</t>
        </is>
      </c>
      <c r="T1190" t="inlineStr">
        <is>
          <t>https://tenders.iglonline.net/uploads/tender/Corrigendum_III_CC17823.pdf</t>
        </is>
      </c>
      <c r="U1190" t="inlineStr">
        <is>
          <t>No</t>
        </is>
      </c>
      <c r="V1190" t="inlineStr">
        <is>
          <t>Bot tarafindan tespit edildi (2026-07-01)</t>
        </is>
      </c>
    </row>
    <row r="1191">
      <c r="A1191" t="inlineStr">
        <is>
          <t>T-0995</t>
        </is>
      </c>
      <c r="B1191" t="inlineStr">
        <is>
          <t>Indraprastha Gas (IGL)</t>
        </is>
      </c>
      <c r="C1191" t="inlineStr">
        <is>
          <t>Indraprastha Gas (IGL)</t>
        </is>
      </c>
      <c r="F1191" t="inlineStr">
        <is>
          <t>New Lead</t>
        </is>
      </c>
      <c r="H1191" t="inlineStr">
        <is>
          <t>View Tender</t>
        </is>
      </c>
      <c r="K1191" t="inlineStr">
        <is>
          <t>Not found</t>
        </is>
      </c>
      <c r="L1191" t="inlineStr">
        <is>
          <t>Unknown</t>
        </is>
      </c>
      <c r="T1191" t="inlineStr">
        <is>
          <t>https://tenders.iglonline.net/tenderDetail/233/Active Tenders And Corrigendum-Addendum</t>
        </is>
      </c>
      <c r="U1191" t="inlineStr">
        <is>
          <t>No</t>
        </is>
      </c>
      <c r="V1191" t="inlineStr">
        <is>
          <t>Bot tarafindan tespit edildi (2026-07-01)</t>
        </is>
      </c>
    </row>
    <row r="1192">
      <c r="A1192" t="inlineStr">
        <is>
          <t>T-0996</t>
        </is>
      </c>
      <c r="B1192" t="inlineStr">
        <is>
          <t>Indraprastha Gas (IGL)</t>
        </is>
      </c>
      <c r="C1192" t="inlineStr">
        <is>
          <t>Indraprastha Gas (IGL)</t>
        </is>
      </c>
      <c r="F1192" t="inlineStr">
        <is>
          <t>New Lead</t>
        </is>
      </c>
      <c r="H1192" t="inlineStr">
        <is>
          <t>Corrigendum_I3.pdf</t>
        </is>
      </c>
      <c r="K1192" t="inlineStr">
        <is>
          <t>Not found</t>
        </is>
      </c>
      <c r="L1192" t="inlineStr">
        <is>
          <t>Unknown</t>
        </is>
      </c>
      <c r="T1192" t="inlineStr">
        <is>
          <t>https://tenders.iglonline.net/uploads/tender/Corrigendum_I3.pdf</t>
        </is>
      </c>
      <c r="U1192" t="inlineStr">
        <is>
          <t>No</t>
        </is>
      </c>
      <c r="V1192" t="inlineStr">
        <is>
          <t>Bot tarafindan tespit edildi (2026-07-01)</t>
        </is>
      </c>
    </row>
    <row r="1193">
      <c r="A1193" t="inlineStr">
        <is>
          <t>T-0997</t>
        </is>
      </c>
      <c r="B1193" t="inlineStr">
        <is>
          <t>Indraprastha Gas (IGL)</t>
        </is>
      </c>
      <c r="C1193" t="inlineStr">
        <is>
          <t>Indraprastha Gas (IGL)</t>
        </is>
      </c>
      <c r="F1193" t="inlineStr">
        <is>
          <t>New Lead</t>
        </is>
      </c>
      <c r="H1193" t="inlineStr">
        <is>
          <t>Corrigendum_II1.pdf</t>
        </is>
      </c>
      <c r="K1193" t="inlineStr">
        <is>
          <t>Not found</t>
        </is>
      </c>
      <c r="L1193" t="inlineStr">
        <is>
          <t>Unknown</t>
        </is>
      </c>
      <c r="T1193" t="inlineStr">
        <is>
          <t>https://tenders.iglonline.net/uploads/tender/Corrigendum_II1.pdf</t>
        </is>
      </c>
      <c r="U1193" t="inlineStr">
        <is>
          <t>No</t>
        </is>
      </c>
      <c r="V1193" t="inlineStr">
        <is>
          <t>Bot tarafindan tespit edildi (2026-07-01)</t>
        </is>
      </c>
    </row>
    <row r="1194">
      <c r="A1194" t="inlineStr">
        <is>
          <t>T-0998</t>
        </is>
      </c>
      <c r="B1194" t="inlineStr">
        <is>
          <t>Indraprastha Gas (IGL)</t>
        </is>
      </c>
      <c r="C1194" t="inlineStr">
        <is>
          <t>Indraprastha Gas (IGL)</t>
        </is>
      </c>
      <c r="F1194" t="inlineStr">
        <is>
          <t>New Lead</t>
        </is>
      </c>
      <c r="H1194" t="inlineStr">
        <is>
          <t>Corrigendum_III_Cancellation_of_tender.pdf</t>
        </is>
      </c>
      <c r="K1194" t="inlineStr">
        <is>
          <t>Not found</t>
        </is>
      </c>
      <c r="L1194" t="inlineStr">
        <is>
          <t>Unknown</t>
        </is>
      </c>
      <c r="T1194" t="inlineStr">
        <is>
          <t>https://tenders.iglonline.net/uploads/tender/Corrigendum_III_Cancellation_of_tender.pdf</t>
        </is>
      </c>
      <c r="U1194" t="inlineStr">
        <is>
          <t>No</t>
        </is>
      </c>
      <c r="V1194" t="inlineStr">
        <is>
          <t>Bot tarafindan tespit edildi (2026-07-01)</t>
        </is>
      </c>
    </row>
    <row r="1195">
      <c r="A1195" t="inlineStr">
        <is>
          <t>T-0999</t>
        </is>
      </c>
      <c r="B1195" t="inlineStr">
        <is>
          <t>Indraprastha Gas (IGL)</t>
        </is>
      </c>
      <c r="C1195" t="inlineStr">
        <is>
          <t>Indraprastha Gas (IGL)</t>
        </is>
      </c>
      <c r="F1195" t="inlineStr">
        <is>
          <t>New Lead</t>
        </is>
      </c>
      <c r="H1195" t="inlineStr">
        <is>
          <t>View Tender</t>
        </is>
      </c>
      <c r="K1195" t="inlineStr">
        <is>
          <t>Not found</t>
        </is>
      </c>
      <c r="L1195" t="inlineStr">
        <is>
          <t>Unknown</t>
        </is>
      </c>
      <c r="T1195" t="inlineStr">
        <is>
          <t>https://tenders.iglonline.net/tenderDetail/232/Active Tenders And Corrigendum-Addendum</t>
        </is>
      </c>
      <c r="U1195" t="inlineStr">
        <is>
          <t>No</t>
        </is>
      </c>
      <c r="V1195" t="inlineStr">
        <is>
          <t>Bot tarafindan tespit edildi (2026-07-01)</t>
        </is>
      </c>
    </row>
    <row r="1196">
      <c r="A1196" t="inlineStr">
        <is>
          <t>T-1000</t>
        </is>
      </c>
      <c r="B1196" t="inlineStr">
        <is>
          <t>Indraprastha Gas (IGL)</t>
        </is>
      </c>
      <c r="C1196" t="inlineStr">
        <is>
          <t>Indraprastha Gas (IGL)</t>
        </is>
      </c>
      <c r="F1196" t="inlineStr">
        <is>
          <t>New Lead</t>
        </is>
      </c>
      <c r="H1196" t="inlineStr">
        <is>
          <t>Corrigendum_I_CC17822.pdf</t>
        </is>
      </c>
      <c r="K1196" t="inlineStr">
        <is>
          <t>Not found</t>
        </is>
      </c>
      <c r="L1196" t="inlineStr">
        <is>
          <t>Unknown</t>
        </is>
      </c>
      <c r="T1196" t="inlineStr">
        <is>
          <t>https://tenders.iglonline.net/uploads/tender/Corrigendum_I_CC17822.pdf</t>
        </is>
      </c>
      <c r="U1196" t="inlineStr">
        <is>
          <t>No</t>
        </is>
      </c>
      <c r="V1196" t="inlineStr">
        <is>
          <t>Bot tarafindan tespit edildi (2026-07-01)</t>
        </is>
      </c>
    </row>
    <row r="1197">
      <c r="A1197" t="inlineStr">
        <is>
          <t>T-1001</t>
        </is>
      </c>
      <c r="B1197" t="inlineStr">
        <is>
          <t>Indraprastha Gas (IGL)</t>
        </is>
      </c>
      <c r="C1197" t="inlineStr">
        <is>
          <t>Indraprastha Gas (IGL)</t>
        </is>
      </c>
      <c r="F1197" t="inlineStr">
        <is>
          <t>New Lead</t>
        </is>
      </c>
      <c r="H1197" t="inlineStr">
        <is>
          <t>RTPBQ-I_600_SCMH_EMD.pdf</t>
        </is>
      </c>
      <c r="K1197" t="inlineStr">
        <is>
          <t>Not found</t>
        </is>
      </c>
      <c r="L1197" t="inlineStr">
        <is>
          <t>Unknown</t>
        </is>
      </c>
      <c r="T1197" t="inlineStr">
        <is>
          <t>https://tenders.iglonline.net/uploads/tender/RTPBQ-I_600_SCMH_EMD.pdf</t>
        </is>
      </c>
      <c r="U1197" t="inlineStr">
        <is>
          <t>No</t>
        </is>
      </c>
      <c r="V1197" t="inlineStr">
        <is>
          <t>Bot tarafindan tespit edildi (2026-07-01)</t>
        </is>
      </c>
    </row>
    <row r="1198">
      <c r="A1198" t="inlineStr">
        <is>
          <t>T-1002</t>
        </is>
      </c>
      <c r="B1198" t="inlineStr">
        <is>
          <t>Indraprastha Gas (IGL)</t>
        </is>
      </c>
      <c r="C1198" t="inlineStr">
        <is>
          <t>Indraprastha Gas (IGL)</t>
        </is>
      </c>
      <c r="F1198" t="inlineStr">
        <is>
          <t>New Lead</t>
        </is>
      </c>
      <c r="H1198" t="inlineStr">
        <is>
          <t>Corrigendum_II_CC17822.pdf</t>
        </is>
      </c>
      <c r="K1198" t="inlineStr">
        <is>
          <t>Not found</t>
        </is>
      </c>
      <c r="L1198" t="inlineStr">
        <is>
          <t>Unknown</t>
        </is>
      </c>
      <c r="T1198" t="inlineStr">
        <is>
          <t>https://tenders.iglonline.net/uploads/tender/Corrigendum_II_CC17822.pdf</t>
        </is>
      </c>
      <c r="U1198" t="inlineStr">
        <is>
          <t>No</t>
        </is>
      </c>
      <c r="V1198" t="inlineStr">
        <is>
          <t>Bot tarafindan tespit edildi (2026-07-01)</t>
        </is>
      </c>
    </row>
    <row r="1199">
      <c r="A1199" t="inlineStr">
        <is>
          <t>T-1003</t>
        </is>
      </c>
      <c r="B1199" t="inlineStr">
        <is>
          <t>Indraprastha Gas (IGL)</t>
        </is>
      </c>
      <c r="C1199" t="inlineStr">
        <is>
          <t>Indraprastha Gas (IGL)</t>
        </is>
      </c>
      <c r="F1199" t="inlineStr">
        <is>
          <t>New Lead</t>
        </is>
      </c>
      <c r="H1199" t="inlineStr">
        <is>
          <t>Corrigendum_III_CC17822.pdf</t>
        </is>
      </c>
      <c r="K1199" t="inlineStr">
        <is>
          <t>Not found</t>
        </is>
      </c>
      <c r="L1199" t="inlineStr">
        <is>
          <t>Unknown</t>
        </is>
      </c>
      <c r="T1199" t="inlineStr">
        <is>
          <t>https://tenders.iglonline.net/uploads/tender/Corrigendum_III_CC17822.pdf</t>
        </is>
      </c>
      <c r="U1199" t="inlineStr">
        <is>
          <t>No</t>
        </is>
      </c>
      <c r="V1199" t="inlineStr">
        <is>
          <t>Bot tarafindan tespit edildi (2026-07-01)</t>
        </is>
      </c>
    </row>
    <row r="1200">
      <c r="A1200" t="inlineStr">
        <is>
          <t>T-1004</t>
        </is>
      </c>
      <c r="B1200" t="inlineStr">
        <is>
          <t>Indraprastha Gas (IGL)</t>
        </is>
      </c>
      <c r="C1200" t="inlineStr">
        <is>
          <t>Indraprastha Gas (IGL)</t>
        </is>
      </c>
      <c r="F1200" t="inlineStr">
        <is>
          <t>New Lead</t>
        </is>
      </c>
      <c r="H1200" t="inlineStr">
        <is>
          <t>View Tender</t>
        </is>
      </c>
      <c r="K1200" t="inlineStr">
        <is>
          <t>Not found</t>
        </is>
      </c>
      <c r="L1200" t="inlineStr">
        <is>
          <t>Unknown</t>
        </is>
      </c>
      <c r="T1200" t="inlineStr">
        <is>
          <t>https://tenders.iglonline.net/tenderDetail/231/Active Tenders And Corrigendum-Addendum</t>
        </is>
      </c>
      <c r="U1200" t="inlineStr">
        <is>
          <t>No</t>
        </is>
      </c>
      <c r="V1200" t="inlineStr">
        <is>
          <t>Bot tarafindan tespit edildi (2026-07-01)</t>
        </is>
      </c>
    </row>
    <row r="1201">
      <c r="A1201" t="inlineStr">
        <is>
          <t>T-1005</t>
        </is>
      </c>
      <c r="B1201" t="inlineStr">
        <is>
          <t>Indraprastha Gas (IGL)</t>
        </is>
      </c>
      <c r="C1201" t="inlineStr">
        <is>
          <t>Indraprastha Gas (IGL)</t>
        </is>
      </c>
      <c r="F1201" t="inlineStr">
        <is>
          <t>New Lead</t>
        </is>
      </c>
      <c r="H1201" t="inlineStr">
        <is>
          <t>View Tender</t>
        </is>
      </c>
      <c r="K1201" t="inlineStr">
        <is>
          <t>Not found</t>
        </is>
      </c>
      <c r="L1201" t="inlineStr">
        <is>
          <t>Unknown</t>
        </is>
      </c>
      <c r="T1201" t="inlineStr">
        <is>
          <t>https://tenders.iglonline.net/tenderDetail/230/Active Tenders And Corrigendum-Addendum</t>
        </is>
      </c>
      <c r="U1201" t="inlineStr">
        <is>
          <t>No</t>
        </is>
      </c>
      <c r="V1201" t="inlineStr">
        <is>
          <t>Bot tarafindan tespit edildi (2026-07-01)</t>
        </is>
      </c>
    </row>
    <row r="1202">
      <c r="A1202" t="inlineStr">
        <is>
          <t>T-1006</t>
        </is>
      </c>
      <c r="B1202" t="inlineStr">
        <is>
          <t>Indraprastha Gas (IGL)</t>
        </is>
      </c>
      <c r="C1202" t="inlineStr">
        <is>
          <t>Indraprastha Gas (IGL)</t>
        </is>
      </c>
      <c r="F1202" t="inlineStr">
        <is>
          <t>New Lead</t>
        </is>
      </c>
      <c r="H1202" t="inlineStr">
        <is>
          <t>Reply_to_Bidders_Queries_(CC17786).pdf</t>
        </is>
      </c>
      <c r="K1202" t="inlineStr">
        <is>
          <t>Not found</t>
        </is>
      </c>
      <c r="L1202" t="inlineStr">
        <is>
          <t>Unknown</t>
        </is>
      </c>
      <c r="T1202" t="inlineStr">
        <is>
          <t>https://tenders.iglonline.net/uploads/tender/Reply_to_Bidders_Queries_(CC17786).pdf</t>
        </is>
      </c>
      <c r="U1202" t="inlineStr">
        <is>
          <t>No</t>
        </is>
      </c>
      <c r="V1202" t="inlineStr">
        <is>
          <t>Bot tarafindan tespit edildi (2026-07-01)</t>
        </is>
      </c>
    </row>
    <row r="1203">
      <c r="A1203" t="inlineStr">
        <is>
          <t>T-1007</t>
        </is>
      </c>
      <c r="B1203" t="inlineStr">
        <is>
          <t>Indraprastha Gas (IGL)</t>
        </is>
      </c>
      <c r="C1203" t="inlineStr">
        <is>
          <t>Indraprastha Gas (IGL)</t>
        </is>
      </c>
      <c r="F1203" t="inlineStr">
        <is>
          <t>New Lead</t>
        </is>
      </c>
      <c r="H1203" t="inlineStr">
        <is>
          <t>CC177861.pdf</t>
        </is>
      </c>
      <c r="K1203" t="inlineStr">
        <is>
          <t>Not found</t>
        </is>
      </c>
      <c r="L1203" t="inlineStr">
        <is>
          <t>Unknown</t>
        </is>
      </c>
      <c r="T1203" t="inlineStr">
        <is>
          <t>https://tenders.iglonline.net/uploads/tender/CC177861.pdf</t>
        </is>
      </c>
      <c r="U1203" t="inlineStr">
        <is>
          <t>No</t>
        </is>
      </c>
      <c r="V1203" t="inlineStr">
        <is>
          <t>Bot tarafindan tespit edildi (2026-07-01)</t>
        </is>
      </c>
    </row>
    <row r="1204">
      <c r="A1204" t="inlineStr">
        <is>
          <t>T-1008</t>
        </is>
      </c>
      <c r="B1204" t="inlineStr">
        <is>
          <t>Indraprastha Gas (IGL)</t>
        </is>
      </c>
      <c r="C1204" t="inlineStr">
        <is>
          <t>Indraprastha Gas (IGL)</t>
        </is>
      </c>
      <c r="F1204" t="inlineStr">
        <is>
          <t>New Lead</t>
        </is>
      </c>
      <c r="H1204" t="inlineStr">
        <is>
          <t>View Tender</t>
        </is>
      </c>
      <c r="K1204" t="inlineStr">
        <is>
          <t>Not found</t>
        </is>
      </c>
      <c r="L1204" t="inlineStr">
        <is>
          <t>Unknown</t>
        </is>
      </c>
      <c r="T1204" t="inlineStr">
        <is>
          <t>https://tenders.iglonline.net/tenderDetail/229/Active Tenders And Corrigendum-Addendum</t>
        </is>
      </c>
      <c r="U1204" t="inlineStr">
        <is>
          <t>No</t>
        </is>
      </c>
      <c r="V1204" t="inlineStr">
        <is>
          <t>Bot tarafindan tespit edildi (2026-07-01)</t>
        </is>
      </c>
    </row>
    <row r="1205">
      <c r="A1205" t="inlineStr">
        <is>
          <t>T-1009</t>
        </is>
      </c>
      <c r="B1205" t="inlineStr">
        <is>
          <t>Indraprastha Gas (IGL)</t>
        </is>
      </c>
      <c r="C1205" t="inlineStr">
        <is>
          <t>Indraprastha Gas (IGL)</t>
        </is>
      </c>
      <c r="F1205" t="inlineStr">
        <is>
          <t>New Lead</t>
        </is>
      </c>
      <c r="H1205" t="inlineStr">
        <is>
          <t>Corrigendum-I__CC17787.pdf</t>
        </is>
      </c>
      <c r="K1205" t="inlineStr">
        <is>
          <t>Not found</t>
        </is>
      </c>
      <c r="L1205" t="inlineStr">
        <is>
          <t>Unknown</t>
        </is>
      </c>
      <c r="T1205" t="inlineStr">
        <is>
          <t>https://tenders.iglonline.net/uploads/tender/Corrigendum-I__CC17787.pdf</t>
        </is>
      </c>
      <c r="U1205" t="inlineStr">
        <is>
          <t>No</t>
        </is>
      </c>
      <c r="V1205" t="inlineStr">
        <is>
          <t>Bot tarafindan tespit edildi (2026-07-01)</t>
        </is>
      </c>
    </row>
    <row r="1206">
      <c r="A1206" t="inlineStr">
        <is>
          <t>T-1010</t>
        </is>
      </c>
      <c r="B1206" t="inlineStr">
        <is>
          <t>Indraprastha Gas (IGL)</t>
        </is>
      </c>
      <c r="C1206" t="inlineStr">
        <is>
          <t>Indraprastha Gas (IGL)</t>
        </is>
      </c>
      <c r="F1206" t="inlineStr">
        <is>
          <t>New Lead</t>
        </is>
      </c>
      <c r="H1206" t="inlineStr">
        <is>
          <t>Corrigendum_II_CC17787.pdf</t>
        </is>
      </c>
      <c r="K1206" t="inlineStr">
        <is>
          <t>Not found</t>
        </is>
      </c>
      <c r="L1206" t="inlineStr">
        <is>
          <t>Unknown</t>
        </is>
      </c>
      <c r="T1206" t="inlineStr">
        <is>
          <t>https://tenders.iglonline.net/uploads/tender/Corrigendum_II_CC17787.pdf</t>
        </is>
      </c>
      <c r="U1206" t="inlineStr">
        <is>
          <t>No</t>
        </is>
      </c>
      <c r="V1206" t="inlineStr">
        <is>
          <t>Bot tarafindan tespit edildi (2026-07-01)</t>
        </is>
      </c>
    </row>
    <row r="1207">
      <c r="A1207" t="inlineStr">
        <is>
          <t>T-1011</t>
        </is>
      </c>
      <c r="B1207" t="inlineStr">
        <is>
          <t>Indraprastha Gas (IGL)</t>
        </is>
      </c>
      <c r="C1207" t="inlineStr">
        <is>
          <t>Indraprastha Gas (IGL)</t>
        </is>
      </c>
      <c r="F1207" t="inlineStr">
        <is>
          <t>New Lead</t>
        </is>
      </c>
      <c r="H1207" t="inlineStr">
        <is>
          <t>View Tender</t>
        </is>
      </c>
      <c r="K1207" t="inlineStr">
        <is>
          <t>Not found</t>
        </is>
      </c>
      <c r="L1207" t="inlineStr">
        <is>
          <t>Unknown</t>
        </is>
      </c>
      <c r="T1207" t="inlineStr">
        <is>
          <t>https://tenders.iglonline.net/tenderDetail/228/Active Tenders And Corrigendum-Addendum</t>
        </is>
      </c>
      <c r="U1207" t="inlineStr">
        <is>
          <t>No</t>
        </is>
      </c>
      <c r="V1207" t="inlineStr">
        <is>
          <t>Bot tarafindan tespit edildi (2026-07-01)</t>
        </is>
      </c>
    </row>
    <row r="1208">
      <c r="A1208" t="inlineStr">
        <is>
          <t>T-1012</t>
        </is>
      </c>
      <c r="B1208" t="inlineStr">
        <is>
          <t>Indraprastha Gas (IGL)</t>
        </is>
      </c>
      <c r="C1208" t="inlineStr">
        <is>
          <t>Indraprastha Gas (IGL)</t>
        </is>
      </c>
      <c r="F1208" t="inlineStr">
        <is>
          <t>New Lead</t>
        </is>
      </c>
      <c r="H1208" t="inlineStr">
        <is>
          <t>View Tender</t>
        </is>
      </c>
      <c r="K1208" t="inlineStr">
        <is>
          <t>Not found</t>
        </is>
      </c>
      <c r="L1208" t="inlineStr">
        <is>
          <t>Unknown</t>
        </is>
      </c>
      <c r="T1208" t="inlineStr">
        <is>
          <t>https://tenders.iglonline.net/tenderDetail/227/Active Tenders And Corrigendum-Addendum</t>
        </is>
      </c>
      <c r="U1208" t="inlineStr">
        <is>
          <t>No</t>
        </is>
      </c>
      <c r="V1208" t="inlineStr">
        <is>
          <t>Bot tarafindan tespit edildi (2026-07-01)</t>
        </is>
      </c>
    </row>
    <row r="1209">
      <c r="A1209" t="inlineStr">
        <is>
          <t>T-1013</t>
        </is>
      </c>
      <c r="B1209" t="inlineStr">
        <is>
          <t>Indraprastha Gas (IGL)</t>
        </is>
      </c>
      <c r="C1209" t="inlineStr">
        <is>
          <t>Indraprastha Gas (IGL)</t>
        </is>
      </c>
      <c r="F1209" t="inlineStr">
        <is>
          <t>New Lead</t>
        </is>
      </c>
      <c r="H1209" t="inlineStr">
        <is>
          <t>Corrigendum_1_CP17771.pdf</t>
        </is>
      </c>
      <c r="K1209" t="inlineStr">
        <is>
          <t>Not found</t>
        </is>
      </c>
      <c r="L1209" t="inlineStr">
        <is>
          <t>Unknown</t>
        </is>
      </c>
      <c r="T1209" t="inlineStr">
        <is>
          <t>https://tenders.iglonline.net/uploads/tender/Corrigendum_1_CP17771.pdf</t>
        </is>
      </c>
      <c r="U1209" t="inlineStr">
        <is>
          <t>No</t>
        </is>
      </c>
      <c r="V1209" t="inlineStr">
        <is>
          <t>Bot tarafindan tespit edildi (2026-07-01)</t>
        </is>
      </c>
    </row>
    <row r="1210">
      <c r="A1210" t="inlineStr">
        <is>
          <t>T-1014</t>
        </is>
      </c>
      <c r="B1210" t="inlineStr">
        <is>
          <t>Indraprastha Gas (IGL)</t>
        </is>
      </c>
      <c r="C1210" t="inlineStr">
        <is>
          <t>Indraprastha Gas (IGL)</t>
        </is>
      </c>
      <c r="F1210" t="inlineStr">
        <is>
          <t>New Lead</t>
        </is>
      </c>
      <c r="H1210" t="inlineStr">
        <is>
          <t>Corrigendum_2_CP17771.pdf</t>
        </is>
      </c>
      <c r="K1210" t="inlineStr">
        <is>
          <t>Not found</t>
        </is>
      </c>
      <c r="L1210" t="inlineStr">
        <is>
          <t>Unknown</t>
        </is>
      </c>
      <c r="T1210" t="inlineStr">
        <is>
          <t>https://tenders.iglonline.net/uploads/tender/Corrigendum_2_CP17771.pdf</t>
        </is>
      </c>
      <c r="U1210" t="inlineStr">
        <is>
          <t>No</t>
        </is>
      </c>
      <c r="V1210" t="inlineStr">
        <is>
          <t>Bot tarafindan tespit edildi (2026-07-01)</t>
        </is>
      </c>
    </row>
    <row r="1211">
      <c r="A1211" t="inlineStr">
        <is>
          <t>T-1015</t>
        </is>
      </c>
      <c r="B1211" t="inlineStr">
        <is>
          <t>Indraprastha Gas (IGL)</t>
        </is>
      </c>
      <c r="C1211" t="inlineStr">
        <is>
          <t>Indraprastha Gas (IGL)</t>
        </is>
      </c>
      <c r="F1211" t="inlineStr">
        <is>
          <t>New Lead</t>
        </is>
      </c>
      <c r="H1211" t="inlineStr">
        <is>
          <t>Corrigendum_3_CP17771.pdf</t>
        </is>
      </c>
      <c r="K1211" t="inlineStr">
        <is>
          <t>Not found</t>
        </is>
      </c>
      <c r="L1211" t="inlineStr">
        <is>
          <t>Unknown</t>
        </is>
      </c>
      <c r="T1211" t="inlineStr">
        <is>
          <t>https://tenders.iglonline.net/uploads/tender/Corrigendum_3_CP17771.pdf</t>
        </is>
      </c>
      <c r="U1211" t="inlineStr">
        <is>
          <t>No</t>
        </is>
      </c>
      <c r="V1211" t="inlineStr">
        <is>
          <t>Bot tarafindan tespit edildi (2026-07-01)</t>
        </is>
      </c>
    </row>
    <row r="1212">
      <c r="A1212" t="inlineStr">
        <is>
          <t>T-1016</t>
        </is>
      </c>
      <c r="B1212" t="inlineStr">
        <is>
          <t>Indraprastha Gas (IGL)</t>
        </is>
      </c>
      <c r="C1212" t="inlineStr">
        <is>
          <t>Indraprastha Gas (IGL)</t>
        </is>
      </c>
      <c r="F1212" t="inlineStr">
        <is>
          <t>New Lead</t>
        </is>
      </c>
      <c r="H1212" t="inlineStr">
        <is>
          <t>Corrigendum_4_CP17771.pdf</t>
        </is>
      </c>
      <c r="K1212" t="inlineStr">
        <is>
          <t>Not found</t>
        </is>
      </c>
      <c r="L1212" t="inlineStr">
        <is>
          <t>Unknown</t>
        </is>
      </c>
      <c r="T1212" t="inlineStr">
        <is>
          <t>https://tenders.iglonline.net/uploads/tender/Corrigendum_4_CP17771.pdf</t>
        </is>
      </c>
      <c r="U1212" t="inlineStr">
        <is>
          <t>No</t>
        </is>
      </c>
      <c r="V1212" t="inlineStr">
        <is>
          <t>Bot tarafindan tespit edildi (2026-07-01)</t>
        </is>
      </c>
    </row>
    <row r="1213">
      <c r="A1213" t="inlineStr">
        <is>
          <t>T-1017</t>
        </is>
      </c>
      <c r="B1213" t="inlineStr">
        <is>
          <t>Indraprastha Gas (IGL)</t>
        </is>
      </c>
      <c r="C1213" t="inlineStr">
        <is>
          <t>Indraprastha Gas (IGL)</t>
        </is>
      </c>
      <c r="F1213" t="inlineStr">
        <is>
          <t>New Lead</t>
        </is>
      </c>
      <c r="H1213" t="inlineStr">
        <is>
          <t>RTBQ_CP17771.pdf</t>
        </is>
      </c>
      <c r="K1213" t="inlineStr">
        <is>
          <t>Not found</t>
        </is>
      </c>
      <c r="L1213" t="inlineStr">
        <is>
          <t>Unknown</t>
        </is>
      </c>
      <c r="T1213" t="inlineStr">
        <is>
          <t>https://tenders.iglonline.net/uploads/tender/RTBQ_CP17771.pdf</t>
        </is>
      </c>
      <c r="U1213" t="inlineStr">
        <is>
          <t>No</t>
        </is>
      </c>
      <c r="V1213" t="inlineStr">
        <is>
          <t>Bot tarafindan tespit edildi (2026-07-01)</t>
        </is>
      </c>
    </row>
    <row r="1214">
      <c r="A1214" t="inlineStr">
        <is>
          <t>T-1018</t>
        </is>
      </c>
      <c r="B1214" t="inlineStr">
        <is>
          <t>Indraprastha Gas (IGL)</t>
        </is>
      </c>
      <c r="C1214" t="inlineStr">
        <is>
          <t>Indraprastha Gas (IGL)</t>
        </is>
      </c>
      <c r="F1214" t="inlineStr">
        <is>
          <t>New Lead</t>
        </is>
      </c>
      <c r="H1214" t="inlineStr">
        <is>
          <t>Corrigendum_5_CP17771.pdf</t>
        </is>
      </c>
      <c r="K1214" t="inlineStr">
        <is>
          <t>Not found</t>
        </is>
      </c>
      <c r="L1214" t="inlineStr">
        <is>
          <t>Unknown</t>
        </is>
      </c>
      <c r="T1214" t="inlineStr">
        <is>
          <t>https://tenders.iglonline.net/uploads/tender/Corrigendum_5_CP17771.pdf</t>
        </is>
      </c>
      <c r="U1214" t="inlineStr">
        <is>
          <t>No</t>
        </is>
      </c>
      <c r="V1214" t="inlineStr">
        <is>
          <t>Bot tarafindan tespit edildi (2026-07-01)</t>
        </is>
      </c>
    </row>
    <row r="1215">
      <c r="A1215" t="inlineStr">
        <is>
          <t>T-1019</t>
        </is>
      </c>
      <c r="B1215" t="inlineStr">
        <is>
          <t>Indraprastha Gas (IGL)</t>
        </is>
      </c>
      <c r="C1215" t="inlineStr">
        <is>
          <t>Indraprastha Gas (IGL)</t>
        </is>
      </c>
      <c r="F1215" t="inlineStr">
        <is>
          <t>New Lead</t>
        </is>
      </c>
      <c r="H1215" t="inlineStr">
        <is>
          <t>Corrigendum_6_CP17771.pdf</t>
        </is>
      </c>
      <c r="K1215" t="inlineStr">
        <is>
          <t>Not found</t>
        </is>
      </c>
      <c r="L1215" t="inlineStr">
        <is>
          <t>Unknown</t>
        </is>
      </c>
      <c r="T1215" t="inlineStr">
        <is>
          <t>https://tenders.iglonline.net/uploads/tender/Corrigendum_6_CP17771.pdf</t>
        </is>
      </c>
      <c r="U1215" t="inlineStr">
        <is>
          <t>No</t>
        </is>
      </c>
      <c r="V1215" t="inlineStr">
        <is>
          <t>Bot tarafindan tespit edildi (2026-07-01)</t>
        </is>
      </c>
    </row>
    <row r="1216">
      <c r="A1216" t="inlineStr">
        <is>
          <t>T-1020</t>
        </is>
      </c>
      <c r="B1216" t="inlineStr">
        <is>
          <t>Indraprastha Gas (IGL)</t>
        </is>
      </c>
      <c r="C1216" t="inlineStr">
        <is>
          <t>Indraprastha Gas (IGL)</t>
        </is>
      </c>
      <c r="F1216" t="inlineStr">
        <is>
          <t>New Lead</t>
        </is>
      </c>
      <c r="H1216" t="inlineStr">
        <is>
          <t>Reply_to_Bidder_Queries_-_2.pdf</t>
        </is>
      </c>
      <c r="K1216" t="inlineStr">
        <is>
          <t>Not found</t>
        </is>
      </c>
      <c r="L1216" t="inlineStr">
        <is>
          <t>Unknown</t>
        </is>
      </c>
      <c r="T1216" t="inlineStr">
        <is>
          <t>https://tenders.iglonline.net/uploads/tender/Reply_to_Bidder_Queries_-_2.pdf</t>
        </is>
      </c>
      <c r="U1216" t="inlineStr">
        <is>
          <t>No</t>
        </is>
      </c>
      <c r="V1216" t="inlineStr">
        <is>
          <t>Bot tarafindan tespit edildi (2026-07-01)</t>
        </is>
      </c>
    </row>
    <row r="1217">
      <c r="A1217" t="inlineStr">
        <is>
          <t>T-1021</t>
        </is>
      </c>
      <c r="B1217" t="inlineStr">
        <is>
          <t>Indraprastha Gas (IGL)</t>
        </is>
      </c>
      <c r="C1217" t="inlineStr">
        <is>
          <t>Indraprastha Gas (IGL)</t>
        </is>
      </c>
      <c r="F1217" t="inlineStr">
        <is>
          <t>New Lead</t>
        </is>
      </c>
      <c r="H1217" t="inlineStr">
        <is>
          <t>Corrigendum_7.pdf</t>
        </is>
      </c>
      <c r="K1217" t="inlineStr">
        <is>
          <t>Not found</t>
        </is>
      </c>
      <c r="L1217" t="inlineStr">
        <is>
          <t>Unknown</t>
        </is>
      </c>
      <c r="T1217" t="inlineStr">
        <is>
          <t>https://tenders.iglonline.net/uploads/tender/Corrigendum_7.pdf</t>
        </is>
      </c>
      <c r="U1217" t="inlineStr">
        <is>
          <t>No</t>
        </is>
      </c>
      <c r="V1217" t="inlineStr">
        <is>
          <t>Bot tarafindan tespit edildi (2026-07-01)</t>
        </is>
      </c>
    </row>
    <row r="1218">
      <c r="A1218" t="inlineStr">
        <is>
          <t>T-1022</t>
        </is>
      </c>
      <c r="B1218" t="inlineStr">
        <is>
          <t>Indraprastha Gas (IGL)</t>
        </is>
      </c>
      <c r="C1218" t="inlineStr">
        <is>
          <t>Indraprastha Gas (IGL)</t>
        </is>
      </c>
      <c r="F1218" t="inlineStr">
        <is>
          <t>New Lead</t>
        </is>
      </c>
      <c r="H1218" t="inlineStr">
        <is>
          <t>Corrigendum_8_CP17771.pdf</t>
        </is>
      </c>
      <c r="K1218" t="inlineStr">
        <is>
          <t>Not found</t>
        </is>
      </c>
      <c r="L1218" t="inlineStr">
        <is>
          <t>Unknown</t>
        </is>
      </c>
      <c r="T1218" t="inlineStr">
        <is>
          <t>https://tenders.iglonline.net/uploads/tender/Corrigendum_8_CP17771.pdf</t>
        </is>
      </c>
      <c r="U1218" t="inlineStr">
        <is>
          <t>No</t>
        </is>
      </c>
      <c r="V1218" t="inlineStr">
        <is>
          <t>Bot tarafindan tespit edildi (2026-07-01)</t>
        </is>
      </c>
    </row>
    <row r="1219">
      <c r="A1219" t="inlineStr">
        <is>
          <t>T-1023</t>
        </is>
      </c>
      <c r="B1219" t="inlineStr">
        <is>
          <t>Indraprastha Gas (IGL)</t>
        </is>
      </c>
      <c r="C1219" t="inlineStr">
        <is>
          <t>Indraprastha Gas (IGL)</t>
        </is>
      </c>
      <c r="F1219" t="inlineStr">
        <is>
          <t>New Lead</t>
        </is>
      </c>
      <c r="H1219" t="inlineStr">
        <is>
          <t>View Tender</t>
        </is>
      </c>
      <c r="K1219" t="inlineStr">
        <is>
          <t>Not found</t>
        </is>
      </c>
      <c r="L1219" t="inlineStr">
        <is>
          <t>Unknown</t>
        </is>
      </c>
      <c r="T1219" t="inlineStr">
        <is>
          <t>https://tenders.iglonline.net/tenderDetail/226/Active Tenders And Corrigendum-Addendum</t>
        </is>
      </c>
      <c r="U1219" t="inlineStr">
        <is>
          <t>No</t>
        </is>
      </c>
      <c r="V1219" t="inlineStr">
        <is>
          <t>Bot tarafindan tespit edildi (2026-07-01)</t>
        </is>
      </c>
    </row>
    <row r="1220">
      <c r="A1220" t="inlineStr">
        <is>
          <t>T-1024</t>
        </is>
      </c>
      <c r="B1220" t="inlineStr">
        <is>
          <t>Indraprastha Gas (IGL)</t>
        </is>
      </c>
      <c r="C1220" t="inlineStr">
        <is>
          <t>Indraprastha Gas (IGL)</t>
        </is>
      </c>
      <c r="F1220" t="inlineStr">
        <is>
          <t>New Lead</t>
        </is>
      </c>
      <c r="H1220" t="inlineStr">
        <is>
          <t>IGL_Pre-Bid_Queries.pdf</t>
        </is>
      </c>
      <c r="K1220" t="inlineStr">
        <is>
          <t>Not found</t>
        </is>
      </c>
      <c r="L1220" t="inlineStr">
        <is>
          <t>Unknown</t>
        </is>
      </c>
      <c r="T1220" t="inlineStr">
        <is>
          <t>https://tenders.iglonline.net/uploads/tender/IGL_Pre-Bid_Queries.pdf</t>
        </is>
      </c>
      <c r="U1220" t="inlineStr">
        <is>
          <t>No</t>
        </is>
      </c>
      <c r="V1220" t="inlineStr">
        <is>
          <t>Bot tarafindan tespit edildi (2026-07-01)</t>
        </is>
      </c>
    </row>
    <row r="1221">
      <c r="A1221" t="inlineStr">
        <is>
          <t>T-1025</t>
        </is>
      </c>
      <c r="B1221" t="inlineStr">
        <is>
          <t>Indraprastha Gas (IGL)</t>
        </is>
      </c>
      <c r="C1221" t="inlineStr">
        <is>
          <t>Indraprastha Gas (IGL)</t>
        </is>
      </c>
      <c r="F1221" t="inlineStr">
        <is>
          <t>New Lead</t>
        </is>
      </c>
      <c r="H1221" t="inlineStr">
        <is>
          <t>CORRIGENDUM_II_(1).pdf</t>
        </is>
      </c>
      <c r="K1221" t="inlineStr">
        <is>
          <t>Not found</t>
        </is>
      </c>
      <c r="L1221" t="inlineStr">
        <is>
          <t>Unknown</t>
        </is>
      </c>
      <c r="T1221" t="inlineStr">
        <is>
          <t>https://tenders.iglonline.net/uploads/tender/CORRIGENDUM_II_(1).pdf</t>
        </is>
      </c>
      <c r="U1221" t="inlineStr">
        <is>
          <t>No</t>
        </is>
      </c>
      <c r="V1221" t="inlineStr">
        <is>
          <t>Bot tarafindan tespit edildi (2026-07-01)</t>
        </is>
      </c>
    </row>
    <row r="1222">
      <c r="A1222" t="inlineStr">
        <is>
          <t>T-1026</t>
        </is>
      </c>
      <c r="B1222" t="inlineStr">
        <is>
          <t>Indraprastha Gas (IGL)</t>
        </is>
      </c>
      <c r="C1222" t="inlineStr">
        <is>
          <t>Indraprastha Gas (IGL)</t>
        </is>
      </c>
      <c r="F1222" t="inlineStr">
        <is>
          <t>New Lead</t>
        </is>
      </c>
      <c r="H1222" t="inlineStr">
        <is>
          <t>CORRIGENDUM_III.pdf</t>
        </is>
      </c>
      <c r="K1222" t="inlineStr">
        <is>
          <t>Not found</t>
        </is>
      </c>
      <c r="L1222" t="inlineStr">
        <is>
          <t>Unknown</t>
        </is>
      </c>
      <c r="T1222" t="inlineStr">
        <is>
          <t>https://tenders.iglonline.net/uploads/tender/CORRIGENDUM_III.pdf</t>
        </is>
      </c>
      <c r="U1222" t="inlineStr">
        <is>
          <t>No</t>
        </is>
      </c>
      <c r="V1222" t="inlineStr">
        <is>
          <t>Bot tarafindan tespit edildi (2026-07-01)</t>
        </is>
      </c>
    </row>
    <row r="1223">
      <c r="A1223" t="inlineStr">
        <is>
          <t>T-1027</t>
        </is>
      </c>
      <c r="B1223" t="inlineStr">
        <is>
          <t>Indraprastha Gas (IGL)</t>
        </is>
      </c>
      <c r="C1223" t="inlineStr">
        <is>
          <t>Indraprastha Gas (IGL)</t>
        </is>
      </c>
      <c r="F1223" t="inlineStr">
        <is>
          <t>New Lead</t>
        </is>
      </c>
      <c r="H1223" t="inlineStr">
        <is>
          <t>View Tender</t>
        </is>
      </c>
      <c r="K1223" t="inlineStr">
        <is>
          <t>Not found</t>
        </is>
      </c>
      <c r="L1223" t="inlineStr">
        <is>
          <t>Unknown</t>
        </is>
      </c>
      <c r="T1223" t="inlineStr">
        <is>
          <t>https://tenders.iglonline.net/tenderDetail/225/Active Tenders And Corrigendum-Addendum</t>
        </is>
      </c>
      <c r="U1223" t="inlineStr">
        <is>
          <t>No</t>
        </is>
      </c>
      <c r="V1223" t="inlineStr">
        <is>
          <t>Bot tarafindan tespit edildi (2026-07-01)</t>
        </is>
      </c>
    </row>
    <row r="1224">
      <c r="A1224" t="inlineStr">
        <is>
          <t>T-1028</t>
        </is>
      </c>
      <c r="B1224" t="inlineStr">
        <is>
          <t>Indraprastha Gas (IGL)</t>
        </is>
      </c>
      <c r="C1224" t="inlineStr">
        <is>
          <t>Indraprastha Gas (IGL)</t>
        </is>
      </c>
      <c r="F1224" t="inlineStr">
        <is>
          <t>New Lead</t>
        </is>
      </c>
      <c r="H1224" t="inlineStr">
        <is>
          <t>Corrigendum_1_CP17735.pdf</t>
        </is>
      </c>
      <c r="K1224" t="inlineStr">
        <is>
          <t>Not found</t>
        </is>
      </c>
      <c r="L1224" t="inlineStr">
        <is>
          <t>Unknown</t>
        </is>
      </c>
      <c r="T1224" t="inlineStr">
        <is>
          <t>https://tenders.iglonline.net/uploads/tender/Corrigendum_1_CP17735.pdf</t>
        </is>
      </c>
      <c r="U1224" t="inlineStr">
        <is>
          <t>No</t>
        </is>
      </c>
      <c r="V1224" t="inlineStr">
        <is>
          <t>Bot tarafindan tespit edildi (2026-07-01)</t>
        </is>
      </c>
    </row>
    <row r="1225">
      <c r="A1225" t="inlineStr">
        <is>
          <t>T-1029</t>
        </is>
      </c>
      <c r="B1225" t="inlineStr">
        <is>
          <t>Indraprastha Gas (IGL)</t>
        </is>
      </c>
      <c r="C1225" t="inlineStr">
        <is>
          <t>Indraprastha Gas (IGL)</t>
        </is>
      </c>
      <c r="F1225" t="inlineStr">
        <is>
          <t>New Lead</t>
        </is>
      </c>
      <c r="H1225" t="inlineStr">
        <is>
          <t>Corrigendum_2_CP17735.pdf</t>
        </is>
      </c>
      <c r="K1225" t="inlineStr">
        <is>
          <t>Not found</t>
        </is>
      </c>
      <c r="L1225" t="inlineStr">
        <is>
          <t>Unknown</t>
        </is>
      </c>
      <c r="T1225" t="inlineStr">
        <is>
          <t>https://tenders.iglonline.net/uploads/tender/Corrigendum_2_CP17735.pdf</t>
        </is>
      </c>
      <c r="U1225" t="inlineStr">
        <is>
          <t>No</t>
        </is>
      </c>
      <c r="V1225" t="inlineStr">
        <is>
          <t>Bot tarafindan tespit edildi (2026-07-01)</t>
        </is>
      </c>
    </row>
    <row r="1226">
      <c r="A1226" t="inlineStr">
        <is>
          <t>T-1030</t>
        </is>
      </c>
      <c r="B1226" t="inlineStr">
        <is>
          <t>Indraprastha Gas (IGL)</t>
        </is>
      </c>
      <c r="C1226" t="inlineStr">
        <is>
          <t>Indraprastha Gas (IGL)</t>
        </is>
      </c>
      <c r="F1226" t="inlineStr">
        <is>
          <t>New Lead</t>
        </is>
      </c>
      <c r="H1226" t="inlineStr">
        <is>
          <t>Corrigendum_3_CP17735.pdf</t>
        </is>
      </c>
      <c r="K1226" t="inlineStr">
        <is>
          <t>Not found</t>
        </is>
      </c>
      <c r="L1226" t="inlineStr">
        <is>
          <t>Unknown</t>
        </is>
      </c>
      <c r="T1226" t="inlineStr">
        <is>
          <t>https://tenders.iglonline.net/uploads/tender/Corrigendum_3_CP17735.pdf</t>
        </is>
      </c>
      <c r="U1226" t="inlineStr">
        <is>
          <t>No</t>
        </is>
      </c>
      <c r="V1226" t="inlineStr">
        <is>
          <t>Bot tarafindan tespit edildi (2026-07-01)</t>
        </is>
      </c>
    </row>
    <row r="1227">
      <c r="A1227" t="inlineStr">
        <is>
          <t>T-1031</t>
        </is>
      </c>
      <c r="B1227" t="inlineStr">
        <is>
          <t>Indraprastha Gas (IGL)</t>
        </is>
      </c>
      <c r="C1227" t="inlineStr">
        <is>
          <t>Indraprastha Gas (IGL)</t>
        </is>
      </c>
      <c r="F1227" t="inlineStr">
        <is>
          <t>New Lead</t>
        </is>
      </c>
      <c r="H1227" t="inlineStr">
        <is>
          <t>Corrigendum_4_CP17735.pdf</t>
        </is>
      </c>
      <c r="K1227" t="inlineStr">
        <is>
          <t>Not found</t>
        </is>
      </c>
      <c r="L1227" t="inlineStr">
        <is>
          <t>Unknown</t>
        </is>
      </c>
      <c r="T1227" t="inlineStr">
        <is>
          <t>https://tenders.iglonline.net/uploads/tender/Corrigendum_4_CP17735.pdf</t>
        </is>
      </c>
      <c r="U1227" t="inlineStr">
        <is>
          <t>No</t>
        </is>
      </c>
      <c r="V1227" t="inlineStr">
        <is>
          <t>Bot tarafindan tespit edildi (2026-07-01)</t>
        </is>
      </c>
    </row>
    <row r="1228">
      <c r="A1228" t="inlineStr">
        <is>
          <t>T-1032</t>
        </is>
      </c>
      <c r="B1228" t="inlineStr">
        <is>
          <t>Indraprastha Gas (IGL)</t>
        </is>
      </c>
      <c r="C1228" t="inlineStr">
        <is>
          <t>Indraprastha Gas (IGL)</t>
        </is>
      </c>
      <c r="F1228" t="inlineStr">
        <is>
          <t>New Lead</t>
        </is>
      </c>
      <c r="H1228" t="inlineStr">
        <is>
          <t>Corrigendum_5_CP17735.pdf</t>
        </is>
      </c>
      <c r="K1228" t="inlineStr">
        <is>
          <t>Not found</t>
        </is>
      </c>
      <c r="L1228" t="inlineStr">
        <is>
          <t>Unknown</t>
        </is>
      </c>
      <c r="T1228" t="inlineStr">
        <is>
          <t>https://tenders.iglonline.net/uploads/tender/Corrigendum_5_CP17735.pdf</t>
        </is>
      </c>
      <c r="U1228" t="inlineStr">
        <is>
          <t>No</t>
        </is>
      </c>
      <c r="V1228" t="inlineStr">
        <is>
          <t>Bot tarafindan tespit edildi (2026-07-01)</t>
        </is>
      </c>
    </row>
    <row r="1229">
      <c r="A1229" t="inlineStr">
        <is>
          <t>T-1033</t>
        </is>
      </c>
      <c r="B1229" t="inlineStr">
        <is>
          <t>Indraprastha Gas (IGL)</t>
        </is>
      </c>
      <c r="C1229" t="inlineStr">
        <is>
          <t>Indraprastha Gas (IGL)</t>
        </is>
      </c>
      <c r="F1229" t="inlineStr">
        <is>
          <t>New Lead</t>
        </is>
      </c>
      <c r="H1229" t="inlineStr">
        <is>
          <t>View Tender</t>
        </is>
      </c>
      <c r="K1229" t="inlineStr">
        <is>
          <t>Not found</t>
        </is>
      </c>
      <c r="L1229" t="inlineStr">
        <is>
          <t>Unknown</t>
        </is>
      </c>
      <c r="T1229" t="inlineStr">
        <is>
          <t>https://tenders.iglonline.net/tenderDetail/224/Active Tenders And Corrigendum-Addendum</t>
        </is>
      </c>
      <c r="U1229" t="inlineStr">
        <is>
          <t>No</t>
        </is>
      </c>
      <c r="V1229" t="inlineStr">
        <is>
          <t>Bot tarafindan tespit edildi (2026-07-01)</t>
        </is>
      </c>
    </row>
    <row r="1230">
      <c r="A1230" t="inlineStr">
        <is>
          <t>T-1034</t>
        </is>
      </c>
      <c r="B1230" t="inlineStr">
        <is>
          <t>Indraprastha Gas (IGL)</t>
        </is>
      </c>
      <c r="C1230" t="inlineStr">
        <is>
          <t>Indraprastha Gas (IGL)</t>
        </is>
      </c>
      <c r="F1230" t="inlineStr">
        <is>
          <t>New Lead</t>
        </is>
      </c>
      <c r="H1230" t="inlineStr">
        <is>
          <t>Reply_to_Bidders_Queries_(CC17742).pdf</t>
        </is>
      </c>
      <c r="K1230" t="inlineStr">
        <is>
          <t>Not found</t>
        </is>
      </c>
      <c r="L1230" t="inlineStr">
        <is>
          <t>Unknown</t>
        </is>
      </c>
      <c r="T1230" t="inlineStr">
        <is>
          <t>https://tenders.iglonline.net/uploads/tender/Reply_to_Bidders_Queries_(CC17742).pdf</t>
        </is>
      </c>
      <c r="U1230" t="inlineStr">
        <is>
          <t>No</t>
        </is>
      </c>
      <c r="V1230" t="inlineStr">
        <is>
          <t>Bot tarafindan tespit edildi (2026-07-01)</t>
        </is>
      </c>
    </row>
    <row r="1231">
      <c r="A1231" t="inlineStr">
        <is>
          <t>T-1035</t>
        </is>
      </c>
      <c r="B1231" t="inlineStr">
        <is>
          <t>Indraprastha Gas (IGL)</t>
        </is>
      </c>
      <c r="C1231" t="inlineStr">
        <is>
          <t>Indraprastha Gas (IGL)</t>
        </is>
      </c>
      <c r="F1231" t="inlineStr">
        <is>
          <t>New Lead</t>
        </is>
      </c>
      <c r="H1231" t="inlineStr">
        <is>
          <t>View Tender</t>
        </is>
      </c>
      <c r="K1231" t="inlineStr">
        <is>
          <t>Not found</t>
        </is>
      </c>
      <c r="L1231" t="inlineStr">
        <is>
          <t>Unknown</t>
        </is>
      </c>
      <c r="T1231" t="inlineStr">
        <is>
          <t>https://tenders.iglonline.net/tenderDetail/223/Active Tenders And Corrigendum-Addendum</t>
        </is>
      </c>
      <c r="U1231" t="inlineStr">
        <is>
          <t>No</t>
        </is>
      </c>
      <c r="V1231" t="inlineStr">
        <is>
          <t>Bot tarafindan tespit edildi (2026-07-01)</t>
        </is>
      </c>
    </row>
    <row r="1232">
      <c r="A1232" t="inlineStr">
        <is>
          <t>T-1036</t>
        </is>
      </c>
      <c r="B1232" t="inlineStr">
        <is>
          <t>Indraprastha Gas (IGL)</t>
        </is>
      </c>
      <c r="C1232" t="inlineStr">
        <is>
          <t>Indraprastha Gas (IGL)</t>
        </is>
      </c>
      <c r="F1232" t="inlineStr">
        <is>
          <t>New Lead</t>
        </is>
      </c>
      <c r="H1232" t="inlineStr">
        <is>
          <t>Corrigendum-ICC17730.pdf</t>
        </is>
      </c>
      <c r="K1232" t="inlineStr">
        <is>
          <t>Not found</t>
        </is>
      </c>
      <c r="L1232" t="inlineStr">
        <is>
          <t>Unknown</t>
        </is>
      </c>
      <c r="T1232" t="inlineStr">
        <is>
          <t>https://tenders.iglonline.net/uploads/tender/Corrigendum-ICC17730.pdf</t>
        </is>
      </c>
      <c r="U1232" t="inlineStr">
        <is>
          <t>No</t>
        </is>
      </c>
      <c r="V1232" t="inlineStr">
        <is>
          <t>Bot tarafindan tespit edildi (2026-07-01)</t>
        </is>
      </c>
    </row>
    <row r="1233">
      <c r="A1233" t="inlineStr">
        <is>
          <t>T-1037</t>
        </is>
      </c>
      <c r="B1233" t="inlineStr">
        <is>
          <t>Indraprastha Gas (IGL)</t>
        </is>
      </c>
      <c r="C1233" t="inlineStr">
        <is>
          <t>Indraprastha Gas (IGL)</t>
        </is>
      </c>
      <c r="F1233" t="inlineStr">
        <is>
          <t>New Lead</t>
        </is>
      </c>
      <c r="H1233" t="inlineStr">
        <is>
          <t>Corrigendum_2_(4).pdf</t>
        </is>
      </c>
      <c r="K1233" t="inlineStr">
        <is>
          <t>Not found</t>
        </is>
      </c>
      <c r="L1233" t="inlineStr">
        <is>
          <t>Unknown</t>
        </is>
      </c>
      <c r="T1233" t="inlineStr">
        <is>
          <t>https://tenders.iglonline.net/uploads/tender/Corrigendum_2_(4).pdf</t>
        </is>
      </c>
      <c r="U1233" t="inlineStr">
        <is>
          <t>No</t>
        </is>
      </c>
      <c r="V1233" t="inlineStr">
        <is>
          <t>Bot tarafindan tespit edildi (2026-07-01)</t>
        </is>
      </c>
    </row>
    <row r="1234">
      <c r="A1234" t="inlineStr">
        <is>
          <t>T-1038</t>
        </is>
      </c>
      <c r="B1234" t="inlineStr">
        <is>
          <t>Indraprastha Gas (IGL)</t>
        </is>
      </c>
      <c r="C1234" t="inlineStr">
        <is>
          <t>Indraprastha Gas (IGL)</t>
        </is>
      </c>
      <c r="F1234" t="inlineStr">
        <is>
          <t>New Lead</t>
        </is>
      </c>
      <c r="H1234" t="inlineStr">
        <is>
          <t>Corrigendum-3_CC17730_.pdf</t>
        </is>
      </c>
      <c r="K1234" t="inlineStr">
        <is>
          <t>Not found</t>
        </is>
      </c>
      <c r="L1234" t="inlineStr">
        <is>
          <t>Unknown</t>
        </is>
      </c>
      <c r="T1234" t="inlineStr">
        <is>
          <t>https://tenders.iglonline.net/uploads/tender/Corrigendum-3_CC17730_.pdf</t>
        </is>
      </c>
      <c r="U1234" t="inlineStr">
        <is>
          <t>No</t>
        </is>
      </c>
      <c r="V1234" t="inlineStr">
        <is>
          <t>Bot tarafindan tespit edildi (2026-07-01)</t>
        </is>
      </c>
    </row>
    <row r="1235">
      <c r="A1235" t="inlineStr">
        <is>
          <t>T-1039</t>
        </is>
      </c>
      <c r="B1235" t="inlineStr">
        <is>
          <t>Indraprastha Gas (IGL)</t>
        </is>
      </c>
      <c r="C1235" t="inlineStr">
        <is>
          <t>Indraprastha Gas (IGL)</t>
        </is>
      </c>
      <c r="F1235" t="inlineStr">
        <is>
          <t>New Lead</t>
        </is>
      </c>
      <c r="H1235" t="inlineStr">
        <is>
          <t>View Tender</t>
        </is>
      </c>
      <c r="K1235" t="inlineStr">
        <is>
          <t>Not found</t>
        </is>
      </c>
      <c r="L1235" t="inlineStr">
        <is>
          <t>Unknown</t>
        </is>
      </c>
      <c r="T1235" t="inlineStr">
        <is>
          <t>https://tenders.iglonline.net/tenderDetail/222/Active Tenders And Corrigendum-Addendum</t>
        </is>
      </c>
      <c r="U1235" t="inlineStr">
        <is>
          <t>No</t>
        </is>
      </c>
      <c r="V1235" t="inlineStr">
        <is>
          <t>Bot tarafindan tespit edildi (2026-07-01)</t>
        </is>
      </c>
    </row>
    <row r="1236">
      <c r="A1236" t="inlineStr">
        <is>
          <t>T-1040</t>
        </is>
      </c>
      <c r="B1236" t="inlineStr">
        <is>
          <t>Indraprastha Gas (IGL)</t>
        </is>
      </c>
      <c r="C1236" t="inlineStr">
        <is>
          <t>Indraprastha Gas (IGL)</t>
        </is>
      </c>
      <c r="F1236" t="inlineStr">
        <is>
          <t>New Lead</t>
        </is>
      </c>
      <c r="H1236" t="inlineStr">
        <is>
          <t>Corrigendum_2_Replies_to_pre_bid_queries_CM17751.pdf</t>
        </is>
      </c>
      <c r="K1236" t="inlineStr">
        <is>
          <t>Not found</t>
        </is>
      </c>
      <c r="L1236" t="inlineStr">
        <is>
          <t>Unknown</t>
        </is>
      </c>
      <c r="T1236" t="inlineStr">
        <is>
          <t>https://tenders.iglonline.net/uploads/tender/Corrigendum_2_Replies_to_pre_bid_queries_CM17751.pdf</t>
        </is>
      </c>
      <c r="U1236" t="inlineStr">
        <is>
          <t>No</t>
        </is>
      </c>
      <c r="V1236" t="inlineStr">
        <is>
          <t>Bot tarafindan tespit edildi (2026-07-01)</t>
        </is>
      </c>
    </row>
    <row r="1237">
      <c r="A1237" t="inlineStr">
        <is>
          <t>T-1041</t>
        </is>
      </c>
      <c r="B1237" t="inlineStr">
        <is>
          <t>Indraprastha Gas (IGL)</t>
        </is>
      </c>
      <c r="C1237" t="inlineStr">
        <is>
          <t>Indraprastha Gas (IGL)</t>
        </is>
      </c>
      <c r="F1237" t="inlineStr">
        <is>
          <t>New Lead</t>
        </is>
      </c>
      <c r="H1237" t="inlineStr">
        <is>
          <t>CORRIGENDUM_1_17751.pdf</t>
        </is>
      </c>
      <c r="K1237" t="inlineStr">
        <is>
          <t>Not found</t>
        </is>
      </c>
      <c r="L1237" t="inlineStr">
        <is>
          <t>Unknown</t>
        </is>
      </c>
      <c r="T1237" t="inlineStr">
        <is>
          <t>https://tenders.iglonline.net/uploads/tender/CORRIGENDUM_1_17751.pdf</t>
        </is>
      </c>
      <c r="U1237" t="inlineStr">
        <is>
          <t>No</t>
        </is>
      </c>
      <c r="V1237" t="inlineStr">
        <is>
          <t>Bot tarafindan tespit edildi (2026-07-01)</t>
        </is>
      </c>
    </row>
    <row r="1238">
      <c r="A1238" t="inlineStr">
        <is>
          <t>T-1042</t>
        </is>
      </c>
      <c r="B1238" t="inlineStr">
        <is>
          <t>Indraprastha Gas (IGL)</t>
        </is>
      </c>
      <c r="C1238" t="inlineStr">
        <is>
          <t>Indraprastha Gas (IGL)</t>
        </is>
      </c>
      <c r="F1238" t="inlineStr">
        <is>
          <t>New Lead</t>
        </is>
      </c>
      <c r="H1238" t="inlineStr">
        <is>
          <t>CORRIGENDUM_III_(1).pdf</t>
        </is>
      </c>
      <c r="K1238" t="inlineStr">
        <is>
          <t>Not found</t>
        </is>
      </c>
      <c r="L1238" t="inlineStr">
        <is>
          <t>Unknown</t>
        </is>
      </c>
      <c r="T1238" t="inlineStr">
        <is>
          <t>https://tenders.iglonline.net/uploads/tender/CORRIGENDUM_III_(1).pdf</t>
        </is>
      </c>
      <c r="U1238" t="inlineStr">
        <is>
          <t>No</t>
        </is>
      </c>
      <c r="V1238" t="inlineStr">
        <is>
          <t>Bot tarafindan tespit edildi (2026-07-01)</t>
        </is>
      </c>
    </row>
    <row r="1239">
      <c r="A1239" t="inlineStr">
        <is>
          <t>T-1043</t>
        </is>
      </c>
      <c r="B1239" t="inlineStr">
        <is>
          <t>Indraprastha Gas (IGL)</t>
        </is>
      </c>
      <c r="C1239" t="inlineStr">
        <is>
          <t>Indraprastha Gas (IGL)</t>
        </is>
      </c>
      <c r="F1239" t="inlineStr">
        <is>
          <t>New Lead</t>
        </is>
      </c>
      <c r="H1239" t="inlineStr">
        <is>
          <t>CORRIGENDUM_IV_(1).pdf</t>
        </is>
      </c>
      <c r="K1239" t="inlineStr">
        <is>
          <t>Not found</t>
        </is>
      </c>
      <c r="L1239" t="inlineStr">
        <is>
          <t>Unknown</t>
        </is>
      </c>
      <c r="T1239" t="inlineStr">
        <is>
          <t>https://tenders.iglonline.net/uploads/tender/CORRIGENDUM_IV_(1).pdf</t>
        </is>
      </c>
      <c r="U1239" t="inlineStr">
        <is>
          <t>No</t>
        </is>
      </c>
      <c r="V1239" t="inlineStr">
        <is>
          <t>Bot tarafindan tespit edildi (2026-07-01)</t>
        </is>
      </c>
    </row>
    <row r="1240">
      <c r="A1240" t="inlineStr">
        <is>
          <t>T-1044</t>
        </is>
      </c>
      <c r="B1240" t="inlineStr">
        <is>
          <t>Indraprastha Gas (IGL)</t>
        </is>
      </c>
      <c r="C1240" t="inlineStr">
        <is>
          <t>Indraprastha Gas (IGL)</t>
        </is>
      </c>
      <c r="F1240" t="inlineStr">
        <is>
          <t>New Lead</t>
        </is>
      </c>
      <c r="H1240" t="inlineStr">
        <is>
          <t>View Tender</t>
        </is>
      </c>
      <c r="K1240" t="inlineStr">
        <is>
          <t>Not found</t>
        </is>
      </c>
      <c r="L1240" t="inlineStr">
        <is>
          <t>Unknown</t>
        </is>
      </c>
      <c r="T1240" t="inlineStr">
        <is>
          <t>https://tenders.iglonline.net/tenderDetail/221/Active Tenders And Corrigendum-Addendum</t>
        </is>
      </c>
      <c r="U1240" t="inlineStr">
        <is>
          <t>No</t>
        </is>
      </c>
      <c r="V1240" t="inlineStr">
        <is>
          <t>Bot tarafindan tespit edildi (2026-07-01)</t>
        </is>
      </c>
    </row>
    <row r="1241">
      <c r="A1241" t="inlineStr">
        <is>
          <t>T-1045</t>
        </is>
      </c>
      <c r="B1241" t="inlineStr">
        <is>
          <t>Indraprastha Gas (IGL)</t>
        </is>
      </c>
      <c r="C1241" t="inlineStr">
        <is>
          <t>Indraprastha Gas (IGL)</t>
        </is>
      </c>
      <c r="F1241" t="inlineStr">
        <is>
          <t>New Lead</t>
        </is>
      </c>
      <c r="H1241" t="inlineStr">
        <is>
          <t>Corrigendum_I_(7).pdf</t>
        </is>
      </c>
      <c r="K1241" t="inlineStr">
        <is>
          <t>Not found</t>
        </is>
      </c>
      <c r="L1241" t="inlineStr">
        <is>
          <t>Unknown</t>
        </is>
      </c>
      <c r="T1241" t="inlineStr">
        <is>
          <t>https://tenders.iglonline.net/uploads/tender/Corrigendum_I_(7).pdf</t>
        </is>
      </c>
      <c r="U1241" t="inlineStr">
        <is>
          <t>No</t>
        </is>
      </c>
      <c r="V1241" t="inlineStr">
        <is>
          <t>Bot tarafindan tespit edildi (2026-07-01)</t>
        </is>
      </c>
    </row>
    <row r="1242">
      <c r="A1242" t="inlineStr">
        <is>
          <t>T-1046</t>
        </is>
      </c>
      <c r="B1242" t="inlineStr">
        <is>
          <t>Indraprastha Gas (IGL)</t>
        </is>
      </c>
      <c r="C1242" t="inlineStr">
        <is>
          <t>Indraprastha Gas (IGL)</t>
        </is>
      </c>
      <c r="F1242" t="inlineStr">
        <is>
          <t>New Lead</t>
        </is>
      </c>
      <c r="H1242" t="inlineStr">
        <is>
          <t>Corrigendum_II_(6).pdf</t>
        </is>
      </c>
      <c r="K1242" t="inlineStr">
        <is>
          <t>Not found</t>
        </is>
      </c>
      <c r="L1242" t="inlineStr">
        <is>
          <t>Unknown</t>
        </is>
      </c>
      <c r="T1242" t="inlineStr">
        <is>
          <t>https://tenders.iglonline.net/uploads/tender/Corrigendum_II_(6).pdf</t>
        </is>
      </c>
      <c r="U1242" t="inlineStr">
        <is>
          <t>No</t>
        </is>
      </c>
      <c r="V1242" t="inlineStr">
        <is>
          <t>Bot tarafindan tespit edildi (2026-07-01)</t>
        </is>
      </c>
    </row>
    <row r="1243">
      <c r="A1243" t="inlineStr">
        <is>
          <t>T-1047</t>
        </is>
      </c>
      <c r="B1243" t="inlineStr">
        <is>
          <t>Indraprastha Gas (IGL)</t>
        </is>
      </c>
      <c r="C1243" t="inlineStr">
        <is>
          <t>Indraprastha Gas (IGL)</t>
        </is>
      </c>
      <c r="F1243" t="inlineStr">
        <is>
          <t>New Lead</t>
        </is>
      </c>
      <c r="H1243" t="inlineStr">
        <is>
          <t>Corrigendum_III_(3).pdf</t>
        </is>
      </c>
      <c r="K1243" t="inlineStr">
        <is>
          <t>Not found</t>
        </is>
      </c>
      <c r="L1243" t="inlineStr">
        <is>
          <t>Unknown</t>
        </is>
      </c>
      <c r="T1243" t="inlineStr">
        <is>
          <t>https://tenders.iglonline.net/uploads/tender/Corrigendum_III_(3).pdf</t>
        </is>
      </c>
      <c r="U1243" t="inlineStr">
        <is>
          <t>No</t>
        </is>
      </c>
      <c r="V1243" t="inlineStr">
        <is>
          <t>Bot tarafindan tespit edildi (2026-07-01)</t>
        </is>
      </c>
    </row>
    <row r="1244">
      <c r="A1244" t="inlineStr">
        <is>
          <t>T-1048</t>
        </is>
      </c>
      <c r="B1244" t="inlineStr">
        <is>
          <t>Indraprastha Gas (IGL)</t>
        </is>
      </c>
      <c r="C1244" t="inlineStr">
        <is>
          <t>Indraprastha Gas (IGL)</t>
        </is>
      </c>
      <c r="F1244" t="inlineStr">
        <is>
          <t>New Lead</t>
        </is>
      </c>
      <c r="H1244" t="inlineStr">
        <is>
          <t>Corrigendum_IV_(3).pdf</t>
        </is>
      </c>
      <c r="K1244" t="inlineStr">
        <is>
          <t>Not found</t>
        </is>
      </c>
      <c r="L1244" t="inlineStr">
        <is>
          <t>Unknown</t>
        </is>
      </c>
      <c r="T1244" t="inlineStr">
        <is>
          <t>https://tenders.iglonline.net/uploads/tender/Corrigendum_IV_(3).pdf</t>
        </is>
      </c>
      <c r="U1244" t="inlineStr">
        <is>
          <t>No</t>
        </is>
      </c>
      <c r="V1244" t="inlineStr">
        <is>
          <t>Bot tarafindan tespit edildi (2026-07-01)</t>
        </is>
      </c>
    </row>
    <row r="1245">
      <c r="A1245" t="inlineStr">
        <is>
          <t>T-1049</t>
        </is>
      </c>
      <c r="B1245" t="inlineStr">
        <is>
          <t>Indraprastha Gas (IGL)</t>
        </is>
      </c>
      <c r="C1245" t="inlineStr">
        <is>
          <t>Indraprastha Gas (IGL)</t>
        </is>
      </c>
      <c r="F1245" t="inlineStr">
        <is>
          <t>New Lead</t>
        </is>
      </c>
      <c r="H1245" t="inlineStr">
        <is>
          <t>Corrigendum_V2.pdf</t>
        </is>
      </c>
      <c r="K1245" t="inlineStr">
        <is>
          <t>Not found</t>
        </is>
      </c>
      <c r="L1245" t="inlineStr">
        <is>
          <t>Unknown</t>
        </is>
      </c>
      <c r="T1245" t="inlineStr">
        <is>
          <t>https://tenders.iglonline.net/uploads/tender/Corrigendum_V2.pdf</t>
        </is>
      </c>
      <c r="U1245" t="inlineStr">
        <is>
          <t>No</t>
        </is>
      </c>
      <c r="V1245" t="inlineStr">
        <is>
          <t>Bot tarafindan tespit edildi (2026-07-01)</t>
        </is>
      </c>
    </row>
    <row r="1246">
      <c r="A1246" t="inlineStr">
        <is>
          <t>T-1050</t>
        </is>
      </c>
      <c r="B1246" t="inlineStr">
        <is>
          <t>Indraprastha Gas (IGL)</t>
        </is>
      </c>
      <c r="C1246" t="inlineStr">
        <is>
          <t>Indraprastha Gas (IGL)</t>
        </is>
      </c>
      <c r="F1246" t="inlineStr">
        <is>
          <t>New Lead</t>
        </is>
      </c>
      <c r="H1246" t="inlineStr">
        <is>
          <t>Corrigendum_VI_Annexure_-IV.pdf</t>
        </is>
      </c>
      <c r="K1246" t="inlineStr">
        <is>
          <t>Not found</t>
        </is>
      </c>
      <c r="L1246" t="inlineStr">
        <is>
          <t>Unknown</t>
        </is>
      </c>
      <c r="T1246" t="inlineStr">
        <is>
          <t>https://tenders.iglonline.net/uploads/tender/Corrigendum_VI_Annexure_-IV.pdf</t>
        </is>
      </c>
      <c r="U1246" t="inlineStr">
        <is>
          <t>No</t>
        </is>
      </c>
      <c r="V1246" t="inlineStr">
        <is>
          <t>Bot tarafindan tespit edildi (2026-07-01)</t>
        </is>
      </c>
    </row>
    <row r="1247">
      <c r="A1247" t="inlineStr">
        <is>
          <t>T-1051</t>
        </is>
      </c>
      <c r="B1247" t="inlineStr">
        <is>
          <t>Indraprastha Gas (IGL)</t>
        </is>
      </c>
      <c r="C1247" t="inlineStr">
        <is>
          <t>Indraprastha Gas (IGL)</t>
        </is>
      </c>
      <c r="F1247" t="inlineStr">
        <is>
          <t>New Lead</t>
        </is>
      </c>
      <c r="H1247" t="inlineStr">
        <is>
          <t>Reply_Prebid_Queries.pdf</t>
        </is>
      </c>
      <c r="K1247" t="inlineStr">
        <is>
          <t>Not found</t>
        </is>
      </c>
      <c r="L1247" t="inlineStr">
        <is>
          <t>Unknown</t>
        </is>
      </c>
      <c r="T1247" t="inlineStr">
        <is>
          <t>https://tenders.iglonline.net/uploads/tender/Reply_Prebid_Queries.pdf</t>
        </is>
      </c>
      <c r="U1247" t="inlineStr">
        <is>
          <t>No</t>
        </is>
      </c>
      <c r="V1247" t="inlineStr">
        <is>
          <t>Bot tarafindan tespit edildi (2026-07-01)</t>
        </is>
      </c>
    </row>
    <row r="1248">
      <c r="A1248" t="inlineStr">
        <is>
          <t>T-1052</t>
        </is>
      </c>
      <c r="B1248" t="inlineStr">
        <is>
          <t>Indraprastha Gas (IGL)</t>
        </is>
      </c>
      <c r="C1248" t="inlineStr">
        <is>
          <t>Indraprastha Gas (IGL)</t>
        </is>
      </c>
      <c r="F1248" t="inlineStr">
        <is>
          <t>New Lead</t>
        </is>
      </c>
      <c r="H1248" t="inlineStr">
        <is>
          <t>Corrigendum_VII1.pdf</t>
        </is>
      </c>
      <c r="K1248" t="inlineStr">
        <is>
          <t>Not found</t>
        </is>
      </c>
      <c r="L1248" t="inlineStr">
        <is>
          <t>Unknown</t>
        </is>
      </c>
      <c r="T1248" t="inlineStr">
        <is>
          <t>https://tenders.iglonline.net/uploads/tender/Corrigendum_VII1.pdf</t>
        </is>
      </c>
      <c r="U1248" t="inlineStr">
        <is>
          <t>No</t>
        </is>
      </c>
      <c r="V1248" t="inlineStr">
        <is>
          <t>Bot tarafindan tespit edildi (2026-07-01)</t>
        </is>
      </c>
    </row>
    <row r="1249">
      <c r="A1249" t="inlineStr">
        <is>
          <t>T-1053</t>
        </is>
      </c>
      <c r="B1249" t="inlineStr">
        <is>
          <t>Indraprastha Gas (IGL)</t>
        </is>
      </c>
      <c r="C1249" t="inlineStr">
        <is>
          <t>Indraprastha Gas (IGL)</t>
        </is>
      </c>
      <c r="F1249" t="inlineStr">
        <is>
          <t>New Lead</t>
        </is>
      </c>
      <c r="H1249" t="inlineStr">
        <is>
          <t>View Tender</t>
        </is>
      </c>
      <c r="K1249" t="inlineStr">
        <is>
          <t>Not found</t>
        </is>
      </c>
      <c r="L1249" t="inlineStr">
        <is>
          <t>Unknown</t>
        </is>
      </c>
      <c r="T1249" t="inlineStr">
        <is>
          <t>https://tenders.iglonline.net/tenderDetail/220/Active Tenders And Corrigendum-Addendum</t>
        </is>
      </c>
      <c r="U1249" t="inlineStr">
        <is>
          <t>No</t>
        </is>
      </c>
      <c r="V1249" t="inlineStr">
        <is>
          <t>Bot tarafindan tespit edildi (2026-07-01)</t>
        </is>
      </c>
    </row>
    <row r="1250">
      <c r="A1250" t="inlineStr">
        <is>
          <t>T-1054</t>
        </is>
      </c>
      <c r="B1250" t="inlineStr">
        <is>
          <t>Indraprastha Gas (IGL)</t>
        </is>
      </c>
      <c r="C1250" t="inlineStr">
        <is>
          <t>Indraprastha Gas (IGL)</t>
        </is>
      </c>
      <c r="F1250" t="inlineStr">
        <is>
          <t>New Lead</t>
        </is>
      </c>
      <c r="H1250" t="inlineStr">
        <is>
          <t>Corrigendum_1_CP17747.pdf</t>
        </is>
      </c>
      <c r="K1250" t="inlineStr">
        <is>
          <t>Not found</t>
        </is>
      </c>
      <c r="L1250" t="inlineStr">
        <is>
          <t>Unknown</t>
        </is>
      </c>
      <c r="T1250" t="inlineStr">
        <is>
          <t>https://tenders.iglonline.net/uploads/tender/Corrigendum_1_CP17747.pdf</t>
        </is>
      </c>
      <c r="U1250" t="inlineStr">
        <is>
          <t>No</t>
        </is>
      </c>
      <c r="V1250" t="inlineStr">
        <is>
          <t>Bot tarafindan tespit edildi (2026-07-01)</t>
        </is>
      </c>
    </row>
    <row r="1251">
      <c r="A1251" t="inlineStr">
        <is>
          <t>T-1055</t>
        </is>
      </c>
      <c r="B1251" t="inlineStr">
        <is>
          <t>Indraprastha Gas (IGL)</t>
        </is>
      </c>
      <c r="C1251" t="inlineStr">
        <is>
          <t>Indraprastha Gas (IGL)</t>
        </is>
      </c>
      <c r="F1251" t="inlineStr">
        <is>
          <t>New Lead</t>
        </is>
      </c>
      <c r="H1251" t="inlineStr">
        <is>
          <t>RTBQ_CP17747_2.pdf</t>
        </is>
      </c>
      <c r="K1251" t="inlineStr">
        <is>
          <t>Not found</t>
        </is>
      </c>
      <c r="L1251" t="inlineStr">
        <is>
          <t>Unknown</t>
        </is>
      </c>
      <c r="T1251" t="inlineStr">
        <is>
          <t>https://tenders.iglonline.net/uploads/tender/RTBQ_CP17747_2.pdf</t>
        </is>
      </c>
      <c r="U1251" t="inlineStr">
        <is>
          <t>No</t>
        </is>
      </c>
      <c r="V1251" t="inlineStr">
        <is>
          <t>Bot tarafindan tespit edildi (2026-07-01)</t>
        </is>
      </c>
    </row>
    <row r="1252">
      <c r="A1252" t="inlineStr">
        <is>
          <t>T-1056</t>
        </is>
      </c>
      <c r="B1252" t="inlineStr">
        <is>
          <t>Indraprastha Gas (IGL)</t>
        </is>
      </c>
      <c r="C1252" t="inlineStr">
        <is>
          <t>Indraprastha Gas (IGL)</t>
        </is>
      </c>
      <c r="F1252" t="inlineStr">
        <is>
          <t>New Lead</t>
        </is>
      </c>
      <c r="H1252" t="inlineStr">
        <is>
          <t>RTBQ_CP17747.pdf</t>
        </is>
      </c>
      <c r="K1252" t="inlineStr">
        <is>
          <t>Not found</t>
        </is>
      </c>
      <c r="L1252" t="inlineStr">
        <is>
          <t>Unknown</t>
        </is>
      </c>
      <c r="T1252" t="inlineStr">
        <is>
          <t>https://tenders.iglonline.net/uploads/tender/RTBQ_CP17747.pdf</t>
        </is>
      </c>
      <c r="U1252" t="inlineStr">
        <is>
          <t>No</t>
        </is>
      </c>
      <c r="V1252" t="inlineStr">
        <is>
          <t>Bot tarafindan tespit edildi (2026-07-01)</t>
        </is>
      </c>
    </row>
    <row r="1253">
      <c r="A1253" t="inlineStr">
        <is>
          <t>T-1057</t>
        </is>
      </c>
      <c r="B1253" t="inlineStr">
        <is>
          <t>Indraprastha Gas (IGL)</t>
        </is>
      </c>
      <c r="C1253" t="inlineStr">
        <is>
          <t>Indraprastha Gas (IGL)</t>
        </is>
      </c>
      <c r="F1253" t="inlineStr">
        <is>
          <t>New Lead</t>
        </is>
      </c>
      <c r="H1253" t="inlineStr">
        <is>
          <t>View Tender</t>
        </is>
      </c>
      <c r="K1253" t="inlineStr">
        <is>
          <t>Not found</t>
        </is>
      </c>
      <c r="L1253" t="inlineStr">
        <is>
          <t>Unknown</t>
        </is>
      </c>
      <c r="T1253" t="inlineStr">
        <is>
          <t>https://tenders.iglonline.net/tenderDetail/219/Active Tenders And Corrigendum-Addendum</t>
        </is>
      </c>
      <c r="U1253" t="inlineStr">
        <is>
          <t>No</t>
        </is>
      </c>
      <c r="V1253" t="inlineStr">
        <is>
          <t>Bot tarafindan tespit edildi (2026-07-01)</t>
        </is>
      </c>
    </row>
    <row r="1254">
      <c r="A1254" t="inlineStr">
        <is>
          <t>T-1058</t>
        </is>
      </c>
      <c r="B1254" t="inlineStr">
        <is>
          <t>Indraprastha Gas (IGL)</t>
        </is>
      </c>
      <c r="C1254" t="inlineStr">
        <is>
          <t>Indraprastha Gas (IGL)</t>
        </is>
      </c>
      <c r="F1254" t="inlineStr">
        <is>
          <t>New Lead</t>
        </is>
      </c>
      <c r="H1254" t="inlineStr">
        <is>
          <t>View Tender</t>
        </is>
      </c>
      <c r="K1254" t="inlineStr">
        <is>
          <t>Not found</t>
        </is>
      </c>
      <c r="L1254" t="inlineStr">
        <is>
          <t>Unknown</t>
        </is>
      </c>
      <c r="T1254" t="inlineStr">
        <is>
          <t>https://tenders.iglonline.net/tenderDetail/218/Active Tenders And Corrigendum-Addendum</t>
        </is>
      </c>
      <c r="U1254" t="inlineStr">
        <is>
          <t>No</t>
        </is>
      </c>
      <c r="V1254" t="inlineStr">
        <is>
          <t>Bot tarafindan tespit edildi (2026-07-01)</t>
        </is>
      </c>
    </row>
    <row r="1255">
      <c r="A1255" t="inlineStr">
        <is>
          <t>T-1059</t>
        </is>
      </c>
      <c r="B1255" t="inlineStr">
        <is>
          <t>Indraprastha Gas (IGL)</t>
        </is>
      </c>
      <c r="C1255" t="inlineStr">
        <is>
          <t>Indraprastha Gas (IGL)</t>
        </is>
      </c>
      <c r="F1255" t="inlineStr">
        <is>
          <t>New Lead</t>
        </is>
      </c>
      <c r="H1255" t="inlineStr">
        <is>
          <t>View Tender</t>
        </is>
      </c>
      <c r="K1255" t="inlineStr">
        <is>
          <t>Not found</t>
        </is>
      </c>
      <c r="L1255" t="inlineStr">
        <is>
          <t>Unknown</t>
        </is>
      </c>
      <c r="T1255" t="inlineStr">
        <is>
          <t>https://tenders.iglonline.net/tenderDetail/217/Active Tenders And Corrigendum-Addendum</t>
        </is>
      </c>
      <c r="U1255" t="inlineStr">
        <is>
          <t>No</t>
        </is>
      </c>
      <c r="V1255" t="inlineStr">
        <is>
          <t>Bot tarafindan tespit edildi (2026-07-01)</t>
        </is>
      </c>
    </row>
    <row r="1256">
      <c r="A1256" t="inlineStr">
        <is>
          <t>T-1060</t>
        </is>
      </c>
      <c r="B1256" t="inlineStr">
        <is>
          <t>Indraprastha Gas (IGL)</t>
        </is>
      </c>
      <c r="C1256" t="inlineStr">
        <is>
          <t>Indraprastha Gas (IGL)</t>
        </is>
      </c>
      <c r="F1256" t="inlineStr">
        <is>
          <t>New Lead</t>
        </is>
      </c>
      <c r="H1256" t="inlineStr">
        <is>
          <t>Corrigendum_1_CP17739.pdf</t>
        </is>
      </c>
      <c r="K1256" t="inlineStr">
        <is>
          <t>Not found</t>
        </is>
      </c>
      <c r="L1256" t="inlineStr">
        <is>
          <t>Unknown</t>
        </is>
      </c>
      <c r="T1256" t="inlineStr">
        <is>
          <t>https://tenders.iglonline.net/uploads/tender/Corrigendum_1_CP17739.pdf</t>
        </is>
      </c>
      <c r="U1256" t="inlineStr">
        <is>
          <t>No</t>
        </is>
      </c>
      <c r="V1256" t="inlineStr">
        <is>
          <t>Bot tarafindan tespit edildi (2026-07-01)</t>
        </is>
      </c>
    </row>
    <row r="1257">
      <c r="A1257" t="inlineStr">
        <is>
          <t>T-1061</t>
        </is>
      </c>
      <c r="B1257" t="inlineStr">
        <is>
          <t>Indraprastha Gas (IGL)</t>
        </is>
      </c>
      <c r="C1257" t="inlineStr">
        <is>
          <t>Indraprastha Gas (IGL)</t>
        </is>
      </c>
      <c r="F1257" t="inlineStr">
        <is>
          <t>New Lead</t>
        </is>
      </c>
      <c r="H1257" t="inlineStr">
        <is>
          <t>Corrigendum_2_CP17739.pdf</t>
        </is>
      </c>
      <c r="K1257" t="inlineStr">
        <is>
          <t>Not found</t>
        </is>
      </c>
      <c r="L1257" t="inlineStr">
        <is>
          <t>Unknown</t>
        </is>
      </c>
      <c r="T1257" t="inlineStr">
        <is>
          <t>https://tenders.iglonline.net/uploads/tender/Corrigendum_2_CP17739.pdf</t>
        </is>
      </c>
      <c r="U1257" t="inlineStr">
        <is>
          <t>No</t>
        </is>
      </c>
      <c r="V1257" t="inlineStr">
        <is>
          <t>Bot tarafindan tespit edildi (2026-07-01)</t>
        </is>
      </c>
    </row>
    <row r="1258">
      <c r="A1258" t="inlineStr">
        <is>
          <t>T-1062</t>
        </is>
      </c>
      <c r="B1258" t="inlineStr">
        <is>
          <t>Indraprastha Gas (IGL)</t>
        </is>
      </c>
      <c r="C1258" t="inlineStr">
        <is>
          <t>Indraprastha Gas (IGL)</t>
        </is>
      </c>
      <c r="F1258" t="inlineStr">
        <is>
          <t>New Lead</t>
        </is>
      </c>
      <c r="H1258" t="inlineStr">
        <is>
          <t>Corrigendum_3_CP17739.pdf</t>
        </is>
      </c>
      <c r="K1258" t="inlineStr">
        <is>
          <t>Not found</t>
        </is>
      </c>
      <c r="L1258" t="inlineStr">
        <is>
          <t>Unknown</t>
        </is>
      </c>
      <c r="T1258" t="inlineStr">
        <is>
          <t>https://tenders.iglonline.net/uploads/tender/Corrigendum_3_CP17739.pdf</t>
        </is>
      </c>
      <c r="U1258" t="inlineStr">
        <is>
          <t>No</t>
        </is>
      </c>
      <c r="V1258" t="inlineStr">
        <is>
          <t>Bot tarafindan tespit edildi (2026-07-01)</t>
        </is>
      </c>
    </row>
    <row r="1259">
      <c r="A1259" t="inlineStr">
        <is>
          <t>T-1063</t>
        </is>
      </c>
      <c r="B1259" t="inlineStr">
        <is>
          <t>Indraprastha Gas (IGL)</t>
        </is>
      </c>
      <c r="C1259" t="inlineStr">
        <is>
          <t>Indraprastha Gas (IGL)</t>
        </is>
      </c>
      <c r="F1259" t="inlineStr">
        <is>
          <t>New Lead</t>
        </is>
      </c>
      <c r="H1259" t="inlineStr">
        <is>
          <t>RTBQ_CP17739.pdf</t>
        </is>
      </c>
      <c r="K1259" t="inlineStr">
        <is>
          <t>Not found</t>
        </is>
      </c>
      <c r="L1259" t="inlineStr">
        <is>
          <t>Unknown</t>
        </is>
      </c>
      <c r="T1259" t="inlineStr">
        <is>
          <t>https://tenders.iglonline.net/uploads/tender/RTBQ_CP17739.pdf</t>
        </is>
      </c>
      <c r="U1259" t="inlineStr">
        <is>
          <t>No</t>
        </is>
      </c>
      <c r="V1259" t="inlineStr">
        <is>
          <t>Bot tarafindan tespit edildi (2026-07-01)</t>
        </is>
      </c>
    </row>
    <row r="1260">
      <c r="A1260" t="inlineStr">
        <is>
          <t>T-1064</t>
        </is>
      </c>
      <c r="B1260" t="inlineStr">
        <is>
          <t>Indraprastha Gas (IGL)</t>
        </is>
      </c>
      <c r="C1260" t="inlineStr">
        <is>
          <t>Indraprastha Gas (IGL)</t>
        </is>
      </c>
      <c r="F1260" t="inlineStr">
        <is>
          <t>New Lead</t>
        </is>
      </c>
      <c r="H1260" t="inlineStr">
        <is>
          <t>Corrigendum_4_CP17739.pdf</t>
        </is>
      </c>
      <c r="K1260" t="inlineStr">
        <is>
          <t>Not found</t>
        </is>
      </c>
      <c r="L1260" t="inlineStr">
        <is>
          <t>Unknown</t>
        </is>
      </c>
      <c r="T1260" t="inlineStr">
        <is>
          <t>https://tenders.iglonline.net/uploads/tender/Corrigendum_4_CP17739.pdf</t>
        </is>
      </c>
      <c r="U1260" t="inlineStr">
        <is>
          <t>No</t>
        </is>
      </c>
      <c r="V1260" t="inlineStr">
        <is>
          <t>Bot tarafindan tespit edildi (2026-07-01)</t>
        </is>
      </c>
    </row>
    <row r="1261">
      <c r="A1261" t="inlineStr">
        <is>
          <t>T-1065</t>
        </is>
      </c>
      <c r="B1261" t="inlineStr">
        <is>
          <t>Indraprastha Gas (IGL)</t>
        </is>
      </c>
      <c r="C1261" t="inlineStr">
        <is>
          <t>Indraprastha Gas (IGL)</t>
        </is>
      </c>
      <c r="F1261" t="inlineStr">
        <is>
          <t>New Lead</t>
        </is>
      </c>
      <c r="H1261" t="inlineStr">
        <is>
          <t>Corrigendum_5_CP17739.pdf</t>
        </is>
      </c>
      <c r="K1261" t="inlineStr">
        <is>
          <t>Not found</t>
        </is>
      </c>
      <c r="L1261" t="inlineStr">
        <is>
          <t>Unknown</t>
        </is>
      </c>
      <c r="T1261" t="inlineStr">
        <is>
          <t>https://tenders.iglonline.net/uploads/tender/Corrigendum_5_CP17739.pdf</t>
        </is>
      </c>
      <c r="U1261" t="inlineStr">
        <is>
          <t>No</t>
        </is>
      </c>
      <c r="V1261" t="inlineStr">
        <is>
          <t>Bot tarafindan tespit edildi (2026-07-01)</t>
        </is>
      </c>
    </row>
    <row r="1262">
      <c r="A1262" t="inlineStr">
        <is>
          <t>T-1066</t>
        </is>
      </c>
      <c r="B1262" t="inlineStr">
        <is>
          <t>Indraprastha Gas (IGL)</t>
        </is>
      </c>
      <c r="C1262" t="inlineStr">
        <is>
          <t>Indraprastha Gas (IGL)</t>
        </is>
      </c>
      <c r="F1262" t="inlineStr">
        <is>
          <t>New Lead</t>
        </is>
      </c>
      <c r="H1262" t="inlineStr">
        <is>
          <t>View Tender</t>
        </is>
      </c>
      <c r="K1262" t="inlineStr">
        <is>
          <t>Not found</t>
        </is>
      </c>
      <c r="L1262" t="inlineStr">
        <is>
          <t>Unknown</t>
        </is>
      </c>
      <c r="T1262" t="inlineStr">
        <is>
          <t>https://tenders.iglonline.net/tenderDetail/216/Active Tenders And Corrigendum-Addendum</t>
        </is>
      </c>
      <c r="U1262" t="inlineStr">
        <is>
          <t>No</t>
        </is>
      </c>
      <c r="V1262" t="inlineStr">
        <is>
          <t>Bot tarafindan tespit edildi (2026-07-01)</t>
        </is>
      </c>
    </row>
    <row r="1263">
      <c r="A1263" t="inlineStr">
        <is>
          <t>T-1067</t>
        </is>
      </c>
      <c r="B1263" t="inlineStr">
        <is>
          <t>Indraprastha Gas (IGL)</t>
        </is>
      </c>
      <c r="C1263" t="inlineStr">
        <is>
          <t>Indraprastha Gas (IGL)</t>
        </is>
      </c>
      <c r="F1263" t="inlineStr">
        <is>
          <t>New Lead</t>
        </is>
      </c>
      <c r="H1263" t="inlineStr">
        <is>
          <t>View Tender</t>
        </is>
      </c>
      <c r="K1263" t="inlineStr">
        <is>
          <t>Not found</t>
        </is>
      </c>
      <c r="L1263" t="inlineStr">
        <is>
          <t>Unknown</t>
        </is>
      </c>
      <c r="T1263" t="inlineStr">
        <is>
          <t>https://tenders.iglonline.net/tenderDetail/215/Active Tenders And Corrigendum-Addendum</t>
        </is>
      </c>
      <c r="U1263" t="inlineStr">
        <is>
          <t>No</t>
        </is>
      </c>
      <c r="V1263" t="inlineStr">
        <is>
          <t>Bot tarafindan tespit edildi (2026-07-01)</t>
        </is>
      </c>
    </row>
    <row r="1264">
      <c r="A1264" t="inlineStr">
        <is>
          <t>T-1068</t>
        </is>
      </c>
      <c r="B1264" t="inlineStr">
        <is>
          <t>Indraprastha Gas (IGL)</t>
        </is>
      </c>
      <c r="C1264" t="inlineStr">
        <is>
          <t>Indraprastha Gas (IGL)</t>
        </is>
      </c>
      <c r="F1264" t="inlineStr">
        <is>
          <t>New Lead</t>
        </is>
      </c>
      <c r="H1264" t="inlineStr">
        <is>
          <t>Corrigendum-GROUP-A.pdf</t>
        </is>
      </c>
      <c r="K1264" t="inlineStr">
        <is>
          <t>Not found</t>
        </is>
      </c>
      <c r="L1264" t="inlineStr">
        <is>
          <t>Unknown</t>
        </is>
      </c>
      <c r="T1264" t="inlineStr">
        <is>
          <t>https://tenders.iglonline.net/uploads/tender/Corrigendum-GROUP-A.pdf</t>
        </is>
      </c>
      <c r="U1264" t="inlineStr">
        <is>
          <t>No</t>
        </is>
      </c>
      <c r="V1264" t="inlineStr">
        <is>
          <t>Bot tarafindan tespit edildi (2026-07-01)</t>
        </is>
      </c>
    </row>
    <row r="1265">
      <c r="A1265" t="inlineStr">
        <is>
          <t>T-1069</t>
        </is>
      </c>
      <c r="B1265" t="inlineStr">
        <is>
          <t>Indraprastha Gas (IGL)</t>
        </is>
      </c>
      <c r="C1265" t="inlineStr">
        <is>
          <t>Indraprastha Gas (IGL)</t>
        </is>
      </c>
      <c r="F1265" t="inlineStr">
        <is>
          <t>New Lead</t>
        </is>
      </c>
      <c r="H1265" t="inlineStr">
        <is>
          <t>Corrigendum-GROUP-B.pdf</t>
        </is>
      </c>
      <c r="K1265" t="inlineStr">
        <is>
          <t>Not found</t>
        </is>
      </c>
      <c r="L1265" t="inlineStr">
        <is>
          <t>Unknown</t>
        </is>
      </c>
      <c r="T1265" t="inlineStr">
        <is>
          <t>https://tenders.iglonline.net/uploads/tender/Corrigendum-GROUP-B.pdf</t>
        </is>
      </c>
      <c r="U1265" t="inlineStr">
        <is>
          <t>No</t>
        </is>
      </c>
      <c r="V1265" t="inlineStr">
        <is>
          <t>Bot tarafindan tespit edildi (2026-07-01)</t>
        </is>
      </c>
    </row>
    <row r="1266">
      <c r="A1266" t="inlineStr">
        <is>
          <t>T-1070</t>
        </is>
      </c>
      <c r="B1266" t="inlineStr">
        <is>
          <t>Indraprastha Gas (IGL)</t>
        </is>
      </c>
      <c r="C1266" t="inlineStr">
        <is>
          <t>Indraprastha Gas (IGL)</t>
        </is>
      </c>
      <c r="F1266" t="inlineStr">
        <is>
          <t>New Lead</t>
        </is>
      </c>
      <c r="H1266" t="inlineStr">
        <is>
          <t>Corrigendum-GROUP-C.pdf</t>
        </is>
      </c>
      <c r="K1266" t="inlineStr">
        <is>
          <t>Not found</t>
        </is>
      </c>
      <c r="L1266" t="inlineStr">
        <is>
          <t>Unknown</t>
        </is>
      </c>
      <c r="T1266" t="inlineStr">
        <is>
          <t>https://tenders.iglonline.net/uploads/tender/Corrigendum-GROUP-C.pdf</t>
        </is>
      </c>
      <c r="U1266" t="inlineStr">
        <is>
          <t>No</t>
        </is>
      </c>
      <c r="V1266" t="inlineStr">
        <is>
          <t>Bot tarafindan tespit edildi (2026-07-01)</t>
        </is>
      </c>
    </row>
    <row r="1267">
      <c r="A1267" t="inlineStr">
        <is>
          <t>T-1071</t>
        </is>
      </c>
      <c r="B1267" t="inlineStr">
        <is>
          <t>Indraprastha Gas (IGL)</t>
        </is>
      </c>
      <c r="C1267" t="inlineStr">
        <is>
          <t>Indraprastha Gas (IGL)</t>
        </is>
      </c>
      <c r="F1267" t="inlineStr">
        <is>
          <t>New Lead</t>
        </is>
      </c>
      <c r="H1267" t="inlineStr">
        <is>
          <t>Corrigendum-GROUP-D.pdf</t>
        </is>
      </c>
      <c r="K1267" t="inlineStr">
        <is>
          <t>Not found</t>
        </is>
      </c>
      <c r="L1267" t="inlineStr">
        <is>
          <t>Unknown</t>
        </is>
      </c>
      <c r="T1267" t="inlineStr">
        <is>
          <t>https://tenders.iglonline.net/uploads/tender/Corrigendum-GROUP-D.pdf</t>
        </is>
      </c>
      <c r="U1267" t="inlineStr">
        <is>
          <t>No</t>
        </is>
      </c>
      <c r="V1267" t="inlineStr">
        <is>
          <t>Bot tarafindan tespit edildi (2026-07-01)</t>
        </is>
      </c>
    </row>
    <row r="1268">
      <c r="A1268" t="inlineStr">
        <is>
          <t>T-1072</t>
        </is>
      </c>
      <c r="B1268" t="inlineStr">
        <is>
          <t>Indraprastha Gas (IGL)</t>
        </is>
      </c>
      <c r="C1268" t="inlineStr">
        <is>
          <t>Indraprastha Gas (IGL)</t>
        </is>
      </c>
      <c r="F1268" t="inlineStr">
        <is>
          <t>New Lead</t>
        </is>
      </c>
      <c r="H1268" t="inlineStr">
        <is>
          <t>Corrigendum-GROUP-E.pdf</t>
        </is>
      </c>
      <c r="K1268" t="inlineStr">
        <is>
          <t>Not found</t>
        </is>
      </c>
      <c r="L1268" t="inlineStr">
        <is>
          <t>Unknown</t>
        </is>
      </c>
      <c r="T1268" t="inlineStr">
        <is>
          <t>https://tenders.iglonline.net/uploads/tender/Corrigendum-GROUP-E.pdf</t>
        </is>
      </c>
      <c r="U1268" t="inlineStr">
        <is>
          <t>No</t>
        </is>
      </c>
      <c r="V1268" t="inlineStr">
        <is>
          <t>Bot tarafindan tespit edildi (2026-07-01)</t>
        </is>
      </c>
    </row>
    <row r="1269">
      <c r="A1269" t="inlineStr">
        <is>
          <t>T-1073</t>
        </is>
      </c>
      <c r="B1269" t="inlineStr">
        <is>
          <t>Indraprastha Gas (IGL)</t>
        </is>
      </c>
      <c r="C1269" t="inlineStr">
        <is>
          <t>Indraprastha Gas (IGL)</t>
        </is>
      </c>
      <c r="F1269" t="inlineStr">
        <is>
          <t>New Lead</t>
        </is>
      </c>
      <c r="H1269" t="inlineStr">
        <is>
          <t>Corrigendum-GROUP-F.pdf</t>
        </is>
      </c>
      <c r="K1269" t="inlineStr">
        <is>
          <t>Not found</t>
        </is>
      </c>
      <c r="L1269" t="inlineStr">
        <is>
          <t>Unknown</t>
        </is>
      </c>
      <c r="T1269" t="inlineStr">
        <is>
          <t>https://tenders.iglonline.net/uploads/tender/Corrigendum-GROUP-F.pdf</t>
        </is>
      </c>
      <c r="U1269" t="inlineStr">
        <is>
          <t>No</t>
        </is>
      </c>
      <c r="V1269" t="inlineStr">
        <is>
          <t>Bot tarafindan tespit edildi (2026-07-01)</t>
        </is>
      </c>
    </row>
    <row r="1270">
      <c r="A1270" t="inlineStr">
        <is>
          <t>T-1074</t>
        </is>
      </c>
      <c r="B1270" t="inlineStr">
        <is>
          <t>Indraprastha Gas (IGL)</t>
        </is>
      </c>
      <c r="C1270" t="inlineStr">
        <is>
          <t>Indraprastha Gas (IGL)</t>
        </is>
      </c>
      <c r="F1270" t="inlineStr">
        <is>
          <t>New Lead</t>
        </is>
      </c>
      <c r="H1270" t="inlineStr">
        <is>
          <t>Corrigendum-3__CC17713.pdf</t>
        </is>
      </c>
      <c r="K1270" t="inlineStr">
        <is>
          <t>Not found</t>
        </is>
      </c>
      <c r="L1270" t="inlineStr">
        <is>
          <t>Unknown</t>
        </is>
      </c>
      <c r="T1270" t="inlineStr">
        <is>
          <t>https://tenders.iglonline.net/uploads/tender/Corrigendum-3__CC17713.pdf</t>
        </is>
      </c>
      <c r="U1270" t="inlineStr">
        <is>
          <t>No</t>
        </is>
      </c>
      <c r="V1270" t="inlineStr">
        <is>
          <t>Bot tarafindan tespit edildi (2026-07-01)</t>
        </is>
      </c>
    </row>
    <row r="1271">
      <c r="A1271" t="inlineStr">
        <is>
          <t>T-1075</t>
        </is>
      </c>
      <c r="B1271" t="inlineStr">
        <is>
          <t>Indraprastha Gas (IGL)</t>
        </is>
      </c>
      <c r="C1271" t="inlineStr">
        <is>
          <t>Indraprastha Gas (IGL)</t>
        </is>
      </c>
      <c r="F1271" t="inlineStr">
        <is>
          <t>New Lead</t>
        </is>
      </c>
      <c r="H1271" t="inlineStr">
        <is>
          <t>View Tender</t>
        </is>
      </c>
      <c r="K1271" t="inlineStr">
        <is>
          <t>Not found</t>
        </is>
      </c>
      <c r="L1271" t="inlineStr">
        <is>
          <t>Unknown</t>
        </is>
      </c>
      <c r="T1271" t="inlineStr">
        <is>
          <t>https://tenders.iglonline.net/tenderDetail/214/Active Tenders And Corrigendum-Addendum</t>
        </is>
      </c>
      <c r="U1271" t="inlineStr">
        <is>
          <t>No</t>
        </is>
      </c>
      <c r="V1271" t="inlineStr">
        <is>
          <t>Bot tarafindan tespit edildi (2026-07-01)</t>
        </is>
      </c>
    </row>
    <row r="1272">
      <c r="A1272" t="inlineStr">
        <is>
          <t>T-1076</t>
        </is>
      </c>
      <c r="B1272" t="inlineStr">
        <is>
          <t>Indraprastha Gas (IGL)</t>
        </is>
      </c>
      <c r="C1272" t="inlineStr">
        <is>
          <t>Indraprastha Gas (IGL)</t>
        </is>
      </c>
      <c r="F1272" t="inlineStr">
        <is>
          <t>New Lead</t>
        </is>
      </c>
      <c r="H1272" t="inlineStr">
        <is>
          <t>CORRIGENDUM_1_(1)_(1).pdf</t>
        </is>
      </c>
      <c r="K1272" t="inlineStr">
        <is>
          <t>Not found</t>
        </is>
      </c>
      <c r="L1272" t="inlineStr">
        <is>
          <t>Unknown</t>
        </is>
      </c>
      <c r="T1272" t="inlineStr">
        <is>
          <t>https://tenders.iglonline.net/uploads/tender/CORRIGENDUM_1_(1)_(1).pdf</t>
        </is>
      </c>
      <c r="U1272" t="inlineStr">
        <is>
          <t>No</t>
        </is>
      </c>
      <c r="V1272" t="inlineStr">
        <is>
          <t>Bot tarafindan tespit edildi (2026-07-01)</t>
        </is>
      </c>
    </row>
    <row r="1273">
      <c r="A1273" t="inlineStr">
        <is>
          <t>T-1077</t>
        </is>
      </c>
      <c r="B1273" t="inlineStr">
        <is>
          <t>Indraprastha Gas (IGL)</t>
        </is>
      </c>
      <c r="C1273" t="inlineStr">
        <is>
          <t>Indraprastha Gas (IGL)</t>
        </is>
      </c>
      <c r="F1273" t="inlineStr">
        <is>
          <t>New Lead</t>
        </is>
      </c>
      <c r="H1273" t="inlineStr">
        <is>
          <t>CORRIGENDUM_2-1.pdf</t>
        </is>
      </c>
      <c r="K1273" t="inlineStr">
        <is>
          <t>Not found</t>
        </is>
      </c>
      <c r="L1273" t="inlineStr">
        <is>
          <t>Unknown</t>
        </is>
      </c>
      <c r="T1273" t="inlineStr">
        <is>
          <t>https://tenders.iglonline.net/uploads/tender/CORRIGENDUM_2-1.pdf</t>
        </is>
      </c>
      <c r="U1273" t="inlineStr">
        <is>
          <t>No</t>
        </is>
      </c>
      <c r="V1273" t="inlineStr">
        <is>
          <t>Bot tarafindan tespit edildi (2026-07-01)</t>
        </is>
      </c>
    </row>
    <row r="1274">
      <c r="A1274" t="inlineStr">
        <is>
          <t>T-1078</t>
        </is>
      </c>
      <c r="B1274" t="inlineStr">
        <is>
          <t>Indraprastha Gas (IGL)</t>
        </is>
      </c>
      <c r="C1274" t="inlineStr">
        <is>
          <t>Indraprastha Gas (IGL)</t>
        </is>
      </c>
      <c r="F1274" t="inlineStr">
        <is>
          <t>New Lead</t>
        </is>
      </c>
      <c r="G1274" t="inlineStr">
        <is>
          <t>Regulating station</t>
        </is>
      </c>
      <c r="H1274" t="inlineStr">
        <is>
          <t>View Tender</t>
        </is>
      </c>
      <c r="K1274" t="inlineStr">
        <is>
          <t>Not found</t>
        </is>
      </c>
      <c r="L1274" t="inlineStr">
        <is>
          <t>Unknown</t>
        </is>
      </c>
      <c r="T1274" t="inlineStr">
        <is>
          <t>https://tenders.iglonline.net/tenderDetail/213/Active Tenders And Corrigendum-Addendum</t>
        </is>
      </c>
      <c r="U1274" t="inlineStr">
        <is>
          <t>No</t>
        </is>
      </c>
      <c r="V1274"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275">
      <c r="A1275" t="inlineStr">
        <is>
          <t>T-1079</t>
        </is>
      </c>
      <c r="B1275" t="inlineStr">
        <is>
          <t>Indraprastha Gas (IGL)</t>
        </is>
      </c>
      <c r="C1275" t="inlineStr">
        <is>
          <t>Indraprastha Gas (IGL)</t>
        </is>
      </c>
      <c r="D1275" t="inlineStr">
        <is>
          <t>IGL/ET2/CP/CP17712</t>
        </is>
      </c>
      <c r="F1275" t="inlineStr">
        <is>
          <t>Awarded</t>
        </is>
      </c>
      <c r="G1275" t="inlineStr">
        <is>
          <t>MRS</t>
        </is>
      </c>
      <c r="H1275" t="inlineStr">
        <is>
          <t>Corrigendum_1_CP17712.pdf</t>
        </is>
      </c>
      <c r="K1275" t="inlineStr">
        <is>
          <t>Not found</t>
        </is>
      </c>
      <c r="L1275" t="inlineStr">
        <is>
          <t>Unknown</t>
        </is>
      </c>
      <c r="T1275" t="inlineStr">
        <is>
          <t>https://tenders.iglonline.net/uploads/tender/Corrigendum_1_CP17712.pdf</t>
        </is>
      </c>
      <c r="U1275" t="inlineStr">
        <is>
          <t>No</t>
        </is>
      </c>
      <c r="V127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6">
      <c r="A1276" t="inlineStr">
        <is>
          <t>T-1080</t>
        </is>
      </c>
      <c r="B1276" t="inlineStr">
        <is>
          <t>Indraprastha Gas (IGL)</t>
        </is>
      </c>
      <c r="C1276" t="inlineStr">
        <is>
          <t>Indraprastha Gas (IGL)</t>
        </is>
      </c>
      <c r="D1276" t="inlineStr">
        <is>
          <t>IGL/ET2/CP/CP17712</t>
        </is>
      </c>
      <c r="F1276" t="inlineStr">
        <is>
          <t>Awarded</t>
        </is>
      </c>
      <c r="G1276" t="inlineStr">
        <is>
          <t>MRS</t>
        </is>
      </c>
      <c r="H1276" t="inlineStr">
        <is>
          <t>Corrigendum_2_CP17712.pdf</t>
        </is>
      </c>
      <c r="K1276" t="inlineStr">
        <is>
          <t>Not found</t>
        </is>
      </c>
      <c r="L1276" t="inlineStr">
        <is>
          <t>Unknown</t>
        </is>
      </c>
      <c r="T1276" t="inlineStr">
        <is>
          <t>https://tenders.iglonline.net/uploads/tender/Corrigendum_2_CP17712.pdf</t>
        </is>
      </c>
      <c r="U1276" t="inlineStr">
        <is>
          <t>No</t>
        </is>
      </c>
      <c r="V1276"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7">
      <c r="A1277" t="inlineStr">
        <is>
          <t>T-1081</t>
        </is>
      </c>
      <c r="B1277" t="inlineStr">
        <is>
          <t>Indraprastha Gas (IGL)</t>
        </is>
      </c>
      <c r="C1277" t="inlineStr">
        <is>
          <t>Indraprastha Gas (IGL)</t>
        </is>
      </c>
      <c r="D1277" t="inlineStr">
        <is>
          <t>IGL/ET2/CP/CP17712</t>
        </is>
      </c>
      <c r="E1277" t="inlineStr">
        <is>
          <t>27-10-2023</t>
        </is>
      </c>
      <c r="F1277" t="inlineStr">
        <is>
          <t>Awarded</t>
        </is>
      </c>
      <c r="G1277" t="inlineStr">
        <is>
          <t>MRS</t>
        </is>
      </c>
      <c r="H1277" t="inlineStr">
        <is>
          <t>RTBQ_CP17712.pdf</t>
        </is>
      </c>
      <c r="K1277" t="inlineStr">
        <is>
          <t>at Inlet &amp; outlet of skid and 30m</t>
        </is>
      </c>
      <c r="L1277" t="inlineStr">
        <is>
          <t>Unknown</t>
        </is>
      </c>
      <c r="T1277" t="inlineStr">
        <is>
          <t>https://tenders.iglonline.net/uploads/tender/RTBQ_CP17712.pdf</t>
        </is>
      </c>
      <c r="U1277" t="inlineStr">
        <is>
          <t>No</t>
        </is>
      </c>
      <c r="V1277" t="inlineStr">
        <is>
          <t>Bot tarafindan tespit edildi (2026-07-01) | closing=27-10-2023 | Bot enrich; date=2026-07-01; type=pdf; pdf_closing=27-10-2023;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278">
      <c r="A1278" t="inlineStr">
        <is>
          <t>T-1082</t>
        </is>
      </c>
      <c r="B1278" t="inlineStr">
        <is>
          <t>Indraprastha Gas (IGL)</t>
        </is>
      </c>
      <c r="C1278" t="inlineStr">
        <is>
          <t>Indraprastha Gas (IGL)</t>
        </is>
      </c>
      <c r="F1278" t="inlineStr">
        <is>
          <t>New Lead</t>
        </is>
      </c>
      <c r="H1278" t="inlineStr">
        <is>
          <t>View Tender</t>
        </is>
      </c>
      <c r="K1278" t="inlineStr">
        <is>
          <t>Not found</t>
        </is>
      </c>
      <c r="L1278" t="inlineStr">
        <is>
          <t>Unknown</t>
        </is>
      </c>
      <c r="T1278" t="inlineStr">
        <is>
          <t>https://tenders.iglonline.net/tenderDetail/212/Active Tenders And Corrigendum-Addendum</t>
        </is>
      </c>
      <c r="U1278" t="inlineStr">
        <is>
          <t>No</t>
        </is>
      </c>
      <c r="V1278" t="inlineStr">
        <is>
          <t>Bot tarafindan tespit edildi (2026-07-01)</t>
        </is>
      </c>
    </row>
    <row r="1279">
      <c r="A1279" t="inlineStr">
        <is>
          <t>T-1083</t>
        </is>
      </c>
      <c r="B1279" t="inlineStr">
        <is>
          <t>Indraprastha Gas (IGL)</t>
        </is>
      </c>
      <c r="C1279" t="inlineStr">
        <is>
          <t>Indraprastha Gas (IGL)</t>
        </is>
      </c>
      <c r="F1279" t="inlineStr">
        <is>
          <t>New Lead</t>
        </is>
      </c>
      <c r="H1279" t="inlineStr">
        <is>
          <t>CORRIGENDUM_13.pdf</t>
        </is>
      </c>
      <c r="K1279" t="inlineStr">
        <is>
          <t>Not found</t>
        </is>
      </c>
      <c r="L1279" t="inlineStr">
        <is>
          <t>Unknown</t>
        </is>
      </c>
      <c r="T1279" t="inlineStr">
        <is>
          <t>https://tenders.iglonline.net/uploads/tender/CORRIGENDUM_13.pdf</t>
        </is>
      </c>
      <c r="U1279" t="inlineStr">
        <is>
          <t>No</t>
        </is>
      </c>
      <c r="V1279" t="inlineStr">
        <is>
          <t>Bot tarafindan tespit edildi (2026-07-01)</t>
        </is>
      </c>
    </row>
    <row r="1280">
      <c r="A1280" t="inlineStr">
        <is>
          <t>T-1084</t>
        </is>
      </c>
      <c r="B1280" t="inlineStr">
        <is>
          <t>Indraprastha Gas (IGL)</t>
        </is>
      </c>
      <c r="C1280" t="inlineStr">
        <is>
          <t>Indraprastha Gas (IGL)</t>
        </is>
      </c>
      <c r="F1280" t="inlineStr">
        <is>
          <t>New Lead</t>
        </is>
      </c>
      <c r="H1280" t="inlineStr">
        <is>
          <t>View Tender</t>
        </is>
      </c>
      <c r="K1280" t="inlineStr">
        <is>
          <t>Not found</t>
        </is>
      </c>
      <c r="L1280" t="inlineStr">
        <is>
          <t>Unknown</t>
        </is>
      </c>
      <c r="T1280" t="inlineStr">
        <is>
          <t>https://tenders.iglonline.net/tenderDetail/211/Active Tenders And Corrigendum-Addendum</t>
        </is>
      </c>
      <c r="U1280" t="inlineStr">
        <is>
          <t>No</t>
        </is>
      </c>
      <c r="V1280" t="inlineStr">
        <is>
          <t>Bot tarafindan tespit edildi (2026-07-01)</t>
        </is>
      </c>
    </row>
    <row r="1281">
      <c r="A1281" t="inlineStr">
        <is>
          <t>T-1085</t>
        </is>
      </c>
      <c r="B1281" t="inlineStr">
        <is>
          <t>Indraprastha Gas (IGL)</t>
        </is>
      </c>
      <c r="C1281" t="inlineStr">
        <is>
          <t>Indraprastha Gas (IGL)</t>
        </is>
      </c>
      <c r="F1281" t="inlineStr">
        <is>
          <t>New Lead</t>
        </is>
      </c>
      <c r="H1281" t="inlineStr">
        <is>
          <t>Corrigendum-I_CC17723.pdf</t>
        </is>
      </c>
      <c r="K1281" t="inlineStr">
        <is>
          <t>Not found</t>
        </is>
      </c>
      <c r="L1281" t="inlineStr">
        <is>
          <t>Unknown</t>
        </is>
      </c>
      <c r="T1281" t="inlineStr">
        <is>
          <t>https://tenders.iglonline.net/uploads/tender/Corrigendum-I_CC17723.pdf</t>
        </is>
      </c>
      <c r="U1281" t="inlineStr">
        <is>
          <t>No</t>
        </is>
      </c>
      <c r="V1281" t="inlineStr">
        <is>
          <t>Bot tarafindan tespit edildi (2026-07-01)</t>
        </is>
      </c>
    </row>
    <row r="1282">
      <c r="A1282" t="inlineStr">
        <is>
          <t>T-1086</t>
        </is>
      </c>
      <c r="B1282" t="inlineStr">
        <is>
          <t>Indraprastha Gas (IGL)</t>
        </is>
      </c>
      <c r="C1282" t="inlineStr">
        <is>
          <t>Indraprastha Gas (IGL)</t>
        </is>
      </c>
      <c r="F1282" t="inlineStr">
        <is>
          <t>New Lead</t>
        </is>
      </c>
      <c r="H1282" t="inlineStr">
        <is>
          <t>Corrigendum-II__CC17723.pdf</t>
        </is>
      </c>
      <c r="K1282" t="inlineStr">
        <is>
          <t>Not found</t>
        </is>
      </c>
      <c r="L1282" t="inlineStr">
        <is>
          <t>Unknown</t>
        </is>
      </c>
      <c r="T1282" t="inlineStr">
        <is>
          <t>https://tenders.iglonline.net/uploads/tender/Corrigendum-II__CC17723.pdf</t>
        </is>
      </c>
      <c r="U1282" t="inlineStr">
        <is>
          <t>No</t>
        </is>
      </c>
      <c r="V1282" t="inlineStr">
        <is>
          <t>Bot tarafindan tespit edildi (2026-07-01)</t>
        </is>
      </c>
    </row>
    <row r="1283">
      <c r="A1283" t="inlineStr">
        <is>
          <t>T-1087</t>
        </is>
      </c>
      <c r="B1283" t="inlineStr">
        <is>
          <t>Indraprastha Gas (IGL)</t>
        </is>
      </c>
      <c r="C1283" t="inlineStr">
        <is>
          <t>Indraprastha Gas (IGL)</t>
        </is>
      </c>
      <c r="F1283" t="inlineStr">
        <is>
          <t>New Lead</t>
        </is>
      </c>
      <c r="H1283" t="inlineStr">
        <is>
          <t>View Tender</t>
        </is>
      </c>
      <c r="K1283" t="inlineStr">
        <is>
          <t>Not found</t>
        </is>
      </c>
      <c r="L1283" t="inlineStr">
        <is>
          <t>Unknown</t>
        </is>
      </c>
      <c r="T1283" t="inlineStr">
        <is>
          <t>https://tenders.iglonline.net/tenderDetail/210/Active Tenders And Corrigendum-Addendum</t>
        </is>
      </c>
      <c r="U1283" t="inlineStr">
        <is>
          <t>No</t>
        </is>
      </c>
      <c r="V1283" t="inlineStr">
        <is>
          <t>Bot tarafindan tespit edildi (2026-07-01)</t>
        </is>
      </c>
    </row>
    <row r="1284">
      <c r="A1284" t="inlineStr">
        <is>
          <t>T-1088</t>
        </is>
      </c>
      <c r="B1284" t="inlineStr">
        <is>
          <t>Indraprastha Gas (IGL)</t>
        </is>
      </c>
      <c r="C1284" t="inlineStr">
        <is>
          <t>Indraprastha Gas (IGL)</t>
        </is>
      </c>
      <c r="F1284" t="inlineStr">
        <is>
          <t>New Lead</t>
        </is>
      </c>
      <c r="H1284" t="inlineStr">
        <is>
          <t>Corrigendum_I_CC17703.pdf</t>
        </is>
      </c>
      <c r="K1284" t="inlineStr">
        <is>
          <t>Not found</t>
        </is>
      </c>
      <c r="L1284" t="inlineStr">
        <is>
          <t>Unknown</t>
        </is>
      </c>
      <c r="T1284" t="inlineStr">
        <is>
          <t>https://tenders.iglonline.net/uploads/tender/Corrigendum_I_CC17703.pdf</t>
        </is>
      </c>
      <c r="U1284" t="inlineStr">
        <is>
          <t>No</t>
        </is>
      </c>
      <c r="V1284" t="inlineStr">
        <is>
          <t>Bot tarafindan tespit edildi (2026-07-01)</t>
        </is>
      </c>
    </row>
    <row r="1285">
      <c r="A1285" t="inlineStr">
        <is>
          <t>T-1089</t>
        </is>
      </c>
      <c r="B1285" t="inlineStr">
        <is>
          <t>Indraprastha Gas (IGL)</t>
        </is>
      </c>
      <c r="C1285" t="inlineStr">
        <is>
          <t>Indraprastha Gas (IGL)</t>
        </is>
      </c>
      <c r="F1285" t="inlineStr">
        <is>
          <t>New Lead</t>
        </is>
      </c>
      <c r="H1285" t="inlineStr">
        <is>
          <t>View Tender</t>
        </is>
      </c>
      <c r="K1285" t="inlineStr">
        <is>
          <t>Not found</t>
        </is>
      </c>
      <c r="L1285" t="inlineStr">
        <is>
          <t>Unknown</t>
        </is>
      </c>
      <c r="T1285" t="inlineStr">
        <is>
          <t>https://tenders.iglonline.net/tenderDetail/209/Active Tenders And Corrigendum-Addendum</t>
        </is>
      </c>
      <c r="U1285" t="inlineStr">
        <is>
          <t>No</t>
        </is>
      </c>
      <c r="V1285" t="inlineStr">
        <is>
          <t>Bot tarafindan tespit edildi (2026-07-01)</t>
        </is>
      </c>
    </row>
    <row r="1286">
      <c r="A1286" t="inlineStr">
        <is>
          <t>T-1090</t>
        </is>
      </c>
      <c r="B1286" t="inlineStr">
        <is>
          <t>Indraprastha Gas (IGL)</t>
        </is>
      </c>
      <c r="C1286" t="inlineStr">
        <is>
          <t>Indraprastha Gas (IGL)</t>
        </is>
      </c>
      <c r="F1286" t="inlineStr">
        <is>
          <t>New Lead</t>
        </is>
      </c>
      <c r="H1286" t="inlineStr">
        <is>
          <t>RTBQ_CM17732-Cloud_Hosting_of_mobile_app.pdf</t>
        </is>
      </c>
      <c r="K1286" t="inlineStr">
        <is>
          <t>Not found</t>
        </is>
      </c>
      <c r="L1286" t="inlineStr">
        <is>
          <t>Unknown</t>
        </is>
      </c>
      <c r="T1286" t="inlineStr">
        <is>
          <t>https://tenders.iglonline.net/uploads/tender/RTBQ_CM17732-Cloud_Hosting_of_mobile_app.pdf</t>
        </is>
      </c>
      <c r="U1286" t="inlineStr">
        <is>
          <t>No</t>
        </is>
      </c>
      <c r="V1286" t="inlineStr">
        <is>
          <t>Bot tarafindan tespit edildi (2026-07-01)</t>
        </is>
      </c>
    </row>
    <row r="1287">
      <c r="A1287" t="inlineStr">
        <is>
          <t>T-1091</t>
        </is>
      </c>
      <c r="B1287" t="inlineStr">
        <is>
          <t>Indraprastha Gas (IGL)</t>
        </is>
      </c>
      <c r="C1287" t="inlineStr">
        <is>
          <t>Indraprastha Gas (IGL)</t>
        </is>
      </c>
      <c r="F1287" t="inlineStr">
        <is>
          <t>New Lead</t>
        </is>
      </c>
      <c r="H1287" t="inlineStr">
        <is>
          <t>RTBQ_CM17732_cloud_hosting_mobile_app_new.pdf</t>
        </is>
      </c>
      <c r="K1287" t="inlineStr">
        <is>
          <t>Not found</t>
        </is>
      </c>
      <c r="L1287" t="inlineStr">
        <is>
          <t>Unknown</t>
        </is>
      </c>
      <c r="T1287" t="inlineStr">
        <is>
          <t>https://tenders.iglonline.net/uploads/tender/RTBQ_CM17732_cloud_hosting_mobile_app_new.pdf</t>
        </is>
      </c>
      <c r="U1287" t="inlineStr">
        <is>
          <t>No</t>
        </is>
      </c>
      <c r="V1287" t="inlineStr">
        <is>
          <t>Bot tarafindan tespit edildi (2026-07-01)</t>
        </is>
      </c>
    </row>
    <row r="1288">
      <c r="A1288" t="inlineStr">
        <is>
          <t>T-1092</t>
        </is>
      </c>
      <c r="B1288" t="inlineStr">
        <is>
          <t>Indraprastha Gas (IGL)</t>
        </is>
      </c>
      <c r="C1288" t="inlineStr">
        <is>
          <t>Indraprastha Gas (IGL)</t>
        </is>
      </c>
      <c r="F1288" t="inlineStr">
        <is>
          <t>New Lead</t>
        </is>
      </c>
      <c r="H1288" t="inlineStr">
        <is>
          <t>CORRIGENDUM_3_CM17732.pdf</t>
        </is>
      </c>
      <c r="K1288" t="inlineStr">
        <is>
          <t>Not found</t>
        </is>
      </c>
      <c r="L1288" t="inlineStr">
        <is>
          <t>Unknown</t>
        </is>
      </c>
      <c r="T1288" t="inlineStr">
        <is>
          <t>https://tenders.iglonline.net/uploads/tender/CORRIGENDUM_3_CM17732.pdf</t>
        </is>
      </c>
      <c r="U1288" t="inlineStr">
        <is>
          <t>No</t>
        </is>
      </c>
      <c r="V1288" t="inlineStr">
        <is>
          <t>Bot tarafindan tespit edildi (2026-07-01)</t>
        </is>
      </c>
    </row>
    <row r="1289">
      <c r="A1289" t="inlineStr">
        <is>
          <t>T-1093</t>
        </is>
      </c>
      <c r="B1289" t="inlineStr">
        <is>
          <t>Indraprastha Gas (IGL)</t>
        </is>
      </c>
      <c r="C1289" t="inlineStr">
        <is>
          <t>Indraprastha Gas (IGL)</t>
        </is>
      </c>
      <c r="F1289" t="inlineStr">
        <is>
          <t>New Lead</t>
        </is>
      </c>
      <c r="H1289" t="inlineStr">
        <is>
          <t>CORRIGENDUM_4.pdf</t>
        </is>
      </c>
      <c r="K1289" t="inlineStr">
        <is>
          <t>Not found</t>
        </is>
      </c>
      <c r="L1289" t="inlineStr">
        <is>
          <t>Unknown</t>
        </is>
      </c>
      <c r="T1289" t="inlineStr">
        <is>
          <t>https://tenders.iglonline.net/uploads/tender/CORRIGENDUM_4.pdf</t>
        </is>
      </c>
      <c r="U1289" t="inlineStr">
        <is>
          <t>No</t>
        </is>
      </c>
      <c r="V1289" t="inlineStr">
        <is>
          <t>Bot tarafindan tespit edildi (2026-07-01)</t>
        </is>
      </c>
    </row>
    <row r="1290">
      <c r="A1290" t="inlineStr">
        <is>
          <t>T-1094</t>
        </is>
      </c>
      <c r="B1290" t="inlineStr">
        <is>
          <t>Indraprastha Gas (IGL)</t>
        </is>
      </c>
      <c r="C1290" t="inlineStr">
        <is>
          <t>Indraprastha Gas (IGL)</t>
        </is>
      </c>
      <c r="F1290" t="inlineStr">
        <is>
          <t>New Lead</t>
        </is>
      </c>
      <c r="H1290" t="inlineStr">
        <is>
          <t>View Tender</t>
        </is>
      </c>
      <c r="K1290" t="inlineStr">
        <is>
          <t>Not found</t>
        </is>
      </c>
      <c r="L1290" t="inlineStr">
        <is>
          <t>Unknown</t>
        </is>
      </c>
      <c r="T1290" t="inlineStr">
        <is>
          <t>https://tenders.iglonline.net/tenderDetail/208/Active Tenders And Corrigendum-Addendum</t>
        </is>
      </c>
      <c r="U1290" t="inlineStr">
        <is>
          <t>No</t>
        </is>
      </c>
      <c r="V1290" t="inlineStr">
        <is>
          <t>Bot tarafindan tespit edildi (2026-07-01)</t>
        </is>
      </c>
    </row>
    <row r="1291">
      <c r="A1291" t="inlineStr">
        <is>
          <t>T-1095</t>
        </is>
      </c>
      <c r="B1291" t="inlineStr">
        <is>
          <t>Indraprastha Gas (IGL)</t>
        </is>
      </c>
      <c r="C1291" t="inlineStr">
        <is>
          <t>Indraprastha Gas (IGL)</t>
        </is>
      </c>
      <c r="F1291" t="inlineStr">
        <is>
          <t>New Lead</t>
        </is>
      </c>
      <c r="H1291" t="inlineStr">
        <is>
          <t>RTBQ_CP17705.pdf</t>
        </is>
      </c>
      <c r="K1291" t="inlineStr">
        <is>
          <t>Not found</t>
        </is>
      </c>
      <c r="L1291" t="inlineStr">
        <is>
          <t>Unknown</t>
        </is>
      </c>
      <c r="T1291" t="inlineStr">
        <is>
          <t>https://tenders.iglonline.net/uploads/tender/RTBQ_CP17705.pdf</t>
        </is>
      </c>
      <c r="U1291" t="inlineStr">
        <is>
          <t>No</t>
        </is>
      </c>
      <c r="V1291" t="inlineStr">
        <is>
          <t>Bot tarafindan tespit edildi (2026-07-01)</t>
        </is>
      </c>
    </row>
    <row r="1292">
      <c r="A1292" t="inlineStr">
        <is>
          <t>T-1096</t>
        </is>
      </c>
      <c r="B1292" t="inlineStr">
        <is>
          <t>Indraprastha Gas (IGL)</t>
        </is>
      </c>
      <c r="C1292" t="inlineStr">
        <is>
          <t>Indraprastha Gas (IGL)</t>
        </is>
      </c>
      <c r="F1292" t="inlineStr">
        <is>
          <t>New Lead</t>
        </is>
      </c>
      <c r="H1292" t="inlineStr">
        <is>
          <t>Corrigendum_1_CP17705.pdf</t>
        </is>
      </c>
      <c r="K1292" t="inlineStr">
        <is>
          <t>Not found</t>
        </is>
      </c>
      <c r="L1292" t="inlineStr">
        <is>
          <t>Unknown</t>
        </is>
      </c>
      <c r="T1292" t="inlineStr">
        <is>
          <t>https://tenders.iglonline.net/uploads/tender/Corrigendum_1_CP17705.pdf</t>
        </is>
      </c>
      <c r="U1292" t="inlineStr">
        <is>
          <t>No</t>
        </is>
      </c>
      <c r="V1292" t="inlineStr">
        <is>
          <t>Bot tarafindan tespit edildi (2026-07-01)</t>
        </is>
      </c>
    </row>
    <row r="1293">
      <c r="A1293" t="inlineStr">
        <is>
          <t>T-1097</t>
        </is>
      </c>
      <c r="B1293" t="inlineStr">
        <is>
          <t>Indraprastha Gas (IGL)</t>
        </is>
      </c>
      <c r="C1293" t="inlineStr">
        <is>
          <t>Indraprastha Gas (IGL)</t>
        </is>
      </c>
      <c r="F1293" t="inlineStr">
        <is>
          <t>New Lead</t>
        </is>
      </c>
      <c r="H1293" t="inlineStr">
        <is>
          <t>View Tender</t>
        </is>
      </c>
      <c r="K1293" t="inlineStr">
        <is>
          <t>Not found</t>
        </is>
      </c>
      <c r="L1293" t="inlineStr">
        <is>
          <t>Unknown</t>
        </is>
      </c>
      <c r="T1293" t="inlineStr">
        <is>
          <t>https://tenders.iglonline.net/tenderDetail/207/Active Tenders And Corrigendum-Addendum</t>
        </is>
      </c>
      <c r="U1293" t="inlineStr">
        <is>
          <t>No</t>
        </is>
      </c>
      <c r="V1293" t="inlineStr">
        <is>
          <t>Bot tarafindan tespit edildi (2026-07-01)</t>
        </is>
      </c>
    </row>
    <row r="1294">
      <c r="A1294" t="inlineStr">
        <is>
          <t>T-1098</t>
        </is>
      </c>
      <c r="B1294" t="inlineStr">
        <is>
          <t>Indraprastha Gas (IGL)</t>
        </is>
      </c>
      <c r="C1294" t="inlineStr">
        <is>
          <t>Indraprastha Gas (IGL)</t>
        </is>
      </c>
      <c r="F1294" t="inlineStr">
        <is>
          <t>New Lead</t>
        </is>
      </c>
      <c r="H1294" t="inlineStr">
        <is>
          <t>Corrigendum_I_(5)1.pdf</t>
        </is>
      </c>
      <c r="K1294" t="inlineStr">
        <is>
          <t>Not found</t>
        </is>
      </c>
      <c r="L1294" t="inlineStr">
        <is>
          <t>Unknown</t>
        </is>
      </c>
      <c r="T1294" t="inlineStr">
        <is>
          <t>https://tenders.iglonline.net/uploads/tender/Corrigendum_I_(5)1.pdf</t>
        </is>
      </c>
      <c r="U1294" t="inlineStr">
        <is>
          <t>No</t>
        </is>
      </c>
      <c r="V1294" t="inlineStr">
        <is>
          <t>Bot tarafindan tespit edildi (2026-07-01)</t>
        </is>
      </c>
    </row>
    <row r="1295">
      <c r="A1295" t="inlineStr">
        <is>
          <t>T-1099</t>
        </is>
      </c>
      <c r="B1295" t="inlineStr">
        <is>
          <t>Indraprastha Gas (IGL)</t>
        </is>
      </c>
      <c r="C1295" t="inlineStr">
        <is>
          <t>Indraprastha Gas (IGL)</t>
        </is>
      </c>
      <c r="F1295" t="inlineStr">
        <is>
          <t>New Lead</t>
        </is>
      </c>
      <c r="H1295" t="inlineStr">
        <is>
          <t>Corrigendum_II__1.pdf</t>
        </is>
      </c>
      <c r="K1295" t="inlineStr">
        <is>
          <t>Not found</t>
        </is>
      </c>
      <c r="L1295" t="inlineStr">
        <is>
          <t>Unknown</t>
        </is>
      </c>
      <c r="T1295" t="inlineStr">
        <is>
          <t>https://tenders.iglonline.net/uploads/tender/Corrigendum_II__1.pdf</t>
        </is>
      </c>
      <c r="U1295" t="inlineStr">
        <is>
          <t>No</t>
        </is>
      </c>
      <c r="V1295" t="inlineStr">
        <is>
          <t>Bot tarafindan tespit edildi (2026-07-01)</t>
        </is>
      </c>
    </row>
    <row r="1296">
      <c r="A1296" t="inlineStr">
        <is>
          <t>T-1100</t>
        </is>
      </c>
      <c r="B1296" t="inlineStr">
        <is>
          <t>Indraprastha Gas (IGL)</t>
        </is>
      </c>
      <c r="C1296" t="inlineStr">
        <is>
          <t>Indraprastha Gas (IGL)</t>
        </is>
      </c>
      <c r="F1296" t="inlineStr">
        <is>
          <t>New Lead</t>
        </is>
      </c>
      <c r="H1296" t="inlineStr">
        <is>
          <t>Corrigendum_III_(2).pdf</t>
        </is>
      </c>
      <c r="K1296" t="inlineStr">
        <is>
          <t>Not found</t>
        </is>
      </c>
      <c r="L1296" t="inlineStr">
        <is>
          <t>Unknown</t>
        </is>
      </c>
      <c r="T1296" t="inlineStr">
        <is>
          <t>https://tenders.iglonline.net/uploads/tender/Corrigendum_III_(2).pdf</t>
        </is>
      </c>
      <c r="U1296" t="inlineStr">
        <is>
          <t>No</t>
        </is>
      </c>
      <c r="V1296" t="inlineStr">
        <is>
          <t>Bot tarafindan tespit edildi (2026-07-01)</t>
        </is>
      </c>
    </row>
    <row r="1297">
      <c r="A1297" t="inlineStr">
        <is>
          <t>T-1101</t>
        </is>
      </c>
      <c r="B1297" t="inlineStr">
        <is>
          <t>Indraprastha Gas (IGL)</t>
        </is>
      </c>
      <c r="C1297" t="inlineStr">
        <is>
          <t>Indraprastha Gas (IGL)</t>
        </is>
      </c>
      <c r="F1297" t="inlineStr">
        <is>
          <t>New Lead</t>
        </is>
      </c>
      <c r="H1297" t="inlineStr">
        <is>
          <t>Replies_of_Prebid_Queries_CM17716.pdf</t>
        </is>
      </c>
      <c r="K1297" t="inlineStr">
        <is>
          <t>Not found</t>
        </is>
      </c>
      <c r="L1297" t="inlineStr">
        <is>
          <t>Unknown</t>
        </is>
      </c>
      <c r="T1297" t="inlineStr">
        <is>
          <t>https://tenders.iglonline.net/uploads/tender/Replies_of_Prebid_Queries_CM17716.pdf</t>
        </is>
      </c>
      <c r="U1297" t="inlineStr">
        <is>
          <t>No</t>
        </is>
      </c>
      <c r="V1297" t="inlineStr">
        <is>
          <t>Bot tarafindan tespit edildi (2026-07-01)</t>
        </is>
      </c>
    </row>
    <row r="1298">
      <c r="A1298" t="inlineStr">
        <is>
          <t>T-1102</t>
        </is>
      </c>
      <c r="B1298" t="inlineStr">
        <is>
          <t>Indraprastha Gas (IGL)</t>
        </is>
      </c>
      <c r="C1298" t="inlineStr">
        <is>
          <t>Indraprastha Gas (IGL)</t>
        </is>
      </c>
      <c r="F1298" t="inlineStr">
        <is>
          <t>New Lead</t>
        </is>
      </c>
      <c r="H1298" t="inlineStr">
        <is>
          <t>Corrigendum_IV_(2).pdf</t>
        </is>
      </c>
      <c r="K1298" t="inlineStr">
        <is>
          <t>Not found</t>
        </is>
      </c>
      <c r="L1298" t="inlineStr">
        <is>
          <t>Unknown</t>
        </is>
      </c>
      <c r="T1298" t="inlineStr">
        <is>
          <t>https://tenders.iglonline.net/uploads/tender/Corrigendum_IV_(2).pdf</t>
        </is>
      </c>
      <c r="U1298" t="inlineStr">
        <is>
          <t>No</t>
        </is>
      </c>
      <c r="V1298" t="inlineStr">
        <is>
          <t>Bot tarafindan tespit edildi (2026-07-01)</t>
        </is>
      </c>
    </row>
    <row r="1299">
      <c r="A1299" t="inlineStr">
        <is>
          <t>T-1103</t>
        </is>
      </c>
      <c r="B1299" t="inlineStr">
        <is>
          <t>Indraprastha Gas (IGL)</t>
        </is>
      </c>
      <c r="C1299" t="inlineStr">
        <is>
          <t>Indraprastha Gas (IGL)</t>
        </is>
      </c>
      <c r="F1299" t="inlineStr">
        <is>
          <t>New Lead</t>
        </is>
      </c>
      <c r="H1299" t="inlineStr">
        <is>
          <t>Corrigendum_V1.pdf</t>
        </is>
      </c>
      <c r="K1299" t="inlineStr">
        <is>
          <t>Not found</t>
        </is>
      </c>
      <c r="L1299" t="inlineStr">
        <is>
          <t>Unknown</t>
        </is>
      </c>
      <c r="T1299" t="inlineStr">
        <is>
          <t>https://tenders.iglonline.net/uploads/tender/Corrigendum_V1.pdf</t>
        </is>
      </c>
      <c r="U1299" t="inlineStr">
        <is>
          <t>No</t>
        </is>
      </c>
      <c r="V1299" t="inlineStr">
        <is>
          <t>Bot tarafindan tespit edildi (2026-07-01)</t>
        </is>
      </c>
    </row>
    <row r="1300">
      <c r="A1300" t="inlineStr">
        <is>
          <t>T-1104</t>
        </is>
      </c>
      <c r="B1300" t="inlineStr">
        <is>
          <t>Indraprastha Gas (IGL)</t>
        </is>
      </c>
      <c r="C1300" t="inlineStr">
        <is>
          <t>Indraprastha Gas (IGL)</t>
        </is>
      </c>
      <c r="F1300" t="inlineStr">
        <is>
          <t>New Lead</t>
        </is>
      </c>
      <c r="H1300" t="inlineStr">
        <is>
          <t>Replies_of_PreBid_Queries_2_CM17716.pdf</t>
        </is>
      </c>
      <c r="K1300" t="inlineStr">
        <is>
          <t>Not found</t>
        </is>
      </c>
      <c r="L1300" t="inlineStr">
        <is>
          <t>Unknown</t>
        </is>
      </c>
      <c r="T1300" t="inlineStr">
        <is>
          <t>https://tenders.iglonline.net/uploads/tender/Replies_of_PreBid_Queries_2_CM17716.pdf</t>
        </is>
      </c>
      <c r="U1300" t="inlineStr">
        <is>
          <t>No</t>
        </is>
      </c>
      <c r="V1300" t="inlineStr">
        <is>
          <t>Bot tarafindan tespit edildi (2026-07-01)</t>
        </is>
      </c>
    </row>
    <row r="1301">
      <c r="A1301" t="inlineStr">
        <is>
          <t>T-1105</t>
        </is>
      </c>
      <c r="B1301" t="inlineStr">
        <is>
          <t>Indraprastha Gas (IGL)</t>
        </is>
      </c>
      <c r="C1301" t="inlineStr">
        <is>
          <t>Indraprastha Gas (IGL)</t>
        </is>
      </c>
      <c r="F1301" t="inlineStr">
        <is>
          <t>New Lead</t>
        </is>
      </c>
      <c r="H1301" t="inlineStr">
        <is>
          <t>Corrigendum_VI.pdf</t>
        </is>
      </c>
      <c r="K1301" t="inlineStr">
        <is>
          <t>Not found</t>
        </is>
      </c>
      <c r="L1301" t="inlineStr">
        <is>
          <t>Unknown</t>
        </is>
      </c>
      <c r="T1301" t="inlineStr">
        <is>
          <t>https://tenders.iglonline.net/uploads/tender/Corrigendum_VI.pdf</t>
        </is>
      </c>
      <c r="U1301" t="inlineStr">
        <is>
          <t>No</t>
        </is>
      </c>
      <c r="V1301" t="inlineStr">
        <is>
          <t>Bot tarafindan tespit edildi (2026-07-01)</t>
        </is>
      </c>
    </row>
    <row r="1302">
      <c r="A1302" t="inlineStr">
        <is>
          <t>T-1106</t>
        </is>
      </c>
      <c r="B1302" t="inlineStr">
        <is>
          <t>Indraprastha Gas (IGL)</t>
        </is>
      </c>
      <c r="C1302" t="inlineStr">
        <is>
          <t>Indraprastha Gas (IGL)</t>
        </is>
      </c>
      <c r="F1302" t="inlineStr">
        <is>
          <t>New Lead</t>
        </is>
      </c>
      <c r="H1302" t="inlineStr">
        <is>
          <t>Corrigendum_VII.pdf</t>
        </is>
      </c>
      <c r="K1302" t="inlineStr">
        <is>
          <t>Not found</t>
        </is>
      </c>
      <c r="L1302" t="inlineStr">
        <is>
          <t>Unknown</t>
        </is>
      </c>
      <c r="T1302" t="inlineStr">
        <is>
          <t>https://tenders.iglonline.net/uploads/tender/Corrigendum_VII.pdf</t>
        </is>
      </c>
      <c r="U1302" t="inlineStr">
        <is>
          <t>No</t>
        </is>
      </c>
      <c r="V1302" t="inlineStr">
        <is>
          <t>Bot tarafindan tespit edildi (2026-07-01)</t>
        </is>
      </c>
    </row>
    <row r="1303">
      <c r="A1303" t="inlineStr">
        <is>
          <t>T-1107</t>
        </is>
      </c>
      <c r="B1303" t="inlineStr">
        <is>
          <t>Indraprastha Gas (IGL)</t>
        </is>
      </c>
      <c r="C1303" t="inlineStr">
        <is>
          <t>Indraprastha Gas (IGL)</t>
        </is>
      </c>
      <c r="F1303" t="inlineStr">
        <is>
          <t>New Lead</t>
        </is>
      </c>
      <c r="H1303" t="inlineStr">
        <is>
          <t>Corrigendum_VIII.pdf</t>
        </is>
      </c>
      <c r="K1303" t="inlineStr">
        <is>
          <t>Not found</t>
        </is>
      </c>
      <c r="L1303" t="inlineStr">
        <is>
          <t>Unknown</t>
        </is>
      </c>
      <c r="T1303" t="inlineStr">
        <is>
          <t>https://tenders.iglonline.net/uploads/tender/Corrigendum_VIII.pdf</t>
        </is>
      </c>
      <c r="U1303" t="inlineStr">
        <is>
          <t>No</t>
        </is>
      </c>
      <c r="V1303" t="inlineStr">
        <is>
          <t>Bot tarafindan tespit edildi (2026-07-01)</t>
        </is>
      </c>
    </row>
    <row r="1304">
      <c r="A1304" t="inlineStr">
        <is>
          <t>T-1108</t>
        </is>
      </c>
      <c r="B1304" t="inlineStr">
        <is>
          <t>Indraprastha Gas (IGL)</t>
        </is>
      </c>
      <c r="C1304" t="inlineStr">
        <is>
          <t>Indraprastha Gas (IGL)</t>
        </is>
      </c>
      <c r="F1304" t="inlineStr">
        <is>
          <t>New Lead</t>
        </is>
      </c>
      <c r="H1304" t="inlineStr">
        <is>
          <t>Corrigendum_IX_Cancellation_of_tender.pdf</t>
        </is>
      </c>
      <c r="K1304" t="inlineStr">
        <is>
          <t>Not found</t>
        </is>
      </c>
      <c r="L1304" t="inlineStr">
        <is>
          <t>Unknown</t>
        </is>
      </c>
      <c r="T1304" t="inlineStr">
        <is>
          <t>https://tenders.iglonline.net/uploads/tender/Corrigendum_IX_Cancellation_of_tender.pdf</t>
        </is>
      </c>
      <c r="U1304" t="inlineStr">
        <is>
          <t>No</t>
        </is>
      </c>
      <c r="V1304" t="inlineStr">
        <is>
          <t>Bot tarafindan tespit edildi (2026-07-01)</t>
        </is>
      </c>
    </row>
    <row r="1305">
      <c r="A1305" t="inlineStr">
        <is>
          <t>T-1109</t>
        </is>
      </c>
      <c r="B1305" t="inlineStr">
        <is>
          <t>Indraprastha Gas (IGL)</t>
        </is>
      </c>
      <c r="C1305" t="inlineStr">
        <is>
          <t>Indraprastha Gas (IGL)</t>
        </is>
      </c>
      <c r="F1305" t="inlineStr">
        <is>
          <t>New Lead</t>
        </is>
      </c>
      <c r="H1305" t="inlineStr">
        <is>
          <t>View Tender</t>
        </is>
      </c>
      <c r="K1305" t="inlineStr">
        <is>
          <t>Not found</t>
        </is>
      </c>
      <c r="L1305" t="inlineStr">
        <is>
          <t>Unknown</t>
        </is>
      </c>
      <c r="T1305" t="inlineStr">
        <is>
          <t>https://tenders.iglonline.net/tenderDetail/206/Active Tenders And Corrigendum-Addendum</t>
        </is>
      </c>
      <c r="U1305" t="inlineStr">
        <is>
          <t>No</t>
        </is>
      </c>
      <c r="V1305" t="inlineStr">
        <is>
          <t>Bot tarafindan tespit edildi (2026-07-01)</t>
        </is>
      </c>
    </row>
    <row r="1306">
      <c r="A1306" t="inlineStr">
        <is>
          <t>T-1110</t>
        </is>
      </c>
      <c r="B1306" t="inlineStr">
        <is>
          <t>Indraprastha Gas (IGL)</t>
        </is>
      </c>
      <c r="C1306" t="inlineStr">
        <is>
          <t>Indraprastha Gas (IGL)</t>
        </is>
      </c>
      <c r="F1306" t="inlineStr">
        <is>
          <t>New Lead</t>
        </is>
      </c>
      <c r="H1306" t="inlineStr">
        <is>
          <t>Corrigendum_1_CP17667.pdf</t>
        </is>
      </c>
      <c r="K1306" t="inlineStr">
        <is>
          <t>Not found</t>
        </is>
      </c>
      <c r="L1306" t="inlineStr">
        <is>
          <t>Unknown</t>
        </is>
      </c>
      <c r="T1306" t="inlineStr">
        <is>
          <t>https://tenders.iglonline.net/uploads/tender/Corrigendum_1_CP17667.pdf</t>
        </is>
      </c>
      <c r="U1306" t="inlineStr">
        <is>
          <t>No</t>
        </is>
      </c>
      <c r="V1306" t="inlineStr">
        <is>
          <t>Bot tarafindan tespit edildi (2026-07-01)</t>
        </is>
      </c>
    </row>
    <row r="1307">
      <c r="A1307" t="inlineStr">
        <is>
          <t>T-1111</t>
        </is>
      </c>
      <c r="B1307" t="inlineStr">
        <is>
          <t>Indraprastha Gas (IGL)</t>
        </is>
      </c>
      <c r="C1307" t="inlineStr">
        <is>
          <t>Indraprastha Gas (IGL)</t>
        </is>
      </c>
      <c r="F1307" t="inlineStr">
        <is>
          <t>New Lead</t>
        </is>
      </c>
      <c r="H1307" t="inlineStr">
        <is>
          <t>Corrigendum_2_CP17667.pdf</t>
        </is>
      </c>
      <c r="K1307" t="inlineStr">
        <is>
          <t>Not found</t>
        </is>
      </c>
      <c r="L1307" t="inlineStr">
        <is>
          <t>Unknown</t>
        </is>
      </c>
      <c r="T1307" t="inlineStr">
        <is>
          <t>https://tenders.iglonline.net/uploads/tender/Corrigendum_2_CP17667.pdf</t>
        </is>
      </c>
      <c r="U1307" t="inlineStr">
        <is>
          <t>No</t>
        </is>
      </c>
      <c r="V1307" t="inlineStr">
        <is>
          <t>Bot tarafindan tespit edildi (2026-07-01)</t>
        </is>
      </c>
    </row>
    <row r="1308">
      <c r="A1308" t="inlineStr">
        <is>
          <t>T-1112</t>
        </is>
      </c>
      <c r="B1308" t="inlineStr">
        <is>
          <t>Indraprastha Gas (IGL)</t>
        </is>
      </c>
      <c r="C1308" t="inlineStr">
        <is>
          <t>Indraprastha Gas (IGL)</t>
        </is>
      </c>
      <c r="F1308" t="inlineStr">
        <is>
          <t>New Lead</t>
        </is>
      </c>
      <c r="H1308" t="inlineStr">
        <is>
          <t>Corrigendum_3_CP17667.pdf</t>
        </is>
      </c>
      <c r="K1308" t="inlineStr">
        <is>
          <t>Not found</t>
        </is>
      </c>
      <c r="L1308" t="inlineStr">
        <is>
          <t>Unknown</t>
        </is>
      </c>
      <c r="T1308" t="inlineStr">
        <is>
          <t>https://tenders.iglonline.net/uploads/tender/Corrigendum_3_CP17667.pdf</t>
        </is>
      </c>
      <c r="U1308" t="inlineStr">
        <is>
          <t>No</t>
        </is>
      </c>
      <c r="V1308" t="inlineStr">
        <is>
          <t>Bot tarafindan tespit edildi (2026-07-01)</t>
        </is>
      </c>
    </row>
    <row r="1309">
      <c r="A1309" t="inlineStr">
        <is>
          <t>T-1113</t>
        </is>
      </c>
      <c r="B1309" t="inlineStr">
        <is>
          <t>Indraprastha Gas (IGL)</t>
        </is>
      </c>
      <c r="C1309" t="inlineStr">
        <is>
          <t>Indraprastha Gas (IGL)</t>
        </is>
      </c>
      <c r="F1309" t="inlineStr">
        <is>
          <t>New Lead</t>
        </is>
      </c>
      <c r="H1309" t="inlineStr">
        <is>
          <t>Corrigendum_4_CP17667.pdf</t>
        </is>
      </c>
      <c r="K1309" t="inlineStr">
        <is>
          <t>Not found</t>
        </is>
      </c>
      <c r="L1309" t="inlineStr">
        <is>
          <t>Unknown</t>
        </is>
      </c>
      <c r="T1309" t="inlineStr">
        <is>
          <t>https://tenders.iglonline.net/uploads/tender/Corrigendum_4_CP17667.pdf</t>
        </is>
      </c>
      <c r="U1309" t="inlineStr">
        <is>
          <t>No</t>
        </is>
      </c>
      <c r="V1309" t="inlineStr">
        <is>
          <t>Bot tarafindan tespit edildi (2026-07-01)</t>
        </is>
      </c>
    </row>
    <row r="1310">
      <c r="A1310" t="inlineStr">
        <is>
          <t>T-1114</t>
        </is>
      </c>
      <c r="B1310" t="inlineStr">
        <is>
          <t>Indraprastha Gas (IGL)</t>
        </is>
      </c>
      <c r="C1310" t="inlineStr">
        <is>
          <t>Indraprastha Gas (IGL)</t>
        </is>
      </c>
      <c r="F1310" t="inlineStr">
        <is>
          <t>New Lead</t>
        </is>
      </c>
      <c r="H1310" t="inlineStr">
        <is>
          <t>RTBQ_CP17667.pdf</t>
        </is>
      </c>
      <c r="K1310" t="inlineStr">
        <is>
          <t>Not found</t>
        </is>
      </c>
      <c r="L1310" t="inlineStr">
        <is>
          <t>Unknown</t>
        </is>
      </c>
      <c r="T1310" t="inlineStr">
        <is>
          <t>https://tenders.iglonline.net/uploads/tender/RTBQ_CP17667.pdf</t>
        </is>
      </c>
      <c r="U1310" t="inlineStr">
        <is>
          <t>No</t>
        </is>
      </c>
      <c r="V1310" t="inlineStr">
        <is>
          <t>Bot tarafindan tespit edildi (2026-07-01)</t>
        </is>
      </c>
    </row>
    <row r="1311">
      <c r="A1311" t="inlineStr">
        <is>
          <t>T-1115</t>
        </is>
      </c>
      <c r="B1311" t="inlineStr">
        <is>
          <t>Indraprastha Gas (IGL)</t>
        </is>
      </c>
      <c r="C1311" t="inlineStr">
        <is>
          <t>Indraprastha Gas (IGL)</t>
        </is>
      </c>
      <c r="F1311" t="inlineStr">
        <is>
          <t>New Lead</t>
        </is>
      </c>
      <c r="H1311" t="inlineStr">
        <is>
          <t>View Tender</t>
        </is>
      </c>
      <c r="K1311" t="inlineStr">
        <is>
          <t>Not found</t>
        </is>
      </c>
      <c r="L1311" t="inlineStr">
        <is>
          <t>Unknown</t>
        </is>
      </c>
      <c r="T1311" t="inlineStr">
        <is>
          <t>https://tenders.iglonline.net/tenderDetail/205/Active Tenders And Corrigendum-Addendum</t>
        </is>
      </c>
      <c r="U1311" t="inlineStr">
        <is>
          <t>No</t>
        </is>
      </c>
      <c r="V1311" t="inlineStr">
        <is>
          <t>Bot tarafindan tespit edildi (2026-07-01)</t>
        </is>
      </c>
    </row>
    <row r="1312">
      <c r="A1312" t="inlineStr">
        <is>
          <t>T-1116</t>
        </is>
      </c>
      <c r="B1312" t="inlineStr">
        <is>
          <t>Indraprastha Gas (IGL)</t>
        </is>
      </c>
      <c r="C1312" t="inlineStr">
        <is>
          <t>Indraprastha Gas (IGL)</t>
        </is>
      </c>
      <c r="F1312" t="inlineStr">
        <is>
          <t>New Lead</t>
        </is>
      </c>
      <c r="H1312" t="inlineStr">
        <is>
          <t>Corrigendum_I_CC17683.pdf</t>
        </is>
      </c>
      <c r="K1312" t="inlineStr">
        <is>
          <t>Not found</t>
        </is>
      </c>
      <c r="L1312" t="inlineStr">
        <is>
          <t>Unknown</t>
        </is>
      </c>
      <c r="T1312" t="inlineStr">
        <is>
          <t>https://tenders.iglonline.net/uploads/tender/Corrigendum_I_CC17683.pdf</t>
        </is>
      </c>
      <c r="U1312" t="inlineStr">
        <is>
          <t>No</t>
        </is>
      </c>
      <c r="V1312" t="inlineStr">
        <is>
          <t>Bot tarafindan tespit edildi (2026-07-01)</t>
        </is>
      </c>
    </row>
    <row r="1313">
      <c r="A1313" t="inlineStr">
        <is>
          <t>T-1117</t>
        </is>
      </c>
      <c r="B1313" t="inlineStr">
        <is>
          <t>Indraprastha Gas (IGL)</t>
        </is>
      </c>
      <c r="C1313" t="inlineStr">
        <is>
          <t>Indraprastha Gas (IGL)</t>
        </is>
      </c>
      <c r="F1313" t="inlineStr">
        <is>
          <t>New Lead</t>
        </is>
      </c>
      <c r="H1313" t="inlineStr">
        <is>
          <t>Corrigendum_II_CC17683.pdf</t>
        </is>
      </c>
      <c r="K1313" t="inlineStr">
        <is>
          <t>Not found</t>
        </is>
      </c>
      <c r="L1313" t="inlineStr">
        <is>
          <t>Unknown</t>
        </is>
      </c>
      <c r="T1313" t="inlineStr">
        <is>
          <t>https://tenders.iglonline.net/uploads/tender/Corrigendum_II_CC17683.pdf</t>
        </is>
      </c>
      <c r="U1313" t="inlineStr">
        <is>
          <t>No</t>
        </is>
      </c>
      <c r="V1313" t="inlineStr">
        <is>
          <t>Bot tarafindan tespit edildi (2026-07-01)</t>
        </is>
      </c>
    </row>
    <row r="1314">
      <c r="A1314" t="inlineStr">
        <is>
          <t>T-1118</t>
        </is>
      </c>
      <c r="B1314" t="inlineStr">
        <is>
          <t>Indraprastha Gas (IGL)</t>
        </is>
      </c>
      <c r="C1314" t="inlineStr">
        <is>
          <t>Indraprastha Gas (IGL)</t>
        </is>
      </c>
      <c r="F1314" t="inlineStr">
        <is>
          <t>New Lead</t>
        </is>
      </c>
      <c r="H1314" t="inlineStr">
        <is>
          <t>View Tender</t>
        </is>
      </c>
      <c r="K1314" t="inlineStr">
        <is>
          <t>Not found</t>
        </is>
      </c>
      <c r="L1314" t="inlineStr">
        <is>
          <t>Unknown</t>
        </is>
      </c>
      <c r="T1314" t="inlineStr">
        <is>
          <t>https://tenders.iglonline.net/tenderDetail/204/Active Tenders And Corrigendum-Addendum</t>
        </is>
      </c>
      <c r="U1314" t="inlineStr">
        <is>
          <t>No</t>
        </is>
      </c>
      <c r="V1314" t="inlineStr">
        <is>
          <t>Bot tarafindan tespit edildi (2026-07-01)</t>
        </is>
      </c>
    </row>
    <row r="1315">
      <c r="A1315" t="inlineStr">
        <is>
          <t>T-1119</t>
        </is>
      </c>
      <c r="B1315" t="inlineStr">
        <is>
          <t>Indraprastha Gas (IGL)</t>
        </is>
      </c>
      <c r="C1315" t="inlineStr">
        <is>
          <t>Indraprastha Gas (IGL)</t>
        </is>
      </c>
      <c r="F1315" t="inlineStr">
        <is>
          <t>New Lead</t>
        </is>
      </c>
      <c r="H1315" t="inlineStr">
        <is>
          <t>Reply_Pre_bid_Queries_CC17680.pdf</t>
        </is>
      </c>
      <c r="K1315" t="inlineStr">
        <is>
          <t>Not found</t>
        </is>
      </c>
      <c r="L1315" t="inlineStr">
        <is>
          <t>Unknown</t>
        </is>
      </c>
      <c r="T1315" t="inlineStr">
        <is>
          <t>https://tenders.iglonline.net/uploads/tender/Reply_Pre_bid_Queries_CC17680.pdf</t>
        </is>
      </c>
      <c r="U1315" t="inlineStr">
        <is>
          <t>No</t>
        </is>
      </c>
      <c r="V1315" t="inlineStr">
        <is>
          <t>Bot tarafindan tespit edildi (2026-07-01)</t>
        </is>
      </c>
    </row>
    <row r="1316">
      <c r="A1316" t="inlineStr">
        <is>
          <t>T-1120</t>
        </is>
      </c>
      <c r="B1316" t="inlineStr">
        <is>
          <t>Indraprastha Gas (IGL)</t>
        </is>
      </c>
      <c r="C1316" t="inlineStr">
        <is>
          <t>Indraprastha Gas (IGL)</t>
        </is>
      </c>
      <c r="F1316" t="inlineStr">
        <is>
          <t>New Lead</t>
        </is>
      </c>
      <c r="H1316" t="inlineStr">
        <is>
          <t>Corrigendum_I_(6).pdf</t>
        </is>
      </c>
      <c r="K1316" t="inlineStr">
        <is>
          <t>Not found</t>
        </is>
      </c>
      <c r="L1316" t="inlineStr">
        <is>
          <t>Unknown</t>
        </is>
      </c>
      <c r="T1316" t="inlineStr">
        <is>
          <t>https://tenders.iglonline.net/uploads/tender/Corrigendum_I_(6).pdf</t>
        </is>
      </c>
      <c r="U1316" t="inlineStr">
        <is>
          <t>No</t>
        </is>
      </c>
      <c r="V1316" t="inlineStr">
        <is>
          <t>Bot tarafindan tespit edildi (2026-07-01)</t>
        </is>
      </c>
    </row>
    <row r="1317">
      <c r="A1317" t="inlineStr">
        <is>
          <t>T-1121</t>
        </is>
      </c>
      <c r="B1317" t="inlineStr">
        <is>
          <t>Indraprastha Gas (IGL)</t>
        </is>
      </c>
      <c r="C1317" t="inlineStr">
        <is>
          <t>Indraprastha Gas (IGL)</t>
        </is>
      </c>
      <c r="F1317" t="inlineStr">
        <is>
          <t>New Lead</t>
        </is>
      </c>
      <c r="H1317" t="inlineStr">
        <is>
          <t>View Tender</t>
        </is>
      </c>
      <c r="K1317" t="inlineStr">
        <is>
          <t>Not found</t>
        </is>
      </c>
      <c r="L1317" t="inlineStr">
        <is>
          <t>Unknown</t>
        </is>
      </c>
      <c r="T1317" t="inlineStr">
        <is>
          <t>https://tenders.iglonline.net/tenderDetail/203/Active Tenders And Corrigendum-Addendum</t>
        </is>
      </c>
      <c r="U1317" t="inlineStr">
        <is>
          <t>No</t>
        </is>
      </c>
      <c r="V1317" t="inlineStr">
        <is>
          <t>Bot tarafindan tespit edildi (2026-07-01)</t>
        </is>
      </c>
    </row>
    <row r="1318">
      <c r="A1318" t="inlineStr">
        <is>
          <t>T-1122</t>
        </is>
      </c>
      <c r="B1318" t="inlineStr">
        <is>
          <t>Indraprastha Gas (IGL)</t>
        </is>
      </c>
      <c r="C1318" t="inlineStr">
        <is>
          <t>Indraprastha Gas (IGL)</t>
        </is>
      </c>
      <c r="F1318" t="inlineStr">
        <is>
          <t>New Lead</t>
        </is>
      </c>
      <c r="H1318" t="inlineStr">
        <is>
          <t>Corrigendum_I_CC17702.pdf</t>
        </is>
      </c>
      <c r="K1318" t="inlineStr">
        <is>
          <t>Not found</t>
        </is>
      </c>
      <c r="L1318" t="inlineStr">
        <is>
          <t>Unknown</t>
        </is>
      </c>
      <c r="T1318" t="inlineStr">
        <is>
          <t>https://tenders.iglonline.net/uploads/tender/Corrigendum_I_CC17702.pdf</t>
        </is>
      </c>
      <c r="U1318" t="inlineStr">
        <is>
          <t>No</t>
        </is>
      </c>
      <c r="V1318" t="inlineStr">
        <is>
          <t>Bot tarafindan tespit edildi (2026-07-01)</t>
        </is>
      </c>
    </row>
    <row r="1319">
      <c r="A1319" t="inlineStr">
        <is>
          <t>T-1123</t>
        </is>
      </c>
      <c r="B1319" t="inlineStr">
        <is>
          <t>Indraprastha Gas (IGL)</t>
        </is>
      </c>
      <c r="C1319" t="inlineStr">
        <is>
          <t>Indraprastha Gas (IGL)</t>
        </is>
      </c>
      <c r="F1319" t="inlineStr">
        <is>
          <t>New Lead</t>
        </is>
      </c>
      <c r="H1319" t="inlineStr">
        <is>
          <t>View Tender</t>
        </is>
      </c>
      <c r="K1319" t="inlineStr">
        <is>
          <t>Not found</t>
        </is>
      </c>
      <c r="L1319" t="inlineStr">
        <is>
          <t>Unknown</t>
        </is>
      </c>
      <c r="T1319" t="inlineStr">
        <is>
          <t>https://tenders.iglonline.net/tenderDetail/202/Active Tenders And Corrigendum-Addendum</t>
        </is>
      </c>
      <c r="U1319" t="inlineStr">
        <is>
          <t>No</t>
        </is>
      </c>
      <c r="V1319" t="inlineStr">
        <is>
          <t>Bot tarafindan tespit edildi (2026-07-01)</t>
        </is>
      </c>
    </row>
    <row r="1320">
      <c r="A1320" t="inlineStr">
        <is>
          <t>T-1124</t>
        </is>
      </c>
      <c r="B1320" t="inlineStr">
        <is>
          <t>Indraprastha Gas (IGL)</t>
        </is>
      </c>
      <c r="C1320" t="inlineStr">
        <is>
          <t>Indraprastha Gas (IGL)</t>
        </is>
      </c>
      <c r="F1320" t="inlineStr">
        <is>
          <t>New Lead</t>
        </is>
      </c>
      <c r="H1320" t="inlineStr">
        <is>
          <t>Corrigendum-I__CC17695.pdf</t>
        </is>
      </c>
      <c r="K1320" t="inlineStr">
        <is>
          <t>Not found</t>
        </is>
      </c>
      <c r="L1320" t="inlineStr">
        <is>
          <t>Unknown</t>
        </is>
      </c>
      <c r="T1320" t="inlineStr">
        <is>
          <t>https://tenders.iglonline.net/uploads/tender/Corrigendum-I__CC17695.pdf</t>
        </is>
      </c>
      <c r="U1320" t="inlineStr">
        <is>
          <t>No</t>
        </is>
      </c>
      <c r="V1320" t="inlineStr">
        <is>
          <t>Bot tarafindan tespit edildi (2026-07-01)</t>
        </is>
      </c>
    </row>
    <row r="1321">
      <c r="A1321" t="inlineStr">
        <is>
          <t>T-1125</t>
        </is>
      </c>
      <c r="B1321" t="inlineStr">
        <is>
          <t>Indraprastha Gas (IGL)</t>
        </is>
      </c>
      <c r="C1321" t="inlineStr">
        <is>
          <t>Indraprastha Gas (IGL)</t>
        </is>
      </c>
      <c r="F1321" t="inlineStr">
        <is>
          <t>New Lead</t>
        </is>
      </c>
      <c r="H1321" t="inlineStr">
        <is>
          <t>Corrigendum-II__CC17695.pdf</t>
        </is>
      </c>
      <c r="K1321" t="inlineStr">
        <is>
          <t>Not found</t>
        </is>
      </c>
      <c r="L1321" t="inlineStr">
        <is>
          <t>Unknown</t>
        </is>
      </c>
      <c r="T1321" t="inlineStr">
        <is>
          <t>https://tenders.iglonline.net/uploads/tender/Corrigendum-II__CC17695.pdf</t>
        </is>
      </c>
      <c r="U1321" t="inlineStr">
        <is>
          <t>No</t>
        </is>
      </c>
      <c r="V1321" t="inlineStr">
        <is>
          <t>Bot tarafindan tespit edildi (2026-07-01)</t>
        </is>
      </c>
    </row>
    <row r="1322">
      <c r="A1322" t="inlineStr">
        <is>
          <t>T-1126</t>
        </is>
      </c>
      <c r="B1322" t="inlineStr">
        <is>
          <t>Indraprastha Gas (IGL)</t>
        </is>
      </c>
      <c r="C1322" t="inlineStr">
        <is>
          <t>Indraprastha Gas (IGL)</t>
        </is>
      </c>
      <c r="F1322" t="inlineStr">
        <is>
          <t>New Lead</t>
        </is>
      </c>
      <c r="H1322" t="inlineStr">
        <is>
          <t>View Tender</t>
        </is>
      </c>
      <c r="K1322" t="inlineStr">
        <is>
          <t>Not found</t>
        </is>
      </c>
      <c r="L1322" t="inlineStr">
        <is>
          <t>Unknown</t>
        </is>
      </c>
      <c r="T1322" t="inlineStr">
        <is>
          <t>https://tenders.iglonline.net/tenderDetail/201/Active Tenders And Corrigendum-Addendum</t>
        </is>
      </c>
      <c r="U1322" t="inlineStr">
        <is>
          <t>No</t>
        </is>
      </c>
      <c r="V1322" t="inlineStr">
        <is>
          <t>Bot tarafindan tespit edildi (2026-07-01)</t>
        </is>
      </c>
    </row>
    <row r="1323">
      <c r="A1323" t="inlineStr">
        <is>
          <t>T-1127</t>
        </is>
      </c>
      <c r="B1323" t="inlineStr">
        <is>
          <t>Indraprastha Gas (IGL)</t>
        </is>
      </c>
      <c r="C1323" t="inlineStr">
        <is>
          <t>Indraprastha Gas (IGL)</t>
        </is>
      </c>
      <c r="F1323" t="inlineStr">
        <is>
          <t>New Lead</t>
        </is>
      </c>
      <c r="H1323" t="inlineStr">
        <is>
          <t>CORRIGENDUM_1_(1).pdf</t>
        </is>
      </c>
      <c r="K1323" t="inlineStr">
        <is>
          <t>Not found</t>
        </is>
      </c>
      <c r="L1323" t="inlineStr">
        <is>
          <t>Unknown</t>
        </is>
      </c>
      <c r="T1323" t="inlineStr">
        <is>
          <t>https://tenders.iglonline.net/uploads/tender/CORRIGENDUM_1_(1).pdf</t>
        </is>
      </c>
      <c r="U1323" t="inlineStr">
        <is>
          <t>No</t>
        </is>
      </c>
      <c r="V1323" t="inlineStr">
        <is>
          <t>Bot tarafindan tespit edildi (2026-07-01)</t>
        </is>
      </c>
    </row>
    <row r="1324">
      <c r="A1324" t="inlineStr">
        <is>
          <t>T-1128</t>
        </is>
      </c>
      <c r="B1324" t="inlineStr">
        <is>
          <t>Indraprastha Gas (IGL)</t>
        </is>
      </c>
      <c r="C1324" t="inlineStr">
        <is>
          <t>Indraprastha Gas (IGL)</t>
        </is>
      </c>
      <c r="F1324" t="inlineStr">
        <is>
          <t>New Lead</t>
        </is>
      </c>
      <c r="H1324" t="inlineStr">
        <is>
          <t>Replies_to_Pre_bid_queries_consolidated__DR_hosting.pdf</t>
        </is>
      </c>
      <c r="K1324" t="inlineStr">
        <is>
          <t>Not found</t>
        </is>
      </c>
      <c r="L1324" t="inlineStr">
        <is>
          <t>Unknown</t>
        </is>
      </c>
      <c r="T1324" t="inlineStr">
        <is>
          <t>https://tenders.iglonline.net/uploads/tender/Replies_to_Pre_bid_queries_consolidated__DR_hosting.pdf</t>
        </is>
      </c>
      <c r="U1324" t="inlineStr">
        <is>
          <t>No</t>
        </is>
      </c>
      <c r="V1324" t="inlineStr">
        <is>
          <t>Bot tarafindan tespit edildi (2026-07-01)</t>
        </is>
      </c>
    </row>
    <row r="1325">
      <c r="A1325" t="inlineStr">
        <is>
          <t>T-1129</t>
        </is>
      </c>
      <c r="B1325" t="inlineStr">
        <is>
          <t>Indraprastha Gas (IGL)</t>
        </is>
      </c>
      <c r="C1325" t="inlineStr">
        <is>
          <t>Indraprastha Gas (IGL)</t>
        </is>
      </c>
      <c r="F1325" t="inlineStr">
        <is>
          <t>New Lead</t>
        </is>
      </c>
      <c r="H1325" t="inlineStr">
        <is>
          <t>CORRIGENDUM_3_CM17635.pdf</t>
        </is>
      </c>
      <c r="K1325" t="inlineStr">
        <is>
          <t>Not found</t>
        </is>
      </c>
      <c r="L1325" t="inlineStr">
        <is>
          <t>Unknown</t>
        </is>
      </c>
      <c r="T1325" t="inlineStr">
        <is>
          <t>https://tenders.iglonline.net/uploads/tender/CORRIGENDUM_3_CM17635.pdf</t>
        </is>
      </c>
      <c r="U1325" t="inlineStr">
        <is>
          <t>No</t>
        </is>
      </c>
      <c r="V1325" t="inlineStr">
        <is>
          <t>Bot tarafindan tespit edildi (2026-07-01)</t>
        </is>
      </c>
    </row>
    <row r="1326">
      <c r="A1326" t="inlineStr">
        <is>
          <t>T-1130</t>
        </is>
      </c>
      <c r="B1326" t="inlineStr">
        <is>
          <t>Indraprastha Gas (IGL)</t>
        </is>
      </c>
      <c r="C1326" t="inlineStr">
        <is>
          <t>Indraprastha Gas (IGL)</t>
        </is>
      </c>
      <c r="F1326" t="inlineStr">
        <is>
          <t>New Lead</t>
        </is>
      </c>
      <c r="H1326" t="inlineStr">
        <is>
          <t>View Tender</t>
        </is>
      </c>
      <c r="K1326" t="inlineStr">
        <is>
          <t>Not found</t>
        </is>
      </c>
      <c r="L1326" t="inlineStr">
        <is>
          <t>Unknown</t>
        </is>
      </c>
      <c r="T1326" t="inlineStr">
        <is>
          <t>https://tenders.iglonline.net/tenderDetail/200/Active Tenders And Corrigendum-Addendum</t>
        </is>
      </c>
      <c r="U1326" t="inlineStr">
        <is>
          <t>No</t>
        </is>
      </c>
      <c r="V1326" t="inlineStr">
        <is>
          <t>Bot tarafindan tespit edildi (2026-07-01)</t>
        </is>
      </c>
    </row>
    <row r="1327">
      <c r="A1327" t="inlineStr">
        <is>
          <t>T-1131</t>
        </is>
      </c>
      <c r="B1327" t="inlineStr">
        <is>
          <t>Indraprastha Gas (IGL)</t>
        </is>
      </c>
      <c r="C1327" t="inlineStr">
        <is>
          <t>Indraprastha Gas (IGL)</t>
        </is>
      </c>
      <c r="F1327" t="inlineStr">
        <is>
          <t>New Lead</t>
        </is>
      </c>
      <c r="H1327" t="inlineStr">
        <is>
          <t>Corrigendum_I_CP17626.pdf</t>
        </is>
      </c>
      <c r="K1327" t="inlineStr">
        <is>
          <t>Not found</t>
        </is>
      </c>
      <c r="L1327" t="inlineStr">
        <is>
          <t>Unknown</t>
        </is>
      </c>
      <c r="T1327" t="inlineStr">
        <is>
          <t>https://tenders.iglonline.net/uploads/tender/Corrigendum_I_CP17626.pdf</t>
        </is>
      </c>
      <c r="U1327" t="inlineStr">
        <is>
          <t>No</t>
        </is>
      </c>
      <c r="V1327" t="inlineStr">
        <is>
          <t>Bot tarafindan tespit edildi (2026-07-01)</t>
        </is>
      </c>
    </row>
    <row r="1328">
      <c r="A1328" t="inlineStr">
        <is>
          <t>T-1132</t>
        </is>
      </c>
      <c r="B1328" t="inlineStr">
        <is>
          <t>Indraprastha Gas (IGL)</t>
        </is>
      </c>
      <c r="C1328" t="inlineStr">
        <is>
          <t>Indraprastha Gas (IGL)</t>
        </is>
      </c>
      <c r="F1328" t="inlineStr">
        <is>
          <t>New Lead</t>
        </is>
      </c>
      <c r="H1328" t="inlineStr">
        <is>
          <t>Corrigendum_II_CP17626.pdf</t>
        </is>
      </c>
      <c r="K1328" t="inlineStr">
        <is>
          <t>Not found</t>
        </is>
      </c>
      <c r="L1328" t="inlineStr">
        <is>
          <t>Unknown</t>
        </is>
      </c>
      <c r="T1328" t="inlineStr">
        <is>
          <t>https://tenders.iglonline.net/uploads/tender/Corrigendum_II_CP17626.pdf</t>
        </is>
      </c>
      <c r="U1328" t="inlineStr">
        <is>
          <t>No</t>
        </is>
      </c>
      <c r="V1328" t="inlineStr">
        <is>
          <t>Bot tarafindan tespit edildi (2026-07-01)</t>
        </is>
      </c>
    </row>
    <row r="1329">
      <c r="A1329" t="inlineStr">
        <is>
          <t>T-1133</t>
        </is>
      </c>
      <c r="B1329" t="inlineStr">
        <is>
          <t>Indraprastha Gas (IGL)</t>
        </is>
      </c>
      <c r="C1329" t="inlineStr">
        <is>
          <t>Indraprastha Gas (IGL)</t>
        </is>
      </c>
      <c r="F1329" t="inlineStr">
        <is>
          <t>New Lead</t>
        </is>
      </c>
      <c r="H1329" t="inlineStr">
        <is>
          <t>View Tender</t>
        </is>
      </c>
      <c r="K1329" t="inlineStr">
        <is>
          <t>Not found</t>
        </is>
      </c>
      <c r="L1329" t="inlineStr">
        <is>
          <t>Unknown</t>
        </is>
      </c>
      <c r="T1329" t="inlineStr">
        <is>
          <t>https://tenders.iglonline.net/tenderDetail/199/Active Tenders And Corrigendum-Addendum</t>
        </is>
      </c>
      <c r="U1329" t="inlineStr">
        <is>
          <t>No</t>
        </is>
      </c>
      <c r="V1329" t="inlineStr">
        <is>
          <t>Bot tarafindan tespit edildi (2026-07-01)</t>
        </is>
      </c>
    </row>
    <row r="1330">
      <c r="A1330" t="inlineStr">
        <is>
          <t>T-1134</t>
        </is>
      </c>
      <c r="B1330" t="inlineStr">
        <is>
          <t>Indraprastha Gas (IGL)</t>
        </is>
      </c>
      <c r="C1330" t="inlineStr">
        <is>
          <t>Indraprastha Gas (IGL)</t>
        </is>
      </c>
      <c r="F1330" t="inlineStr">
        <is>
          <t>New Lead</t>
        </is>
      </c>
      <c r="H1330" t="inlineStr">
        <is>
          <t>Corrigendum_I2.pdf</t>
        </is>
      </c>
      <c r="K1330" t="inlineStr">
        <is>
          <t>Not found</t>
        </is>
      </c>
      <c r="L1330" t="inlineStr">
        <is>
          <t>Unknown</t>
        </is>
      </c>
      <c r="T1330" t="inlineStr">
        <is>
          <t>https://tenders.iglonline.net/uploads/tender/Corrigendum_I2.pdf</t>
        </is>
      </c>
      <c r="U1330" t="inlineStr">
        <is>
          <t>No</t>
        </is>
      </c>
      <c r="V1330" t="inlineStr">
        <is>
          <t>Bot tarafindan tespit edildi (2026-07-01)</t>
        </is>
      </c>
    </row>
    <row r="1331">
      <c r="A1331" t="inlineStr">
        <is>
          <t>T-1135</t>
        </is>
      </c>
      <c r="B1331" t="inlineStr">
        <is>
          <t>Indraprastha Gas (IGL)</t>
        </is>
      </c>
      <c r="C1331" t="inlineStr">
        <is>
          <t>Indraprastha Gas (IGL)</t>
        </is>
      </c>
      <c r="F1331" t="inlineStr">
        <is>
          <t>New Lead</t>
        </is>
      </c>
      <c r="H1331" t="inlineStr">
        <is>
          <t>Corrigendum_II___.pdf</t>
        </is>
      </c>
      <c r="K1331" t="inlineStr">
        <is>
          <t>Not found</t>
        </is>
      </c>
      <c r="L1331" t="inlineStr">
        <is>
          <t>Unknown</t>
        </is>
      </c>
      <c r="T1331" t="inlineStr">
        <is>
          <t>https://tenders.iglonline.net/uploads/tender/Corrigendum_II___.pdf</t>
        </is>
      </c>
      <c r="U1331" t="inlineStr">
        <is>
          <t>No</t>
        </is>
      </c>
      <c r="V1331" t="inlineStr">
        <is>
          <t>Bot tarafindan tespit edildi (2026-07-01)</t>
        </is>
      </c>
    </row>
    <row r="1332">
      <c r="A1332" t="inlineStr">
        <is>
          <t>T-1136</t>
        </is>
      </c>
      <c r="B1332" t="inlineStr">
        <is>
          <t>Indraprastha Gas (IGL)</t>
        </is>
      </c>
      <c r="C1332" t="inlineStr">
        <is>
          <t>Indraprastha Gas (IGL)</t>
        </is>
      </c>
      <c r="F1332" t="inlineStr">
        <is>
          <t>New Lead</t>
        </is>
      </c>
      <c r="H1332" t="inlineStr">
        <is>
          <t>View Tender</t>
        </is>
      </c>
      <c r="K1332" t="inlineStr">
        <is>
          <t>Not found</t>
        </is>
      </c>
      <c r="L1332" t="inlineStr">
        <is>
          <t>Unknown</t>
        </is>
      </c>
      <c r="T1332" t="inlineStr">
        <is>
          <t>https://tenders.iglonline.net/tenderDetail/198/Active Tenders And Corrigendum-Addendum</t>
        </is>
      </c>
      <c r="U1332" t="inlineStr">
        <is>
          <t>No</t>
        </is>
      </c>
      <c r="V1332" t="inlineStr">
        <is>
          <t>Bot tarafindan tespit edildi (2026-07-01)</t>
        </is>
      </c>
    </row>
    <row r="1333">
      <c r="A1333" t="inlineStr">
        <is>
          <t>T-1137</t>
        </is>
      </c>
      <c r="B1333" t="inlineStr">
        <is>
          <t>Indraprastha Gas (IGL)</t>
        </is>
      </c>
      <c r="C1333" t="inlineStr">
        <is>
          <t>Indraprastha Gas (IGL)</t>
        </is>
      </c>
      <c r="F1333" t="inlineStr">
        <is>
          <t>New Lead</t>
        </is>
      </c>
      <c r="H1333" t="inlineStr">
        <is>
          <t>Corrigendum_1_CP17691.pdf</t>
        </is>
      </c>
      <c r="K1333" t="inlineStr">
        <is>
          <t>Not found</t>
        </is>
      </c>
      <c r="L1333" t="inlineStr">
        <is>
          <t>Unknown</t>
        </is>
      </c>
      <c r="T1333" t="inlineStr">
        <is>
          <t>https://tenders.iglonline.net/uploads/tender/Corrigendum_1_CP17691.pdf</t>
        </is>
      </c>
      <c r="U1333" t="inlineStr">
        <is>
          <t>No</t>
        </is>
      </c>
      <c r="V1333" t="inlineStr">
        <is>
          <t>Bot tarafindan tespit edildi (2026-07-01)</t>
        </is>
      </c>
    </row>
    <row r="1334">
      <c r="A1334" t="inlineStr">
        <is>
          <t>T-1138</t>
        </is>
      </c>
      <c r="B1334" t="inlineStr">
        <is>
          <t>Indraprastha Gas (IGL)</t>
        </is>
      </c>
      <c r="C1334" t="inlineStr">
        <is>
          <t>Indraprastha Gas (IGL)</t>
        </is>
      </c>
      <c r="F1334" t="inlineStr">
        <is>
          <t>New Lead</t>
        </is>
      </c>
      <c r="H1334" t="inlineStr">
        <is>
          <t>Corrigendum_2_CP17691.pdf</t>
        </is>
      </c>
      <c r="K1334" t="inlineStr">
        <is>
          <t>Not found</t>
        </is>
      </c>
      <c r="L1334" t="inlineStr">
        <is>
          <t>Unknown</t>
        </is>
      </c>
      <c r="T1334" t="inlineStr">
        <is>
          <t>https://tenders.iglonline.net/uploads/tender/Corrigendum_2_CP17691.pdf</t>
        </is>
      </c>
      <c r="U1334" t="inlineStr">
        <is>
          <t>No</t>
        </is>
      </c>
      <c r="V1334" t="inlineStr">
        <is>
          <t>Bot tarafindan tespit edildi (2026-07-01)</t>
        </is>
      </c>
    </row>
    <row r="1335">
      <c r="A1335" t="inlineStr">
        <is>
          <t>T-1139</t>
        </is>
      </c>
      <c r="B1335" t="inlineStr">
        <is>
          <t>Indraprastha Gas (IGL)</t>
        </is>
      </c>
      <c r="C1335" t="inlineStr">
        <is>
          <t>Indraprastha Gas (IGL)</t>
        </is>
      </c>
      <c r="F1335" t="inlineStr">
        <is>
          <t>New Lead</t>
        </is>
      </c>
      <c r="H1335" t="inlineStr">
        <is>
          <t>RTBQ_CP17691.pdf</t>
        </is>
      </c>
      <c r="K1335" t="inlineStr">
        <is>
          <t>Not found</t>
        </is>
      </c>
      <c r="L1335" t="inlineStr">
        <is>
          <t>Unknown</t>
        </is>
      </c>
      <c r="T1335" t="inlineStr">
        <is>
          <t>https://tenders.iglonline.net/uploads/tender/RTBQ_CP17691.pdf</t>
        </is>
      </c>
      <c r="U1335" t="inlineStr">
        <is>
          <t>No</t>
        </is>
      </c>
      <c r="V1335" t="inlineStr">
        <is>
          <t>Bot tarafindan tespit edildi (2026-07-01)</t>
        </is>
      </c>
    </row>
    <row r="1336">
      <c r="A1336" t="inlineStr">
        <is>
          <t>T-1140</t>
        </is>
      </c>
      <c r="B1336" t="inlineStr">
        <is>
          <t>Indraprastha Gas (IGL)</t>
        </is>
      </c>
      <c r="C1336" t="inlineStr">
        <is>
          <t>Indraprastha Gas (IGL)</t>
        </is>
      </c>
      <c r="F1336" t="inlineStr">
        <is>
          <t>New Lead</t>
        </is>
      </c>
      <c r="H1336" t="inlineStr">
        <is>
          <t>Corrigendum_3_CP17691.pdf</t>
        </is>
      </c>
      <c r="K1336" t="inlineStr">
        <is>
          <t>Not found</t>
        </is>
      </c>
      <c r="L1336" t="inlineStr">
        <is>
          <t>Unknown</t>
        </is>
      </c>
      <c r="T1336" t="inlineStr">
        <is>
          <t>https://tenders.iglonline.net/uploads/tender/Corrigendum_3_CP17691.pdf</t>
        </is>
      </c>
      <c r="U1336" t="inlineStr">
        <is>
          <t>No</t>
        </is>
      </c>
      <c r="V1336" t="inlineStr">
        <is>
          <t>Bot tarafindan tespit edildi (2026-07-01)</t>
        </is>
      </c>
    </row>
    <row r="1337">
      <c r="A1337" t="inlineStr">
        <is>
          <t>T-1141</t>
        </is>
      </c>
      <c r="B1337" t="inlineStr">
        <is>
          <t>Indraprastha Gas (IGL)</t>
        </is>
      </c>
      <c r="C1337" t="inlineStr">
        <is>
          <t>Indraprastha Gas (IGL)</t>
        </is>
      </c>
      <c r="F1337" t="inlineStr">
        <is>
          <t>New Lead</t>
        </is>
      </c>
      <c r="H1337" t="inlineStr">
        <is>
          <t>View Tender</t>
        </is>
      </c>
      <c r="K1337" t="inlineStr">
        <is>
          <t>Not found</t>
        </is>
      </c>
      <c r="L1337" t="inlineStr">
        <is>
          <t>Unknown</t>
        </is>
      </c>
      <c r="T1337" t="inlineStr">
        <is>
          <t>https://tenders.iglonline.net/tenderDetail/197/Active Tenders And Corrigendum-Addendum</t>
        </is>
      </c>
      <c r="U1337" t="inlineStr">
        <is>
          <t>No</t>
        </is>
      </c>
      <c r="V1337" t="inlineStr">
        <is>
          <t>Bot tarafindan tespit edildi (2026-07-01)</t>
        </is>
      </c>
    </row>
    <row r="1338">
      <c r="A1338" t="inlineStr">
        <is>
          <t>T-1142</t>
        </is>
      </c>
      <c r="B1338" t="inlineStr">
        <is>
          <t>Indraprastha Gas (IGL)</t>
        </is>
      </c>
      <c r="C1338" t="inlineStr">
        <is>
          <t>Indraprastha Gas (IGL)</t>
        </is>
      </c>
      <c r="F1338" t="inlineStr">
        <is>
          <t>New Lead</t>
        </is>
      </c>
      <c r="H1338" t="inlineStr">
        <is>
          <t>Corrigendum_1_CP17636.pdf</t>
        </is>
      </c>
      <c r="K1338" t="inlineStr">
        <is>
          <t>Not found</t>
        </is>
      </c>
      <c r="L1338" t="inlineStr">
        <is>
          <t>Unknown</t>
        </is>
      </c>
      <c r="T1338" t="inlineStr">
        <is>
          <t>https://tenders.iglonline.net/uploads/tender/Corrigendum_1_CP17636.pdf</t>
        </is>
      </c>
      <c r="U1338" t="inlineStr">
        <is>
          <t>No</t>
        </is>
      </c>
      <c r="V1338" t="inlineStr">
        <is>
          <t>Bot tarafindan tespit edildi (2026-07-01)</t>
        </is>
      </c>
    </row>
    <row r="1339">
      <c r="A1339" t="inlineStr">
        <is>
          <t>T-1143</t>
        </is>
      </c>
      <c r="B1339" t="inlineStr">
        <is>
          <t>Indraprastha Gas (IGL)</t>
        </is>
      </c>
      <c r="C1339" t="inlineStr">
        <is>
          <t>Indraprastha Gas (IGL)</t>
        </is>
      </c>
      <c r="F1339" t="inlineStr">
        <is>
          <t>New Lead</t>
        </is>
      </c>
      <c r="H1339" t="inlineStr">
        <is>
          <t>Corrigendum_2_CP17636.pdf</t>
        </is>
      </c>
      <c r="K1339" t="inlineStr">
        <is>
          <t>Not found</t>
        </is>
      </c>
      <c r="L1339" t="inlineStr">
        <is>
          <t>Unknown</t>
        </is>
      </c>
      <c r="T1339" t="inlineStr">
        <is>
          <t>https://tenders.iglonline.net/uploads/tender/Corrigendum_2_CP17636.pdf</t>
        </is>
      </c>
      <c r="U1339" t="inlineStr">
        <is>
          <t>No</t>
        </is>
      </c>
      <c r="V1339" t="inlineStr">
        <is>
          <t>Bot tarafindan tespit edildi (2026-07-01)</t>
        </is>
      </c>
    </row>
    <row r="1340">
      <c r="A1340" t="inlineStr">
        <is>
          <t>T-1144</t>
        </is>
      </c>
      <c r="B1340" t="inlineStr">
        <is>
          <t>Indraprastha Gas (IGL)</t>
        </is>
      </c>
      <c r="C1340" t="inlineStr">
        <is>
          <t>Indraprastha Gas (IGL)</t>
        </is>
      </c>
      <c r="F1340" t="inlineStr">
        <is>
          <t>New Lead</t>
        </is>
      </c>
      <c r="H1340" t="inlineStr">
        <is>
          <t>Corrigendum_3_CP17636.pdf</t>
        </is>
      </c>
      <c r="K1340" t="inlineStr">
        <is>
          <t>Not found</t>
        </is>
      </c>
      <c r="L1340" t="inlineStr">
        <is>
          <t>Unknown</t>
        </is>
      </c>
      <c r="T1340" t="inlineStr">
        <is>
          <t>https://tenders.iglonline.net/uploads/tender/Corrigendum_3_CP17636.pdf</t>
        </is>
      </c>
      <c r="U1340" t="inlineStr">
        <is>
          <t>No</t>
        </is>
      </c>
      <c r="V1340" t="inlineStr">
        <is>
          <t>Bot tarafindan tespit edildi (2026-07-01)</t>
        </is>
      </c>
    </row>
    <row r="1341">
      <c r="A1341" t="inlineStr">
        <is>
          <t>T-1145</t>
        </is>
      </c>
      <c r="B1341" t="inlineStr">
        <is>
          <t>Indraprastha Gas (IGL)</t>
        </is>
      </c>
      <c r="C1341" t="inlineStr">
        <is>
          <t>Indraprastha Gas (IGL)</t>
        </is>
      </c>
      <c r="F1341" t="inlineStr">
        <is>
          <t>New Lead</t>
        </is>
      </c>
      <c r="H1341" t="inlineStr">
        <is>
          <t>RTBQ_CP17636.pdf</t>
        </is>
      </c>
      <c r="K1341" t="inlineStr">
        <is>
          <t>Not found</t>
        </is>
      </c>
      <c r="L1341" t="inlineStr">
        <is>
          <t>Unknown</t>
        </is>
      </c>
      <c r="T1341" t="inlineStr">
        <is>
          <t>https://tenders.iglonline.net/uploads/tender/RTBQ_CP17636.pdf</t>
        </is>
      </c>
      <c r="U1341" t="inlineStr">
        <is>
          <t>No</t>
        </is>
      </c>
      <c r="V1341" t="inlineStr">
        <is>
          <t>Bot tarafindan tespit edildi (2026-07-01)</t>
        </is>
      </c>
    </row>
    <row r="1342">
      <c r="A1342" t="inlineStr">
        <is>
          <t>T-1146</t>
        </is>
      </c>
      <c r="B1342" t="inlineStr">
        <is>
          <t>Indraprastha Gas (IGL)</t>
        </is>
      </c>
      <c r="C1342" t="inlineStr">
        <is>
          <t>Indraprastha Gas (IGL)</t>
        </is>
      </c>
      <c r="F1342" t="inlineStr">
        <is>
          <t>New Lead</t>
        </is>
      </c>
      <c r="H1342" t="inlineStr">
        <is>
          <t>Corrigendum_4_CP17636.pdf</t>
        </is>
      </c>
      <c r="K1342" t="inlineStr">
        <is>
          <t>Not found</t>
        </is>
      </c>
      <c r="L1342" t="inlineStr">
        <is>
          <t>Unknown</t>
        </is>
      </c>
      <c r="T1342" t="inlineStr">
        <is>
          <t>https://tenders.iglonline.net/uploads/tender/Corrigendum_4_CP17636.pdf</t>
        </is>
      </c>
      <c r="U1342" t="inlineStr">
        <is>
          <t>No</t>
        </is>
      </c>
      <c r="V1342" t="inlineStr">
        <is>
          <t>Bot tarafindan tespit edildi (2026-07-01)</t>
        </is>
      </c>
    </row>
    <row r="1343">
      <c r="A1343" t="inlineStr">
        <is>
          <t>T-1147</t>
        </is>
      </c>
      <c r="B1343" t="inlineStr">
        <is>
          <t>Indraprastha Gas (IGL)</t>
        </is>
      </c>
      <c r="C1343" t="inlineStr">
        <is>
          <t>Indraprastha Gas (IGL)</t>
        </is>
      </c>
      <c r="F1343" t="inlineStr">
        <is>
          <t>New Lead</t>
        </is>
      </c>
      <c r="H1343" t="inlineStr">
        <is>
          <t>Corrigendum_5_CP17636.pdf</t>
        </is>
      </c>
      <c r="K1343" t="inlineStr">
        <is>
          <t>Not found</t>
        </is>
      </c>
      <c r="L1343" t="inlineStr">
        <is>
          <t>Unknown</t>
        </is>
      </c>
      <c r="T1343" t="inlineStr">
        <is>
          <t>https://tenders.iglonline.net/uploads/tender/Corrigendum_5_CP17636.pdf</t>
        </is>
      </c>
      <c r="U1343" t="inlineStr">
        <is>
          <t>No</t>
        </is>
      </c>
      <c r="V1343" t="inlineStr">
        <is>
          <t>Bot tarafindan tespit edildi (2026-07-01)</t>
        </is>
      </c>
    </row>
    <row r="1344">
      <c r="A1344" t="inlineStr">
        <is>
          <t>T-1148</t>
        </is>
      </c>
      <c r="B1344" t="inlineStr">
        <is>
          <t>Indraprastha Gas (IGL)</t>
        </is>
      </c>
      <c r="C1344" t="inlineStr">
        <is>
          <t>Indraprastha Gas (IGL)</t>
        </is>
      </c>
      <c r="F1344" t="inlineStr">
        <is>
          <t>New Lead</t>
        </is>
      </c>
      <c r="H1344" t="inlineStr">
        <is>
          <t>RTBQ_CP17636_2.pdf</t>
        </is>
      </c>
      <c r="K1344" t="inlineStr">
        <is>
          <t>Not found</t>
        </is>
      </c>
      <c r="L1344" t="inlineStr">
        <is>
          <t>Unknown</t>
        </is>
      </c>
      <c r="T1344" t="inlineStr">
        <is>
          <t>https://tenders.iglonline.net/uploads/tender/RTBQ_CP17636_2.pdf</t>
        </is>
      </c>
      <c r="U1344" t="inlineStr">
        <is>
          <t>No</t>
        </is>
      </c>
      <c r="V1344" t="inlineStr">
        <is>
          <t>Bot tarafindan tespit edildi (2026-07-01)</t>
        </is>
      </c>
    </row>
    <row r="1345">
      <c r="A1345" t="inlineStr">
        <is>
          <t>T-1149</t>
        </is>
      </c>
      <c r="B1345" t="inlineStr">
        <is>
          <t>Indraprastha Gas (IGL)</t>
        </is>
      </c>
      <c r="C1345" t="inlineStr">
        <is>
          <t>Indraprastha Gas (IGL)</t>
        </is>
      </c>
      <c r="F1345" t="inlineStr">
        <is>
          <t>New Lead</t>
        </is>
      </c>
      <c r="H1345" t="inlineStr">
        <is>
          <t>Corrigendum_6_CP17636.pdf</t>
        </is>
      </c>
      <c r="K1345" t="inlineStr">
        <is>
          <t>Not found</t>
        </is>
      </c>
      <c r="L1345" t="inlineStr">
        <is>
          <t>Unknown</t>
        </is>
      </c>
      <c r="T1345" t="inlineStr">
        <is>
          <t>https://tenders.iglonline.net/uploads/tender/Corrigendum_6_CP17636.pdf</t>
        </is>
      </c>
      <c r="U1345" t="inlineStr">
        <is>
          <t>No</t>
        </is>
      </c>
      <c r="V1345" t="inlineStr">
        <is>
          <t>Bot tarafindan tespit edildi (2026-07-01)</t>
        </is>
      </c>
    </row>
    <row r="1346">
      <c r="A1346" t="inlineStr">
        <is>
          <t>T-1150</t>
        </is>
      </c>
      <c r="B1346" t="inlineStr">
        <is>
          <t>Indraprastha Gas (IGL)</t>
        </is>
      </c>
      <c r="C1346" t="inlineStr">
        <is>
          <t>Indraprastha Gas (IGL)</t>
        </is>
      </c>
      <c r="F1346" t="inlineStr">
        <is>
          <t>New Lead</t>
        </is>
      </c>
      <c r="H1346" t="inlineStr">
        <is>
          <t>View Tender</t>
        </is>
      </c>
      <c r="K1346" t="inlineStr">
        <is>
          <t>Not found</t>
        </is>
      </c>
      <c r="L1346" t="inlineStr">
        <is>
          <t>Unknown</t>
        </is>
      </c>
      <c r="T1346" t="inlineStr">
        <is>
          <t>https://tenders.iglonline.net/tenderDetail/196/Active Tenders And Corrigendum-Addendum</t>
        </is>
      </c>
      <c r="U1346" t="inlineStr">
        <is>
          <t>No</t>
        </is>
      </c>
      <c r="V1346" t="inlineStr">
        <is>
          <t>Bot tarafindan tespit edildi (2026-07-01)</t>
        </is>
      </c>
    </row>
    <row r="1347">
      <c r="A1347" t="inlineStr">
        <is>
          <t>T-1151</t>
        </is>
      </c>
      <c r="B1347" t="inlineStr">
        <is>
          <t>Indraprastha Gas (IGL)</t>
        </is>
      </c>
      <c r="C1347" t="inlineStr">
        <is>
          <t>Indraprastha Gas (IGL)</t>
        </is>
      </c>
      <c r="F1347" t="inlineStr">
        <is>
          <t>New Lead</t>
        </is>
      </c>
      <c r="H1347" t="inlineStr">
        <is>
          <t>Corrigendum_I__.pdf</t>
        </is>
      </c>
      <c r="K1347" t="inlineStr">
        <is>
          <t>Not found</t>
        </is>
      </c>
      <c r="L1347" t="inlineStr">
        <is>
          <t>Unknown</t>
        </is>
      </c>
      <c r="T1347" t="inlineStr">
        <is>
          <t>https://tenders.iglonline.net/uploads/tender/Corrigendum_I__.pdf</t>
        </is>
      </c>
      <c r="U1347" t="inlineStr">
        <is>
          <t>No</t>
        </is>
      </c>
      <c r="V1347" t="inlineStr">
        <is>
          <t>Bot tarafindan tespit edildi (2026-07-01)</t>
        </is>
      </c>
    </row>
    <row r="1348">
      <c r="A1348" t="inlineStr">
        <is>
          <t>T-1152</t>
        </is>
      </c>
      <c r="B1348" t="inlineStr">
        <is>
          <t>Indraprastha Gas (IGL)</t>
        </is>
      </c>
      <c r="C1348" t="inlineStr">
        <is>
          <t>Indraprastha Gas (IGL)</t>
        </is>
      </c>
      <c r="F1348" t="inlineStr">
        <is>
          <t>New Lead</t>
        </is>
      </c>
      <c r="H1348" t="inlineStr">
        <is>
          <t>View Tender</t>
        </is>
      </c>
      <c r="K1348" t="inlineStr">
        <is>
          <t>Not found</t>
        </is>
      </c>
      <c r="L1348" t="inlineStr">
        <is>
          <t>Unknown</t>
        </is>
      </c>
      <c r="T1348" t="inlineStr">
        <is>
          <t>https://tenders.iglonline.net/tenderDetail/195/Active Tenders And Corrigendum-Addendum</t>
        </is>
      </c>
      <c r="U1348" t="inlineStr">
        <is>
          <t>No</t>
        </is>
      </c>
      <c r="V1348" t="inlineStr">
        <is>
          <t>Bot tarafindan tespit edildi (2026-07-01)</t>
        </is>
      </c>
    </row>
    <row r="1349">
      <c r="A1349" t="inlineStr">
        <is>
          <t>T-1153</t>
        </is>
      </c>
      <c r="B1349" t="inlineStr">
        <is>
          <t>Indraprastha Gas (IGL)</t>
        </is>
      </c>
      <c r="C1349" t="inlineStr">
        <is>
          <t>Indraprastha Gas (IGL)</t>
        </is>
      </c>
      <c r="F1349" t="inlineStr">
        <is>
          <t>New Lead</t>
        </is>
      </c>
      <c r="H1349" t="inlineStr">
        <is>
          <t>Corrigendum_I_CM17679.pdf</t>
        </is>
      </c>
      <c r="K1349" t="inlineStr">
        <is>
          <t>Not found</t>
        </is>
      </c>
      <c r="L1349" t="inlineStr">
        <is>
          <t>Unknown</t>
        </is>
      </c>
      <c r="T1349" t="inlineStr">
        <is>
          <t>https://tenders.iglonline.net/uploads/tender/Corrigendum_I_CM17679.pdf</t>
        </is>
      </c>
      <c r="U1349" t="inlineStr">
        <is>
          <t>No</t>
        </is>
      </c>
      <c r="V1349" t="inlineStr">
        <is>
          <t>Bot tarafindan tespit edildi (2026-07-01)</t>
        </is>
      </c>
    </row>
    <row r="1350">
      <c r="A1350" t="inlineStr">
        <is>
          <t>T-1154</t>
        </is>
      </c>
      <c r="B1350" t="inlineStr">
        <is>
          <t>Indraprastha Gas (IGL)</t>
        </is>
      </c>
      <c r="C1350" t="inlineStr">
        <is>
          <t>Indraprastha Gas (IGL)</t>
        </is>
      </c>
      <c r="F1350" t="inlineStr">
        <is>
          <t>New Lead</t>
        </is>
      </c>
      <c r="H1350" t="inlineStr">
        <is>
          <t>Corrigendum_II__.pdf</t>
        </is>
      </c>
      <c r="K1350" t="inlineStr">
        <is>
          <t>Not found</t>
        </is>
      </c>
      <c r="L1350" t="inlineStr">
        <is>
          <t>Unknown</t>
        </is>
      </c>
      <c r="T1350" t="inlineStr">
        <is>
          <t>https://tenders.iglonline.net/uploads/tender/Corrigendum_II__.pdf</t>
        </is>
      </c>
      <c r="U1350" t="inlineStr">
        <is>
          <t>No</t>
        </is>
      </c>
      <c r="V1350" t="inlineStr">
        <is>
          <t>Bot tarafindan tespit edildi (2026-07-01)</t>
        </is>
      </c>
    </row>
    <row r="1351">
      <c r="A1351" t="inlineStr">
        <is>
          <t>T-1155</t>
        </is>
      </c>
      <c r="B1351" t="inlineStr">
        <is>
          <t>Indraprastha Gas (IGL)</t>
        </is>
      </c>
      <c r="C1351" t="inlineStr">
        <is>
          <t>Indraprastha Gas (IGL)</t>
        </is>
      </c>
      <c r="F1351" t="inlineStr">
        <is>
          <t>New Lead</t>
        </is>
      </c>
      <c r="H1351" t="inlineStr">
        <is>
          <t>View Tender</t>
        </is>
      </c>
      <c r="K1351" t="inlineStr">
        <is>
          <t>Not found</t>
        </is>
      </c>
      <c r="L1351" t="inlineStr">
        <is>
          <t>Unknown</t>
        </is>
      </c>
      <c r="T1351" t="inlineStr">
        <is>
          <t>https://tenders.iglonline.net/tenderDetail/194/Active Tenders And Corrigendum-Addendum</t>
        </is>
      </c>
      <c r="U1351" t="inlineStr">
        <is>
          <t>No</t>
        </is>
      </c>
      <c r="V1351" t="inlineStr">
        <is>
          <t>Bot tarafindan tespit edildi (2026-07-01)</t>
        </is>
      </c>
    </row>
    <row r="1352">
      <c r="A1352" t="inlineStr">
        <is>
          <t>T-1156</t>
        </is>
      </c>
      <c r="B1352" t="inlineStr">
        <is>
          <t>Indraprastha Gas (IGL)</t>
        </is>
      </c>
      <c r="C1352" t="inlineStr">
        <is>
          <t>Indraprastha Gas (IGL)</t>
        </is>
      </c>
      <c r="F1352" t="inlineStr">
        <is>
          <t>New Lead</t>
        </is>
      </c>
      <c r="H1352" t="inlineStr">
        <is>
          <t>Corrigendum__1_.pdf</t>
        </is>
      </c>
      <c r="K1352" t="inlineStr">
        <is>
          <t>Not found</t>
        </is>
      </c>
      <c r="L1352" t="inlineStr">
        <is>
          <t>Unknown</t>
        </is>
      </c>
      <c r="T1352" t="inlineStr">
        <is>
          <t>https://tenders.iglonline.net/uploads/tender/Corrigendum__1_.pdf</t>
        </is>
      </c>
      <c r="U1352" t="inlineStr">
        <is>
          <t>No</t>
        </is>
      </c>
      <c r="V1352" t="inlineStr">
        <is>
          <t>Bot tarafindan tespit edildi (2026-07-01)</t>
        </is>
      </c>
    </row>
    <row r="1353">
      <c r="A1353" t="inlineStr">
        <is>
          <t>T-1157</t>
        </is>
      </c>
      <c r="B1353" t="inlineStr">
        <is>
          <t>Indraprastha Gas (IGL)</t>
        </is>
      </c>
      <c r="C1353" t="inlineStr">
        <is>
          <t>Indraprastha Gas (IGL)</t>
        </is>
      </c>
      <c r="F1353" t="inlineStr">
        <is>
          <t>New Lead</t>
        </is>
      </c>
      <c r="H1353" t="inlineStr">
        <is>
          <t>Replies_to_Bidder_Queries_CP17654.pdf</t>
        </is>
      </c>
      <c r="K1353" t="inlineStr">
        <is>
          <t>Not found</t>
        </is>
      </c>
      <c r="L1353" t="inlineStr">
        <is>
          <t>Unknown</t>
        </is>
      </c>
      <c r="T1353" t="inlineStr">
        <is>
          <t>https://tenders.iglonline.net/uploads/tender/Replies_to_Bidder_Queries_CP17654.pdf</t>
        </is>
      </c>
      <c r="U1353" t="inlineStr">
        <is>
          <t>No</t>
        </is>
      </c>
      <c r="V1353" t="inlineStr">
        <is>
          <t>Bot tarafindan tespit edildi (2026-07-01)</t>
        </is>
      </c>
    </row>
    <row r="1354">
      <c r="A1354" t="inlineStr">
        <is>
          <t>T-1158</t>
        </is>
      </c>
      <c r="B1354" t="inlineStr">
        <is>
          <t>Indraprastha Gas (IGL)</t>
        </is>
      </c>
      <c r="C1354" t="inlineStr">
        <is>
          <t>Indraprastha Gas (IGL)</t>
        </is>
      </c>
      <c r="F1354" t="inlineStr">
        <is>
          <t>New Lead</t>
        </is>
      </c>
      <c r="H1354" t="inlineStr">
        <is>
          <t>Replies_to_Bidder_Queries_CP176541.pdf</t>
        </is>
      </c>
      <c r="K1354" t="inlineStr">
        <is>
          <t>Not found</t>
        </is>
      </c>
      <c r="L1354" t="inlineStr">
        <is>
          <t>Unknown</t>
        </is>
      </c>
      <c r="T1354" t="inlineStr">
        <is>
          <t>https://tenders.iglonline.net/uploads/tender/Replies_to_Bidder_Queries_CP176541.pdf</t>
        </is>
      </c>
      <c r="U1354" t="inlineStr">
        <is>
          <t>No</t>
        </is>
      </c>
      <c r="V1354" t="inlineStr">
        <is>
          <t>Bot tarafindan tespit edildi (2026-07-01)</t>
        </is>
      </c>
    </row>
    <row r="1355">
      <c r="A1355" t="inlineStr">
        <is>
          <t>T-1159</t>
        </is>
      </c>
      <c r="B1355" t="inlineStr">
        <is>
          <t>Indraprastha Gas (IGL)</t>
        </is>
      </c>
      <c r="C1355" t="inlineStr">
        <is>
          <t>Indraprastha Gas (IGL)</t>
        </is>
      </c>
      <c r="F1355" t="inlineStr">
        <is>
          <t>New Lead</t>
        </is>
      </c>
      <c r="H1355" t="inlineStr">
        <is>
          <t>View Tender</t>
        </is>
      </c>
      <c r="K1355" t="inlineStr">
        <is>
          <t>Not found</t>
        </is>
      </c>
      <c r="L1355" t="inlineStr">
        <is>
          <t>Unknown</t>
        </is>
      </c>
      <c r="T1355" t="inlineStr">
        <is>
          <t>https://tenders.iglonline.net/tenderDetail/193/Active Tenders And Corrigendum-Addendum</t>
        </is>
      </c>
      <c r="U1355" t="inlineStr">
        <is>
          <t>No</t>
        </is>
      </c>
      <c r="V1355" t="inlineStr">
        <is>
          <t>Bot tarafindan tespit edildi (2026-07-01)</t>
        </is>
      </c>
    </row>
    <row r="1356">
      <c r="A1356" t="inlineStr">
        <is>
          <t>T-1160</t>
        </is>
      </c>
      <c r="B1356" t="inlineStr">
        <is>
          <t>Indraprastha Gas (IGL)</t>
        </is>
      </c>
      <c r="C1356" t="inlineStr">
        <is>
          <t>Indraprastha Gas (IGL)</t>
        </is>
      </c>
      <c r="F1356" t="inlineStr">
        <is>
          <t>New Lead</t>
        </is>
      </c>
      <c r="H1356" t="inlineStr">
        <is>
          <t>Corrigendum_I_.pdf</t>
        </is>
      </c>
      <c r="K1356" t="inlineStr">
        <is>
          <t>Not found</t>
        </is>
      </c>
      <c r="L1356" t="inlineStr">
        <is>
          <t>Unknown</t>
        </is>
      </c>
      <c r="T1356" t="inlineStr">
        <is>
          <t>https://tenders.iglonline.net/uploads/tender/Corrigendum_I_.pdf</t>
        </is>
      </c>
      <c r="U1356" t="inlineStr">
        <is>
          <t>No</t>
        </is>
      </c>
      <c r="V1356" t="inlineStr">
        <is>
          <t>Bot tarafindan tespit edildi (2026-07-01)</t>
        </is>
      </c>
    </row>
    <row r="1357">
      <c r="A1357" t="inlineStr">
        <is>
          <t>T-1161</t>
        </is>
      </c>
      <c r="B1357" t="inlineStr">
        <is>
          <t>Indraprastha Gas (IGL)</t>
        </is>
      </c>
      <c r="C1357" t="inlineStr">
        <is>
          <t>Indraprastha Gas (IGL)</t>
        </is>
      </c>
      <c r="F1357" t="inlineStr">
        <is>
          <t>New Lead</t>
        </is>
      </c>
      <c r="H1357" t="inlineStr">
        <is>
          <t>View Tender</t>
        </is>
      </c>
      <c r="K1357" t="inlineStr">
        <is>
          <t>Not found</t>
        </is>
      </c>
      <c r="L1357" t="inlineStr">
        <is>
          <t>Unknown</t>
        </is>
      </c>
      <c r="T1357" t="inlineStr">
        <is>
          <t>https://tenders.iglonline.net/tenderDetail/192/Active Tenders And Corrigendum-Addendum</t>
        </is>
      </c>
      <c r="U1357" t="inlineStr">
        <is>
          <t>No</t>
        </is>
      </c>
      <c r="V1357" t="inlineStr">
        <is>
          <t>Bot tarafindan tespit edildi (2026-07-01)</t>
        </is>
      </c>
    </row>
    <row r="1358">
      <c r="A1358" t="inlineStr">
        <is>
          <t>T-1162</t>
        </is>
      </c>
      <c r="B1358" t="inlineStr">
        <is>
          <t>Indraprastha Gas (IGL)</t>
        </is>
      </c>
      <c r="C1358" t="inlineStr">
        <is>
          <t>Indraprastha Gas (IGL)</t>
        </is>
      </c>
      <c r="F1358" t="inlineStr">
        <is>
          <t>New Lead</t>
        </is>
      </c>
      <c r="H1358" t="inlineStr">
        <is>
          <t>Corrigendum_I_(4).pdf</t>
        </is>
      </c>
      <c r="K1358" t="inlineStr">
        <is>
          <t>Not found</t>
        </is>
      </c>
      <c r="L1358" t="inlineStr">
        <is>
          <t>Unknown</t>
        </is>
      </c>
      <c r="T1358" t="inlineStr">
        <is>
          <t>https://tenders.iglonline.net/uploads/tender/Corrigendum_I_(4).pdf</t>
        </is>
      </c>
      <c r="U1358" t="inlineStr">
        <is>
          <t>No</t>
        </is>
      </c>
      <c r="V1358" t="inlineStr">
        <is>
          <t>Bot tarafindan tespit edildi (2026-07-01)</t>
        </is>
      </c>
    </row>
    <row r="1359">
      <c r="A1359" t="inlineStr">
        <is>
          <t>T-1163</t>
        </is>
      </c>
      <c r="B1359" t="inlineStr">
        <is>
          <t>Indraprastha Gas (IGL)</t>
        </is>
      </c>
      <c r="C1359" t="inlineStr">
        <is>
          <t>Indraprastha Gas (IGL)</t>
        </is>
      </c>
      <c r="F1359" t="inlineStr">
        <is>
          <t>New Lead</t>
        </is>
      </c>
      <c r="H1359" t="inlineStr">
        <is>
          <t>Corrigendum_II_(5).pdf</t>
        </is>
      </c>
      <c r="K1359" t="inlineStr">
        <is>
          <t>Not found</t>
        </is>
      </c>
      <c r="L1359" t="inlineStr">
        <is>
          <t>Unknown</t>
        </is>
      </c>
      <c r="T1359" t="inlineStr">
        <is>
          <t>https://tenders.iglonline.net/uploads/tender/Corrigendum_II_(5).pdf</t>
        </is>
      </c>
      <c r="U1359" t="inlineStr">
        <is>
          <t>No</t>
        </is>
      </c>
      <c r="V1359" t="inlineStr">
        <is>
          <t>Bot tarafindan tespit edildi (2026-07-01)</t>
        </is>
      </c>
    </row>
    <row r="1360">
      <c r="A1360" t="inlineStr">
        <is>
          <t>T-1164</t>
        </is>
      </c>
      <c r="B1360" t="inlineStr">
        <is>
          <t>Indraprastha Gas (IGL)</t>
        </is>
      </c>
      <c r="C1360" t="inlineStr">
        <is>
          <t>Indraprastha Gas (IGL)</t>
        </is>
      </c>
      <c r="F1360" t="inlineStr">
        <is>
          <t>New Lead</t>
        </is>
      </c>
      <c r="H1360" t="inlineStr">
        <is>
          <t>CORRIGENDUM-IV.pdf</t>
        </is>
      </c>
      <c r="K1360" t="inlineStr">
        <is>
          <t>Not found</t>
        </is>
      </c>
      <c r="L1360" t="inlineStr">
        <is>
          <t>Unknown</t>
        </is>
      </c>
      <c r="T1360" t="inlineStr">
        <is>
          <t>https://tenders.iglonline.net/uploads/tender/CORRIGENDUM-IV.pdf</t>
        </is>
      </c>
      <c r="U1360" t="inlineStr">
        <is>
          <t>No</t>
        </is>
      </c>
      <c r="V1360" t="inlineStr">
        <is>
          <t>Bot tarafindan tespit edildi (2026-07-01)</t>
        </is>
      </c>
    </row>
    <row r="1361">
      <c r="A1361" t="inlineStr">
        <is>
          <t>T-1165</t>
        </is>
      </c>
      <c r="B1361" t="inlineStr">
        <is>
          <t>Indraprastha Gas (IGL)</t>
        </is>
      </c>
      <c r="C1361" t="inlineStr">
        <is>
          <t>Indraprastha Gas (IGL)</t>
        </is>
      </c>
      <c r="F1361" t="inlineStr">
        <is>
          <t>New Lead</t>
        </is>
      </c>
      <c r="H1361" t="inlineStr">
        <is>
          <t>RTBQ_2_CC17655.pdf</t>
        </is>
      </c>
      <c r="K1361" t="inlineStr">
        <is>
          <t>Not found</t>
        </is>
      </c>
      <c r="L1361" t="inlineStr">
        <is>
          <t>Unknown</t>
        </is>
      </c>
      <c r="T1361" t="inlineStr">
        <is>
          <t>https://tenders.iglonline.net/uploads/tender/RTBQ_2_CC17655.pdf</t>
        </is>
      </c>
      <c r="U1361" t="inlineStr">
        <is>
          <t>No</t>
        </is>
      </c>
      <c r="V1361" t="inlineStr">
        <is>
          <t>Bot tarafindan tespit edildi (2026-07-01)</t>
        </is>
      </c>
    </row>
    <row r="1362">
      <c r="A1362" t="inlineStr">
        <is>
          <t>T-1166</t>
        </is>
      </c>
      <c r="B1362" t="inlineStr">
        <is>
          <t>Indraprastha Gas (IGL)</t>
        </is>
      </c>
      <c r="C1362" t="inlineStr">
        <is>
          <t>Indraprastha Gas (IGL)</t>
        </is>
      </c>
      <c r="F1362" t="inlineStr">
        <is>
          <t>New Lead</t>
        </is>
      </c>
      <c r="H1362" t="inlineStr">
        <is>
          <t>View Tender</t>
        </is>
      </c>
      <c r="K1362" t="inlineStr">
        <is>
          <t>Not found</t>
        </is>
      </c>
      <c r="L1362" t="inlineStr">
        <is>
          <t>Unknown</t>
        </is>
      </c>
      <c r="T1362" t="inlineStr">
        <is>
          <t>https://tenders.iglonline.net/tenderDetail/191/Active Tenders And Corrigendum-Addendum</t>
        </is>
      </c>
      <c r="U1362" t="inlineStr">
        <is>
          <t>No</t>
        </is>
      </c>
      <c r="V1362" t="inlineStr">
        <is>
          <t>Bot tarafindan tespit edildi (2026-07-01)</t>
        </is>
      </c>
    </row>
    <row r="1363">
      <c r="A1363" t="inlineStr">
        <is>
          <t>T-1167</t>
        </is>
      </c>
      <c r="B1363" t="inlineStr">
        <is>
          <t>Indraprastha Gas (IGL)</t>
        </is>
      </c>
      <c r="C1363" t="inlineStr">
        <is>
          <t>Indraprastha Gas (IGL)</t>
        </is>
      </c>
      <c r="F1363" t="inlineStr">
        <is>
          <t>New Lead</t>
        </is>
      </c>
      <c r="H1363" t="inlineStr">
        <is>
          <t>Prebid_reply_CC17662.pdf</t>
        </is>
      </c>
      <c r="K1363" t="inlineStr">
        <is>
          <t>Not found</t>
        </is>
      </c>
      <c r="L1363" t="inlineStr">
        <is>
          <t>Unknown</t>
        </is>
      </c>
      <c r="T1363" t="inlineStr">
        <is>
          <t>https://tenders.iglonline.net/uploads/tender/Prebid_reply_CC17662.pdf</t>
        </is>
      </c>
      <c r="U1363" t="inlineStr">
        <is>
          <t>No</t>
        </is>
      </c>
      <c r="V1363" t="inlineStr">
        <is>
          <t>Bot tarafindan tespit edildi (2026-07-01)</t>
        </is>
      </c>
    </row>
    <row r="1364">
      <c r="A1364" t="inlineStr">
        <is>
          <t>T-1168</t>
        </is>
      </c>
      <c r="B1364" t="inlineStr">
        <is>
          <t>Indraprastha Gas (IGL)</t>
        </is>
      </c>
      <c r="C1364" t="inlineStr">
        <is>
          <t>Indraprastha Gas (IGL)</t>
        </is>
      </c>
      <c r="F1364" t="inlineStr">
        <is>
          <t>New Lead</t>
        </is>
      </c>
      <c r="H1364" t="inlineStr">
        <is>
          <t>Corrigendum_-I_CC17662.pdf</t>
        </is>
      </c>
      <c r="K1364" t="inlineStr">
        <is>
          <t>Not found</t>
        </is>
      </c>
      <c r="L1364" t="inlineStr">
        <is>
          <t>Unknown</t>
        </is>
      </c>
      <c r="T1364" t="inlineStr">
        <is>
          <t>https://tenders.iglonline.net/uploads/tender/Corrigendum_-I_CC17662.pdf</t>
        </is>
      </c>
      <c r="U1364" t="inlineStr">
        <is>
          <t>No</t>
        </is>
      </c>
      <c r="V1364" t="inlineStr">
        <is>
          <t>Bot tarafindan tespit edildi (2026-07-01)</t>
        </is>
      </c>
    </row>
    <row r="1365">
      <c r="A1365" t="inlineStr">
        <is>
          <t>T-1169</t>
        </is>
      </c>
      <c r="B1365" t="inlineStr">
        <is>
          <t>Indraprastha Gas (IGL)</t>
        </is>
      </c>
      <c r="C1365" t="inlineStr">
        <is>
          <t>Indraprastha Gas (IGL)</t>
        </is>
      </c>
      <c r="F1365" t="inlineStr">
        <is>
          <t>New Lead</t>
        </is>
      </c>
      <c r="H1365" t="inlineStr">
        <is>
          <t>Corrigendum_CANCEL.pdf</t>
        </is>
      </c>
      <c r="K1365" t="inlineStr">
        <is>
          <t>Not found</t>
        </is>
      </c>
      <c r="L1365" t="inlineStr">
        <is>
          <t>Unknown</t>
        </is>
      </c>
      <c r="T1365" t="inlineStr">
        <is>
          <t>https://tenders.iglonline.net/uploads/tender/Corrigendum_CANCEL.pdf</t>
        </is>
      </c>
      <c r="U1365" t="inlineStr">
        <is>
          <t>No</t>
        </is>
      </c>
      <c r="V1365" t="inlineStr">
        <is>
          <t>Bot tarafindan tespit edildi (2026-07-01)</t>
        </is>
      </c>
    </row>
    <row r="1366">
      <c r="A1366" t="inlineStr">
        <is>
          <t>T-1170</t>
        </is>
      </c>
      <c r="B1366" t="inlineStr">
        <is>
          <t>Indraprastha Gas (IGL)</t>
        </is>
      </c>
      <c r="C1366" t="inlineStr">
        <is>
          <t>Indraprastha Gas (IGL)</t>
        </is>
      </c>
      <c r="F1366" t="inlineStr">
        <is>
          <t>New Lead</t>
        </is>
      </c>
      <c r="H1366" t="inlineStr">
        <is>
          <t>View Tender</t>
        </is>
      </c>
      <c r="K1366" t="inlineStr">
        <is>
          <t>Not found</t>
        </is>
      </c>
      <c r="L1366" t="inlineStr">
        <is>
          <t>Unknown</t>
        </is>
      </c>
      <c r="T1366" t="inlineStr">
        <is>
          <t>https://tenders.iglonline.net/tenderDetail/190/Active Tenders And Corrigendum-Addendum</t>
        </is>
      </c>
      <c r="U1366" t="inlineStr">
        <is>
          <t>No</t>
        </is>
      </c>
      <c r="V1366" t="inlineStr">
        <is>
          <t>Bot tarafindan tespit edildi (2026-07-01)</t>
        </is>
      </c>
    </row>
    <row r="1367">
      <c r="A1367" t="inlineStr">
        <is>
          <t>T-1171</t>
        </is>
      </c>
      <c r="B1367" t="inlineStr">
        <is>
          <t>Indraprastha Gas (IGL)</t>
        </is>
      </c>
      <c r="C1367" t="inlineStr">
        <is>
          <t>Indraprastha Gas (IGL)</t>
        </is>
      </c>
      <c r="F1367" t="inlineStr">
        <is>
          <t>New Lead</t>
        </is>
      </c>
      <c r="H1367" t="inlineStr">
        <is>
          <t>Corrigendum_1_CP17649.pdf</t>
        </is>
      </c>
      <c r="K1367" t="inlineStr">
        <is>
          <t>Not found</t>
        </is>
      </c>
      <c r="L1367" t="inlineStr">
        <is>
          <t>Unknown</t>
        </is>
      </c>
      <c r="T1367" t="inlineStr">
        <is>
          <t>https://tenders.iglonline.net/uploads/tender/Corrigendum_1_CP17649.pdf</t>
        </is>
      </c>
      <c r="U1367" t="inlineStr">
        <is>
          <t>No</t>
        </is>
      </c>
      <c r="V1367" t="inlineStr">
        <is>
          <t>Bot tarafindan tespit edildi (2026-07-01)</t>
        </is>
      </c>
    </row>
    <row r="1368">
      <c r="A1368" t="inlineStr">
        <is>
          <t>T-1172</t>
        </is>
      </c>
      <c r="B1368" t="inlineStr">
        <is>
          <t>Indraprastha Gas (IGL)</t>
        </is>
      </c>
      <c r="C1368" t="inlineStr">
        <is>
          <t>Indraprastha Gas (IGL)</t>
        </is>
      </c>
      <c r="F1368" t="inlineStr">
        <is>
          <t>New Lead</t>
        </is>
      </c>
      <c r="H1368" t="inlineStr">
        <is>
          <t>RTBQ_CP17649.pdf</t>
        </is>
      </c>
      <c r="K1368" t="inlineStr">
        <is>
          <t>Not found</t>
        </is>
      </c>
      <c r="L1368" t="inlineStr">
        <is>
          <t>Unknown</t>
        </is>
      </c>
      <c r="T1368" t="inlineStr">
        <is>
          <t>https://tenders.iglonline.net/uploads/tender/RTBQ_CP17649.pdf</t>
        </is>
      </c>
      <c r="U1368" t="inlineStr">
        <is>
          <t>No</t>
        </is>
      </c>
      <c r="V1368" t="inlineStr">
        <is>
          <t>Bot tarafindan tespit edildi (2026-07-01)</t>
        </is>
      </c>
    </row>
    <row r="1369">
      <c r="A1369" t="inlineStr">
        <is>
          <t>T-1173</t>
        </is>
      </c>
      <c r="B1369" t="inlineStr">
        <is>
          <t>Indraprastha Gas (IGL)</t>
        </is>
      </c>
      <c r="C1369" t="inlineStr">
        <is>
          <t>Indraprastha Gas (IGL)</t>
        </is>
      </c>
      <c r="F1369" t="inlineStr">
        <is>
          <t>New Lead</t>
        </is>
      </c>
      <c r="H1369" t="inlineStr">
        <is>
          <t>Corrigendum_2_CP17649.pdf</t>
        </is>
      </c>
      <c r="K1369" t="inlineStr">
        <is>
          <t>Not found</t>
        </is>
      </c>
      <c r="L1369" t="inlineStr">
        <is>
          <t>Unknown</t>
        </is>
      </c>
      <c r="T1369" t="inlineStr">
        <is>
          <t>https://tenders.iglonline.net/uploads/tender/Corrigendum_2_CP17649.pdf</t>
        </is>
      </c>
      <c r="U1369" t="inlineStr">
        <is>
          <t>No</t>
        </is>
      </c>
      <c r="V1369" t="inlineStr">
        <is>
          <t>Bot tarafindan tespit edildi (2026-07-01)</t>
        </is>
      </c>
    </row>
    <row r="1370">
      <c r="A1370" t="inlineStr">
        <is>
          <t>T-1174</t>
        </is>
      </c>
      <c r="B1370" t="inlineStr">
        <is>
          <t>Indraprastha Gas (IGL)</t>
        </is>
      </c>
      <c r="C1370" t="inlineStr">
        <is>
          <t>Indraprastha Gas (IGL)</t>
        </is>
      </c>
      <c r="F1370" t="inlineStr">
        <is>
          <t>New Lead</t>
        </is>
      </c>
      <c r="H1370" t="inlineStr">
        <is>
          <t>View Tender</t>
        </is>
      </c>
      <c r="K1370" t="inlineStr">
        <is>
          <t>Not found</t>
        </is>
      </c>
      <c r="L1370" t="inlineStr">
        <is>
          <t>Unknown</t>
        </is>
      </c>
      <c r="T1370" t="inlineStr">
        <is>
          <t>https://tenders.iglonline.net/tenderDetail/189/Active Tenders And Corrigendum-Addendum</t>
        </is>
      </c>
      <c r="U1370" t="inlineStr">
        <is>
          <t>No</t>
        </is>
      </c>
      <c r="V1370" t="inlineStr">
        <is>
          <t>Bot tarafindan tespit edildi (2026-07-01)</t>
        </is>
      </c>
    </row>
    <row r="1371">
      <c r="A1371" t="inlineStr">
        <is>
          <t>T-1175</t>
        </is>
      </c>
      <c r="B1371" t="inlineStr">
        <is>
          <t>Indraprastha Gas (IGL)</t>
        </is>
      </c>
      <c r="C1371" t="inlineStr">
        <is>
          <t>Indraprastha Gas (IGL)</t>
        </is>
      </c>
      <c r="F1371" t="inlineStr">
        <is>
          <t>New Lead</t>
        </is>
      </c>
      <c r="H1371" t="inlineStr">
        <is>
          <t>View Tender</t>
        </is>
      </c>
      <c r="K1371" t="inlineStr">
        <is>
          <t>Not found</t>
        </is>
      </c>
      <c r="L1371" t="inlineStr">
        <is>
          <t>Unknown</t>
        </is>
      </c>
      <c r="T1371" t="inlineStr">
        <is>
          <t>https://tenders.iglonline.net/tenderDetail/188/Active Tenders And Corrigendum-Addendum</t>
        </is>
      </c>
      <c r="U1371" t="inlineStr">
        <is>
          <t>No</t>
        </is>
      </c>
      <c r="V1371" t="inlineStr">
        <is>
          <t>Bot tarafindan tespit edildi (2026-07-01)</t>
        </is>
      </c>
    </row>
    <row r="1372">
      <c r="A1372" t="inlineStr">
        <is>
          <t>T-1176</t>
        </is>
      </c>
      <c r="B1372" t="inlineStr">
        <is>
          <t>Indraprastha Gas (IGL)</t>
        </is>
      </c>
      <c r="C1372" t="inlineStr">
        <is>
          <t>Indraprastha Gas (IGL)</t>
        </is>
      </c>
      <c r="F1372" t="inlineStr">
        <is>
          <t>New Lead</t>
        </is>
      </c>
      <c r="H1372" t="inlineStr">
        <is>
          <t>RTBQ_CP17651.pdf</t>
        </is>
      </c>
      <c r="K1372" t="inlineStr">
        <is>
          <t>Not found</t>
        </is>
      </c>
      <c r="L1372" t="inlineStr">
        <is>
          <t>Unknown</t>
        </is>
      </c>
      <c r="T1372" t="inlineStr">
        <is>
          <t>https://tenders.iglonline.net/uploads/tender/RTBQ_CP17651.pdf</t>
        </is>
      </c>
      <c r="U1372" t="inlineStr">
        <is>
          <t>No</t>
        </is>
      </c>
      <c r="V1372" t="inlineStr">
        <is>
          <t>Bot tarafindan tespit edildi (2026-07-01)</t>
        </is>
      </c>
    </row>
    <row r="1373">
      <c r="A1373" t="inlineStr">
        <is>
          <t>T-1177</t>
        </is>
      </c>
      <c r="B1373" t="inlineStr">
        <is>
          <t>Indraprastha Gas (IGL)</t>
        </is>
      </c>
      <c r="C1373" t="inlineStr">
        <is>
          <t>Indraprastha Gas (IGL)</t>
        </is>
      </c>
      <c r="F1373" t="inlineStr">
        <is>
          <t>New Lead</t>
        </is>
      </c>
      <c r="H1373" t="inlineStr">
        <is>
          <t>Corrigendum_I_CC17651.pdf</t>
        </is>
      </c>
      <c r="K1373" t="inlineStr">
        <is>
          <t>Not found</t>
        </is>
      </c>
      <c r="L1373" t="inlineStr">
        <is>
          <t>Unknown</t>
        </is>
      </c>
      <c r="T1373" t="inlineStr">
        <is>
          <t>https://tenders.iglonline.net/uploads/tender/Corrigendum_I_CC17651.pdf</t>
        </is>
      </c>
      <c r="U1373" t="inlineStr">
        <is>
          <t>No</t>
        </is>
      </c>
      <c r="V1373" t="inlineStr">
        <is>
          <t>Bot tarafindan tespit edildi (2026-07-01)</t>
        </is>
      </c>
    </row>
    <row r="1374">
      <c r="A1374" t="inlineStr">
        <is>
          <t>T-1178</t>
        </is>
      </c>
      <c r="B1374" t="inlineStr">
        <is>
          <t>Indraprastha Gas (IGL)</t>
        </is>
      </c>
      <c r="C1374" t="inlineStr">
        <is>
          <t>Indraprastha Gas (IGL)</t>
        </is>
      </c>
      <c r="F1374" t="inlineStr">
        <is>
          <t>New Lead</t>
        </is>
      </c>
      <c r="H1374" t="inlineStr">
        <is>
          <t>View Tender</t>
        </is>
      </c>
      <c r="K1374" t="inlineStr">
        <is>
          <t>Not found</t>
        </is>
      </c>
      <c r="L1374" t="inlineStr">
        <is>
          <t>Unknown</t>
        </is>
      </c>
      <c r="T1374" t="inlineStr">
        <is>
          <t>https://tenders.iglonline.net/tenderDetail/187/Active Tenders And Corrigendum-Addendum</t>
        </is>
      </c>
      <c r="U1374" t="inlineStr">
        <is>
          <t>No</t>
        </is>
      </c>
      <c r="V1374" t="inlineStr">
        <is>
          <t>Bot tarafindan tespit edildi (2026-07-01)</t>
        </is>
      </c>
    </row>
    <row r="1375">
      <c r="A1375" t="inlineStr">
        <is>
          <t>T-1179</t>
        </is>
      </c>
      <c r="B1375" t="inlineStr">
        <is>
          <t>Indraprastha Gas (IGL)</t>
        </is>
      </c>
      <c r="C1375" t="inlineStr">
        <is>
          <t>Indraprastha Gas (IGL)</t>
        </is>
      </c>
      <c r="F1375" t="inlineStr">
        <is>
          <t>New Lead</t>
        </is>
      </c>
      <c r="H1375" t="inlineStr">
        <is>
          <t>Corrigendum_1_CP17660.pdf</t>
        </is>
      </c>
      <c r="K1375" t="inlineStr">
        <is>
          <t>Not found</t>
        </is>
      </c>
      <c r="L1375" t="inlineStr">
        <is>
          <t>Unknown</t>
        </is>
      </c>
      <c r="T1375" t="inlineStr">
        <is>
          <t>https://tenders.iglonline.net/uploads/tender/Corrigendum_1_CP17660.pdf</t>
        </is>
      </c>
      <c r="U1375" t="inlineStr">
        <is>
          <t>No</t>
        </is>
      </c>
      <c r="V1375" t="inlineStr">
        <is>
          <t>Bot tarafindan tespit edildi (2026-07-01)</t>
        </is>
      </c>
    </row>
    <row r="1376">
      <c r="A1376" t="inlineStr">
        <is>
          <t>T-1180</t>
        </is>
      </c>
      <c r="B1376" t="inlineStr">
        <is>
          <t>Indraprastha Gas (IGL)</t>
        </is>
      </c>
      <c r="C1376" t="inlineStr">
        <is>
          <t>Indraprastha Gas (IGL)</t>
        </is>
      </c>
      <c r="F1376" t="inlineStr">
        <is>
          <t>New Lead</t>
        </is>
      </c>
      <c r="H1376" t="inlineStr">
        <is>
          <t>Corrigendum_2_CP17660.pdf</t>
        </is>
      </c>
      <c r="K1376" t="inlineStr">
        <is>
          <t>Not found</t>
        </is>
      </c>
      <c r="L1376" t="inlineStr">
        <is>
          <t>Unknown</t>
        </is>
      </c>
      <c r="T1376" t="inlineStr">
        <is>
          <t>https://tenders.iglonline.net/uploads/tender/Corrigendum_2_CP17660.pdf</t>
        </is>
      </c>
      <c r="U1376" t="inlineStr">
        <is>
          <t>No</t>
        </is>
      </c>
      <c r="V1376" t="inlineStr">
        <is>
          <t>Bot tarafindan tespit edildi (2026-07-01)</t>
        </is>
      </c>
    </row>
    <row r="1377">
      <c r="A1377" t="inlineStr">
        <is>
          <t>T-1181</t>
        </is>
      </c>
      <c r="B1377" t="inlineStr">
        <is>
          <t>Indraprastha Gas (IGL)</t>
        </is>
      </c>
      <c r="C1377" t="inlineStr">
        <is>
          <t>Indraprastha Gas (IGL)</t>
        </is>
      </c>
      <c r="F1377" t="inlineStr">
        <is>
          <t>New Lead</t>
        </is>
      </c>
      <c r="H1377" t="inlineStr">
        <is>
          <t>View Tender</t>
        </is>
      </c>
      <c r="K1377" t="inlineStr">
        <is>
          <t>Not found</t>
        </is>
      </c>
      <c r="L1377" t="inlineStr">
        <is>
          <t>Unknown</t>
        </is>
      </c>
      <c r="T1377" t="inlineStr">
        <is>
          <t>https://tenders.iglonline.net/tenderDetail/186/Active Tenders And Corrigendum-Addendum</t>
        </is>
      </c>
      <c r="U1377" t="inlineStr">
        <is>
          <t>No</t>
        </is>
      </c>
      <c r="V1377" t="inlineStr">
        <is>
          <t>Bot tarafindan tespit edildi (2026-07-01)</t>
        </is>
      </c>
    </row>
    <row r="1378">
      <c r="A1378" t="inlineStr">
        <is>
          <t>T-1182</t>
        </is>
      </c>
      <c r="B1378" t="inlineStr">
        <is>
          <t>Indraprastha Gas (IGL)</t>
        </is>
      </c>
      <c r="C1378" t="inlineStr">
        <is>
          <t>Indraprastha Gas (IGL)</t>
        </is>
      </c>
      <c r="F1378" t="inlineStr">
        <is>
          <t>New Lead</t>
        </is>
      </c>
      <c r="H1378" t="inlineStr">
        <is>
          <t>Notice_for_cancellation_CC16881.pdf</t>
        </is>
      </c>
      <c r="K1378" t="inlineStr">
        <is>
          <t>Not found</t>
        </is>
      </c>
      <c r="L1378" t="inlineStr">
        <is>
          <t>Unknown</t>
        </is>
      </c>
      <c r="T1378" t="inlineStr">
        <is>
          <t>https://tenders.iglonline.net/uploads/tender/Notice_for_cancellation_CC16881.pdf</t>
        </is>
      </c>
      <c r="U1378" t="inlineStr">
        <is>
          <t>No</t>
        </is>
      </c>
      <c r="V1378" t="inlineStr">
        <is>
          <t>Bot tarafindan tespit edildi (2026-07-01)</t>
        </is>
      </c>
    </row>
    <row r="1379">
      <c r="A1379" t="inlineStr">
        <is>
          <t>T-1183</t>
        </is>
      </c>
      <c r="B1379" t="inlineStr">
        <is>
          <t>Indraprastha Gas (IGL)</t>
        </is>
      </c>
      <c r="C1379" t="inlineStr">
        <is>
          <t>Indraprastha Gas (IGL)</t>
        </is>
      </c>
      <c r="F1379" t="inlineStr">
        <is>
          <t>New Lead</t>
        </is>
      </c>
      <c r="H1379" t="inlineStr">
        <is>
          <t>CC16881_dated_24_02_2022_TID_10857_Corrigendum_2.pdf</t>
        </is>
      </c>
      <c r="K1379" t="inlineStr">
        <is>
          <t>Not found</t>
        </is>
      </c>
      <c r="L1379" t="inlineStr">
        <is>
          <t>Unknown</t>
        </is>
      </c>
      <c r="T1379" t="inlineStr">
        <is>
          <t>https://tenders.iglonline.net/uploads/tender/CC16881_dated_24_02_2022_TID_10857_Corrigendum_2.pdf</t>
        </is>
      </c>
      <c r="U1379" t="inlineStr">
        <is>
          <t>No</t>
        </is>
      </c>
      <c r="V1379" t="inlineStr">
        <is>
          <t>Bot tarafindan tespit edildi (2026-07-01)</t>
        </is>
      </c>
    </row>
    <row r="1380">
      <c r="A1380" t="inlineStr">
        <is>
          <t>T-1184</t>
        </is>
      </c>
      <c r="B1380" t="inlineStr">
        <is>
          <t>Indraprastha Gas (IGL)</t>
        </is>
      </c>
      <c r="C1380" t="inlineStr">
        <is>
          <t>Indraprastha Gas (IGL)</t>
        </is>
      </c>
      <c r="F1380" t="inlineStr">
        <is>
          <t>New Lead</t>
        </is>
      </c>
      <c r="H1380" t="inlineStr">
        <is>
          <t>CC16881_dated_24_02_2022_TID_10857_Corrigendum_1.pdf</t>
        </is>
      </c>
      <c r="K1380" t="inlineStr">
        <is>
          <t>Not found</t>
        </is>
      </c>
      <c r="L1380" t="inlineStr">
        <is>
          <t>Unknown</t>
        </is>
      </c>
      <c r="T1380" t="inlineStr">
        <is>
          <t>https://tenders.iglonline.net/uploads/tender/CC16881_dated_24_02_2022_TID_10857_Corrigendum_1.pdf</t>
        </is>
      </c>
      <c r="U1380" t="inlineStr">
        <is>
          <t>No</t>
        </is>
      </c>
      <c r="V1380" t="inlineStr">
        <is>
          <t>Bot tarafindan tespit edildi (2026-07-01)</t>
        </is>
      </c>
    </row>
    <row r="1381">
      <c r="A1381" t="inlineStr">
        <is>
          <t>T-1185</t>
        </is>
      </c>
      <c r="B1381" t="inlineStr">
        <is>
          <t>Indraprastha Gas (IGL)</t>
        </is>
      </c>
      <c r="C1381" t="inlineStr">
        <is>
          <t>Indraprastha Gas (IGL)</t>
        </is>
      </c>
      <c r="F1381" t="inlineStr">
        <is>
          <t>New Lead</t>
        </is>
      </c>
      <c r="H1381" t="inlineStr">
        <is>
          <t>View Tender</t>
        </is>
      </c>
      <c r="K1381" t="inlineStr">
        <is>
          <t>Not found</t>
        </is>
      </c>
      <c r="L1381" t="inlineStr">
        <is>
          <t>Unknown</t>
        </is>
      </c>
      <c r="T1381" t="inlineStr">
        <is>
          <t>https://tenders.iglonline.net/tenderDetail/185/Active Tenders And Corrigendum-Addendum</t>
        </is>
      </c>
      <c r="U1381" t="inlineStr">
        <is>
          <t>No</t>
        </is>
      </c>
      <c r="V1381" t="inlineStr">
        <is>
          <t>Bot tarafindan tespit edildi (2026-07-01)</t>
        </is>
      </c>
    </row>
    <row r="1382">
      <c r="A1382" t="inlineStr">
        <is>
          <t>T-1186</t>
        </is>
      </c>
      <c r="B1382" t="inlineStr">
        <is>
          <t>Indraprastha Gas (IGL)</t>
        </is>
      </c>
      <c r="C1382" t="inlineStr">
        <is>
          <t>Indraprastha Gas (IGL)</t>
        </is>
      </c>
      <c r="F1382" t="inlineStr">
        <is>
          <t>New Lead</t>
        </is>
      </c>
      <c r="H1382" t="inlineStr">
        <is>
          <t>View Tender</t>
        </is>
      </c>
      <c r="K1382" t="inlineStr">
        <is>
          <t>Not found</t>
        </is>
      </c>
      <c r="L1382" t="inlineStr">
        <is>
          <t>Unknown</t>
        </is>
      </c>
      <c r="T1382" t="inlineStr">
        <is>
          <t>https://tenders.iglonline.net/tenderDetail/184/Active Tenders And Corrigendum-Addendum</t>
        </is>
      </c>
      <c r="U1382" t="inlineStr">
        <is>
          <t>No</t>
        </is>
      </c>
      <c r="V1382" t="inlineStr">
        <is>
          <t>Bot tarafindan tespit edildi (2026-07-01)</t>
        </is>
      </c>
    </row>
    <row r="1383">
      <c r="A1383" t="inlineStr">
        <is>
          <t>T-1187</t>
        </is>
      </c>
      <c r="B1383" t="inlineStr">
        <is>
          <t>Indraprastha Gas (IGL)</t>
        </is>
      </c>
      <c r="C1383" t="inlineStr">
        <is>
          <t>Indraprastha Gas (IGL)</t>
        </is>
      </c>
      <c r="F1383" t="inlineStr">
        <is>
          <t>New Lead</t>
        </is>
      </c>
      <c r="H1383" t="inlineStr">
        <is>
          <t>CC17567.pdf</t>
        </is>
      </c>
      <c r="K1383" t="inlineStr">
        <is>
          <t>Not found</t>
        </is>
      </c>
      <c r="L1383" t="inlineStr">
        <is>
          <t>Unknown</t>
        </is>
      </c>
      <c r="T1383" t="inlineStr">
        <is>
          <t>https://tenders.iglonline.net/uploads/tender/CC17567.pdf</t>
        </is>
      </c>
      <c r="U1383" t="inlineStr">
        <is>
          <t>No</t>
        </is>
      </c>
      <c r="V1383" t="inlineStr">
        <is>
          <t>Bot tarafindan tespit edildi (2026-07-01)</t>
        </is>
      </c>
    </row>
    <row r="1384">
      <c r="A1384" t="inlineStr">
        <is>
          <t>T-1188</t>
        </is>
      </c>
      <c r="B1384" t="inlineStr">
        <is>
          <t>Indraprastha Gas (IGL)</t>
        </is>
      </c>
      <c r="C1384" t="inlineStr">
        <is>
          <t>Indraprastha Gas (IGL)</t>
        </is>
      </c>
      <c r="F1384" t="inlineStr">
        <is>
          <t>New Lead</t>
        </is>
      </c>
      <c r="H1384" t="inlineStr">
        <is>
          <t>View Tender</t>
        </is>
      </c>
      <c r="K1384" t="inlineStr">
        <is>
          <t>Not found</t>
        </is>
      </c>
      <c r="L1384" t="inlineStr">
        <is>
          <t>Unknown</t>
        </is>
      </c>
      <c r="T1384" t="inlineStr">
        <is>
          <t>https://tenders.iglonline.net/tenderDetail/183/Active Tenders And Corrigendum-Addendum</t>
        </is>
      </c>
      <c r="U1384" t="inlineStr">
        <is>
          <t>No</t>
        </is>
      </c>
      <c r="V1384" t="inlineStr">
        <is>
          <t>Bot tarafindan tespit edildi (2026-07-01)</t>
        </is>
      </c>
    </row>
    <row r="1385">
      <c r="A1385" t="inlineStr">
        <is>
          <t>T-1189</t>
        </is>
      </c>
      <c r="B1385" t="inlineStr">
        <is>
          <t>Indraprastha Gas (IGL)</t>
        </is>
      </c>
      <c r="C1385" t="inlineStr">
        <is>
          <t>Indraprastha Gas (IGL)</t>
        </is>
      </c>
      <c r="F1385" t="inlineStr">
        <is>
          <t>New Lead</t>
        </is>
      </c>
      <c r="H1385" t="inlineStr">
        <is>
          <t>RTBQ_CP17631.pdf</t>
        </is>
      </c>
      <c r="K1385" t="inlineStr">
        <is>
          <t>Not found</t>
        </is>
      </c>
      <c r="L1385" t="inlineStr">
        <is>
          <t>Unknown</t>
        </is>
      </c>
      <c r="T1385" t="inlineStr">
        <is>
          <t>https://tenders.iglonline.net/uploads/tender/RTBQ_CP17631.pdf</t>
        </is>
      </c>
      <c r="U1385" t="inlineStr">
        <is>
          <t>No</t>
        </is>
      </c>
      <c r="V1385" t="inlineStr">
        <is>
          <t>Bot tarafindan tespit edildi (2026-07-01)</t>
        </is>
      </c>
    </row>
    <row r="1386">
      <c r="A1386" t="inlineStr">
        <is>
          <t>T-1190</t>
        </is>
      </c>
      <c r="B1386" t="inlineStr">
        <is>
          <t>Indraprastha Gas (IGL)</t>
        </is>
      </c>
      <c r="C1386" t="inlineStr">
        <is>
          <t>Indraprastha Gas (IGL)</t>
        </is>
      </c>
      <c r="F1386" t="inlineStr">
        <is>
          <t>New Lead</t>
        </is>
      </c>
      <c r="H1386" t="inlineStr">
        <is>
          <t>Corrigendum_1_CP17631.pdf</t>
        </is>
      </c>
      <c r="K1386" t="inlineStr">
        <is>
          <t>Not found</t>
        </is>
      </c>
      <c r="L1386" t="inlineStr">
        <is>
          <t>Unknown</t>
        </is>
      </c>
      <c r="T1386" t="inlineStr">
        <is>
          <t>https://tenders.iglonline.net/uploads/tender/Corrigendum_1_CP17631.pdf</t>
        </is>
      </c>
      <c r="U1386" t="inlineStr">
        <is>
          <t>No</t>
        </is>
      </c>
      <c r="V1386" t="inlineStr">
        <is>
          <t>Bot tarafindan tespit edildi (2026-07-01)</t>
        </is>
      </c>
    </row>
    <row r="1387">
      <c r="A1387" t="inlineStr">
        <is>
          <t>T-1191</t>
        </is>
      </c>
      <c r="B1387" t="inlineStr">
        <is>
          <t>Indraprastha Gas (IGL)</t>
        </is>
      </c>
      <c r="C1387" t="inlineStr">
        <is>
          <t>Indraprastha Gas (IGL)</t>
        </is>
      </c>
      <c r="F1387" t="inlineStr">
        <is>
          <t>New Lead</t>
        </is>
      </c>
      <c r="H1387" t="inlineStr">
        <is>
          <t>Corrigendum_2_CP17631.pdf</t>
        </is>
      </c>
      <c r="K1387" t="inlineStr">
        <is>
          <t>Not found</t>
        </is>
      </c>
      <c r="L1387" t="inlineStr">
        <is>
          <t>Unknown</t>
        </is>
      </c>
      <c r="T1387" t="inlineStr">
        <is>
          <t>https://tenders.iglonline.net/uploads/tender/Corrigendum_2_CP17631.pdf</t>
        </is>
      </c>
      <c r="U1387" t="inlineStr">
        <is>
          <t>No</t>
        </is>
      </c>
      <c r="V1387" t="inlineStr">
        <is>
          <t>Bot tarafindan tespit edildi (2026-07-01)</t>
        </is>
      </c>
    </row>
    <row r="1388">
      <c r="A1388" t="inlineStr">
        <is>
          <t>T-1192</t>
        </is>
      </c>
      <c r="B1388" t="inlineStr">
        <is>
          <t>Indraprastha Gas (IGL)</t>
        </is>
      </c>
      <c r="C1388" t="inlineStr">
        <is>
          <t>Indraprastha Gas (IGL)</t>
        </is>
      </c>
      <c r="F1388" t="inlineStr">
        <is>
          <t>New Lead</t>
        </is>
      </c>
      <c r="H1388" t="inlineStr">
        <is>
          <t>Corrigendum_3_CP17631.pdf</t>
        </is>
      </c>
      <c r="K1388" t="inlineStr">
        <is>
          <t>Not found</t>
        </is>
      </c>
      <c r="L1388" t="inlineStr">
        <is>
          <t>Unknown</t>
        </is>
      </c>
      <c r="T1388" t="inlineStr">
        <is>
          <t>https://tenders.iglonline.net/uploads/tender/Corrigendum_3_CP17631.pdf</t>
        </is>
      </c>
      <c r="U1388" t="inlineStr">
        <is>
          <t>No</t>
        </is>
      </c>
      <c r="V1388" t="inlineStr">
        <is>
          <t>Bot tarafindan tespit edildi (2026-07-01)</t>
        </is>
      </c>
    </row>
    <row r="1389">
      <c r="A1389" t="inlineStr">
        <is>
          <t>T-1193</t>
        </is>
      </c>
      <c r="B1389" t="inlineStr">
        <is>
          <t>Indraprastha Gas (IGL)</t>
        </is>
      </c>
      <c r="C1389" t="inlineStr">
        <is>
          <t>Indraprastha Gas (IGL)</t>
        </is>
      </c>
      <c r="F1389" t="inlineStr">
        <is>
          <t>New Lead</t>
        </is>
      </c>
      <c r="H1389" t="inlineStr">
        <is>
          <t>Corrigendum_4_CP17631.pdf</t>
        </is>
      </c>
      <c r="K1389" t="inlineStr">
        <is>
          <t>Not found</t>
        </is>
      </c>
      <c r="L1389" t="inlineStr">
        <is>
          <t>Unknown</t>
        </is>
      </c>
      <c r="T1389" t="inlineStr">
        <is>
          <t>https://tenders.iglonline.net/uploads/tender/Corrigendum_4_CP17631.pdf</t>
        </is>
      </c>
      <c r="U1389" t="inlineStr">
        <is>
          <t>No</t>
        </is>
      </c>
      <c r="V1389" t="inlineStr">
        <is>
          <t>Bot tarafindan tespit edildi (2026-07-01)</t>
        </is>
      </c>
    </row>
    <row r="1390">
      <c r="A1390" t="inlineStr">
        <is>
          <t>T-1194</t>
        </is>
      </c>
      <c r="B1390" t="inlineStr">
        <is>
          <t>Indraprastha Gas (IGL)</t>
        </is>
      </c>
      <c r="C1390" t="inlineStr">
        <is>
          <t>Indraprastha Gas (IGL)</t>
        </is>
      </c>
      <c r="F1390" t="inlineStr">
        <is>
          <t>New Lead</t>
        </is>
      </c>
      <c r="H1390" t="inlineStr">
        <is>
          <t>Corrigendum_5_CP17631.pdf</t>
        </is>
      </c>
      <c r="K1390" t="inlineStr">
        <is>
          <t>Not found</t>
        </is>
      </c>
      <c r="L1390" t="inlineStr">
        <is>
          <t>Unknown</t>
        </is>
      </c>
      <c r="T1390" t="inlineStr">
        <is>
          <t>https://tenders.iglonline.net/uploads/tender/Corrigendum_5_CP17631.pdf</t>
        </is>
      </c>
      <c r="U1390" t="inlineStr">
        <is>
          <t>No</t>
        </is>
      </c>
      <c r="V1390" t="inlineStr">
        <is>
          <t>Bot tarafindan tespit edildi (2026-07-01)</t>
        </is>
      </c>
    </row>
    <row r="1391">
      <c r="A1391" t="inlineStr">
        <is>
          <t>T-1195</t>
        </is>
      </c>
      <c r="B1391" t="inlineStr">
        <is>
          <t>Indraprastha Gas (IGL)</t>
        </is>
      </c>
      <c r="C1391" t="inlineStr">
        <is>
          <t>Indraprastha Gas (IGL)</t>
        </is>
      </c>
      <c r="F1391" t="inlineStr">
        <is>
          <t>New Lead</t>
        </is>
      </c>
      <c r="H1391" t="inlineStr">
        <is>
          <t>Cancellation_Notice_CP17631.pdf</t>
        </is>
      </c>
      <c r="K1391" t="inlineStr">
        <is>
          <t>Not found</t>
        </is>
      </c>
      <c r="L1391" t="inlineStr">
        <is>
          <t>Unknown</t>
        </is>
      </c>
      <c r="T1391" t="inlineStr">
        <is>
          <t>https://tenders.iglonline.net/uploads/tender/Cancellation_Notice_CP17631.pdf</t>
        </is>
      </c>
      <c r="U1391" t="inlineStr">
        <is>
          <t>No</t>
        </is>
      </c>
      <c r="V1391" t="inlineStr">
        <is>
          <t>Bot tarafindan tespit edildi (2026-07-01)</t>
        </is>
      </c>
    </row>
    <row r="1392">
      <c r="A1392" t="inlineStr">
        <is>
          <t>T-1196</t>
        </is>
      </c>
      <c r="B1392" t="inlineStr">
        <is>
          <t>Indraprastha Gas (IGL)</t>
        </is>
      </c>
      <c r="C1392" t="inlineStr">
        <is>
          <t>Indraprastha Gas (IGL)</t>
        </is>
      </c>
      <c r="F1392" t="inlineStr">
        <is>
          <t>New Lead</t>
        </is>
      </c>
      <c r="H1392" t="inlineStr">
        <is>
          <t>View Tender</t>
        </is>
      </c>
      <c r="K1392" t="inlineStr">
        <is>
          <t>Not found</t>
        </is>
      </c>
      <c r="L1392" t="inlineStr">
        <is>
          <t>Unknown</t>
        </is>
      </c>
      <c r="T1392" t="inlineStr">
        <is>
          <t>https://tenders.iglonline.net/tenderDetail/182/Active Tenders And Corrigendum-Addendum</t>
        </is>
      </c>
      <c r="U1392" t="inlineStr">
        <is>
          <t>No</t>
        </is>
      </c>
      <c r="V1392" t="inlineStr">
        <is>
          <t>Bot tarafindan tespit edildi (2026-07-01)</t>
        </is>
      </c>
    </row>
    <row r="1393">
      <c r="A1393" t="inlineStr">
        <is>
          <t>T-1197</t>
        </is>
      </c>
      <c r="B1393" t="inlineStr">
        <is>
          <t>Indraprastha Gas (IGL)</t>
        </is>
      </c>
      <c r="C1393" t="inlineStr">
        <is>
          <t>Indraprastha Gas (IGL)</t>
        </is>
      </c>
      <c r="F1393" t="inlineStr">
        <is>
          <t>New Lead</t>
        </is>
      </c>
      <c r="H1393" t="inlineStr">
        <is>
          <t>Corrigendum_1__.pdf</t>
        </is>
      </c>
      <c r="K1393" t="inlineStr">
        <is>
          <t>Not found</t>
        </is>
      </c>
      <c r="L1393" t="inlineStr">
        <is>
          <t>Unknown</t>
        </is>
      </c>
      <c r="T1393" t="inlineStr">
        <is>
          <t>https://tenders.iglonline.net/uploads/tender/Corrigendum_1__.pdf</t>
        </is>
      </c>
      <c r="U1393" t="inlineStr">
        <is>
          <t>No</t>
        </is>
      </c>
      <c r="V1393" t="inlineStr">
        <is>
          <t>Bot tarafindan tespit edildi (2026-07-01)</t>
        </is>
      </c>
    </row>
    <row r="1394">
      <c r="A1394" t="inlineStr">
        <is>
          <t>T-1198</t>
        </is>
      </c>
      <c r="B1394" t="inlineStr">
        <is>
          <t>Indraprastha Gas (IGL)</t>
        </is>
      </c>
      <c r="C1394" t="inlineStr">
        <is>
          <t>Indraprastha Gas (IGL)</t>
        </is>
      </c>
      <c r="F1394" t="inlineStr">
        <is>
          <t>New Lead</t>
        </is>
      </c>
      <c r="H1394" t="inlineStr">
        <is>
          <t>CORRIGENDUM_2_1.pdf</t>
        </is>
      </c>
      <c r="K1394" t="inlineStr">
        <is>
          <t>Not found</t>
        </is>
      </c>
      <c r="L1394" t="inlineStr">
        <is>
          <t>Unknown</t>
        </is>
      </c>
      <c r="T1394" t="inlineStr">
        <is>
          <t>https://tenders.iglonline.net/uploads/tender/CORRIGENDUM_2_1.pdf</t>
        </is>
      </c>
      <c r="U1394" t="inlineStr">
        <is>
          <t>No</t>
        </is>
      </c>
      <c r="V1394" t="inlineStr">
        <is>
          <t>Bot tarafindan tespit edildi (2026-07-01)</t>
        </is>
      </c>
    </row>
    <row r="1395">
      <c r="A1395" t="inlineStr">
        <is>
          <t>T-1199</t>
        </is>
      </c>
      <c r="B1395" t="inlineStr">
        <is>
          <t>Indraprastha Gas (IGL)</t>
        </is>
      </c>
      <c r="C1395" t="inlineStr">
        <is>
          <t>Indraprastha Gas (IGL)</t>
        </is>
      </c>
      <c r="F1395" t="inlineStr">
        <is>
          <t>New Lead</t>
        </is>
      </c>
      <c r="H1395" t="inlineStr">
        <is>
          <t>Corrigendum3_.pdf</t>
        </is>
      </c>
      <c r="K1395" t="inlineStr">
        <is>
          <t>Not found</t>
        </is>
      </c>
      <c r="L1395" t="inlineStr">
        <is>
          <t>Unknown</t>
        </is>
      </c>
      <c r="T1395" t="inlineStr">
        <is>
          <t>https://tenders.iglonline.net/uploads/tender/Corrigendum3_.pdf</t>
        </is>
      </c>
      <c r="U1395" t="inlineStr">
        <is>
          <t>No</t>
        </is>
      </c>
      <c r="V1395" t="inlineStr">
        <is>
          <t>Bot tarafindan tespit edildi (2026-07-01)</t>
        </is>
      </c>
    </row>
    <row r="1396">
      <c r="A1396" t="inlineStr">
        <is>
          <t>T-1200</t>
        </is>
      </c>
      <c r="B1396" t="inlineStr">
        <is>
          <t>Indraprastha Gas (IGL)</t>
        </is>
      </c>
      <c r="C1396" t="inlineStr">
        <is>
          <t>Indraprastha Gas (IGL)</t>
        </is>
      </c>
      <c r="F1396" t="inlineStr">
        <is>
          <t>New Lead</t>
        </is>
      </c>
      <c r="H1396" t="inlineStr">
        <is>
          <t>CORRIGENDUM_4__.pdf</t>
        </is>
      </c>
      <c r="K1396" t="inlineStr">
        <is>
          <t>Not found</t>
        </is>
      </c>
      <c r="L1396" t="inlineStr">
        <is>
          <t>Unknown</t>
        </is>
      </c>
      <c r="T1396" t="inlineStr">
        <is>
          <t>https://tenders.iglonline.net/uploads/tender/CORRIGENDUM_4__.pdf</t>
        </is>
      </c>
      <c r="U1396" t="inlineStr">
        <is>
          <t>No</t>
        </is>
      </c>
      <c r="V1396" t="inlineStr">
        <is>
          <t>Bot tarafindan tespit edildi (2026-07-01)</t>
        </is>
      </c>
    </row>
    <row r="1397">
      <c r="A1397" t="inlineStr">
        <is>
          <t>T-1201</t>
        </is>
      </c>
      <c r="B1397" t="inlineStr">
        <is>
          <t>Indraprastha Gas (IGL)</t>
        </is>
      </c>
      <c r="C1397" t="inlineStr">
        <is>
          <t>Indraprastha Gas (IGL)</t>
        </is>
      </c>
      <c r="F1397" t="inlineStr">
        <is>
          <t>New Lead</t>
        </is>
      </c>
      <c r="H1397" t="inlineStr">
        <is>
          <t>View Tender</t>
        </is>
      </c>
      <c r="K1397" t="inlineStr">
        <is>
          <t>Not found</t>
        </is>
      </c>
      <c r="L1397" t="inlineStr">
        <is>
          <t>Unknown</t>
        </is>
      </c>
      <c r="T1397" t="inlineStr">
        <is>
          <t>https://tenders.iglonline.net/tenderDetail/181/Active Tenders And Corrigendum-Addendum</t>
        </is>
      </c>
      <c r="U1397" t="inlineStr">
        <is>
          <t>No</t>
        </is>
      </c>
      <c r="V1397" t="inlineStr">
        <is>
          <t>Bot tarafindan tespit edildi (2026-07-01)</t>
        </is>
      </c>
    </row>
    <row r="1398">
      <c r="A1398" t="inlineStr">
        <is>
          <t>T-1202</t>
        </is>
      </c>
      <c r="B1398" t="inlineStr">
        <is>
          <t>Indraprastha Gas (IGL)</t>
        </is>
      </c>
      <c r="C1398" t="inlineStr">
        <is>
          <t>Indraprastha Gas (IGL)</t>
        </is>
      </c>
      <c r="F1398" t="inlineStr">
        <is>
          <t>New Lead</t>
        </is>
      </c>
      <c r="H1398" t="inlineStr">
        <is>
          <t>View Tender</t>
        </is>
      </c>
      <c r="K1398" t="inlineStr">
        <is>
          <t>Not found</t>
        </is>
      </c>
      <c r="L1398" t="inlineStr">
        <is>
          <t>Unknown</t>
        </is>
      </c>
      <c r="T1398" t="inlineStr">
        <is>
          <t>https://tenders.iglonline.net/tenderDetail/180/Active Tenders And Corrigendum-Addendum</t>
        </is>
      </c>
      <c r="U1398" t="inlineStr">
        <is>
          <t>No</t>
        </is>
      </c>
      <c r="V1398" t="inlineStr">
        <is>
          <t>Bot tarafindan tespit edildi (2026-07-01)</t>
        </is>
      </c>
    </row>
    <row r="1399">
      <c r="A1399" t="inlineStr">
        <is>
          <t>T-1203</t>
        </is>
      </c>
      <c r="B1399" t="inlineStr">
        <is>
          <t>Indraprastha Gas (IGL)</t>
        </is>
      </c>
      <c r="C1399" t="inlineStr">
        <is>
          <t>Indraprastha Gas (IGL)</t>
        </is>
      </c>
      <c r="F1399" t="inlineStr">
        <is>
          <t>New Lead</t>
        </is>
      </c>
      <c r="H1399" t="inlineStr">
        <is>
          <t>Corrigendum-I_(3).pdf</t>
        </is>
      </c>
      <c r="K1399" t="inlineStr">
        <is>
          <t>Not found</t>
        </is>
      </c>
      <c r="L1399" t="inlineStr">
        <is>
          <t>Unknown</t>
        </is>
      </c>
      <c r="T1399" t="inlineStr">
        <is>
          <t>https://tenders.iglonline.net/uploads/tender/Corrigendum-I_(3).pdf</t>
        </is>
      </c>
      <c r="U1399" t="inlineStr">
        <is>
          <t>No</t>
        </is>
      </c>
      <c r="V1399" t="inlineStr">
        <is>
          <t>Bot tarafindan tespit edildi (2026-07-01)</t>
        </is>
      </c>
    </row>
    <row r="1400">
      <c r="A1400" t="inlineStr">
        <is>
          <t>T-1204</t>
        </is>
      </c>
      <c r="B1400" t="inlineStr">
        <is>
          <t>Indraprastha Gas (IGL)</t>
        </is>
      </c>
      <c r="C1400" t="inlineStr">
        <is>
          <t>Indraprastha Gas (IGL)</t>
        </is>
      </c>
      <c r="F1400" t="inlineStr">
        <is>
          <t>New Lead</t>
        </is>
      </c>
      <c r="H1400" t="inlineStr">
        <is>
          <t>Corrigendum-II_(2).pdf</t>
        </is>
      </c>
      <c r="K1400" t="inlineStr">
        <is>
          <t>Not found</t>
        </is>
      </c>
      <c r="L1400" t="inlineStr">
        <is>
          <t>Unknown</t>
        </is>
      </c>
      <c r="T1400" t="inlineStr">
        <is>
          <t>https://tenders.iglonline.net/uploads/tender/Corrigendum-II_(2).pdf</t>
        </is>
      </c>
      <c r="U1400" t="inlineStr">
        <is>
          <t>No</t>
        </is>
      </c>
      <c r="V1400" t="inlineStr">
        <is>
          <t>Bot tarafindan tespit edildi (2026-07-01)</t>
        </is>
      </c>
    </row>
    <row r="1401">
      <c r="A1401" t="inlineStr">
        <is>
          <t>T-1205</t>
        </is>
      </c>
      <c r="B1401" t="inlineStr">
        <is>
          <t>Indraprastha Gas (IGL)</t>
        </is>
      </c>
      <c r="C1401" t="inlineStr">
        <is>
          <t>Indraprastha Gas (IGL)</t>
        </is>
      </c>
      <c r="F1401" t="inlineStr">
        <is>
          <t>New Lead</t>
        </is>
      </c>
      <c r="H1401" t="inlineStr">
        <is>
          <t>Corrigendum-CC17564.pdf</t>
        </is>
      </c>
      <c r="K1401" t="inlineStr">
        <is>
          <t>Not found</t>
        </is>
      </c>
      <c r="L1401" t="inlineStr">
        <is>
          <t>Unknown</t>
        </is>
      </c>
      <c r="T1401" t="inlineStr">
        <is>
          <t>https://tenders.iglonline.net/uploads/tender/Corrigendum-CC17564.pdf</t>
        </is>
      </c>
      <c r="U1401" t="inlineStr">
        <is>
          <t>No</t>
        </is>
      </c>
      <c r="V1401" t="inlineStr">
        <is>
          <t>Bot tarafindan tespit edildi (2026-07-01)</t>
        </is>
      </c>
    </row>
    <row r="1402">
      <c r="A1402" t="inlineStr">
        <is>
          <t>T-1206</t>
        </is>
      </c>
      <c r="B1402" t="inlineStr">
        <is>
          <t>Indraprastha Gas (IGL)</t>
        </is>
      </c>
      <c r="C1402" t="inlineStr">
        <is>
          <t>Indraprastha Gas (IGL)</t>
        </is>
      </c>
      <c r="F1402" t="inlineStr">
        <is>
          <t>New Lead</t>
        </is>
      </c>
      <c r="H1402" t="inlineStr">
        <is>
          <t>View Tender</t>
        </is>
      </c>
      <c r="K1402" t="inlineStr">
        <is>
          <t>Not found</t>
        </is>
      </c>
      <c r="L1402" t="inlineStr">
        <is>
          <t>Unknown</t>
        </is>
      </c>
      <c r="T1402" t="inlineStr">
        <is>
          <t>https://tenders.iglonline.net/tenderDetail/179/Active Tenders And Corrigendum-Addendum</t>
        </is>
      </c>
      <c r="U1402" t="inlineStr">
        <is>
          <t>No</t>
        </is>
      </c>
      <c r="V1402" t="inlineStr">
        <is>
          <t>Bot tarafindan tespit edildi (2026-07-01)</t>
        </is>
      </c>
    </row>
    <row r="1403">
      <c r="A1403" t="inlineStr">
        <is>
          <t>T-1207</t>
        </is>
      </c>
      <c r="B1403" t="inlineStr">
        <is>
          <t>Indraprastha Gas (IGL)</t>
        </is>
      </c>
      <c r="C1403" t="inlineStr">
        <is>
          <t>Indraprastha Gas (IGL)</t>
        </is>
      </c>
      <c r="F1403" t="inlineStr">
        <is>
          <t>New Lead</t>
        </is>
      </c>
      <c r="H1403" t="inlineStr">
        <is>
          <t>Reply_Cyber_Insurance_Policy_Pre_Bid.pdf</t>
        </is>
      </c>
      <c r="K1403" t="inlineStr">
        <is>
          <t>Not found</t>
        </is>
      </c>
      <c r="L1403" t="inlineStr">
        <is>
          <t>Unknown</t>
        </is>
      </c>
      <c r="T1403" t="inlineStr">
        <is>
          <t>https://tenders.iglonline.net/uploads/tender/Reply_Cyber_Insurance_Policy_Pre_Bid.pdf</t>
        </is>
      </c>
      <c r="U1403" t="inlineStr">
        <is>
          <t>No</t>
        </is>
      </c>
      <c r="V1403" t="inlineStr">
        <is>
          <t>Bot tarafindan tespit edildi (2026-07-01)</t>
        </is>
      </c>
    </row>
    <row r="1404">
      <c r="A1404" t="inlineStr">
        <is>
          <t>T-1208</t>
        </is>
      </c>
      <c r="B1404" t="inlineStr">
        <is>
          <t>Indraprastha Gas (IGL)</t>
        </is>
      </c>
      <c r="C1404" t="inlineStr">
        <is>
          <t>Indraprastha Gas (IGL)</t>
        </is>
      </c>
      <c r="F1404" t="inlineStr">
        <is>
          <t>New Lead</t>
        </is>
      </c>
      <c r="H1404" t="inlineStr">
        <is>
          <t>CORRIGENDUM_II.pdf</t>
        </is>
      </c>
      <c r="K1404" t="inlineStr">
        <is>
          <t>Not found</t>
        </is>
      </c>
      <c r="L1404" t="inlineStr">
        <is>
          <t>Unknown</t>
        </is>
      </c>
      <c r="T1404" t="inlineStr">
        <is>
          <t>https://tenders.iglonline.net/uploads/tender/CORRIGENDUM_II.pdf</t>
        </is>
      </c>
      <c r="U1404" t="inlineStr">
        <is>
          <t>No</t>
        </is>
      </c>
      <c r="V1404" t="inlineStr">
        <is>
          <t>Bot tarafindan tespit edildi (2026-07-01)</t>
        </is>
      </c>
    </row>
    <row r="1405">
      <c r="A1405" t="inlineStr">
        <is>
          <t>T-1209</t>
        </is>
      </c>
      <c r="B1405" t="inlineStr">
        <is>
          <t>Indraprastha Gas (IGL)</t>
        </is>
      </c>
      <c r="C1405" t="inlineStr">
        <is>
          <t>Indraprastha Gas (IGL)</t>
        </is>
      </c>
      <c r="F1405" t="inlineStr">
        <is>
          <t>New Lead</t>
        </is>
      </c>
      <c r="H1405" t="inlineStr">
        <is>
          <t>CORRIGENDUM_3.pdf</t>
        </is>
      </c>
      <c r="K1405" t="inlineStr">
        <is>
          <t>Not found</t>
        </is>
      </c>
      <c r="L1405" t="inlineStr">
        <is>
          <t>Unknown</t>
        </is>
      </c>
      <c r="T1405" t="inlineStr">
        <is>
          <t>https://tenders.iglonline.net/uploads/tender/CORRIGENDUM_3.pdf</t>
        </is>
      </c>
      <c r="U1405" t="inlineStr">
        <is>
          <t>No</t>
        </is>
      </c>
      <c r="V1405" t="inlineStr">
        <is>
          <t>Bot tarafindan tespit edildi (2026-07-01)</t>
        </is>
      </c>
    </row>
    <row r="1406">
      <c r="A1406" t="inlineStr">
        <is>
          <t>T-1210</t>
        </is>
      </c>
      <c r="B1406" t="inlineStr">
        <is>
          <t>Indraprastha Gas (IGL)</t>
        </is>
      </c>
      <c r="C1406" t="inlineStr">
        <is>
          <t>Indraprastha Gas (IGL)</t>
        </is>
      </c>
      <c r="F1406" t="inlineStr">
        <is>
          <t>New Lead</t>
        </is>
      </c>
      <c r="H1406" t="inlineStr">
        <is>
          <t>Notification_Tender_cancellation_CYBER_INSURANCE.pdf</t>
        </is>
      </c>
      <c r="K1406" t="inlineStr">
        <is>
          <t>Not found</t>
        </is>
      </c>
      <c r="L1406" t="inlineStr">
        <is>
          <t>Unknown</t>
        </is>
      </c>
      <c r="T1406" t="inlineStr">
        <is>
          <t>https://tenders.iglonline.net/uploads/tender/Notification_Tender_cancellation_CYBER_INSURANCE.pdf</t>
        </is>
      </c>
      <c r="U1406" t="inlineStr">
        <is>
          <t>No</t>
        </is>
      </c>
      <c r="V1406" t="inlineStr">
        <is>
          <t>Bot tarafindan tespit edildi (2026-07-01)</t>
        </is>
      </c>
    </row>
    <row r="1407">
      <c r="A1407" t="inlineStr">
        <is>
          <t>T-1211</t>
        </is>
      </c>
      <c r="B1407" t="inlineStr">
        <is>
          <t>Indraprastha Gas (IGL)</t>
        </is>
      </c>
      <c r="C1407" t="inlineStr">
        <is>
          <t>Indraprastha Gas (IGL)</t>
        </is>
      </c>
      <c r="F1407" t="inlineStr">
        <is>
          <t>New Lead</t>
        </is>
      </c>
      <c r="H1407" t="inlineStr">
        <is>
          <t>View Tender</t>
        </is>
      </c>
      <c r="K1407" t="inlineStr">
        <is>
          <t>Not found</t>
        </is>
      </c>
      <c r="L1407" t="inlineStr">
        <is>
          <t>Unknown</t>
        </is>
      </c>
      <c r="T1407" t="inlineStr">
        <is>
          <t>https://tenders.iglonline.net/tenderDetail/178/Active Tenders And Corrigendum-Addendum</t>
        </is>
      </c>
      <c r="U1407" t="inlineStr">
        <is>
          <t>No</t>
        </is>
      </c>
      <c r="V1407" t="inlineStr">
        <is>
          <t>Bot tarafindan tespit edildi (2026-07-01)</t>
        </is>
      </c>
    </row>
    <row r="1408">
      <c r="A1408" t="inlineStr">
        <is>
          <t>T-1212</t>
        </is>
      </c>
      <c r="B1408" t="inlineStr">
        <is>
          <t>Indraprastha Gas (IGL)</t>
        </is>
      </c>
      <c r="C1408" t="inlineStr">
        <is>
          <t>Indraprastha Gas (IGL)</t>
        </is>
      </c>
      <c r="F1408" t="inlineStr">
        <is>
          <t>New Lead</t>
        </is>
      </c>
      <c r="H1408" t="inlineStr">
        <is>
          <t>Corrigendum_I_(3).pdf</t>
        </is>
      </c>
      <c r="K1408" t="inlineStr">
        <is>
          <t>Not found</t>
        </is>
      </c>
      <c r="L1408" t="inlineStr">
        <is>
          <t>Unknown</t>
        </is>
      </c>
      <c r="T1408" t="inlineStr">
        <is>
          <t>https://tenders.iglonline.net/uploads/tender/Corrigendum_I_(3).pdf</t>
        </is>
      </c>
      <c r="U1408" t="inlineStr">
        <is>
          <t>No</t>
        </is>
      </c>
      <c r="V1408" t="inlineStr">
        <is>
          <t>Bot tarafindan tespit edildi (2026-07-01)</t>
        </is>
      </c>
    </row>
    <row r="1409">
      <c r="A1409" t="inlineStr">
        <is>
          <t>T-1213</t>
        </is>
      </c>
      <c r="B1409" t="inlineStr">
        <is>
          <t>Indraprastha Gas (IGL)</t>
        </is>
      </c>
      <c r="C1409" t="inlineStr">
        <is>
          <t>Indraprastha Gas (IGL)</t>
        </is>
      </c>
      <c r="F1409" t="inlineStr">
        <is>
          <t>New Lead</t>
        </is>
      </c>
      <c r="H1409" t="inlineStr">
        <is>
          <t>Corrigendum_II_(4).pdf</t>
        </is>
      </c>
      <c r="K1409" t="inlineStr">
        <is>
          <t>Not found</t>
        </is>
      </c>
      <c r="L1409" t="inlineStr">
        <is>
          <t>Unknown</t>
        </is>
      </c>
      <c r="T1409" t="inlineStr">
        <is>
          <t>https://tenders.iglonline.net/uploads/tender/Corrigendum_II_(4).pdf</t>
        </is>
      </c>
      <c r="U1409" t="inlineStr">
        <is>
          <t>No</t>
        </is>
      </c>
      <c r="V1409" t="inlineStr">
        <is>
          <t>Bot tarafindan tespit edildi (2026-07-01)</t>
        </is>
      </c>
    </row>
    <row r="1410">
      <c r="A1410" t="inlineStr">
        <is>
          <t>T-1214</t>
        </is>
      </c>
      <c r="B1410" t="inlineStr">
        <is>
          <t>Indraprastha Gas (IGL)</t>
        </is>
      </c>
      <c r="C1410" t="inlineStr">
        <is>
          <t>Indraprastha Gas (IGL)</t>
        </is>
      </c>
      <c r="F1410" t="inlineStr">
        <is>
          <t>New Lead</t>
        </is>
      </c>
      <c r="H1410" t="inlineStr">
        <is>
          <t>Corrigendum_III_(1).pdf</t>
        </is>
      </c>
      <c r="K1410" t="inlineStr">
        <is>
          <t>Not found</t>
        </is>
      </c>
      <c r="L1410" t="inlineStr">
        <is>
          <t>Unknown</t>
        </is>
      </c>
      <c r="T1410" t="inlineStr">
        <is>
          <t>https://tenders.iglonline.net/uploads/tender/Corrigendum_III_(1).pdf</t>
        </is>
      </c>
      <c r="U1410" t="inlineStr">
        <is>
          <t>No</t>
        </is>
      </c>
      <c r="V1410" t="inlineStr">
        <is>
          <t>Bot tarafindan tespit edildi (2026-07-01)</t>
        </is>
      </c>
    </row>
    <row r="1411">
      <c r="A1411" t="inlineStr">
        <is>
          <t>T-1215</t>
        </is>
      </c>
      <c r="B1411" t="inlineStr">
        <is>
          <t>Indraprastha Gas (IGL)</t>
        </is>
      </c>
      <c r="C1411" t="inlineStr">
        <is>
          <t>Indraprastha Gas (IGL)</t>
        </is>
      </c>
      <c r="F1411" t="inlineStr">
        <is>
          <t>New Lead</t>
        </is>
      </c>
      <c r="H1411" t="inlineStr">
        <is>
          <t>Corrigendum_IV_(1).pdf</t>
        </is>
      </c>
      <c r="K1411" t="inlineStr">
        <is>
          <t>Not found</t>
        </is>
      </c>
      <c r="L1411" t="inlineStr">
        <is>
          <t>Unknown</t>
        </is>
      </c>
      <c r="T1411" t="inlineStr">
        <is>
          <t>https://tenders.iglonline.net/uploads/tender/Corrigendum_IV_(1).pdf</t>
        </is>
      </c>
      <c r="U1411" t="inlineStr">
        <is>
          <t>No</t>
        </is>
      </c>
      <c r="V1411" t="inlineStr">
        <is>
          <t>Bot tarafindan tespit edildi (2026-07-01)</t>
        </is>
      </c>
    </row>
    <row r="1412">
      <c r="A1412" t="inlineStr">
        <is>
          <t>T-1216</t>
        </is>
      </c>
      <c r="B1412" t="inlineStr">
        <is>
          <t>Indraprastha Gas (IGL)</t>
        </is>
      </c>
      <c r="C1412" t="inlineStr">
        <is>
          <t>Indraprastha Gas (IGL)</t>
        </is>
      </c>
      <c r="F1412" t="inlineStr">
        <is>
          <t>New Lead</t>
        </is>
      </c>
      <c r="H1412" t="inlineStr">
        <is>
          <t>Corrigendum_V.pdf</t>
        </is>
      </c>
      <c r="K1412" t="inlineStr">
        <is>
          <t>Not found</t>
        </is>
      </c>
      <c r="L1412" t="inlineStr">
        <is>
          <t>Unknown</t>
        </is>
      </c>
      <c r="T1412" t="inlineStr">
        <is>
          <t>https://tenders.iglonline.net/uploads/tender/Corrigendum_V.pdf</t>
        </is>
      </c>
      <c r="U1412" t="inlineStr">
        <is>
          <t>No</t>
        </is>
      </c>
      <c r="V1412" t="inlineStr">
        <is>
          <t>Bot tarafindan tespit edildi (2026-07-01)</t>
        </is>
      </c>
    </row>
    <row r="1413">
      <c r="A1413" t="inlineStr">
        <is>
          <t>T-1217</t>
        </is>
      </c>
      <c r="B1413" t="inlineStr">
        <is>
          <t>Indraprastha Gas (IGL)</t>
        </is>
      </c>
      <c r="C1413" t="inlineStr">
        <is>
          <t>Indraprastha Gas (IGL)</t>
        </is>
      </c>
      <c r="F1413" t="inlineStr">
        <is>
          <t>New Lead</t>
        </is>
      </c>
      <c r="H1413" t="inlineStr">
        <is>
          <t>View Tender</t>
        </is>
      </c>
      <c r="K1413" t="inlineStr">
        <is>
          <t>Not found</t>
        </is>
      </c>
      <c r="L1413" t="inlineStr">
        <is>
          <t>Unknown</t>
        </is>
      </c>
      <c r="T1413" t="inlineStr">
        <is>
          <t>https://tenders.iglonline.net/tenderDetail/177/Active Tenders And Corrigendum-Addendum</t>
        </is>
      </c>
      <c r="U1413" t="inlineStr">
        <is>
          <t>No</t>
        </is>
      </c>
      <c r="V1413" t="inlineStr">
        <is>
          <t>Bot tarafindan tespit edildi (2026-07-01)</t>
        </is>
      </c>
    </row>
    <row r="1414">
      <c r="A1414" t="inlineStr">
        <is>
          <t>T-1218</t>
        </is>
      </c>
      <c r="B1414" t="inlineStr">
        <is>
          <t>Indraprastha Gas (IGL)</t>
        </is>
      </c>
      <c r="C1414" t="inlineStr">
        <is>
          <t>Indraprastha Gas (IGL)</t>
        </is>
      </c>
      <c r="F1414" t="inlineStr">
        <is>
          <t>New Lead</t>
        </is>
      </c>
      <c r="H1414" t="inlineStr">
        <is>
          <t>RTBQ_CP17591.pdf</t>
        </is>
      </c>
      <c r="K1414" t="inlineStr">
        <is>
          <t>Not found</t>
        </is>
      </c>
      <c r="L1414" t="inlineStr">
        <is>
          <t>Unknown</t>
        </is>
      </c>
      <c r="T1414" t="inlineStr">
        <is>
          <t>https://tenders.iglonline.net/uploads/tender/RTBQ_CP17591.pdf</t>
        </is>
      </c>
      <c r="U1414" t="inlineStr">
        <is>
          <t>No</t>
        </is>
      </c>
      <c r="V1414" t="inlineStr">
        <is>
          <t>Bot tarafindan tespit edildi (2026-07-01)</t>
        </is>
      </c>
    </row>
    <row r="1415">
      <c r="A1415" t="inlineStr">
        <is>
          <t>T-1219</t>
        </is>
      </c>
      <c r="B1415" t="inlineStr">
        <is>
          <t>Indraprastha Gas (IGL)</t>
        </is>
      </c>
      <c r="C1415" t="inlineStr">
        <is>
          <t>Indraprastha Gas (IGL)</t>
        </is>
      </c>
      <c r="F1415" t="inlineStr">
        <is>
          <t>New Lead</t>
        </is>
      </c>
      <c r="H1415" t="inlineStr">
        <is>
          <t>Corrigendum_1_CP17591.pdf</t>
        </is>
      </c>
      <c r="K1415" t="inlineStr">
        <is>
          <t>Not found</t>
        </is>
      </c>
      <c r="L1415" t="inlineStr">
        <is>
          <t>Unknown</t>
        </is>
      </c>
      <c r="T1415" t="inlineStr">
        <is>
          <t>https://tenders.iglonline.net/uploads/tender/Corrigendum_1_CP17591.pdf</t>
        </is>
      </c>
      <c r="U1415" t="inlineStr">
        <is>
          <t>No</t>
        </is>
      </c>
      <c r="V1415" t="inlineStr">
        <is>
          <t>Bot tarafindan tespit edildi (2026-07-01)</t>
        </is>
      </c>
    </row>
    <row r="1416">
      <c r="A1416" t="inlineStr">
        <is>
          <t>T-1220</t>
        </is>
      </c>
      <c r="B1416" t="inlineStr">
        <is>
          <t>Indraprastha Gas (IGL)</t>
        </is>
      </c>
      <c r="C1416" t="inlineStr">
        <is>
          <t>Indraprastha Gas (IGL)</t>
        </is>
      </c>
      <c r="F1416" t="inlineStr">
        <is>
          <t>New Lead</t>
        </is>
      </c>
      <c r="H1416" t="inlineStr">
        <is>
          <t>View Tender</t>
        </is>
      </c>
      <c r="K1416" t="inlineStr">
        <is>
          <t>Not found</t>
        </is>
      </c>
      <c r="L1416" t="inlineStr">
        <is>
          <t>Unknown</t>
        </is>
      </c>
      <c r="T1416" t="inlineStr">
        <is>
          <t>https://tenders.iglonline.net/tenderDetail/176/Active Tenders And Corrigendum-Addendum</t>
        </is>
      </c>
      <c r="U1416" t="inlineStr">
        <is>
          <t>No</t>
        </is>
      </c>
      <c r="V1416" t="inlineStr">
        <is>
          <t>Bot tarafindan tespit edildi (2026-07-01)</t>
        </is>
      </c>
    </row>
    <row r="1417">
      <c r="A1417" t="inlineStr">
        <is>
          <t>T-1221</t>
        </is>
      </c>
      <c r="B1417" t="inlineStr">
        <is>
          <t>Indraprastha Gas (IGL)</t>
        </is>
      </c>
      <c r="C1417" t="inlineStr">
        <is>
          <t>Indraprastha Gas (IGL)</t>
        </is>
      </c>
      <c r="D1417" t="inlineStr">
        <is>
          <t>IGL/ET2/CP/CM17577</t>
        </is>
      </c>
      <c r="F1417" t="inlineStr">
        <is>
          <t>New Lead</t>
        </is>
      </c>
      <c r="G1417" t="inlineStr">
        <is>
          <t>Gas-related / review</t>
        </is>
      </c>
      <c r="H1417" t="inlineStr">
        <is>
          <t>CORRIGENDUM_12.pdf</t>
        </is>
      </c>
      <c r="K1417" t="inlineStr">
        <is>
          <t>Not found</t>
        </is>
      </c>
      <c r="L1417" t="inlineStr">
        <is>
          <t>Unknown</t>
        </is>
      </c>
      <c r="T1417" t="inlineStr">
        <is>
          <t>https://tenders.iglonline.net/uploads/tender/CORRIGENDUM_12.pdf</t>
        </is>
      </c>
      <c r="U1417" t="inlineStr">
        <is>
          <t>No</t>
        </is>
      </c>
      <c r="V1417" t="inlineStr">
        <is>
          <t>Bot tarafindan tespit edildi (2026-07-01); Bot tespit/zenginlestirme (2026-07-01); meta:score=55;priority=Medium;source_type=html_table;closing_date=;equipment=Gas-related / review;reasons=equipment:Gas-related / review,document source,quantity signal</t>
        </is>
      </c>
    </row>
    <row r="1418">
      <c r="A1418" t="inlineStr">
        <is>
          <t>T-1222</t>
        </is>
      </c>
      <c r="B1418" t="inlineStr">
        <is>
          <t>Indraprastha Gas (IGL)</t>
        </is>
      </c>
      <c r="C1418" t="inlineStr">
        <is>
          <t>Indraprastha Gas (IGL)</t>
        </is>
      </c>
      <c r="F1418" t="inlineStr">
        <is>
          <t>New Lead</t>
        </is>
      </c>
      <c r="H1418" t="inlineStr">
        <is>
          <t>View Tender</t>
        </is>
      </c>
      <c r="K1418" t="inlineStr">
        <is>
          <t>Not found</t>
        </is>
      </c>
      <c r="L1418" t="inlineStr">
        <is>
          <t>Unknown</t>
        </is>
      </c>
      <c r="T1418" t="inlineStr">
        <is>
          <t>https://tenders.iglonline.net/tenderDetail/175/Active Tenders And Corrigendum-Addendum</t>
        </is>
      </c>
      <c r="U1418" t="inlineStr">
        <is>
          <t>No</t>
        </is>
      </c>
      <c r="V1418" t="inlineStr">
        <is>
          <t>Bot tarafindan tespit edildi (2026-07-01)</t>
        </is>
      </c>
    </row>
    <row r="1419">
      <c r="A1419" t="inlineStr">
        <is>
          <t>T-1223</t>
        </is>
      </c>
      <c r="B1419" t="inlineStr">
        <is>
          <t>Indraprastha Gas (IGL)</t>
        </is>
      </c>
      <c r="C1419" t="inlineStr">
        <is>
          <t>Indraprastha Gas (IGL)</t>
        </is>
      </c>
      <c r="F1419" t="inlineStr">
        <is>
          <t>New Lead</t>
        </is>
      </c>
      <c r="H1419" t="inlineStr">
        <is>
          <t>Corrigendum_-_I1.pdf</t>
        </is>
      </c>
      <c r="K1419" t="inlineStr">
        <is>
          <t>Not found</t>
        </is>
      </c>
      <c r="L1419" t="inlineStr">
        <is>
          <t>Unknown</t>
        </is>
      </c>
      <c r="T1419" t="inlineStr">
        <is>
          <t>https://tenders.iglonline.net/uploads/tender/Corrigendum_-_I1.pdf</t>
        </is>
      </c>
      <c r="U1419" t="inlineStr">
        <is>
          <t>No</t>
        </is>
      </c>
      <c r="V1419" t="inlineStr">
        <is>
          <t>Bot tarafindan tespit edildi (2026-07-01)</t>
        </is>
      </c>
    </row>
    <row r="1420">
      <c r="A1420" t="inlineStr">
        <is>
          <t>T-1224</t>
        </is>
      </c>
      <c r="B1420" t="inlineStr">
        <is>
          <t>Indraprastha Gas (IGL)</t>
        </is>
      </c>
      <c r="C1420" t="inlineStr">
        <is>
          <t>Indraprastha Gas (IGL)</t>
        </is>
      </c>
      <c r="F1420" t="inlineStr">
        <is>
          <t>New Lead</t>
        </is>
      </c>
      <c r="H1420" t="inlineStr">
        <is>
          <t>CORRIGENDUM_CM17537.pdf</t>
        </is>
      </c>
      <c r="K1420" t="inlineStr">
        <is>
          <t>Not found</t>
        </is>
      </c>
      <c r="L1420" t="inlineStr">
        <is>
          <t>Unknown</t>
        </is>
      </c>
      <c r="T1420" t="inlineStr">
        <is>
          <t>https://tenders.iglonline.net/uploads/tender/CORRIGENDUM_CM17537.pdf</t>
        </is>
      </c>
      <c r="U1420" t="inlineStr">
        <is>
          <t>No</t>
        </is>
      </c>
      <c r="V1420" t="inlineStr">
        <is>
          <t>Bot tarafindan tespit edildi (2026-07-01)</t>
        </is>
      </c>
    </row>
    <row r="1421">
      <c r="A1421" t="inlineStr">
        <is>
          <t>T-1225</t>
        </is>
      </c>
      <c r="B1421" t="inlineStr">
        <is>
          <t>Indraprastha Gas (IGL)</t>
        </is>
      </c>
      <c r="C1421" t="inlineStr">
        <is>
          <t>Indraprastha Gas (IGL)</t>
        </is>
      </c>
      <c r="F1421" t="inlineStr">
        <is>
          <t>New Lead</t>
        </is>
      </c>
      <c r="H1421" t="inlineStr">
        <is>
          <t>View Tender</t>
        </is>
      </c>
      <c r="K1421" t="inlineStr">
        <is>
          <t>Not found</t>
        </is>
      </c>
      <c r="L1421" t="inlineStr">
        <is>
          <t>Unknown</t>
        </is>
      </c>
      <c r="T1421" t="inlineStr">
        <is>
          <t>https://tenders.iglonline.net/tenderDetail/174/Active Tenders And Corrigendum-Addendum</t>
        </is>
      </c>
      <c r="U1421" t="inlineStr">
        <is>
          <t>No</t>
        </is>
      </c>
      <c r="V1421" t="inlineStr">
        <is>
          <t>Bot tarafindan tespit edildi (2026-07-01)</t>
        </is>
      </c>
    </row>
    <row r="1422">
      <c r="A1422" t="inlineStr">
        <is>
          <t>T-1226</t>
        </is>
      </c>
      <c r="B1422" t="inlineStr">
        <is>
          <t>Indraprastha Gas (IGL)</t>
        </is>
      </c>
      <c r="C1422" t="inlineStr">
        <is>
          <t>Indraprastha Gas (IGL)</t>
        </is>
      </c>
      <c r="F1422" t="inlineStr">
        <is>
          <t>New Lead</t>
        </is>
      </c>
      <c r="H1422" t="inlineStr">
        <is>
          <t>Corrigendum_-_I.pdf</t>
        </is>
      </c>
      <c r="K1422" t="inlineStr">
        <is>
          <t>Not found</t>
        </is>
      </c>
      <c r="L1422" t="inlineStr">
        <is>
          <t>Unknown</t>
        </is>
      </c>
      <c r="T1422" t="inlineStr">
        <is>
          <t>https://tenders.iglonline.net/uploads/tender/Corrigendum_-_I.pdf</t>
        </is>
      </c>
      <c r="U1422" t="inlineStr">
        <is>
          <t>No</t>
        </is>
      </c>
      <c r="V1422" t="inlineStr">
        <is>
          <t>Bot tarafindan tespit edildi (2026-07-01)</t>
        </is>
      </c>
    </row>
    <row r="1423">
      <c r="A1423" t="inlineStr">
        <is>
          <t>T-1227</t>
        </is>
      </c>
      <c r="B1423" t="inlineStr">
        <is>
          <t>Indraprastha Gas (IGL)</t>
        </is>
      </c>
      <c r="C1423" t="inlineStr">
        <is>
          <t>Indraprastha Gas (IGL)</t>
        </is>
      </c>
      <c r="F1423" t="inlineStr">
        <is>
          <t>New Lead</t>
        </is>
      </c>
      <c r="H1423" t="inlineStr">
        <is>
          <t>Corrigendum_-II__CC17565.pdf</t>
        </is>
      </c>
      <c r="K1423" t="inlineStr">
        <is>
          <t>Not found</t>
        </is>
      </c>
      <c r="L1423" t="inlineStr">
        <is>
          <t>Unknown</t>
        </is>
      </c>
      <c r="T1423" t="inlineStr">
        <is>
          <t>https://tenders.iglonline.net/uploads/tender/Corrigendum_-II__CC17565.pdf</t>
        </is>
      </c>
      <c r="U1423" t="inlineStr">
        <is>
          <t>No</t>
        </is>
      </c>
      <c r="V1423" t="inlineStr">
        <is>
          <t>Bot tarafindan tespit edildi (2026-07-01)</t>
        </is>
      </c>
    </row>
    <row r="1424">
      <c r="A1424" t="inlineStr">
        <is>
          <t>T-1228</t>
        </is>
      </c>
      <c r="B1424" t="inlineStr">
        <is>
          <t>Indraprastha Gas (IGL)</t>
        </is>
      </c>
      <c r="C1424" t="inlineStr">
        <is>
          <t>Indraprastha Gas (IGL)</t>
        </is>
      </c>
      <c r="F1424" t="inlineStr">
        <is>
          <t>New Lead</t>
        </is>
      </c>
      <c r="H1424" t="inlineStr">
        <is>
          <t>View Tender</t>
        </is>
      </c>
      <c r="K1424" t="inlineStr">
        <is>
          <t>Not found</t>
        </is>
      </c>
      <c r="L1424" t="inlineStr">
        <is>
          <t>Unknown</t>
        </is>
      </c>
      <c r="T1424" t="inlineStr">
        <is>
          <t>https://tenders.iglonline.net/tenderDetail/173/Active Tenders And Corrigendum-Addendum</t>
        </is>
      </c>
      <c r="U1424" t="inlineStr">
        <is>
          <t>No</t>
        </is>
      </c>
      <c r="V1424" t="inlineStr">
        <is>
          <t>Bot tarafindan tespit edildi (2026-07-01)</t>
        </is>
      </c>
    </row>
    <row r="1425">
      <c r="A1425" t="inlineStr">
        <is>
          <t>T-1229</t>
        </is>
      </c>
      <c r="B1425" t="inlineStr">
        <is>
          <t>Indraprastha Gas (IGL)</t>
        </is>
      </c>
      <c r="C1425" t="inlineStr">
        <is>
          <t>Indraprastha Gas (IGL)</t>
        </is>
      </c>
      <c r="F1425" t="inlineStr">
        <is>
          <t>New Lead</t>
        </is>
      </c>
      <c r="H1425" t="inlineStr">
        <is>
          <t>Corrigendum_I_(1).pdf</t>
        </is>
      </c>
      <c r="K1425" t="inlineStr">
        <is>
          <t>Not found</t>
        </is>
      </c>
      <c r="L1425" t="inlineStr">
        <is>
          <t>Unknown</t>
        </is>
      </c>
      <c r="T1425" t="inlineStr">
        <is>
          <t>https://tenders.iglonline.net/uploads/tender/Corrigendum_I_(1).pdf</t>
        </is>
      </c>
      <c r="U1425" t="inlineStr">
        <is>
          <t>No</t>
        </is>
      </c>
      <c r="V1425" t="inlineStr">
        <is>
          <t>Bot tarafindan tespit edildi (2026-07-01)</t>
        </is>
      </c>
    </row>
    <row r="1426">
      <c r="A1426" t="inlineStr">
        <is>
          <t>T-1230</t>
        </is>
      </c>
      <c r="B1426" t="inlineStr">
        <is>
          <t>Indraprastha Gas (IGL)</t>
        </is>
      </c>
      <c r="C1426" t="inlineStr">
        <is>
          <t>Indraprastha Gas (IGL)</t>
        </is>
      </c>
      <c r="F1426" t="inlineStr">
        <is>
          <t>New Lead</t>
        </is>
      </c>
      <c r="H1426" t="inlineStr">
        <is>
          <t>Corrigendum_II_(3).pdf</t>
        </is>
      </c>
      <c r="K1426" t="inlineStr">
        <is>
          <t>Not found</t>
        </is>
      </c>
      <c r="L1426" t="inlineStr">
        <is>
          <t>Unknown</t>
        </is>
      </c>
      <c r="T1426" t="inlineStr">
        <is>
          <t>https://tenders.iglonline.net/uploads/tender/Corrigendum_II_(3).pdf</t>
        </is>
      </c>
      <c r="U1426" t="inlineStr">
        <is>
          <t>No</t>
        </is>
      </c>
      <c r="V1426" t="inlineStr">
        <is>
          <t>Bot tarafindan tespit edildi (2026-07-01)</t>
        </is>
      </c>
    </row>
    <row r="1427">
      <c r="A1427" t="inlineStr">
        <is>
          <t>T-1231</t>
        </is>
      </c>
      <c r="B1427" t="inlineStr">
        <is>
          <t>Indraprastha Gas (IGL)</t>
        </is>
      </c>
      <c r="C1427" t="inlineStr">
        <is>
          <t>Indraprastha Gas (IGL)</t>
        </is>
      </c>
      <c r="F1427" t="inlineStr">
        <is>
          <t>New Lead</t>
        </is>
      </c>
      <c r="H1427" t="inlineStr">
        <is>
          <t>Corrigendum_III1.pdf</t>
        </is>
      </c>
      <c r="K1427" t="inlineStr">
        <is>
          <t>Not found</t>
        </is>
      </c>
      <c r="L1427" t="inlineStr">
        <is>
          <t>Unknown</t>
        </is>
      </c>
      <c r="T1427" t="inlineStr">
        <is>
          <t>https://tenders.iglonline.net/uploads/tender/Corrigendum_III1.pdf</t>
        </is>
      </c>
      <c r="U1427" t="inlineStr">
        <is>
          <t>No</t>
        </is>
      </c>
      <c r="V1427" t="inlineStr">
        <is>
          <t>Bot tarafindan tespit edildi (2026-07-01)</t>
        </is>
      </c>
    </row>
    <row r="1428">
      <c r="A1428" t="inlineStr">
        <is>
          <t>T-1232</t>
        </is>
      </c>
      <c r="B1428" t="inlineStr">
        <is>
          <t>Indraprastha Gas (IGL)</t>
        </is>
      </c>
      <c r="C1428" t="inlineStr">
        <is>
          <t>Indraprastha Gas (IGL)</t>
        </is>
      </c>
      <c r="F1428" t="inlineStr">
        <is>
          <t>New Lead</t>
        </is>
      </c>
      <c r="H1428" t="inlineStr">
        <is>
          <t>RTBQ_CC17582.pdf</t>
        </is>
      </c>
      <c r="K1428" t="inlineStr">
        <is>
          <t>Not found</t>
        </is>
      </c>
      <c r="L1428" t="inlineStr">
        <is>
          <t>Unknown</t>
        </is>
      </c>
      <c r="T1428" t="inlineStr">
        <is>
          <t>https://tenders.iglonline.net/uploads/tender/RTBQ_CC17582.pdf</t>
        </is>
      </c>
      <c r="U1428" t="inlineStr">
        <is>
          <t>No</t>
        </is>
      </c>
      <c r="V1428" t="inlineStr">
        <is>
          <t>Bot tarafindan tespit edildi (2026-07-01)</t>
        </is>
      </c>
    </row>
    <row r="1429">
      <c r="A1429" t="inlineStr">
        <is>
          <t>T-1233</t>
        </is>
      </c>
      <c r="B1429" t="inlineStr">
        <is>
          <t>Indraprastha Gas (IGL)</t>
        </is>
      </c>
      <c r="C1429" t="inlineStr">
        <is>
          <t>Indraprastha Gas (IGL)</t>
        </is>
      </c>
      <c r="F1429" t="inlineStr">
        <is>
          <t>New Lead</t>
        </is>
      </c>
      <c r="H1429" t="inlineStr">
        <is>
          <t>Corrigendum_IV.pdf</t>
        </is>
      </c>
      <c r="K1429" t="inlineStr">
        <is>
          <t>Not found</t>
        </is>
      </c>
      <c r="L1429" t="inlineStr">
        <is>
          <t>Unknown</t>
        </is>
      </c>
      <c r="T1429" t="inlineStr">
        <is>
          <t>https://tenders.iglonline.net/uploads/tender/Corrigendum_IV.pdf</t>
        </is>
      </c>
      <c r="U1429" t="inlineStr">
        <is>
          <t>No</t>
        </is>
      </c>
      <c r="V1429" t="inlineStr">
        <is>
          <t>Bot tarafindan tespit edildi (2026-07-01)</t>
        </is>
      </c>
    </row>
    <row r="1430">
      <c r="A1430" t="inlineStr">
        <is>
          <t>T-1234</t>
        </is>
      </c>
      <c r="B1430" t="inlineStr">
        <is>
          <t>Indraprastha Gas (IGL)</t>
        </is>
      </c>
      <c r="C1430" t="inlineStr">
        <is>
          <t>Indraprastha Gas (IGL)</t>
        </is>
      </c>
      <c r="F1430" t="inlineStr">
        <is>
          <t>New Lead</t>
        </is>
      </c>
      <c r="H1430" t="inlineStr">
        <is>
          <t>View Tender</t>
        </is>
      </c>
      <c r="K1430" t="inlineStr">
        <is>
          <t>Not found</t>
        </is>
      </c>
      <c r="L1430" t="inlineStr">
        <is>
          <t>Unknown</t>
        </is>
      </c>
      <c r="T1430" t="inlineStr">
        <is>
          <t>https://tenders.iglonline.net/tenderDetail/172/Active Tenders And Corrigendum-Addendum</t>
        </is>
      </c>
      <c r="U1430" t="inlineStr">
        <is>
          <t>No</t>
        </is>
      </c>
      <c r="V1430" t="inlineStr">
        <is>
          <t>Bot tarafindan tespit edildi (2026-07-01)</t>
        </is>
      </c>
    </row>
    <row r="1431">
      <c r="A1431" t="inlineStr">
        <is>
          <t>T-1235</t>
        </is>
      </c>
      <c r="B1431" t="inlineStr">
        <is>
          <t>Indraprastha Gas (IGL)</t>
        </is>
      </c>
      <c r="C1431" t="inlineStr">
        <is>
          <t>Indraprastha Gas (IGL)</t>
        </is>
      </c>
      <c r="F1431" t="inlineStr">
        <is>
          <t>New Lead</t>
        </is>
      </c>
      <c r="H1431" t="inlineStr">
        <is>
          <t>Corrigendum_1_CP17572.pdf</t>
        </is>
      </c>
      <c r="K1431" t="inlineStr">
        <is>
          <t>Not found</t>
        </is>
      </c>
      <c r="L1431" t="inlineStr">
        <is>
          <t>Unknown</t>
        </is>
      </c>
      <c r="T1431" t="inlineStr">
        <is>
          <t>https://tenders.iglonline.net/uploads/tender/Corrigendum_1_CP17572.pdf</t>
        </is>
      </c>
      <c r="U1431" t="inlineStr">
        <is>
          <t>No</t>
        </is>
      </c>
      <c r="V1431" t="inlineStr">
        <is>
          <t>Bot tarafindan tespit edildi (2026-07-01)</t>
        </is>
      </c>
    </row>
    <row r="1432">
      <c r="A1432" t="inlineStr">
        <is>
          <t>T-1236</t>
        </is>
      </c>
      <c r="B1432" t="inlineStr">
        <is>
          <t>Indraprastha Gas (IGL)</t>
        </is>
      </c>
      <c r="C1432" t="inlineStr">
        <is>
          <t>Indraprastha Gas (IGL)</t>
        </is>
      </c>
      <c r="F1432" t="inlineStr">
        <is>
          <t>New Lead</t>
        </is>
      </c>
      <c r="H1432" t="inlineStr">
        <is>
          <t>Corrigendum_2_CP17572.pdf</t>
        </is>
      </c>
      <c r="K1432" t="inlineStr">
        <is>
          <t>Not found</t>
        </is>
      </c>
      <c r="L1432" t="inlineStr">
        <is>
          <t>Unknown</t>
        </is>
      </c>
      <c r="T1432" t="inlineStr">
        <is>
          <t>https://tenders.iglonline.net/uploads/tender/Corrigendum_2_CP17572.pdf</t>
        </is>
      </c>
      <c r="U1432" t="inlineStr">
        <is>
          <t>No</t>
        </is>
      </c>
      <c r="V1432" t="inlineStr">
        <is>
          <t>Bot tarafindan tespit edildi (2026-07-01)</t>
        </is>
      </c>
    </row>
    <row r="1433">
      <c r="A1433" t="inlineStr">
        <is>
          <t>T-1237</t>
        </is>
      </c>
      <c r="B1433" t="inlineStr">
        <is>
          <t>Indraprastha Gas (IGL)</t>
        </is>
      </c>
      <c r="C1433" t="inlineStr">
        <is>
          <t>Indraprastha Gas (IGL)</t>
        </is>
      </c>
      <c r="F1433" t="inlineStr">
        <is>
          <t>New Lead</t>
        </is>
      </c>
      <c r="H1433" t="inlineStr">
        <is>
          <t>Corrigendum_3_CP17572.pdf</t>
        </is>
      </c>
      <c r="K1433" t="inlineStr">
        <is>
          <t>Not found</t>
        </is>
      </c>
      <c r="L1433" t="inlineStr">
        <is>
          <t>Unknown</t>
        </is>
      </c>
      <c r="T1433" t="inlineStr">
        <is>
          <t>https://tenders.iglonline.net/uploads/tender/Corrigendum_3_CP17572.pdf</t>
        </is>
      </c>
      <c r="U1433" t="inlineStr">
        <is>
          <t>No</t>
        </is>
      </c>
      <c r="V1433" t="inlineStr">
        <is>
          <t>Bot tarafindan tespit edildi (2026-07-01)</t>
        </is>
      </c>
    </row>
    <row r="1434">
      <c r="A1434" t="inlineStr">
        <is>
          <t>T-1238</t>
        </is>
      </c>
      <c r="B1434" t="inlineStr">
        <is>
          <t>Indraprastha Gas (IGL)</t>
        </is>
      </c>
      <c r="C1434" t="inlineStr">
        <is>
          <t>Indraprastha Gas (IGL)</t>
        </is>
      </c>
      <c r="F1434" t="inlineStr">
        <is>
          <t>New Lead</t>
        </is>
      </c>
      <c r="H1434" t="inlineStr">
        <is>
          <t>Corrigendum_4_CP17572.pdf</t>
        </is>
      </c>
      <c r="K1434" t="inlineStr">
        <is>
          <t>Not found</t>
        </is>
      </c>
      <c r="L1434" t="inlineStr">
        <is>
          <t>Unknown</t>
        </is>
      </c>
      <c r="T1434" t="inlineStr">
        <is>
          <t>https://tenders.iglonline.net/uploads/tender/Corrigendum_4_CP17572.pdf</t>
        </is>
      </c>
      <c r="U1434" t="inlineStr">
        <is>
          <t>No</t>
        </is>
      </c>
      <c r="V1434" t="inlineStr">
        <is>
          <t>Bot tarafindan tespit edildi (2026-07-01)</t>
        </is>
      </c>
    </row>
    <row r="1435">
      <c r="A1435" t="inlineStr">
        <is>
          <t>T-1239</t>
        </is>
      </c>
      <c r="B1435" t="inlineStr">
        <is>
          <t>Indraprastha Gas (IGL)</t>
        </is>
      </c>
      <c r="C1435" t="inlineStr">
        <is>
          <t>Indraprastha Gas (IGL)</t>
        </is>
      </c>
      <c r="F1435" t="inlineStr">
        <is>
          <t>New Lead</t>
        </is>
      </c>
      <c r="H1435" t="inlineStr">
        <is>
          <t>Corrigendum_5_CP17572.pdf</t>
        </is>
      </c>
      <c r="K1435" t="inlineStr">
        <is>
          <t>Not found</t>
        </is>
      </c>
      <c r="L1435" t="inlineStr">
        <is>
          <t>Unknown</t>
        </is>
      </c>
      <c r="T1435" t="inlineStr">
        <is>
          <t>https://tenders.iglonline.net/uploads/tender/Corrigendum_5_CP17572.pdf</t>
        </is>
      </c>
      <c r="U1435" t="inlineStr">
        <is>
          <t>No</t>
        </is>
      </c>
      <c r="V1435" t="inlineStr">
        <is>
          <t>Bot tarafindan tespit edildi (2026-07-01)</t>
        </is>
      </c>
    </row>
    <row r="1436">
      <c r="A1436" t="inlineStr">
        <is>
          <t>T-1240</t>
        </is>
      </c>
      <c r="B1436" t="inlineStr">
        <is>
          <t>Indraprastha Gas (IGL)</t>
        </is>
      </c>
      <c r="C1436" t="inlineStr">
        <is>
          <t>Indraprastha Gas (IGL)</t>
        </is>
      </c>
      <c r="F1436" t="inlineStr">
        <is>
          <t>New Lead</t>
        </is>
      </c>
      <c r="H1436" t="inlineStr">
        <is>
          <t>RTBQ_CP17572.pdf</t>
        </is>
      </c>
      <c r="K1436" t="inlineStr">
        <is>
          <t>Not found</t>
        </is>
      </c>
      <c r="L1436" t="inlineStr">
        <is>
          <t>Unknown</t>
        </is>
      </c>
      <c r="T1436" t="inlineStr">
        <is>
          <t>https://tenders.iglonline.net/uploads/tender/RTBQ_CP17572.pdf</t>
        </is>
      </c>
      <c r="U1436" t="inlineStr">
        <is>
          <t>No</t>
        </is>
      </c>
      <c r="V1436" t="inlineStr">
        <is>
          <t>Bot tarafindan tespit edildi (2026-07-01)</t>
        </is>
      </c>
    </row>
    <row r="1437">
      <c r="A1437" t="inlineStr">
        <is>
          <t>T-1241</t>
        </is>
      </c>
      <c r="B1437" t="inlineStr">
        <is>
          <t>Indraprastha Gas (IGL)</t>
        </is>
      </c>
      <c r="C1437" t="inlineStr">
        <is>
          <t>Indraprastha Gas (IGL)</t>
        </is>
      </c>
      <c r="F1437" t="inlineStr">
        <is>
          <t>New Lead</t>
        </is>
      </c>
      <c r="H1437" t="inlineStr">
        <is>
          <t>View Tender</t>
        </is>
      </c>
      <c r="K1437" t="inlineStr">
        <is>
          <t>Not found</t>
        </is>
      </c>
      <c r="L1437" t="inlineStr">
        <is>
          <t>Unknown</t>
        </is>
      </c>
      <c r="T1437" t="inlineStr">
        <is>
          <t>https://tenders.iglonline.net/tenderDetail/171/Active Tenders And Corrigendum-Addendum</t>
        </is>
      </c>
      <c r="U1437" t="inlineStr">
        <is>
          <t>No</t>
        </is>
      </c>
      <c r="V1437" t="inlineStr">
        <is>
          <t>Bot tarafindan tespit edildi (2026-07-01)</t>
        </is>
      </c>
    </row>
    <row r="1438">
      <c r="A1438" t="inlineStr">
        <is>
          <t>T-1242</t>
        </is>
      </c>
      <c r="B1438" t="inlineStr">
        <is>
          <t>Indraprastha Gas (IGL)</t>
        </is>
      </c>
      <c r="C1438" t="inlineStr">
        <is>
          <t>Indraprastha Gas (IGL)</t>
        </is>
      </c>
      <c r="F1438" t="inlineStr">
        <is>
          <t>New Lead</t>
        </is>
      </c>
      <c r="H1438" t="inlineStr">
        <is>
          <t>Corrigendum_1_(8).pdf</t>
        </is>
      </c>
      <c r="K1438" t="inlineStr">
        <is>
          <t>Not found</t>
        </is>
      </c>
      <c r="L1438" t="inlineStr">
        <is>
          <t>Unknown</t>
        </is>
      </c>
      <c r="T1438" t="inlineStr">
        <is>
          <t>https://tenders.iglonline.net/uploads/tender/Corrigendum_1_(8).pdf</t>
        </is>
      </c>
      <c r="U1438" t="inlineStr">
        <is>
          <t>No</t>
        </is>
      </c>
      <c r="V1438" t="inlineStr">
        <is>
          <t>Bot tarafindan tespit edildi (2026-07-01)</t>
        </is>
      </c>
    </row>
    <row r="1439">
      <c r="A1439" t="inlineStr">
        <is>
          <t>T-1243</t>
        </is>
      </c>
      <c r="B1439" t="inlineStr">
        <is>
          <t>Indraprastha Gas (IGL)</t>
        </is>
      </c>
      <c r="C1439" t="inlineStr">
        <is>
          <t>Indraprastha Gas (IGL)</t>
        </is>
      </c>
      <c r="F1439" t="inlineStr">
        <is>
          <t>New Lead</t>
        </is>
      </c>
      <c r="H1439" t="inlineStr">
        <is>
          <t>Replies_to_bidders_queries_(4).pdf</t>
        </is>
      </c>
      <c r="K1439" t="inlineStr">
        <is>
          <t>Not found</t>
        </is>
      </c>
      <c r="L1439" t="inlineStr">
        <is>
          <t>Unknown</t>
        </is>
      </c>
      <c r="T1439" t="inlineStr">
        <is>
          <t>https://tenders.iglonline.net/uploads/tender/Replies_to_bidders_queries_(4).pdf</t>
        </is>
      </c>
      <c r="U1439" t="inlineStr">
        <is>
          <t>No</t>
        </is>
      </c>
      <c r="V1439" t="inlineStr">
        <is>
          <t>Bot tarafindan tespit edildi (2026-07-01)</t>
        </is>
      </c>
    </row>
    <row r="1440">
      <c r="A1440" t="inlineStr">
        <is>
          <t>T-1244</t>
        </is>
      </c>
      <c r="B1440" t="inlineStr">
        <is>
          <t>Indraprastha Gas (IGL)</t>
        </is>
      </c>
      <c r="C1440" t="inlineStr">
        <is>
          <t>Indraprastha Gas (IGL)</t>
        </is>
      </c>
      <c r="F1440" t="inlineStr">
        <is>
          <t>New Lead</t>
        </is>
      </c>
      <c r="H1440" t="inlineStr">
        <is>
          <t>Corrigendum_24.pdf</t>
        </is>
      </c>
      <c r="K1440" t="inlineStr">
        <is>
          <t>Not found</t>
        </is>
      </c>
      <c r="L1440" t="inlineStr">
        <is>
          <t>Unknown</t>
        </is>
      </c>
      <c r="T1440" t="inlineStr">
        <is>
          <t>https://tenders.iglonline.net/uploads/tender/Corrigendum_24.pdf</t>
        </is>
      </c>
      <c r="U1440" t="inlineStr">
        <is>
          <t>No</t>
        </is>
      </c>
      <c r="V1440" t="inlineStr">
        <is>
          <t>Bot tarafindan tespit edildi (2026-07-01)</t>
        </is>
      </c>
    </row>
    <row r="1441">
      <c r="A1441" t="inlineStr">
        <is>
          <t>T-1245</t>
        </is>
      </c>
      <c r="B1441" t="inlineStr">
        <is>
          <t>Indraprastha Gas (IGL)</t>
        </is>
      </c>
      <c r="C1441" t="inlineStr">
        <is>
          <t>Indraprastha Gas (IGL)</t>
        </is>
      </c>
      <c r="F1441" t="inlineStr">
        <is>
          <t>New Lead</t>
        </is>
      </c>
      <c r="H1441" t="inlineStr">
        <is>
          <t>Corrigendum_3_(3).pdf</t>
        </is>
      </c>
      <c r="K1441" t="inlineStr">
        <is>
          <t>Not found</t>
        </is>
      </c>
      <c r="L1441" t="inlineStr">
        <is>
          <t>Unknown</t>
        </is>
      </c>
      <c r="T1441" t="inlineStr">
        <is>
          <t>https://tenders.iglonline.net/uploads/tender/Corrigendum_3_(3).pdf</t>
        </is>
      </c>
      <c r="U1441" t="inlineStr">
        <is>
          <t>No</t>
        </is>
      </c>
      <c r="V1441" t="inlineStr">
        <is>
          <t>Bot tarafindan tespit edildi (2026-07-01)</t>
        </is>
      </c>
    </row>
    <row r="1442">
      <c r="A1442" t="inlineStr">
        <is>
          <t>T-1246</t>
        </is>
      </c>
      <c r="B1442" t="inlineStr">
        <is>
          <t>Indraprastha Gas (IGL)</t>
        </is>
      </c>
      <c r="C1442" t="inlineStr">
        <is>
          <t>Indraprastha Gas (IGL)</t>
        </is>
      </c>
      <c r="F1442" t="inlineStr">
        <is>
          <t>New Lead</t>
        </is>
      </c>
      <c r="H1442" t="inlineStr">
        <is>
          <t>Corrigendum_4_(2).pdf</t>
        </is>
      </c>
      <c r="K1442" t="inlineStr">
        <is>
          <t>Not found</t>
        </is>
      </c>
      <c r="L1442" t="inlineStr">
        <is>
          <t>Unknown</t>
        </is>
      </c>
      <c r="T1442" t="inlineStr">
        <is>
          <t>https://tenders.iglonline.net/uploads/tender/Corrigendum_4_(2).pdf</t>
        </is>
      </c>
      <c r="U1442" t="inlineStr">
        <is>
          <t>No</t>
        </is>
      </c>
      <c r="V1442" t="inlineStr">
        <is>
          <t>Bot tarafindan tespit edildi (2026-07-01)</t>
        </is>
      </c>
    </row>
    <row r="1443">
      <c r="A1443" t="inlineStr">
        <is>
          <t>T-1247</t>
        </is>
      </c>
      <c r="B1443" t="inlineStr">
        <is>
          <t>Indraprastha Gas (IGL)</t>
        </is>
      </c>
      <c r="C1443" t="inlineStr">
        <is>
          <t>Indraprastha Gas (IGL)</t>
        </is>
      </c>
      <c r="F1443" t="inlineStr">
        <is>
          <t>New Lead</t>
        </is>
      </c>
      <c r="H1443" t="inlineStr">
        <is>
          <t>Corrigendum_5_(1)1.pdf</t>
        </is>
      </c>
      <c r="K1443" t="inlineStr">
        <is>
          <t>Not found</t>
        </is>
      </c>
      <c r="L1443" t="inlineStr">
        <is>
          <t>Unknown</t>
        </is>
      </c>
      <c r="T1443" t="inlineStr">
        <is>
          <t>https://tenders.iglonline.net/uploads/tender/Corrigendum_5_(1)1.pdf</t>
        </is>
      </c>
      <c r="U1443" t="inlineStr">
        <is>
          <t>No</t>
        </is>
      </c>
      <c r="V1443" t="inlineStr">
        <is>
          <t>Bot tarafindan tespit edildi (2026-07-01)</t>
        </is>
      </c>
    </row>
    <row r="1444">
      <c r="A1444" t="inlineStr">
        <is>
          <t>T-1248</t>
        </is>
      </c>
      <c r="B1444" t="inlineStr">
        <is>
          <t>Indraprastha Gas (IGL)</t>
        </is>
      </c>
      <c r="C1444" t="inlineStr">
        <is>
          <t>Indraprastha Gas (IGL)</t>
        </is>
      </c>
      <c r="F1444" t="inlineStr">
        <is>
          <t>New Lead</t>
        </is>
      </c>
      <c r="H1444" t="inlineStr">
        <is>
          <t>Corrigendum_6_.pdf</t>
        </is>
      </c>
      <c r="K1444" t="inlineStr">
        <is>
          <t>Not found</t>
        </is>
      </c>
      <c r="L1444" t="inlineStr">
        <is>
          <t>Unknown</t>
        </is>
      </c>
      <c r="T1444" t="inlineStr">
        <is>
          <t>https://tenders.iglonline.net/uploads/tender/Corrigendum_6_.pdf</t>
        </is>
      </c>
      <c r="U1444" t="inlineStr">
        <is>
          <t>No</t>
        </is>
      </c>
      <c r="V1444" t="inlineStr">
        <is>
          <t>Bot tarafindan tespit edildi (2026-07-01)</t>
        </is>
      </c>
    </row>
    <row r="1445">
      <c r="A1445" t="inlineStr">
        <is>
          <t>T-1249</t>
        </is>
      </c>
      <c r="B1445" t="inlineStr">
        <is>
          <t>Indraprastha Gas (IGL)</t>
        </is>
      </c>
      <c r="C1445" t="inlineStr">
        <is>
          <t>Indraprastha Gas (IGL)</t>
        </is>
      </c>
      <c r="F1445" t="inlineStr">
        <is>
          <t>New Lead</t>
        </is>
      </c>
      <c r="H1445" t="inlineStr">
        <is>
          <t>Corrigendum_7_CP17539.pdf</t>
        </is>
      </c>
      <c r="K1445" t="inlineStr">
        <is>
          <t>Not found</t>
        </is>
      </c>
      <c r="L1445" t="inlineStr">
        <is>
          <t>Unknown</t>
        </is>
      </c>
      <c r="T1445" t="inlineStr">
        <is>
          <t>https://tenders.iglonline.net/uploads/tender/Corrigendum_7_CP17539.pdf</t>
        </is>
      </c>
      <c r="U1445" t="inlineStr">
        <is>
          <t>No</t>
        </is>
      </c>
      <c r="V1445" t="inlineStr">
        <is>
          <t>Bot tarafindan tespit edildi (2026-07-01)</t>
        </is>
      </c>
    </row>
    <row r="1446">
      <c r="A1446" t="inlineStr">
        <is>
          <t>T-1250</t>
        </is>
      </c>
      <c r="B1446" t="inlineStr">
        <is>
          <t>Indraprastha Gas (IGL)</t>
        </is>
      </c>
      <c r="C1446" t="inlineStr">
        <is>
          <t>Indraprastha Gas (IGL)</t>
        </is>
      </c>
      <c r="F1446" t="inlineStr">
        <is>
          <t>New Lead</t>
        </is>
      </c>
      <c r="H1446" t="inlineStr">
        <is>
          <t>Corrigendum_8_CP17539.pdf</t>
        </is>
      </c>
      <c r="K1446" t="inlineStr">
        <is>
          <t>Not found</t>
        </is>
      </c>
      <c r="L1446" t="inlineStr">
        <is>
          <t>Unknown</t>
        </is>
      </c>
      <c r="T1446" t="inlineStr">
        <is>
          <t>https://tenders.iglonline.net/uploads/tender/Corrigendum_8_CP17539.pdf</t>
        </is>
      </c>
      <c r="U1446" t="inlineStr">
        <is>
          <t>No</t>
        </is>
      </c>
      <c r="V1446" t="inlineStr">
        <is>
          <t>Bot tarafindan tespit edildi (2026-07-01)</t>
        </is>
      </c>
    </row>
    <row r="1447">
      <c r="A1447" t="inlineStr">
        <is>
          <t>T-1251</t>
        </is>
      </c>
      <c r="B1447" t="inlineStr">
        <is>
          <t>Indraprastha Gas (IGL)</t>
        </is>
      </c>
      <c r="C1447" t="inlineStr">
        <is>
          <t>Indraprastha Gas (IGL)</t>
        </is>
      </c>
      <c r="F1447" t="inlineStr">
        <is>
          <t>New Lead</t>
        </is>
      </c>
      <c r="H1447" t="inlineStr">
        <is>
          <t>View Tender</t>
        </is>
      </c>
      <c r="K1447" t="inlineStr">
        <is>
          <t>Not found</t>
        </is>
      </c>
      <c r="L1447" t="inlineStr">
        <is>
          <t>Unknown</t>
        </is>
      </c>
      <c r="T1447" t="inlineStr">
        <is>
          <t>https://tenders.iglonline.net/tenderDetail/170/Active Tenders And Corrigendum-Addendum</t>
        </is>
      </c>
      <c r="U1447" t="inlineStr">
        <is>
          <t>No</t>
        </is>
      </c>
      <c r="V1447" t="inlineStr">
        <is>
          <t>Bot tarafindan tespit edildi (2026-07-01)</t>
        </is>
      </c>
    </row>
    <row r="1448">
      <c r="A1448" t="inlineStr">
        <is>
          <t>T-1252</t>
        </is>
      </c>
      <c r="B1448" t="inlineStr">
        <is>
          <t>Indraprastha Gas (IGL)</t>
        </is>
      </c>
      <c r="C1448" t="inlineStr">
        <is>
          <t>Indraprastha Gas (IGL)</t>
        </is>
      </c>
      <c r="F1448" t="inlineStr">
        <is>
          <t>New Lead</t>
        </is>
      </c>
      <c r="H1448" t="inlineStr">
        <is>
          <t>Corrigendum_-I.pdf</t>
        </is>
      </c>
      <c r="K1448" t="inlineStr">
        <is>
          <t>Not found</t>
        </is>
      </c>
      <c r="L1448" t="inlineStr">
        <is>
          <t>Unknown</t>
        </is>
      </c>
      <c r="T1448" t="inlineStr">
        <is>
          <t>https://tenders.iglonline.net/uploads/tender/Corrigendum_-I.pdf</t>
        </is>
      </c>
      <c r="U1448" t="inlineStr">
        <is>
          <t>No</t>
        </is>
      </c>
      <c r="V1448" t="inlineStr">
        <is>
          <t>Bot tarafindan tespit edildi (2026-07-01)</t>
        </is>
      </c>
    </row>
    <row r="1449">
      <c r="A1449" t="inlineStr">
        <is>
          <t>T-1253</t>
        </is>
      </c>
      <c r="B1449" t="inlineStr">
        <is>
          <t>Indraprastha Gas (IGL)</t>
        </is>
      </c>
      <c r="C1449" t="inlineStr">
        <is>
          <t>Indraprastha Gas (IGL)</t>
        </is>
      </c>
      <c r="F1449" t="inlineStr">
        <is>
          <t>New Lead</t>
        </is>
      </c>
      <c r="H1449" t="inlineStr">
        <is>
          <t>Corrigendum_-_II_CC17569.pdf</t>
        </is>
      </c>
      <c r="K1449" t="inlineStr">
        <is>
          <t>Not found</t>
        </is>
      </c>
      <c r="L1449" t="inlineStr">
        <is>
          <t>Unknown</t>
        </is>
      </c>
      <c r="T1449" t="inlineStr">
        <is>
          <t>https://tenders.iglonline.net/uploads/tender/Corrigendum_-_II_CC17569.pdf</t>
        </is>
      </c>
      <c r="U1449" t="inlineStr">
        <is>
          <t>No</t>
        </is>
      </c>
      <c r="V1449" t="inlineStr">
        <is>
          <t>Bot tarafindan tespit edildi (2026-07-01)</t>
        </is>
      </c>
    </row>
    <row r="1450">
      <c r="A1450" t="inlineStr">
        <is>
          <t>T-1254</t>
        </is>
      </c>
      <c r="B1450" t="inlineStr">
        <is>
          <t>Indraprastha Gas (IGL)</t>
        </is>
      </c>
      <c r="C1450" t="inlineStr">
        <is>
          <t>Indraprastha Gas (IGL)</t>
        </is>
      </c>
      <c r="F1450" t="inlineStr">
        <is>
          <t>New Lead</t>
        </is>
      </c>
      <c r="H1450" t="inlineStr">
        <is>
          <t>View Tender</t>
        </is>
      </c>
      <c r="K1450" t="inlineStr">
        <is>
          <t>Not found</t>
        </is>
      </c>
      <c r="L1450" t="inlineStr">
        <is>
          <t>Unknown</t>
        </is>
      </c>
      <c r="T1450" t="inlineStr">
        <is>
          <t>https://tenders.iglonline.net/tenderDetail/169/Active Tenders And Corrigendum-Addendum</t>
        </is>
      </c>
      <c r="U1450" t="inlineStr">
        <is>
          <t>No</t>
        </is>
      </c>
      <c r="V1450" t="inlineStr">
        <is>
          <t>Bot tarafindan tespit edildi (2026-07-01)</t>
        </is>
      </c>
    </row>
    <row r="1451">
      <c r="A1451" t="inlineStr">
        <is>
          <t>T-1255</t>
        </is>
      </c>
      <c r="B1451" t="inlineStr">
        <is>
          <t>Indraprastha Gas (IGL)</t>
        </is>
      </c>
      <c r="C1451" t="inlineStr">
        <is>
          <t>Indraprastha Gas (IGL)</t>
        </is>
      </c>
      <c r="F1451" t="inlineStr">
        <is>
          <t>New Lead</t>
        </is>
      </c>
      <c r="H1451" t="inlineStr">
        <is>
          <t>Corrigendum-I_with_Technical_Specification.pdf</t>
        </is>
      </c>
      <c r="K1451" t="inlineStr">
        <is>
          <t>Not found</t>
        </is>
      </c>
      <c r="L1451" t="inlineStr">
        <is>
          <t>Unknown</t>
        </is>
      </c>
      <c r="T1451" t="inlineStr">
        <is>
          <t>https://tenders.iglonline.net/uploads/tender/Corrigendum-I_with_Technical_Specification.pdf</t>
        </is>
      </c>
      <c r="U1451" t="inlineStr">
        <is>
          <t>No</t>
        </is>
      </c>
      <c r="V1451" t="inlineStr">
        <is>
          <t>Bot tarafindan tespit edildi (2026-07-01)</t>
        </is>
      </c>
    </row>
    <row r="1452">
      <c r="A1452" t="inlineStr">
        <is>
          <t>T-1256</t>
        </is>
      </c>
      <c r="B1452" t="inlineStr">
        <is>
          <t>Indraprastha Gas (IGL)</t>
        </is>
      </c>
      <c r="C1452" t="inlineStr">
        <is>
          <t>Indraprastha Gas (IGL)</t>
        </is>
      </c>
      <c r="F1452" t="inlineStr">
        <is>
          <t>New Lead</t>
        </is>
      </c>
      <c r="H1452" t="inlineStr">
        <is>
          <t>Corrigendum_II_CC17523.pdf</t>
        </is>
      </c>
      <c r="K1452" t="inlineStr">
        <is>
          <t>Not found</t>
        </is>
      </c>
      <c r="L1452" t="inlineStr">
        <is>
          <t>Unknown</t>
        </is>
      </c>
      <c r="T1452" t="inlineStr">
        <is>
          <t>https://tenders.iglonline.net/uploads/tender/Corrigendum_II_CC17523.pdf</t>
        </is>
      </c>
      <c r="U1452" t="inlineStr">
        <is>
          <t>No</t>
        </is>
      </c>
      <c r="V1452" t="inlineStr">
        <is>
          <t>Bot tarafindan tespit edildi (2026-07-01)</t>
        </is>
      </c>
    </row>
    <row r="1453">
      <c r="A1453" t="inlineStr">
        <is>
          <t>T-1257</t>
        </is>
      </c>
      <c r="B1453" t="inlineStr">
        <is>
          <t>Indraprastha Gas (IGL)</t>
        </is>
      </c>
      <c r="C1453" t="inlineStr">
        <is>
          <t>Indraprastha Gas (IGL)</t>
        </is>
      </c>
      <c r="F1453" t="inlineStr">
        <is>
          <t>New Lead</t>
        </is>
      </c>
      <c r="H1453" t="inlineStr">
        <is>
          <t>Corrigendum_III_CC17523.pdf</t>
        </is>
      </c>
      <c r="K1453" t="inlineStr">
        <is>
          <t>Not found</t>
        </is>
      </c>
      <c r="L1453" t="inlineStr">
        <is>
          <t>Unknown</t>
        </is>
      </c>
      <c r="T1453" t="inlineStr">
        <is>
          <t>https://tenders.iglonline.net/uploads/tender/Corrigendum_III_CC17523.pdf</t>
        </is>
      </c>
      <c r="U1453" t="inlineStr">
        <is>
          <t>No</t>
        </is>
      </c>
      <c r="V1453" t="inlineStr">
        <is>
          <t>Bot tarafindan tespit edildi (2026-07-01)</t>
        </is>
      </c>
    </row>
    <row r="1454">
      <c r="A1454" t="inlineStr">
        <is>
          <t>T-1258</t>
        </is>
      </c>
      <c r="B1454" t="inlineStr">
        <is>
          <t>Indraprastha Gas (IGL)</t>
        </is>
      </c>
      <c r="C1454" t="inlineStr">
        <is>
          <t>Indraprastha Gas (IGL)</t>
        </is>
      </c>
      <c r="F1454" t="inlineStr">
        <is>
          <t>New Lead</t>
        </is>
      </c>
      <c r="H1454" t="inlineStr">
        <is>
          <t>RTBQ_CC17523.pdf</t>
        </is>
      </c>
      <c r="K1454" t="inlineStr">
        <is>
          <t>Not found</t>
        </is>
      </c>
      <c r="L1454" t="inlineStr">
        <is>
          <t>Unknown</t>
        </is>
      </c>
      <c r="T1454" t="inlineStr">
        <is>
          <t>https://tenders.iglonline.net/uploads/tender/RTBQ_CC17523.pdf</t>
        </is>
      </c>
      <c r="U1454" t="inlineStr">
        <is>
          <t>No</t>
        </is>
      </c>
      <c r="V1454" t="inlineStr">
        <is>
          <t>Bot tarafindan tespit edildi (2026-07-01)</t>
        </is>
      </c>
    </row>
    <row r="1455">
      <c r="A1455" t="inlineStr">
        <is>
          <t>T-1259</t>
        </is>
      </c>
      <c r="B1455" t="inlineStr">
        <is>
          <t>Indraprastha Gas (IGL)</t>
        </is>
      </c>
      <c r="C1455" t="inlineStr">
        <is>
          <t>Indraprastha Gas (IGL)</t>
        </is>
      </c>
      <c r="F1455" t="inlineStr">
        <is>
          <t>New Lead</t>
        </is>
      </c>
      <c r="H1455" t="inlineStr">
        <is>
          <t>Corrigendum_IV_CC17523.pdf</t>
        </is>
      </c>
      <c r="K1455" t="inlineStr">
        <is>
          <t>Not found</t>
        </is>
      </c>
      <c r="L1455" t="inlineStr">
        <is>
          <t>Unknown</t>
        </is>
      </c>
      <c r="T1455" t="inlineStr">
        <is>
          <t>https://tenders.iglonline.net/uploads/tender/Corrigendum_IV_CC17523.pdf</t>
        </is>
      </c>
      <c r="U1455" t="inlineStr">
        <is>
          <t>No</t>
        </is>
      </c>
      <c r="V1455" t="inlineStr">
        <is>
          <t>Bot tarafindan tespit edildi (2026-07-01)</t>
        </is>
      </c>
    </row>
    <row r="1456">
      <c r="A1456" t="inlineStr">
        <is>
          <t>T-1260</t>
        </is>
      </c>
      <c r="B1456" t="inlineStr">
        <is>
          <t>Indraprastha Gas (IGL)</t>
        </is>
      </c>
      <c r="C1456" t="inlineStr">
        <is>
          <t>Indraprastha Gas (IGL)</t>
        </is>
      </c>
      <c r="F1456" t="inlineStr">
        <is>
          <t>New Lead</t>
        </is>
      </c>
      <c r="H1456" t="inlineStr">
        <is>
          <t>View Tender</t>
        </is>
      </c>
      <c r="K1456" t="inlineStr">
        <is>
          <t>Not found</t>
        </is>
      </c>
      <c r="L1456" t="inlineStr">
        <is>
          <t>Unknown</t>
        </is>
      </c>
      <c r="T1456" t="inlineStr">
        <is>
          <t>https://tenders.iglonline.net/tenderDetail/168/Active Tenders And Corrigendum-Addendum</t>
        </is>
      </c>
      <c r="U1456" t="inlineStr">
        <is>
          <t>No</t>
        </is>
      </c>
      <c r="V1456" t="inlineStr">
        <is>
          <t>Bot tarafindan tespit edildi (2026-07-01)</t>
        </is>
      </c>
    </row>
    <row r="1457">
      <c r="A1457" t="inlineStr">
        <is>
          <t>T-1261</t>
        </is>
      </c>
      <c r="B1457" t="inlineStr">
        <is>
          <t>Indraprastha Gas (IGL)</t>
        </is>
      </c>
      <c r="C1457" t="inlineStr">
        <is>
          <t>Indraprastha Gas (IGL)</t>
        </is>
      </c>
      <c r="F1457" t="inlineStr">
        <is>
          <t>New Lead</t>
        </is>
      </c>
      <c r="H1457" t="inlineStr">
        <is>
          <t>Corrigendum1_xlsx_(2).pdf</t>
        </is>
      </c>
      <c r="K1457" t="inlineStr">
        <is>
          <t>Not found</t>
        </is>
      </c>
      <c r="L1457" t="inlineStr">
        <is>
          <t>Unknown</t>
        </is>
      </c>
      <c r="T1457" t="inlineStr">
        <is>
          <t>https://tenders.iglonline.net/uploads/tender/Corrigendum1_xlsx_(2).pdf</t>
        </is>
      </c>
      <c r="U1457" t="inlineStr">
        <is>
          <t>No</t>
        </is>
      </c>
      <c r="V1457" t="inlineStr">
        <is>
          <t>Bot tarafindan tespit edildi (2026-07-01)</t>
        </is>
      </c>
    </row>
    <row r="1458">
      <c r="A1458" t="inlineStr">
        <is>
          <t>T-1262</t>
        </is>
      </c>
      <c r="B1458" t="inlineStr">
        <is>
          <t>Indraprastha Gas (IGL)</t>
        </is>
      </c>
      <c r="C1458" t="inlineStr">
        <is>
          <t>Indraprastha Gas (IGL)</t>
        </is>
      </c>
      <c r="F1458" t="inlineStr">
        <is>
          <t>New Lead</t>
        </is>
      </c>
      <c r="H1458" t="inlineStr">
        <is>
          <t>Corrigendum_2_(1)2.pdf</t>
        </is>
      </c>
      <c r="K1458" t="inlineStr">
        <is>
          <t>Not found</t>
        </is>
      </c>
      <c r="L1458" t="inlineStr">
        <is>
          <t>Unknown</t>
        </is>
      </c>
      <c r="T1458" t="inlineStr">
        <is>
          <t>https://tenders.iglonline.net/uploads/tender/Corrigendum_2_(1)2.pdf</t>
        </is>
      </c>
      <c r="U1458" t="inlineStr">
        <is>
          <t>No</t>
        </is>
      </c>
      <c r="V1458" t="inlineStr">
        <is>
          <t>Bot tarafindan tespit edildi (2026-07-01)</t>
        </is>
      </c>
    </row>
    <row r="1459">
      <c r="A1459" t="inlineStr">
        <is>
          <t>T-1263</t>
        </is>
      </c>
      <c r="B1459" t="inlineStr">
        <is>
          <t>Indraprastha Gas (IGL)</t>
        </is>
      </c>
      <c r="C1459" t="inlineStr">
        <is>
          <t>Indraprastha Gas (IGL)</t>
        </is>
      </c>
      <c r="F1459" t="inlineStr">
        <is>
          <t>New Lead</t>
        </is>
      </c>
      <c r="H1459" t="inlineStr">
        <is>
          <t>Corrigendum_3_1.pdf</t>
        </is>
      </c>
      <c r="K1459" t="inlineStr">
        <is>
          <t>Not found</t>
        </is>
      </c>
      <c r="L1459" t="inlineStr">
        <is>
          <t>Unknown</t>
        </is>
      </c>
      <c r="T1459" t="inlineStr">
        <is>
          <t>https://tenders.iglonline.net/uploads/tender/Corrigendum_3_1.pdf</t>
        </is>
      </c>
      <c r="U1459" t="inlineStr">
        <is>
          <t>No</t>
        </is>
      </c>
      <c r="V1459" t="inlineStr">
        <is>
          <t>Bot tarafindan tespit edildi (2026-07-01)</t>
        </is>
      </c>
    </row>
    <row r="1460">
      <c r="A1460" t="inlineStr">
        <is>
          <t>T-1264</t>
        </is>
      </c>
      <c r="B1460" t="inlineStr">
        <is>
          <t>Indraprastha Gas (IGL)</t>
        </is>
      </c>
      <c r="C1460" t="inlineStr">
        <is>
          <t>Indraprastha Gas (IGL)</t>
        </is>
      </c>
      <c r="F1460" t="inlineStr">
        <is>
          <t>New Lead</t>
        </is>
      </c>
      <c r="H1460" t="inlineStr">
        <is>
          <t>Corrigendum_4__.pdf</t>
        </is>
      </c>
      <c r="K1460" t="inlineStr">
        <is>
          <t>Not found</t>
        </is>
      </c>
      <c r="L1460" t="inlineStr">
        <is>
          <t>Unknown</t>
        </is>
      </c>
      <c r="T1460" t="inlineStr">
        <is>
          <t>https://tenders.iglonline.net/uploads/tender/Corrigendum_4__.pdf</t>
        </is>
      </c>
      <c r="U1460" t="inlineStr">
        <is>
          <t>No</t>
        </is>
      </c>
      <c r="V1460" t="inlineStr">
        <is>
          <t>Bot tarafindan tespit edildi (2026-07-01)</t>
        </is>
      </c>
    </row>
    <row r="1461">
      <c r="A1461" t="inlineStr">
        <is>
          <t>T-1265</t>
        </is>
      </c>
      <c r="B1461" t="inlineStr">
        <is>
          <t>Indraprastha Gas (IGL)</t>
        </is>
      </c>
      <c r="C1461" t="inlineStr">
        <is>
          <t>Indraprastha Gas (IGL)</t>
        </is>
      </c>
      <c r="F1461" t="inlineStr">
        <is>
          <t>New Lead</t>
        </is>
      </c>
      <c r="H1461" t="inlineStr">
        <is>
          <t>Reply_to_Pre_bid_query.pdf</t>
        </is>
      </c>
      <c r="K1461" t="inlineStr">
        <is>
          <t>Not found</t>
        </is>
      </c>
      <c r="L1461" t="inlineStr">
        <is>
          <t>Unknown</t>
        </is>
      </c>
      <c r="T1461" t="inlineStr">
        <is>
          <t>https://tenders.iglonline.net/uploads/tender/Reply_to_Pre_bid_query.pdf</t>
        </is>
      </c>
      <c r="U1461" t="inlineStr">
        <is>
          <t>No</t>
        </is>
      </c>
      <c r="V1461" t="inlineStr">
        <is>
          <t>Bot tarafindan tespit edildi (2026-07-01)</t>
        </is>
      </c>
    </row>
    <row r="1462">
      <c r="A1462" t="inlineStr">
        <is>
          <t>T-1266</t>
        </is>
      </c>
      <c r="B1462" t="inlineStr">
        <is>
          <t>Indraprastha Gas (IGL)</t>
        </is>
      </c>
      <c r="C1462" t="inlineStr">
        <is>
          <t>Indraprastha Gas (IGL)</t>
        </is>
      </c>
      <c r="F1462" t="inlineStr">
        <is>
          <t>New Lead</t>
        </is>
      </c>
      <c r="H1462" t="inlineStr">
        <is>
          <t>Corrigendum_5_.pdf</t>
        </is>
      </c>
      <c r="K1462" t="inlineStr">
        <is>
          <t>Not found</t>
        </is>
      </c>
      <c r="L1462" t="inlineStr">
        <is>
          <t>Unknown</t>
        </is>
      </c>
      <c r="T1462" t="inlineStr">
        <is>
          <t>https://tenders.iglonline.net/uploads/tender/Corrigendum_5_.pdf</t>
        </is>
      </c>
      <c r="U1462" t="inlineStr">
        <is>
          <t>No</t>
        </is>
      </c>
      <c r="V1462" t="inlineStr">
        <is>
          <t>Bot tarafindan tespit edildi (2026-07-01)</t>
        </is>
      </c>
    </row>
    <row r="1463">
      <c r="A1463" t="inlineStr">
        <is>
          <t>T-1267</t>
        </is>
      </c>
      <c r="B1463" t="inlineStr">
        <is>
          <t>Indraprastha Gas (IGL)</t>
        </is>
      </c>
      <c r="C1463" t="inlineStr">
        <is>
          <t>Indraprastha Gas (IGL)</t>
        </is>
      </c>
      <c r="F1463" t="inlineStr">
        <is>
          <t>New Lead</t>
        </is>
      </c>
      <c r="H1463" t="inlineStr">
        <is>
          <t>Corrigendum__6.pdf</t>
        </is>
      </c>
      <c r="K1463" t="inlineStr">
        <is>
          <t>Not found</t>
        </is>
      </c>
      <c r="L1463" t="inlineStr">
        <is>
          <t>Unknown</t>
        </is>
      </c>
      <c r="T1463" t="inlineStr">
        <is>
          <t>https://tenders.iglonline.net/uploads/tender/Corrigendum__6.pdf</t>
        </is>
      </c>
      <c r="U1463" t="inlineStr">
        <is>
          <t>No</t>
        </is>
      </c>
      <c r="V1463" t="inlineStr">
        <is>
          <t>Bot tarafindan tespit edildi (2026-07-01)</t>
        </is>
      </c>
    </row>
    <row r="1464">
      <c r="A1464" t="inlineStr">
        <is>
          <t>T-1268</t>
        </is>
      </c>
      <c r="B1464" t="inlineStr">
        <is>
          <t>Indraprastha Gas (IGL)</t>
        </is>
      </c>
      <c r="C1464" t="inlineStr">
        <is>
          <t>Indraprastha Gas (IGL)</t>
        </is>
      </c>
      <c r="F1464" t="inlineStr">
        <is>
          <t>New Lead</t>
        </is>
      </c>
      <c r="H1464" t="inlineStr">
        <is>
          <t>View Tender</t>
        </is>
      </c>
      <c r="K1464" t="inlineStr">
        <is>
          <t>Not found</t>
        </is>
      </c>
      <c r="L1464" t="inlineStr">
        <is>
          <t>Unknown</t>
        </is>
      </c>
      <c r="T1464" t="inlineStr">
        <is>
          <t>https://tenders.iglonline.net/tenderDetail/167/Active Tenders And Corrigendum-Addendum</t>
        </is>
      </c>
      <c r="U1464" t="inlineStr">
        <is>
          <t>No</t>
        </is>
      </c>
      <c r="V1464" t="inlineStr">
        <is>
          <t>Bot tarafindan tespit edildi (2026-07-01)</t>
        </is>
      </c>
    </row>
    <row r="1465">
      <c r="A1465" t="inlineStr">
        <is>
          <t>T-1269</t>
        </is>
      </c>
      <c r="B1465" t="inlineStr">
        <is>
          <t>Indraprastha Gas (IGL)</t>
        </is>
      </c>
      <c r="C1465" t="inlineStr">
        <is>
          <t>Indraprastha Gas (IGL)</t>
        </is>
      </c>
      <c r="F1465" t="inlineStr">
        <is>
          <t>New Lead</t>
        </is>
      </c>
      <c r="H1465" t="inlineStr">
        <is>
          <t>Replies_to_bidders_queries_(2).pdf</t>
        </is>
      </c>
      <c r="K1465" t="inlineStr">
        <is>
          <t>Not found</t>
        </is>
      </c>
      <c r="L1465" t="inlineStr">
        <is>
          <t>Unknown</t>
        </is>
      </c>
      <c r="T1465" t="inlineStr">
        <is>
          <t>https://tenders.iglonline.net/uploads/tender/Replies_to_bidders_queries_(2).pdf</t>
        </is>
      </c>
      <c r="U1465" t="inlineStr">
        <is>
          <t>No</t>
        </is>
      </c>
      <c r="V1465" t="inlineStr">
        <is>
          <t>Bot tarafindan tespit edildi (2026-07-01)</t>
        </is>
      </c>
    </row>
    <row r="1466">
      <c r="A1466" t="inlineStr">
        <is>
          <t>T-1270</t>
        </is>
      </c>
      <c r="B1466" t="inlineStr">
        <is>
          <t>Indraprastha Gas (IGL)</t>
        </is>
      </c>
      <c r="C1466" t="inlineStr">
        <is>
          <t>Indraprastha Gas (IGL)</t>
        </is>
      </c>
      <c r="F1466" t="inlineStr">
        <is>
          <t>New Lead</t>
        </is>
      </c>
      <c r="H1466" t="inlineStr">
        <is>
          <t>View Tender</t>
        </is>
      </c>
      <c r="K1466" t="inlineStr">
        <is>
          <t>Not found</t>
        </is>
      </c>
      <c r="L1466" t="inlineStr">
        <is>
          <t>Unknown</t>
        </is>
      </c>
      <c r="T1466" t="inlineStr">
        <is>
          <t>https://tenders.iglonline.net/tenderDetail/166/Active Tenders And Corrigendum-Addendum</t>
        </is>
      </c>
      <c r="U1466" t="inlineStr">
        <is>
          <t>No</t>
        </is>
      </c>
      <c r="V1466" t="inlineStr">
        <is>
          <t>Bot tarafindan tespit edildi (2026-07-01)</t>
        </is>
      </c>
    </row>
    <row r="1467">
      <c r="A1467" t="inlineStr">
        <is>
          <t>T-1271</t>
        </is>
      </c>
      <c r="B1467" t="inlineStr">
        <is>
          <t>Indraprastha Gas (IGL)</t>
        </is>
      </c>
      <c r="C1467" t="inlineStr">
        <is>
          <t>Indraprastha Gas (IGL)</t>
        </is>
      </c>
      <c r="F1467" t="inlineStr">
        <is>
          <t>New Lead</t>
        </is>
      </c>
      <c r="H1467" t="inlineStr">
        <is>
          <t>Corrigendum_I.pdf</t>
        </is>
      </c>
      <c r="K1467" t="inlineStr">
        <is>
          <t>Not found</t>
        </is>
      </c>
      <c r="L1467" t="inlineStr">
        <is>
          <t>Unknown</t>
        </is>
      </c>
      <c r="T1467" t="inlineStr">
        <is>
          <t>https://tenders.iglonline.net/uploads/tender/Corrigendum_I.pdf</t>
        </is>
      </c>
      <c r="U1467" t="inlineStr">
        <is>
          <t>No</t>
        </is>
      </c>
      <c r="V1467" t="inlineStr">
        <is>
          <t>Bot tarafindan tespit edildi (2026-07-01)</t>
        </is>
      </c>
    </row>
    <row r="1468">
      <c r="A1468" t="inlineStr">
        <is>
          <t>T-1272</t>
        </is>
      </c>
      <c r="B1468" t="inlineStr">
        <is>
          <t>Indraprastha Gas (IGL)</t>
        </is>
      </c>
      <c r="C1468" t="inlineStr">
        <is>
          <t>Indraprastha Gas (IGL)</t>
        </is>
      </c>
      <c r="F1468" t="inlineStr">
        <is>
          <t>New Lead</t>
        </is>
      </c>
      <c r="H1468" t="inlineStr">
        <is>
          <t>Corrigendum_I1.pdf</t>
        </is>
      </c>
      <c r="K1468" t="inlineStr">
        <is>
          <t>Not found</t>
        </is>
      </c>
      <c r="L1468" t="inlineStr">
        <is>
          <t>Unknown</t>
        </is>
      </c>
      <c r="T1468" t="inlineStr">
        <is>
          <t>https://tenders.iglonline.net/uploads/tender/Corrigendum_I1.pdf</t>
        </is>
      </c>
      <c r="U1468" t="inlineStr">
        <is>
          <t>No</t>
        </is>
      </c>
      <c r="V1468" t="inlineStr">
        <is>
          <t>Bot tarafindan tespit edildi (2026-07-01)</t>
        </is>
      </c>
    </row>
    <row r="1469">
      <c r="A1469" t="inlineStr">
        <is>
          <t>T-1273</t>
        </is>
      </c>
      <c r="B1469" t="inlineStr">
        <is>
          <t>Indraprastha Gas (IGL)</t>
        </is>
      </c>
      <c r="C1469" t="inlineStr">
        <is>
          <t>Indraprastha Gas (IGL)</t>
        </is>
      </c>
      <c r="F1469" t="inlineStr">
        <is>
          <t>New Lead</t>
        </is>
      </c>
      <c r="H1469" t="inlineStr">
        <is>
          <t>Corrigendum-II_(1).pdf</t>
        </is>
      </c>
      <c r="K1469" t="inlineStr">
        <is>
          <t>Not found</t>
        </is>
      </c>
      <c r="L1469" t="inlineStr">
        <is>
          <t>Unknown</t>
        </is>
      </c>
      <c r="T1469" t="inlineStr">
        <is>
          <t>https://tenders.iglonline.net/uploads/tender/Corrigendum-II_(1).pdf</t>
        </is>
      </c>
      <c r="U1469" t="inlineStr">
        <is>
          <t>No</t>
        </is>
      </c>
      <c r="V1469" t="inlineStr">
        <is>
          <t>Bot tarafindan tespit edildi (2026-07-01)</t>
        </is>
      </c>
    </row>
    <row r="1470">
      <c r="A1470" t="inlineStr">
        <is>
          <t>T-1274</t>
        </is>
      </c>
      <c r="B1470" t="inlineStr">
        <is>
          <t>Indraprastha Gas (IGL)</t>
        </is>
      </c>
      <c r="C1470" t="inlineStr">
        <is>
          <t>Indraprastha Gas (IGL)</t>
        </is>
      </c>
      <c r="F1470" t="inlineStr">
        <is>
          <t>New Lead</t>
        </is>
      </c>
      <c r="H1470" t="inlineStr">
        <is>
          <t>View Tender</t>
        </is>
      </c>
      <c r="K1470" t="inlineStr">
        <is>
          <t>Not found</t>
        </is>
      </c>
      <c r="L1470" t="inlineStr">
        <is>
          <t>Unknown</t>
        </is>
      </c>
      <c r="T1470" t="inlineStr">
        <is>
          <t>https://tenders.iglonline.net/tenderDetail/165/Active Tenders And Corrigendum-Addendum</t>
        </is>
      </c>
      <c r="U1470" t="inlineStr">
        <is>
          <t>No</t>
        </is>
      </c>
      <c r="V1470" t="inlineStr">
        <is>
          <t>Bot tarafindan tespit edildi (2026-07-01)</t>
        </is>
      </c>
    </row>
    <row r="1471">
      <c r="A1471" t="inlineStr">
        <is>
          <t>T-1275</t>
        </is>
      </c>
      <c r="B1471" t="inlineStr">
        <is>
          <t>Indraprastha Gas (IGL)</t>
        </is>
      </c>
      <c r="C1471" t="inlineStr">
        <is>
          <t>Indraprastha Gas (IGL)</t>
        </is>
      </c>
      <c r="D1471" t="inlineStr">
        <is>
          <t>IGL/ET2/CP/CP17502</t>
        </is>
      </c>
      <c r="F1471" t="inlineStr">
        <is>
          <t>New Lead</t>
        </is>
      </c>
      <c r="G1471" t="inlineStr">
        <is>
          <t>Gas-related / review</t>
        </is>
      </c>
      <c r="H1471" t="inlineStr">
        <is>
          <t>Corrigendum1_xlsx_(3).pdf</t>
        </is>
      </c>
      <c r="K1471" t="inlineStr">
        <is>
          <t>Not found</t>
        </is>
      </c>
      <c r="L1471" t="inlineStr">
        <is>
          <t>Unknown</t>
        </is>
      </c>
      <c r="T1471" t="inlineStr">
        <is>
          <t>https://tenders.iglonline.net/uploads/tender/Corrigendum1_xlsx_(3).pdf</t>
        </is>
      </c>
      <c r="U1471" t="inlineStr">
        <is>
          <t>No</t>
        </is>
      </c>
      <c r="V1471" t="inlineStr">
        <is>
          <t>Bot tarafindan tespit edildi (2026-07-01); Bot tespit/zenginlestirme (2026-07-01); meta:score=50;priority=Medium;source_type=html_table;closing_date=;equipment=Gas-related / review;reasons=equipment:Gas-related / review,document source,tender reference signal</t>
        </is>
      </c>
    </row>
    <row r="1472">
      <c r="A1472" t="inlineStr">
        <is>
          <t>T-1276</t>
        </is>
      </c>
      <c r="B1472" t="inlineStr">
        <is>
          <t>Indraprastha Gas (IGL)</t>
        </is>
      </c>
      <c r="C1472" t="inlineStr">
        <is>
          <t>Indraprastha Gas (IGL)</t>
        </is>
      </c>
      <c r="D1472" t="inlineStr">
        <is>
          <t>IGL/ET2/CP/CC17502</t>
        </is>
      </c>
      <c r="F1472" t="inlineStr">
        <is>
          <t>New Lead</t>
        </is>
      </c>
      <c r="G1472" t="inlineStr">
        <is>
          <t>Gas-related / review</t>
        </is>
      </c>
      <c r="H1472" t="inlineStr">
        <is>
          <t>Corrigendum2_xlsx.pdf</t>
        </is>
      </c>
      <c r="K1472" t="inlineStr">
        <is>
          <t>Not found</t>
        </is>
      </c>
      <c r="L1472" t="inlineStr">
        <is>
          <t>Unknown</t>
        </is>
      </c>
      <c r="T1472" t="inlineStr">
        <is>
          <t>https://tenders.iglonline.net/uploads/tender/Corrigendum2_xlsx.pdf</t>
        </is>
      </c>
      <c r="U1472" t="inlineStr">
        <is>
          <t>No</t>
        </is>
      </c>
      <c r="V1472" t="inlineStr">
        <is>
          <t>Bot tarafindan tespit edildi (2026-07-01); Bot tespit/zenginlestirme (2026-07-01); meta:score=50;priority=Medium;source_type=html_table;closing_date=;equipment=Gas-related / review;reasons=equipment:Gas-related / review,document source,tender reference signal</t>
        </is>
      </c>
    </row>
    <row r="1473">
      <c r="A1473" t="inlineStr">
        <is>
          <t>T-1277</t>
        </is>
      </c>
      <c r="B1473" t="inlineStr">
        <is>
          <t>Indraprastha Gas (IGL)</t>
        </is>
      </c>
      <c r="C1473" t="inlineStr">
        <is>
          <t>Indraprastha Gas (IGL)</t>
        </is>
      </c>
      <c r="D1473" t="inlineStr">
        <is>
          <t>IGL/ET2/CP/CC17502</t>
        </is>
      </c>
      <c r="F1473" t="inlineStr">
        <is>
          <t>New Lead</t>
        </is>
      </c>
      <c r="G1473" t="inlineStr">
        <is>
          <t>Gas-related / review</t>
        </is>
      </c>
      <c r="H1473" t="inlineStr">
        <is>
          <t>Corrigendum4_xlsx.pdf</t>
        </is>
      </c>
      <c r="K1473" t="inlineStr">
        <is>
          <t>Not found</t>
        </is>
      </c>
      <c r="L1473" t="inlineStr">
        <is>
          <t>Unknown</t>
        </is>
      </c>
      <c r="T1473" t="inlineStr">
        <is>
          <t>https://tenders.iglonline.net/uploads/tender/Corrigendum4_xlsx.pdf</t>
        </is>
      </c>
      <c r="U1473" t="inlineStr">
        <is>
          <t>No</t>
        </is>
      </c>
      <c r="V1473" t="inlineStr">
        <is>
          <t>Bot tarafindan tespit edildi (2026-07-01); Bot tespit/zenginlestirme (2026-07-01); meta:score=50;priority=Medium;source_type=html_table;closing_date=;equipment=Gas-related / review;reasons=equipment:Gas-related / review,document source,tender reference signal</t>
        </is>
      </c>
    </row>
    <row r="1474">
      <c r="A1474" t="inlineStr">
        <is>
          <t>T-1278</t>
        </is>
      </c>
      <c r="B1474" t="inlineStr">
        <is>
          <t>Indraprastha Gas (IGL)</t>
        </is>
      </c>
      <c r="C1474" t="inlineStr">
        <is>
          <t>Indraprastha Gas (IGL)</t>
        </is>
      </c>
      <c r="D1474" t="inlineStr">
        <is>
          <t>IGL/ET2/CP/CC17502</t>
        </is>
      </c>
      <c r="F1474" t="inlineStr">
        <is>
          <t>New Lead</t>
        </is>
      </c>
      <c r="G1474" t="inlineStr">
        <is>
          <t>Gas-related / review</t>
        </is>
      </c>
      <c r="H1474" t="inlineStr">
        <is>
          <t>Corrigendum3_xlsx.pdf</t>
        </is>
      </c>
      <c r="K1474" t="inlineStr">
        <is>
          <t>Not found</t>
        </is>
      </c>
      <c r="L1474" t="inlineStr">
        <is>
          <t>Unknown</t>
        </is>
      </c>
      <c r="T1474" t="inlineStr">
        <is>
          <t>https://tenders.iglonline.net/uploads/tender/Corrigendum3_xlsx.pdf</t>
        </is>
      </c>
      <c r="U1474" t="inlineStr">
        <is>
          <t>No</t>
        </is>
      </c>
      <c r="V1474" t="inlineStr">
        <is>
          <t>Bot tarafindan tespit edildi (2026-07-01); Bot tespit/zenginlestirme (2026-07-01); meta:score=50;priority=Medium;source_type=html_table;closing_date=;equipment=Gas-related / review;reasons=equipment:Gas-related / review,document source,tender reference signal</t>
        </is>
      </c>
    </row>
    <row r="1475">
      <c r="A1475" t="inlineStr">
        <is>
          <t>T-1279</t>
        </is>
      </c>
      <c r="B1475" t="inlineStr">
        <is>
          <t>Indraprastha Gas (IGL)</t>
        </is>
      </c>
      <c r="C1475" t="inlineStr">
        <is>
          <t>Indraprastha Gas (IGL)</t>
        </is>
      </c>
      <c r="D1475" t="inlineStr">
        <is>
          <t>IGL/ET2/CP/CC17502</t>
        </is>
      </c>
      <c r="F1475" t="inlineStr">
        <is>
          <t>New Lead</t>
        </is>
      </c>
      <c r="G1475" t="inlineStr">
        <is>
          <t>Gas-related / review</t>
        </is>
      </c>
      <c r="H1475" t="inlineStr">
        <is>
          <t>Corrigendum_5_(1).pdf</t>
        </is>
      </c>
      <c r="K1475" t="inlineStr">
        <is>
          <t>Not found</t>
        </is>
      </c>
      <c r="L1475" t="inlineStr">
        <is>
          <t>Unknown</t>
        </is>
      </c>
      <c r="T1475" t="inlineStr">
        <is>
          <t>https://tenders.iglonline.net/uploads/tender/Corrigendum_5_(1).pdf</t>
        </is>
      </c>
      <c r="U1475" t="inlineStr">
        <is>
          <t>No</t>
        </is>
      </c>
      <c r="V1475" t="inlineStr">
        <is>
          <t>Bot tarafindan tespit edildi (2026-07-01); Bot tespit/zenginlestirme (2026-07-01); meta:score=50;priority=Medium;source_type=html_table;closing_date=;equipment=Gas-related / review;reasons=equipment:Gas-related / review,document source,tender reference signal</t>
        </is>
      </c>
    </row>
    <row r="1476">
      <c r="A1476" t="inlineStr">
        <is>
          <t>T-1280</t>
        </is>
      </c>
      <c r="B1476" t="inlineStr">
        <is>
          <t>Indraprastha Gas (IGL)</t>
        </is>
      </c>
      <c r="C1476" t="inlineStr">
        <is>
          <t>Indraprastha Gas (IGL)</t>
        </is>
      </c>
      <c r="D1476" t="inlineStr">
        <is>
          <t>IGL/ET2/CP/CC17502</t>
        </is>
      </c>
      <c r="F1476" t="inlineStr">
        <is>
          <t>New Lead</t>
        </is>
      </c>
      <c r="G1476" t="inlineStr">
        <is>
          <t>Gas-related / review</t>
        </is>
      </c>
      <c r="H1476" t="inlineStr">
        <is>
          <t>Corrigendum_6_1.pdf</t>
        </is>
      </c>
      <c r="K1476" t="inlineStr">
        <is>
          <t>Not found</t>
        </is>
      </c>
      <c r="L1476" t="inlineStr">
        <is>
          <t>Unknown</t>
        </is>
      </c>
      <c r="T1476" t="inlineStr">
        <is>
          <t>https://tenders.iglonline.net/uploads/tender/Corrigendum_6_1.pdf</t>
        </is>
      </c>
      <c r="U1476" t="inlineStr">
        <is>
          <t>No</t>
        </is>
      </c>
      <c r="V1476" t="inlineStr">
        <is>
          <t>Bot tarafindan tespit edildi (2026-07-01); Bot tespit/zenginlestirme (2026-07-01); meta:score=50;priority=Medium;source_type=html_table;closing_date=;equipment=Gas-related / review;reasons=equipment:Gas-related / review,document source,tender reference signal</t>
        </is>
      </c>
    </row>
    <row r="1477">
      <c r="A1477" t="inlineStr">
        <is>
          <t>T-1281</t>
        </is>
      </c>
      <c r="B1477" t="inlineStr">
        <is>
          <t>Indraprastha Gas (IGL)</t>
        </is>
      </c>
      <c r="C1477" t="inlineStr">
        <is>
          <t>Indraprastha Gas (IGL)</t>
        </is>
      </c>
      <c r="D1477" t="inlineStr">
        <is>
          <t>IGL/ET2/CP/CC17502</t>
        </is>
      </c>
      <c r="F1477" t="inlineStr">
        <is>
          <t>New Lead</t>
        </is>
      </c>
      <c r="G1477" t="inlineStr">
        <is>
          <t>Gas-related / review</t>
        </is>
      </c>
      <c r="H1477" t="inlineStr">
        <is>
          <t>Corrigendum_7_.pdf</t>
        </is>
      </c>
      <c r="K1477" t="inlineStr">
        <is>
          <t>Not found</t>
        </is>
      </c>
      <c r="L1477" t="inlineStr">
        <is>
          <t>Unknown</t>
        </is>
      </c>
      <c r="T1477" t="inlineStr">
        <is>
          <t>https://tenders.iglonline.net/uploads/tender/Corrigendum_7_.pdf</t>
        </is>
      </c>
      <c r="U1477" t="inlineStr">
        <is>
          <t>No</t>
        </is>
      </c>
      <c r="V1477" t="inlineStr">
        <is>
          <t>Bot tarafindan tespit edildi (2026-07-01); Bot tespit/zenginlestirme (2026-07-01); meta:score=50;priority=Medium;source_type=html_table;closing_date=;equipment=Gas-related / review;reasons=equipment:Gas-related / review,document source,tender reference signal</t>
        </is>
      </c>
    </row>
    <row r="1478">
      <c r="A1478" t="inlineStr">
        <is>
          <t>T-1282</t>
        </is>
      </c>
      <c r="B1478" t="inlineStr">
        <is>
          <t>Indraprastha Gas (IGL)</t>
        </is>
      </c>
      <c r="C1478" t="inlineStr">
        <is>
          <t>Indraprastha Gas (IGL)</t>
        </is>
      </c>
      <c r="D1478" t="inlineStr">
        <is>
          <t>IGL/ET2/CP/CC17502</t>
        </is>
      </c>
      <c r="F1478" t="inlineStr">
        <is>
          <t>New Lead</t>
        </is>
      </c>
      <c r="G1478" t="inlineStr">
        <is>
          <t>Gas-related / review</t>
        </is>
      </c>
      <c r="H1478" t="inlineStr">
        <is>
          <t>Corrigendum_8__.pdf</t>
        </is>
      </c>
      <c r="K1478" t="inlineStr">
        <is>
          <t>Not found</t>
        </is>
      </c>
      <c r="L1478" t="inlineStr">
        <is>
          <t>Unknown</t>
        </is>
      </c>
      <c r="T1478" t="inlineStr">
        <is>
          <t>https://tenders.iglonline.net/uploads/tender/Corrigendum_8__.pdf</t>
        </is>
      </c>
      <c r="U1478" t="inlineStr">
        <is>
          <t>No</t>
        </is>
      </c>
      <c r="V1478" t="inlineStr">
        <is>
          <t>Bot tarafindan tespit edildi (2026-07-01); Bot tespit/zenginlestirme (2026-07-01); meta:score=50;priority=Medium;source_type=html_table;closing_date=;equipment=Gas-related / review;reasons=equipment:Gas-related / review,document source,tender reference signal</t>
        </is>
      </c>
    </row>
    <row r="1479">
      <c r="A1479" t="inlineStr">
        <is>
          <t>T-1283</t>
        </is>
      </c>
      <c r="B1479" t="inlineStr">
        <is>
          <t>Indraprastha Gas (IGL)</t>
        </is>
      </c>
      <c r="C1479" t="inlineStr">
        <is>
          <t>Indraprastha Gas (IGL)</t>
        </is>
      </c>
      <c r="D1479" t="inlineStr">
        <is>
          <t>IGL/ET2/CP/CC17502</t>
        </is>
      </c>
      <c r="F1479" t="inlineStr">
        <is>
          <t>New Lead</t>
        </is>
      </c>
      <c r="G1479" t="inlineStr">
        <is>
          <t>Gas-related / review</t>
        </is>
      </c>
      <c r="H1479" t="inlineStr">
        <is>
          <t>Corrigendum_9_.pdf</t>
        </is>
      </c>
      <c r="K1479" t="inlineStr">
        <is>
          <t>Not found</t>
        </is>
      </c>
      <c r="L1479" t="inlineStr">
        <is>
          <t>Unknown</t>
        </is>
      </c>
      <c r="T1479" t="inlineStr">
        <is>
          <t>https://tenders.iglonline.net/uploads/tender/Corrigendum_9_.pdf</t>
        </is>
      </c>
      <c r="U1479" t="inlineStr">
        <is>
          <t>No</t>
        </is>
      </c>
      <c r="V1479" t="inlineStr">
        <is>
          <t>Bot tarafindan tespit edildi (2026-07-01); Bot tespit/zenginlestirme (2026-07-01); meta:score=50;priority=Medium;source_type=html_table;closing_date=;equipment=Gas-related / review;reasons=equipment:Gas-related / review,document source,tender reference signal</t>
        </is>
      </c>
    </row>
    <row r="1480">
      <c r="A1480" t="inlineStr">
        <is>
          <t>T-1284</t>
        </is>
      </c>
      <c r="B1480" t="inlineStr">
        <is>
          <t>Indraprastha Gas (IGL)</t>
        </is>
      </c>
      <c r="C1480" t="inlineStr">
        <is>
          <t>Indraprastha Gas (IGL)</t>
        </is>
      </c>
      <c r="D1480" t="inlineStr">
        <is>
          <t>IGL/ET2/CP/CC17502</t>
        </is>
      </c>
      <c r="F1480" t="inlineStr">
        <is>
          <t>New Lead</t>
        </is>
      </c>
      <c r="G1480" t="inlineStr">
        <is>
          <t>Gas-related / review</t>
        </is>
      </c>
      <c r="H1480" t="inlineStr">
        <is>
          <t>Corrigendum_10_.pdf</t>
        </is>
      </c>
      <c r="K1480" t="inlineStr">
        <is>
          <t>Not found</t>
        </is>
      </c>
      <c r="L1480" t="inlineStr">
        <is>
          <t>Unknown</t>
        </is>
      </c>
      <c r="T1480" t="inlineStr">
        <is>
          <t>https://tenders.iglonline.net/uploads/tender/Corrigendum_10_.pdf</t>
        </is>
      </c>
      <c r="U1480" t="inlineStr">
        <is>
          <t>No</t>
        </is>
      </c>
      <c r="V1480" t="inlineStr">
        <is>
          <t>Bot tarafindan tespit edildi (2026-07-01); Bot tespit/zenginlestirme (2026-07-01); meta:score=50;priority=Medium;source_type=html_table;closing_date=;equipment=Gas-related / review;reasons=equipment:Gas-related / review,document source,tender reference signal</t>
        </is>
      </c>
    </row>
    <row r="1481">
      <c r="A1481" t="inlineStr">
        <is>
          <t>T-1285</t>
        </is>
      </c>
      <c r="B1481" t="inlineStr">
        <is>
          <t>Indraprastha Gas (IGL)</t>
        </is>
      </c>
      <c r="C1481" t="inlineStr">
        <is>
          <t>Indraprastha Gas (IGL)</t>
        </is>
      </c>
      <c r="D1481" t="inlineStr">
        <is>
          <t>IGL/ET2/CP/CC17502</t>
        </is>
      </c>
      <c r="F1481" t="inlineStr">
        <is>
          <t>New Lead</t>
        </is>
      </c>
      <c r="G1481" t="inlineStr">
        <is>
          <t>Gas-related / review</t>
        </is>
      </c>
      <c r="H1481" t="inlineStr">
        <is>
          <t>Corrigendum_11.pdf</t>
        </is>
      </c>
      <c r="K1481" t="inlineStr">
        <is>
          <t>Not found</t>
        </is>
      </c>
      <c r="L1481" t="inlineStr">
        <is>
          <t>Unknown</t>
        </is>
      </c>
      <c r="T1481" t="inlineStr">
        <is>
          <t>https://tenders.iglonline.net/uploads/tender/Corrigendum_11.pdf</t>
        </is>
      </c>
      <c r="U1481" t="inlineStr">
        <is>
          <t>No</t>
        </is>
      </c>
      <c r="V1481" t="inlineStr">
        <is>
          <t>Bot tarafindan tespit edildi (2026-07-01); Bot tespit/zenginlestirme (2026-07-01); meta:score=50;priority=Medium;source_type=html_table;closing_date=;equipment=Gas-related / review;reasons=equipment:Gas-related / review,document source,tender reference signal</t>
        </is>
      </c>
    </row>
    <row r="1482">
      <c r="A1482" t="inlineStr">
        <is>
          <t>T-1286</t>
        </is>
      </c>
      <c r="B1482" t="inlineStr">
        <is>
          <t>Indraprastha Gas (IGL)</t>
        </is>
      </c>
      <c r="C1482" t="inlineStr">
        <is>
          <t>Indraprastha Gas (IGL)</t>
        </is>
      </c>
      <c r="D1482" t="inlineStr">
        <is>
          <t>IGL/ET2/CP/CC17502</t>
        </is>
      </c>
      <c r="F1482" t="inlineStr">
        <is>
          <t>New Lead</t>
        </is>
      </c>
      <c r="G1482" t="inlineStr">
        <is>
          <t>Gas-related / review</t>
        </is>
      </c>
      <c r="H1482" t="inlineStr">
        <is>
          <t>Corrigendum_12_.pdf</t>
        </is>
      </c>
      <c r="K1482" t="inlineStr">
        <is>
          <t>Not found</t>
        </is>
      </c>
      <c r="L1482" t="inlineStr">
        <is>
          <t>Unknown</t>
        </is>
      </c>
      <c r="T1482" t="inlineStr">
        <is>
          <t>https://tenders.iglonline.net/uploads/tender/Corrigendum_12_.pdf</t>
        </is>
      </c>
      <c r="U1482" t="inlineStr">
        <is>
          <t>No</t>
        </is>
      </c>
      <c r="V1482" t="inlineStr">
        <is>
          <t>Bot tarafindan tespit edildi (2026-07-01); Bot tespit/zenginlestirme (2026-07-01); meta:score=50;priority=Medium;source_type=html_table;closing_date=;equipment=Gas-related / review;reasons=equipment:Gas-related / review,document source,tender reference signal</t>
        </is>
      </c>
    </row>
    <row r="1483">
      <c r="A1483" t="inlineStr">
        <is>
          <t>T-1287</t>
        </is>
      </c>
      <c r="B1483" t="inlineStr">
        <is>
          <t>Indraprastha Gas (IGL)</t>
        </is>
      </c>
      <c r="C1483" t="inlineStr">
        <is>
          <t>Indraprastha Gas (IGL)</t>
        </is>
      </c>
      <c r="F1483" t="inlineStr">
        <is>
          <t>New Lead</t>
        </is>
      </c>
      <c r="H1483" t="inlineStr">
        <is>
          <t>View Tender</t>
        </is>
      </c>
      <c r="K1483" t="inlineStr">
        <is>
          <t>Not found</t>
        </is>
      </c>
      <c r="L1483" t="inlineStr">
        <is>
          <t>Unknown</t>
        </is>
      </c>
      <c r="T1483" t="inlineStr">
        <is>
          <t>https://tenders.iglonline.net/tenderDetail/163/Active Tenders And Corrigendum-Addendum</t>
        </is>
      </c>
      <c r="U1483" t="inlineStr">
        <is>
          <t>No</t>
        </is>
      </c>
      <c r="V1483" t="inlineStr">
        <is>
          <t>Bot tarafindan tespit edildi (2026-07-01)</t>
        </is>
      </c>
    </row>
    <row r="1484">
      <c r="A1484" t="inlineStr">
        <is>
          <t>T-1288</t>
        </is>
      </c>
      <c r="B1484" t="inlineStr">
        <is>
          <t>Indraprastha Gas (IGL)</t>
        </is>
      </c>
      <c r="C1484" t="inlineStr">
        <is>
          <t>Indraprastha Gas (IGL)</t>
        </is>
      </c>
      <c r="F1484" t="inlineStr">
        <is>
          <t>New Lead</t>
        </is>
      </c>
      <c r="H1484" t="inlineStr">
        <is>
          <t>Corrigendum_I-CM17557.pdf</t>
        </is>
      </c>
      <c r="K1484" t="inlineStr">
        <is>
          <t>Not found</t>
        </is>
      </c>
      <c r="L1484" t="inlineStr">
        <is>
          <t>Unknown</t>
        </is>
      </c>
      <c r="T1484" t="inlineStr">
        <is>
          <t>https://tenders.iglonline.net/uploads/tender/Corrigendum_I-CM17557.pdf</t>
        </is>
      </c>
      <c r="U1484" t="inlineStr">
        <is>
          <t>No</t>
        </is>
      </c>
      <c r="V1484" t="inlineStr">
        <is>
          <t>Bot tarafindan tespit edildi (2026-07-01)</t>
        </is>
      </c>
    </row>
    <row r="1485">
      <c r="A1485" t="inlineStr">
        <is>
          <t>T-1289</t>
        </is>
      </c>
      <c r="B1485" t="inlineStr">
        <is>
          <t>Indraprastha Gas (IGL)</t>
        </is>
      </c>
      <c r="C1485" t="inlineStr">
        <is>
          <t>Indraprastha Gas (IGL)</t>
        </is>
      </c>
      <c r="F1485" t="inlineStr">
        <is>
          <t>New Lead</t>
        </is>
      </c>
      <c r="H1485" t="inlineStr">
        <is>
          <t>Corrigendum_-_CM17557.pdf</t>
        </is>
      </c>
      <c r="K1485" t="inlineStr">
        <is>
          <t>Not found</t>
        </is>
      </c>
      <c r="L1485" t="inlineStr">
        <is>
          <t>Unknown</t>
        </is>
      </c>
      <c r="T1485" t="inlineStr">
        <is>
          <t>https://tenders.iglonline.net/uploads/tender/Corrigendum_-_CM17557.pdf</t>
        </is>
      </c>
      <c r="U1485" t="inlineStr">
        <is>
          <t>No</t>
        </is>
      </c>
      <c r="V1485" t="inlineStr">
        <is>
          <t>Bot tarafindan tespit edildi (2026-07-01)</t>
        </is>
      </c>
    </row>
    <row r="1486">
      <c r="A1486" t="inlineStr">
        <is>
          <t>T-1290</t>
        </is>
      </c>
      <c r="B1486" t="inlineStr">
        <is>
          <t>Indraprastha Gas (IGL)</t>
        </is>
      </c>
      <c r="C1486" t="inlineStr">
        <is>
          <t>Indraprastha Gas (IGL)</t>
        </is>
      </c>
      <c r="F1486" t="inlineStr">
        <is>
          <t>New Lead</t>
        </is>
      </c>
      <c r="H1486" t="inlineStr">
        <is>
          <t>View Tender</t>
        </is>
      </c>
      <c r="K1486" t="inlineStr">
        <is>
          <t>Not found</t>
        </is>
      </c>
      <c r="L1486" t="inlineStr">
        <is>
          <t>Unknown</t>
        </is>
      </c>
      <c r="T1486" t="inlineStr">
        <is>
          <t>https://tenders.iglonline.net/tenderDetail/162/Active Tenders And Corrigendum-Addendum</t>
        </is>
      </c>
      <c r="U1486" t="inlineStr">
        <is>
          <t>No</t>
        </is>
      </c>
      <c r="V1486" t="inlineStr">
        <is>
          <t>Bot tarafindan tespit edildi (2026-07-01)</t>
        </is>
      </c>
    </row>
    <row r="1487">
      <c r="A1487" t="inlineStr">
        <is>
          <t>T-1291</t>
        </is>
      </c>
      <c r="B1487" t="inlineStr">
        <is>
          <t>Indraprastha Gas (IGL)</t>
        </is>
      </c>
      <c r="C1487" t="inlineStr">
        <is>
          <t>Indraprastha Gas (IGL)</t>
        </is>
      </c>
      <c r="F1487" t="inlineStr">
        <is>
          <t>New Lead</t>
        </is>
      </c>
      <c r="H1487" t="inlineStr">
        <is>
          <t>Corrigendum1.pdf</t>
        </is>
      </c>
      <c r="K1487" t="inlineStr">
        <is>
          <t>Not found</t>
        </is>
      </c>
      <c r="L1487" t="inlineStr">
        <is>
          <t>Unknown</t>
        </is>
      </c>
      <c r="T1487" t="inlineStr">
        <is>
          <t>https://tenders.iglonline.net/uploads/tender/Corrigendum1.pdf</t>
        </is>
      </c>
      <c r="U1487" t="inlineStr">
        <is>
          <t>No</t>
        </is>
      </c>
      <c r="V1487" t="inlineStr">
        <is>
          <t>Bot tarafindan tespit edildi (2026-07-01)</t>
        </is>
      </c>
    </row>
    <row r="1488">
      <c r="A1488" t="inlineStr">
        <is>
          <t>T-1292</t>
        </is>
      </c>
      <c r="B1488" t="inlineStr">
        <is>
          <t>Indraprastha Gas (IGL)</t>
        </is>
      </c>
      <c r="C1488" t="inlineStr">
        <is>
          <t>Indraprastha Gas (IGL)</t>
        </is>
      </c>
      <c r="F1488" t="inlineStr">
        <is>
          <t>New Lead</t>
        </is>
      </c>
      <c r="H1488" t="inlineStr">
        <is>
          <t>Corrigendum_2_(1)1.pdf</t>
        </is>
      </c>
      <c r="K1488" t="inlineStr">
        <is>
          <t>Not found</t>
        </is>
      </c>
      <c r="L1488" t="inlineStr">
        <is>
          <t>Unknown</t>
        </is>
      </c>
      <c r="T1488" t="inlineStr">
        <is>
          <t>https://tenders.iglonline.net/uploads/tender/Corrigendum_2_(1)1.pdf</t>
        </is>
      </c>
      <c r="U1488" t="inlineStr">
        <is>
          <t>No</t>
        </is>
      </c>
      <c r="V1488" t="inlineStr">
        <is>
          <t>Bot tarafindan tespit edildi (2026-07-01)</t>
        </is>
      </c>
    </row>
    <row r="1489">
      <c r="A1489" t="inlineStr">
        <is>
          <t>T-1293</t>
        </is>
      </c>
      <c r="B1489" t="inlineStr">
        <is>
          <t>Indraprastha Gas (IGL)</t>
        </is>
      </c>
      <c r="C1489" t="inlineStr">
        <is>
          <t>Indraprastha Gas (IGL)</t>
        </is>
      </c>
      <c r="F1489" t="inlineStr">
        <is>
          <t>New Lead</t>
        </is>
      </c>
      <c r="H1489" t="inlineStr">
        <is>
          <t>Replies_to_bidders_queries_(3).pdf</t>
        </is>
      </c>
      <c r="K1489" t="inlineStr">
        <is>
          <t>Not found</t>
        </is>
      </c>
      <c r="L1489" t="inlineStr">
        <is>
          <t>Unknown</t>
        </is>
      </c>
      <c r="T1489" t="inlineStr">
        <is>
          <t>https://tenders.iglonline.net/uploads/tender/Replies_to_bidders_queries_(3).pdf</t>
        </is>
      </c>
      <c r="U1489" t="inlineStr">
        <is>
          <t>No</t>
        </is>
      </c>
      <c r="V1489" t="inlineStr">
        <is>
          <t>Bot tarafindan tespit edildi (2026-07-01)</t>
        </is>
      </c>
    </row>
    <row r="1490">
      <c r="A1490" t="inlineStr">
        <is>
          <t>T-1294</t>
        </is>
      </c>
      <c r="B1490" t="inlineStr">
        <is>
          <t>Indraprastha Gas (IGL)</t>
        </is>
      </c>
      <c r="C1490" t="inlineStr">
        <is>
          <t>Indraprastha Gas (IGL)</t>
        </is>
      </c>
      <c r="F1490" t="inlineStr">
        <is>
          <t>New Lead</t>
        </is>
      </c>
      <c r="H1490" t="inlineStr">
        <is>
          <t>Corrigendum31.pdf</t>
        </is>
      </c>
      <c r="K1490" t="inlineStr">
        <is>
          <t>Not found</t>
        </is>
      </c>
      <c r="L1490" t="inlineStr">
        <is>
          <t>Unknown</t>
        </is>
      </c>
      <c r="T1490" t="inlineStr">
        <is>
          <t>https://tenders.iglonline.net/uploads/tender/Corrigendum31.pdf</t>
        </is>
      </c>
      <c r="U1490" t="inlineStr">
        <is>
          <t>No</t>
        </is>
      </c>
      <c r="V1490" t="inlineStr">
        <is>
          <t>Bot tarafindan tespit edildi (2026-07-01)</t>
        </is>
      </c>
    </row>
    <row r="1491">
      <c r="A1491" t="inlineStr">
        <is>
          <t>T-1295</t>
        </is>
      </c>
      <c r="B1491" t="inlineStr">
        <is>
          <t>Indraprastha Gas (IGL)</t>
        </is>
      </c>
      <c r="C1491" t="inlineStr">
        <is>
          <t>Indraprastha Gas (IGL)</t>
        </is>
      </c>
      <c r="F1491" t="inlineStr">
        <is>
          <t>New Lead</t>
        </is>
      </c>
      <c r="H1491" t="inlineStr">
        <is>
          <t>Replies_to_bidders_queries_1.pdf</t>
        </is>
      </c>
      <c r="K1491" t="inlineStr">
        <is>
          <t>Not found</t>
        </is>
      </c>
      <c r="L1491" t="inlineStr">
        <is>
          <t>Unknown</t>
        </is>
      </c>
      <c r="T1491" t="inlineStr">
        <is>
          <t>https://tenders.iglonline.net/uploads/tender/Replies_to_bidders_queries_1.pdf</t>
        </is>
      </c>
      <c r="U1491" t="inlineStr">
        <is>
          <t>No</t>
        </is>
      </c>
      <c r="V1491" t="inlineStr">
        <is>
          <t>Bot tarafindan tespit edildi (2026-07-01)</t>
        </is>
      </c>
    </row>
    <row r="1492">
      <c r="A1492" t="inlineStr">
        <is>
          <t>T-1296</t>
        </is>
      </c>
      <c r="B1492" t="inlineStr">
        <is>
          <t>Indraprastha Gas (IGL)</t>
        </is>
      </c>
      <c r="C1492" t="inlineStr">
        <is>
          <t>Indraprastha Gas (IGL)</t>
        </is>
      </c>
      <c r="F1492" t="inlineStr">
        <is>
          <t>New Lead</t>
        </is>
      </c>
      <c r="H1492" t="inlineStr">
        <is>
          <t>Corrigendum_44.pdf</t>
        </is>
      </c>
      <c r="K1492" t="inlineStr">
        <is>
          <t>Not found</t>
        </is>
      </c>
      <c r="L1492" t="inlineStr">
        <is>
          <t>Unknown</t>
        </is>
      </c>
      <c r="T1492" t="inlineStr">
        <is>
          <t>https://tenders.iglonline.net/uploads/tender/Corrigendum_44.pdf</t>
        </is>
      </c>
      <c r="U1492" t="inlineStr">
        <is>
          <t>No</t>
        </is>
      </c>
      <c r="V1492" t="inlineStr">
        <is>
          <t>Bot tarafindan tespit edildi (2026-07-01)</t>
        </is>
      </c>
    </row>
    <row r="1493">
      <c r="A1493" t="inlineStr">
        <is>
          <t>T-1297</t>
        </is>
      </c>
      <c r="B1493" t="inlineStr">
        <is>
          <t>Indraprastha Gas (IGL)</t>
        </is>
      </c>
      <c r="C1493" t="inlineStr">
        <is>
          <t>Indraprastha Gas (IGL)</t>
        </is>
      </c>
      <c r="F1493" t="inlineStr">
        <is>
          <t>New Lead</t>
        </is>
      </c>
      <c r="H1493" t="inlineStr">
        <is>
          <t>View Tender</t>
        </is>
      </c>
      <c r="K1493" t="inlineStr">
        <is>
          <t>Not found</t>
        </is>
      </c>
      <c r="L1493" t="inlineStr">
        <is>
          <t>Unknown</t>
        </is>
      </c>
      <c r="T1493" t="inlineStr">
        <is>
          <t>https://tenders.iglonline.net/tenderDetail/161/Active Tenders And Corrigendum-Addendum</t>
        </is>
      </c>
      <c r="U1493" t="inlineStr">
        <is>
          <t>No</t>
        </is>
      </c>
      <c r="V1493" t="inlineStr">
        <is>
          <t>Bot tarafindan tespit edildi (2026-07-01)</t>
        </is>
      </c>
    </row>
    <row r="1494">
      <c r="A1494" t="inlineStr">
        <is>
          <t>T-1298</t>
        </is>
      </c>
      <c r="B1494" t="inlineStr">
        <is>
          <t>Indraprastha Gas (IGL)</t>
        </is>
      </c>
      <c r="C1494" t="inlineStr">
        <is>
          <t>Indraprastha Gas (IGL)</t>
        </is>
      </c>
      <c r="F1494" t="inlineStr">
        <is>
          <t>New Lead</t>
        </is>
      </c>
      <c r="H1494" t="inlineStr">
        <is>
          <t>CORRIGENDUM_CM17551.pdf</t>
        </is>
      </c>
      <c r="K1494" t="inlineStr">
        <is>
          <t>Not found</t>
        </is>
      </c>
      <c r="L1494" t="inlineStr">
        <is>
          <t>Unknown</t>
        </is>
      </c>
      <c r="T1494" t="inlineStr">
        <is>
          <t>https://tenders.iglonline.net/uploads/tender/CORRIGENDUM_CM17551.pdf</t>
        </is>
      </c>
      <c r="U1494" t="inlineStr">
        <is>
          <t>No</t>
        </is>
      </c>
      <c r="V1494" t="inlineStr">
        <is>
          <t>Bot tarafindan tespit edildi (2026-07-01)</t>
        </is>
      </c>
    </row>
    <row r="1495">
      <c r="A1495" t="inlineStr">
        <is>
          <t>T-1299</t>
        </is>
      </c>
      <c r="B1495" t="inlineStr">
        <is>
          <t>Indraprastha Gas (IGL)</t>
        </is>
      </c>
      <c r="C1495" t="inlineStr">
        <is>
          <t>Indraprastha Gas (IGL)</t>
        </is>
      </c>
      <c r="F1495" t="inlineStr">
        <is>
          <t>New Lead</t>
        </is>
      </c>
      <c r="H1495" t="inlineStr">
        <is>
          <t>RTBQ_Cloud_Hosting_services_for_IGL_mobile_app_CM17551.pdf</t>
        </is>
      </c>
      <c r="K1495" t="inlineStr">
        <is>
          <t>Not found</t>
        </is>
      </c>
      <c r="L1495" t="inlineStr">
        <is>
          <t>Unknown</t>
        </is>
      </c>
      <c r="T1495" t="inlineStr">
        <is>
          <t>https://tenders.iglonline.net/uploads/tender/RTBQ_Cloud_Hosting_services_for_IGL_mobile_app_CM17551.pdf</t>
        </is>
      </c>
      <c r="U1495" t="inlineStr">
        <is>
          <t>No</t>
        </is>
      </c>
      <c r="V1495" t="inlineStr">
        <is>
          <t>Bot tarafindan tespit edildi (2026-07-01)</t>
        </is>
      </c>
    </row>
    <row r="1496">
      <c r="A1496" t="inlineStr">
        <is>
          <t>T-1300</t>
        </is>
      </c>
      <c r="B1496" t="inlineStr">
        <is>
          <t>Indraprastha Gas (IGL)</t>
        </is>
      </c>
      <c r="C1496" t="inlineStr">
        <is>
          <t>Indraprastha Gas (IGL)</t>
        </is>
      </c>
      <c r="F1496" t="inlineStr">
        <is>
          <t>New Lead</t>
        </is>
      </c>
      <c r="H1496" t="inlineStr">
        <is>
          <t>RTBQ_Cloud_Hosting_services_for_IGL_mobile_app_CM17551_(1).pdf</t>
        </is>
      </c>
      <c r="K1496" t="inlineStr">
        <is>
          <t>Not found</t>
        </is>
      </c>
      <c r="L1496" t="inlineStr">
        <is>
          <t>Unknown</t>
        </is>
      </c>
      <c r="T1496" t="inlineStr">
        <is>
          <t>https://tenders.iglonline.net/uploads/tender/RTBQ_Cloud_Hosting_services_for_IGL_mobile_app_CM17551_(1).pdf</t>
        </is>
      </c>
      <c r="U1496" t="inlineStr">
        <is>
          <t>No</t>
        </is>
      </c>
      <c r="V1496" t="inlineStr">
        <is>
          <t>Bot tarafindan tespit edildi (2026-07-01)</t>
        </is>
      </c>
    </row>
    <row r="1497">
      <c r="A1497" t="inlineStr">
        <is>
          <t>T-1301</t>
        </is>
      </c>
      <c r="B1497" t="inlineStr">
        <is>
          <t>Indraprastha Gas (IGL)</t>
        </is>
      </c>
      <c r="C1497" t="inlineStr">
        <is>
          <t>Indraprastha Gas (IGL)</t>
        </is>
      </c>
      <c r="F1497" t="inlineStr">
        <is>
          <t>New Lead</t>
        </is>
      </c>
      <c r="H1497" t="inlineStr">
        <is>
          <t>CORRIGENDUM_4_.pdf</t>
        </is>
      </c>
      <c r="K1497" t="inlineStr">
        <is>
          <t>Not found</t>
        </is>
      </c>
      <c r="L1497" t="inlineStr">
        <is>
          <t>Unknown</t>
        </is>
      </c>
      <c r="T1497" t="inlineStr">
        <is>
          <t>https://tenders.iglonline.net/uploads/tender/CORRIGENDUM_4_.pdf</t>
        </is>
      </c>
      <c r="U1497" t="inlineStr">
        <is>
          <t>No</t>
        </is>
      </c>
      <c r="V1497" t="inlineStr">
        <is>
          <t>Bot tarafindan tespit edildi (2026-07-01)</t>
        </is>
      </c>
    </row>
    <row r="1498">
      <c r="A1498" t="inlineStr">
        <is>
          <t>T-1302</t>
        </is>
      </c>
      <c r="B1498" t="inlineStr">
        <is>
          <t>Indraprastha Gas (IGL)</t>
        </is>
      </c>
      <c r="C1498" t="inlineStr">
        <is>
          <t>Indraprastha Gas (IGL)</t>
        </is>
      </c>
      <c r="F1498" t="inlineStr">
        <is>
          <t>New Lead</t>
        </is>
      </c>
      <c r="H1498" t="inlineStr">
        <is>
          <t>Notification_Tender_Cancellation.pdf</t>
        </is>
      </c>
      <c r="K1498" t="inlineStr">
        <is>
          <t>Not found</t>
        </is>
      </c>
      <c r="L1498" t="inlineStr">
        <is>
          <t>Unknown</t>
        </is>
      </c>
      <c r="T1498" t="inlineStr">
        <is>
          <t>https://tenders.iglonline.net/uploads/tender/Notification_Tender_Cancellation.pdf</t>
        </is>
      </c>
      <c r="U1498" t="inlineStr">
        <is>
          <t>No</t>
        </is>
      </c>
      <c r="V1498" t="inlineStr">
        <is>
          <t>Bot tarafindan tespit edildi (2026-07-01)</t>
        </is>
      </c>
    </row>
    <row r="1499">
      <c r="A1499" t="inlineStr">
        <is>
          <t>T-1303</t>
        </is>
      </c>
      <c r="B1499" t="inlineStr">
        <is>
          <t>Indraprastha Gas (IGL)</t>
        </is>
      </c>
      <c r="C1499" t="inlineStr">
        <is>
          <t>Indraprastha Gas (IGL)</t>
        </is>
      </c>
      <c r="F1499" t="inlineStr">
        <is>
          <t>New Lead</t>
        </is>
      </c>
      <c r="H1499" t="inlineStr">
        <is>
          <t>View Tender</t>
        </is>
      </c>
      <c r="K1499" t="inlineStr">
        <is>
          <t>Not found</t>
        </is>
      </c>
      <c r="L1499" t="inlineStr">
        <is>
          <t>Unknown</t>
        </is>
      </c>
      <c r="T1499" t="inlineStr">
        <is>
          <t>https://tenders.iglonline.net/tenderDetail/160/Active Tenders And Corrigendum-Addendum</t>
        </is>
      </c>
      <c r="U1499" t="inlineStr">
        <is>
          <t>No</t>
        </is>
      </c>
      <c r="V1499" t="inlineStr">
        <is>
          <t>Bot tarafindan tespit edildi (2026-07-01)</t>
        </is>
      </c>
    </row>
    <row r="1500">
      <c r="A1500" t="inlineStr">
        <is>
          <t>T-1304</t>
        </is>
      </c>
      <c r="B1500" t="inlineStr">
        <is>
          <t>Indraprastha Gas (IGL)</t>
        </is>
      </c>
      <c r="C1500" t="inlineStr">
        <is>
          <t>Indraprastha Gas (IGL)</t>
        </is>
      </c>
      <c r="F1500" t="inlineStr">
        <is>
          <t>New Lead</t>
        </is>
      </c>
      <c r="H1500" t="inlineStr">
        <is>
          <t>CORRIGENDUM_17552.pdf</t>
        </is>
      </c>
      <c r="K1500" t="inlineStr">
        <is>
          <t>Not found</t>
        </is>
      </c>
      <c r="L1500" t="inlineStr">
        <is>
          <t>Unknown</t>
        </is>
      </c>
      <c r="T1500" t="inlineStr">
        <is>
          <t>https://tenders.iglonline.net/uploads/tender/CORRIGENDUM_17552.pdf</t>
        </is>
      </c>
      <c r="U1500" t="inlineStr">
        <is>
          <t>No</t>
        </is>
      </c>
      <c r="V1500" t="inlineStr">
        <is>
          <t>Bot tarafindan tespit edildi (2026-07-01)</t>
        </is>
      </c>
    </row>
    <row r="1501">
      <c r="A1501" t="inlineStr">
        <is>
          <t>T-1305</t>
        </is>
      </c>
      <c r="B1501" t="inlineStr">
        <is>
          <t>Indraprastha Gas (IGL)</t>
        </is>
      </c>
      <c r="C1501" t="inlineStr">
        <is>
          <t>Indraprastha Gas (IGL)</t>
        </is>
      </c>
      <c r="F1501" t="inlineStr">
        <is>
          <t>New Lead</t>
        </is>
      </c>
      <c r="H1501" t="inlineStr">
        <is>
          <t>CORRIGENDUM_2_.pdf</t>
        </is>
      </c>
      <c r="K1501" t="inlineStr">
        <is>
          <t>Not found</t>
        </is>
      </c>
      <c r="L1501" t="inlineStr">
        <is>
          <t>Unknown</t>
        </is>
      </c>
      <c r="T1501" t="inlineStr">
        <is>
          <t>https://tenders.iglonline.net/uploads/tender/CORRIGENDUM_2_.pdf</t>
        </is>
      </c>
      <c r="U1501" t="inlineStr">
        <is>
          <t>No</t>
        </is>
      </c>
      <c r="V1501" t="inlineStr">
        <is>
          <t>Bot tarafindan tespit edildi (2026-07-01)</t>
        </is>
      </c>
    </row>
    <row r="1502">
      <c r="A1502" t="inlineStr">
        <is>
          <t>T-1306</t>
        </is>
      </c>
      <c r="B1502" t="inlineStr">
        <is>
          <t>Indraprastha Gas (IGL)</t>
        </is>
      </c>
      <c r="C1502" t="inlineStr">
        <is>
          <t>Indraprastha Gas (IGL)</t>
        </is>
      </c>
      <c r="F1502" t="inlineStr">
        <is>
          <t>New Lead</t>
        </is>
      </c>
      <c r="H1502" t="inlineStr">
        <is>
          <t>View Tender</t>
        </is>
      </c>
      <c r="K1502" t="inlineStr">
        <is>
          <t>Not found</t>
        </is>
      </c>
      <c r="L1502" t="inlineStr">
        <is>
          <t>Unknown</t>
        </is>
      </c>
      <c r="T1502" t="inlineStr">
        <is>
          <t>https://tenders.iglonline.net/tenderDetail/159/Active Tenders And Corrigendum-Addendum</t>
        </is>
      </c>
      <c r="U1502" t="inlineStr">
        <is>
          <t>No</t>
        </is>
      </c>
      <c r="V1502" t="inlineStr">
        <is>
          <t>Bot tarafindan tespit edildi (2026-07-01)</t>
        </is>
      </c>
    </row>
    <row r="1503">
      <c r="A1503" t="inlineStr">
        <is>
          <t>T-1307</t>
        </is>
      </c>
      <c r="B1503" t="inlineStr">
        <is>
          <t>Indraprastha Gas (IGL)</t>
        </is>
      </c>
      <c r="C1503" t="inlineStr">
        <is>
          <t>Indraprastha Gas (IGL)</t>
        </is>
      </c>
      <c r="F1503" t="inlineStr">
        <is>
          <t>New Lead</t>
        </is>
      </c>
      <c r="H1503" t="inlineStr">
        <is>
          <t>Corrigendum-I_(2).pdf</t>
        </is>
      </c>
      <c r="K1503" t="inlineStr">
        <is>
          <t>Not found</t>
        </is>
      </c>
      <c r="L1503" t="inlineStr">
        <is>
          <t>Unknown</t>
        </is>
      </c>
      <c r="T1503" t="inlineStr">
        <is>
          <t>https://tenders.iglonline.net/uploads/tender/Corrigendum-I_(2).pdf</t>
        </is>
      </c>
      <c r="U1503" t="inlineStr">
        <is>
          <t>No</t>
        </is>
      </c>
      <c r="V1503" t="inlineStr">
        <is>
          <t>Bot tarafindan tespit edildi (2026-07-01)</t>
        </is>
      </c>
    </row>
    <row r="1504">
      <c r="A1504" t="inlineStr">
        <is>
          <t>T-1308</t>
        </is>
      </c>
      <c r="B1504" t="inlineStr">
        <is>
          <t>Indraprastha Gas (IGL)</t>
        </is>
      </c>
      <c r="C1504" t="inlineStr">
        <is>
          <t>Indraprastha Gas (IGL)</t>
        </is>
      </c>
      <c r="F1504" t="inlineStr">
        <is>
          <t>New Lead</t>
        </is>
      </c>
      <c r="H1504" t="inlineStr">
        <is>
          <t>Corrigendum_-_CC17500.pdf</t>
        </is>
      </c>
      <c r="K1504" t="inlineStr">
        <is>
          <t>Not found</t>
        </is>
      </c>
      <c r="L1504" t="inlineStr">
        <is>
          <t>Unknown</t>
        </is>
      </c>
      <c r="T1504" t="inlineStr">
        <is>
          <t>https://tenders.iglonline.net/uploads/tender/Corrigendum_-_CC17500.pdf</t>
        </is>
      </c>
      <c r="U1504" t="inlineStr">
        <is>
          <t>No</t>
        </is>
      </c>
      <c r="V1504" t="inlineStr">
        <is>
          <t>Bot tarafindan tespit edildi (2026-07-01)</t>
        </is>
      </c>
    </row>
    <row r="1505">
      <c r="A1505" t="inlineStr">
        <is>
          <t>T-1309</t>
        </is>
      </c>
      <c r="B1505" t="inlineStr">
        <is>
          <t>Indraprastha Gas (IGL)</t>
        </is>
      </c>
      <c r="C1505" t="inlineStr">
        <is>
          <t>Indraprastha Gas (IGL)</t>
        </is>
      </c>
      <c r="F1505" t="inlineStr">
        <is>
          <t>New Lead</t>
        </is>
      </c>
      <c r="H1505" t="inlineStr">
        <is>
          <t>Corrigendum-III1.pdf</t>
        </is>
      </c>
      <c r="K1505" t="inlineStr">
        <is>
          <t>Not found</t>
        </is>
      </c>
      <c r="L1505" t="inlineStr">
        <is>
          <t>Unknown</t>
        </is>
      </c>
      <c r="T1505" t="inlineStr">
        <is>
          <t>https://tenders.iglonline.net/uploads/tender/Corrigendum-III1.pdf</t>
        </is>
      </c>
      <c r="U1505" t="inlineStr">
        <is>
          <t>No</t>
        </is>
      </c>
      <c r="V1505" t="inlineStr">
        <is>
          <t>Bot tarafindan tespit edildi (2026-07-01)</t>
        </is>
      </c>
    </row>
    <row r="1506">
      <c r="A1506" t="inlineStr">
        <is>
          <t>T-1310</t>
        </is>
      </c>
      <c r="B1506" t="inlineStr">
        <is>
          <t>Indraprastha Gas (IGL)</t>
        </is>
      </c>
      <c r="C1506" t="inlineStr">
        <is>
          <t>Indraprastha Gas (IGL)</t>
        </is>
      </c>
      <c r="F1506" t="inlineStr">
        <is>
          <t>New Lead</t>
        </is>
      </c>
      <c r="H1506" t="inlineStr">
        <is>
          <t>View Tender</t>
        </is>
      </c>
      <c r="K1506" t="inlineStr">
        <is>
          <t>Not found</t>
        </is>
      </c>
      <c r="L1506" t="inlineStr">
        <is>
          <t>Unknown</t>
        </is>
      </c>
      <c r="T1506" t="inlineStr">
        <is>
          <t>https://tenders.iglonline.net/tenderDetail/158/Active Tenders And Corrigendum-Addendum</t>
        </is>
      </c>
      <c r="U1506" t="inlineStr">
        <is>
          <t>No</t>
        </is>
      </c>
      <c r="V1506" t="inlineStr">
        <is>
          <t>Bot tarafindan tespit edildi (2026-07-01)</t>
        </is>
      </c>
    </row>
    <row r="1507">
      <c r="A1507" t="inlineStr">
        <is>
          <t>T-1311</t>
        </is>
      </c>
      <c r="B1507" t="inlineStr">
        <is>
          <t>Indraprastha Gas (IGL)</t>
        </is>
      </c>
      <c r="C1507" t="inlineStr">
        <is>
          <t>Indraprastha Gas (IGL)</t>
        </is>
      </c>
      <c r="F1507" t="inlineStr">
        <is>
          <t>New Lead</t>
        </is>
      </c>
      <c r="H1507" t="inlineStr">
        <is>
          <t>Corrigendum_1_(6).pdf</t>
        </is>
      </c>
      <c r="K1507" t="inlineStr">
        <is>
          <t>Not found</t>
        </is>
      </c>
      <c r="L1507" t="inlineStr">
        <is>
          <t>Unknown</t>
        </is>
      </c>
      <c r="T1507" t="inlineStr">
        <is>
          <t>https://tenders.iglonline.net/uploads/tender/Corrigendum_1_(6).pdf</t>
        </is>
      </c>
      <c r="U1507" t="inlineStr">
        <is>
          <t>No</t>
        </is>
      </c>
      <c r="V1507" t="inlineStr">
        <is>
          <t>Bot tarafindan tespit edildi (2026-07-01)</t>
        </is>
      </c>
    </row>
    <row r="1508">
      <c r="A1508" t="inlineStr">
        <is>
          <t>T-1312</t>
        </is>
      </c>
      <c r="B1508" t="inlineStr">
        <is>
          <t>Indraprastha Gas (IGL)</t>
        </is>
      </c>
      <c r="C1508" t="inlineStr">
        <is>
          <t>Indraprastha Gas (IGL)</t>
        </is>
      </c>
      <c r="F1508" t="inlineStr">
        <is>
          <t>New Lead</t>
        </is>
      </c>
      <c r="H1508" t="inlineStr">
        <is>
          <t>Corrigendum_23.pdf</t>
        </is>
      </c>
      <c r="K1508" t="inlineStr">
        <is>
          <t>Not found</t>
        </is>
      </c>
      <c r="L1508" t="inlineStr">
        <is>
          <t>Unknown</t>
        </is>
      </c>
      <c r="T1508" t="inlineStr">
        <is>
          <t>https://tenders.iglonline.net/uploads/tender/Corrigendum_23.pdf</t>
        </is>
      </c>
      <c r="U1508" t="inlineStr">
        <is>
          <t>No</t>
        </is>
      </c>
      <c r="V1508" t="inlineStr">
        <is>
          <t>Bot tarafindan tespit edildi (2026-07-01)</t>
        </is>
      </c>
    </row>
    <row r="1509">
      <c r="A1509" t="inlineStr">
        <is>
          <t>T-1313</t>
        </is>
      </c>
      <c r="B1509" t="inlineStr">
        <is>
          <t>Indraprastha Gas (IGL)</t>
        </is>
      </c>
      <c r="C1509" t="inlineStr">
        <is>
          <t>Indraprastha Gas (IGL)</t>
        </is>
      </c>
      <c r="F1509" t="inlineStr">
        <is>
          <t>New Lead</t>
        </is>
      </c>
      <c r="H1509" t="inlineStr">
        <is>
          <t>Corrigendum_3_(2).pdf</t>
        </is>
      </c>
      <c r="K1509" t="inlineStr">
        <is>
          <t>Not found</t>
        </is>
      </c>
      <c r="L1509" t="inlineStr">
        <is>
          <t>Unknown</t>
        </is>
      </c>
      <c r="T1509" t="inlineStr">
        <is>
          <t>https://tenders.iglonline.net/uploads/tender/Corrigendum_3_(2).pdf</t>
        </is>
      </c>
      <c r="U1509" t="inlineStr">
        <is>
          <t>No</t>
        </is>
      </c>
      <c r="V1509" t="inlineStr">
        <is>
          <t>Bot tarafindan tespit edildi (2026-07-01)</t>
        </is>
      </c>
    </row>
    <row r="1510">
      <c r="A1510" t="inlineStr">
        <is>
          <t>T-1314</t>
        </is>
      </c>
      <c r="B1510" t="inlineStr">
        <is>
          <t>Indraprastha Gas (IGL)</t>
        </is>
      </c>
      <c r="C1510" t="inlineStr">
        <is>
          <t>Indraprastha Gas (IGL)</t>
        </is>
      </c>
      <c r="F1510" t="inlineStr">
        <is>
          <t>New Lead</t>
        </is>
      </c>
      <c r="H1510" t="inlineStr">
        <is>
          <t>Replies_to_bidders_queries_(1)1.pdf</t>
        </is>
      </c>
      <c r="K1510" t="inlineStr">
        <is>
          <t>Not found</t>
        </is>
      </c>
      <c r="L1510" t="inlineStr">
        <is>
          <t>Unknown</t>
        </is>
      </c>
      <c r="T1510" t="inlineStr">
        <is>
          <t>https://tenders.iglonline.net/uploads/tender/Replies_to_bidders_queries_(1)1.pdf</t>
        </is>
      </c>
      <c r="U1510" t="inlineStr">
        <is>
          <t>No</t>
        </is>
      </c>
      <c r="V1510" t="inlineStr">
        <is>
          <t>Bot tarafindan tespit edildi (2026-07-01)</t>
        </is>
      </c>
    </row>
    <row r="1511">
      <c r="A1511" t="inlineStr">
        <is>
          <t>T-1315</t>
        </is>
      </c>
      <c r="B1511" t="inlineStr">
        <is>
          <t>Indraprastha Gas (IGL)</t>
        </is>
      </c>
      <c r="C1511" t="inlineStr">
        <is>
          <t>Indraprastha Gas (IGL)</t>
        </is>
      </c>
      <c r="F1511" t="inlineStr">
        <is>
          <t>New Lead</t>
        </is>
      </c>
      <c r="H1511" t="inlineStr">
        <is>
          <t>Corrigendum_4_(1).pdf</t>
        </is>
      </c>
      <c r="K1511" t="inlineStr">
        <is>
          <t>Not found</t>
        </is>
      </c>
      <c r="L1511" t="inlineStr">
        <is>
          <t>Unknown</t>
        </is>
      </c>
      <c r="T1511" t="inlineStr">
        <is>
          <t>https://tenders.iglonline.net/uploads/tender/Corrigendum_4_(1).pdf</t>
        </is>
      </c>
      <c r="U1511" t="inlineStr">
        <is>
          <t>No</t>
        </is>
      </c>
      <c r="V1511" t="inlineStr">
        <is>
          <t>Bot tarafindan tespit edildi (2026-07-01)</t>
        </is>
      </c>
    </row>
    <row r="1512">
      <c r="A1512" t="inlineStr">
        <is>
          <t>T-1316</t>
        </is>
      </c>
      <c r="B1512" t="inlineStr">
        <is>
          <t>Indraprastha Gas (IGL)</t>
        </is>
      </c>
      <c r="C1512" t="inlineStr">
        <is>
          <t>Indraprastha Gas (IGL)</t>
        </is>
      </c>
      <c r="F1512" t="inlineStr">
        <is>
          <t>New Lead</t>
        </is>
      </c>
      <c r="H1512" t="inlineStr">
        <is>
          <t>Corrigendum_5.pdf</t>
        </is>
      </c>
      <c r="K1512" t="inlineStr">
        <is>
          <t>Not found</t>
        </is>
      </c>
      <c r="L1512" t="inlineStr">
        <is>
          <t>Unknown</t>
        </is>
      </c>
      <c r="T1512" t="inlineStr">
        <is>
          <t>https://tenders.iglonline.net/uploads/tender/Corrigendum_5.pdf</t>
        </is>
      </c>
      <c r="U1512" t="inlineStr">
        <is>
          <t>No</t>
        </is>
      </c>
      <c r="V1512" t="inlineStr">
        <is>
          <t>Bot tarafindan tespit edildi (2026-07-01)</t>
        </is>
      </c>
    </row>
    <row r="1513">
      <c r="A1513" t="inlineStr">
        <is>
          <t>T-1317</t>
        </is>
      </c>
      <c r="B1513" t="inlineStr">
        <is>
          <t>Indraprastha Gas (IGL)</t>
        </is>
      </c>
      <c r="C1513" t="inlineStr">
        <is>
          <t>Indraprastha Gas (IGL)</t>
        </is>
      </c>
      <c r="F1513" t="inlineStr">
        <is>
          <t>New Lead</t>
        </is>
      </c>
      <c r="H1513" t="inlineStr">
        <is>
          <t>Corrigendum_51.pdf</t>
        </is>
      </c>
      <c r="K1513" t="inlineStr">
        <is>
          <t>Not found</t>
        </is>
      </c>
      <c r="L1513" t="inlineStr">
        <is>
          <t>Unknown</t>
        </is>
      </c>
      <c r="T1513" t="inlineStr">
        <is>
          <t>https://tenders.iglonline.net/uploads/tender/Corrigendum_51.pdf</t>
        </is>
      </c>
      <c r="U1513" t="inlineStr">
        <is>
          <t>No</t>
        </is>
      </c>
      <c r="V1513" t="inlineStr">
        <is>
          <t>Bot tarafindan tespit edildi (2026-07-01)</t>
        </is>
      </c>
    </row>
    <row r="1514">
      <c r="A1514" t="inlineStr">
        <is>
          <t>T-1318</t>
        </is>
      </c>
      <c r="B1514" t="inlineStr">
        <is>
          <t>Indraprastha Gas (IGL)</t>
        </is>
      </c>
      <c r="C1514" t="inlineStr">
        <is>
          <t>Indraprastha Gas (IGL)</t>
        </is>
      </c>
      <c r="F1514" t="inlineStr">
        <is>
          <t>New Lead</t>
        </is>
      </c>
      <c r="H1514" t="inlineStr">
        <is>
          <t>Corrigendum_6.pdf</t>
        </is>
      </c>
      <c r="K1514" t="inlineStr">
        <is>
          <t>Not found</t>
        </is>
      </c>
      <c r="L1514" t="inlineStr">
        <is>
          <t>Unknown</t>
        </is>
      </c>
      <c r="T1514" t="inlineStr">
        <is>
          <t>https://tenders.iglonline.net/uploads/tender/Corrigendum_6.pdf</t>
        </is>
      </c>
      <c r="U1514" t="inlineStr">
        <is>
          <t>No</t>
        </is>
      </c>
      <c r="V1514" t="inlineStr">
        <is>
          <t>Bot tarafindan tespit edildi (2026-07-01)</t>
        </is>
      </c>
    </row>
    <row r="1515">
      <c r="A1515" t="inlineStr">
        <is>
          <t>T-1319</t>
        </is>
      </c>
      <c r="B1515" t="inlineStr">
        <is>
          <t>Indraprastha Gas (IGL)</t>
        </is>
      </c>
      <c r="C1515" t="inlineStr">
        <is>
          <t>Indraprastha Gas (IGL)</t>
        </is>
      </c>
      <c r="F1515" t="inlineStr">
        <is>
          <t>New Lead</t>
        </is>
      </c>
      <c r="H1515" t="inlineStr">
        <is>
          <t>Replies_to_bidders_queries_1_(1).pdf</t>
        </is>
      </c>
      <c r="K1515" t="inlineStr">
        <is>
          <t>Not found</t>
        </is>
      </c>
      <c r="L1515" t="inlineStr">
        <is>
          <t>Unknown</t>
        </is>
      </c>
      <c r="T1515" t="inlineStr">
        <is>
          <t>https://tenders.iglonline.net/uploads/tender/Replies_to_bidders_queries_1_(1).pdf</t>
        </is>
      </c>
      <c r="U1515" t="inlineStr">
        <is>
          <t>No</t>
        </is>
      </c>
      <c r="V1515" t="inlineStr">
        <is>
          <t>Bot tarafindan tespit edildi (2026-07-01)</t>
        </is>
      </c>
    </row>
    <row r="1516">
      <c r="A1516" t="inlineStr">
        <is>
          <t>T-1320</t>
        </is>
      </c>
      <c r="B1516" t="inlineStr">
        <is>
          <t>Indraprastha Gas (IGL)</t>
        </is>
      </c>
      <c r="C1516" t="inlineStr">
        <is>
          <t>Indraprastha Gas (IGL)</t>
        </is>
      </c>
      <c r="F1516" t="inlineStr">
        <is>
          <t>New Lead</t>
        </is>
      </c>
      <c r="H1516" t="inlineStr">
        <is>
          <t>View Tender</t>
        </is>
      </c>
      <c r="K1516" t="inlineStr">
        <is>
          <t>Not found</t>
        </is>
      </c>
      <c r="L1516" t="inlineStr">
        <is>
          <t>Unknown</t>
        </is>
      </c>
      <c r="T1516" t="inlineStr">
        <is>
          <t>https://tenders.iglonline.net/tenderDetail/157/Active Tenders And Corrigendum-Addendum</t>
        </is>
      </c>
      <c r="U1516" t="inlineStr">
        <is>
          <t>No</t>
        </is>
      </c>
      <c r="V1516" t="inlineStr">
        <is>
          <t>Bot tarafindan tespit edildi (2026-07-01)</t>
        </is>
      </c>
    </row>
    <row r="1517">
      <c r="A1517" t="inlineStr">
        <is>
          <t>T-1321</t>
        </is>
      </c>
      <c r="B1517" t="inlineStr">
        <is>
          <t>Indraprastha Gas (IGL)</t>
        </is>
      </c>
      <c r="C1517" t="inlineStr">
        <is>
          <t>Indraprastha Gas (IGL)</t>
        </is>
      </c>
      <c r="F1517" t="inlineStr">
        <is>
          <t>New Lead</t>
        </is>
      </c>
      <c r="H1517" t="inlineStr">
        <is>
          <t>Corrigendum_1_CP17509.pdf</t>
        </is>
      </c>
      <c r="K1517" t="inlineStr">
        <is>
          <t>Not found</t>
        </is>
      </c>
      <c r="L1517" t="inlineStr">
        <is>
          <t>Unknown</t>
        </is>
      </c>
      <c r="T1517" t="inlineStr">
        <is>
          <t>https://tenders.iglonline.net/uploads/tender/Corrigendum_1_CP17509.pdf</t>
        </is>
      </c>
      <c r="U1517" t="inlineStr">
        <is>
          <t>No</t>
        </is>
      </c>
      <c r="V1517" t="inlineStr">
        <is>
          <t>Bot tarafindan tespit edildi (2026-07-01)</t>
        </is>
      </c>
    </row>
    <row r="1518">
      <c r="A1518" t="inlineStr">
        <is>
          <t>T-1322</t>
        </is>
      </c>
      <c r="B1518" t="inlineStr">
        <is>
          <t>Indraprastha Gas (IGL)</t>
        </is>
      </c>
      <c r="C1518" t="inlineStr">
        <is>
          <t>Indraprastha Gas (IGL)</t>
        </is>
      </c>
      <c r="F1518" t="inlineStr">
        <is>
          <t>New Lead</t>
        </is>
      </c>
      <c r="H1518" t="inlineStr">
        <is>
          <t>View Tender</t>
        </is>
      </c>
      <c r="K1518" t="inlineStr">
        <is>
          <t>Not found</t>
        </is>
      </c>
      <c r="L1518" t="inlineStr">
        <is>
          <t>Unknown</t>
        </is>
      </c>
      <c r="T1518" t="inlineStr">
        <is>
          <t>https://tenders.iglonline.net/tenderDetail/156/Active Tenders And Corrigendum-Addendum</t>
        </is>
      </c>
      <c r="U1518" t="inlineStr">
        <is>
          <t>No</t>
        </is>
      </c>
      <c r="V1518" t="inlineStr">
        <is>
          <t>Bot tarafindan tespit edildi (2026-07-01)</t>
        </is>
      </c>
    </row>
    <row r="1519">
      <c r="A1519" t="inlineStr">
        <is>
          <t>T-1323</t>
        </is>
      </c>
      <c r="B1519" t="inlineStr">
        <is>
          <t>Indraprastha Gas (IGL)</t>
        </is>
      </c>
      <c r="C1519" t="inlineStr">
        <is>
          <t>Indraprastha Gas (IGL)</t>
        </is>
      </c>
      <c r="F1519" t="inlineStr">
        <is>
          <t>New Lead</t>
        </is>
      </c>
      <c r="H1519" t="inlineStr">
        <is>
          <t>Corrigendum-I_CC17519_Karnal.pdf</t>
        </is>
      </c>
      <c r="K1519" t="inlineStr">
        <is>
          <t>Not found</t>
        </is>
      </c>
      <c r="L1519" t="inlineStr">
        <is>
          <t>Unknown</t>
        </is>
      </c>
      <c r="T1519" t="inlineStr">
        <is>
          <t>https://tenders.iglonline.net/uploads/tender/Corrigendum-I_CC17519_Karnal.pdf</t>
        </is>
      </c>
      <c r="U1519" t="inlineStr">
        <is>
          <t>No</t>
        </is>
      </c>
      <c r="V1519" t="inlineStr">
        <is>
          <t>Bot tarafindan tespit edildi (2026-07-01)</t>
        </is>
      </c>
    </row>
    <row r="1520">
      <c r="A1520" t="inlineStr">
        <is>
          <t>T-1324</t>
        </is>
      </c>
      <c r="B1520" t="inlineStr">
        <is>
          <t>Indraprastha Gas (IGL)</t>
        </is>
      </c>
      <c r="C1520" t="inlineStr">
        <is>
          <t>Indraprastha Gas (IGL)</t>
        </is>
      </c>
      <c r="F1520" t="inlineStr">
        <is>
          <t>New Lead</t>
        </is>
      </c>
      <c r="H1520" t="inlineStr">
        <is>
          <t>Corrigendum-II_CC17519.pdf</t>
        </is>
      </c>
      <c r="K1520" t="inlineStr">
        <is>
          <t>Not found</t>
        </is>
      </c>
      <c r="L1520" t="inlineStr">
        <is>
          <t>Unknown</t>
        </is>
      </c>
      <c r="T1520" t="inlineStr">
        <is>
          <t>https://tenders.iglonline.net/uploads/tender/Corrigendum-II_CC17519.pdf</t>
        </is>
      </c>
      <c r="U1520" t="inlineStr">
        <is>
          <t>No</t>
        </is>
      </c>
      <c r="V1520" t="inlineStr">
        <is>
          <t>Bot tarafindan tespit edildi (2026-07-01)</t>
        </is>
      </c>
    </row>
    <row r="1521">
      <c r="A1521" t="inlineStr">
        <is>
          <t>T-1325</t>
        </is>
      </c>
      <c r="B1521" t="inlineStr">
        <is>
          <t>Indraprastha Gas (IGL)</t>
        </is>
      </c>
      <c r="C1521" t="inlineStr">
        <is>
          <t>Indraprastha Gas (IGL)</t>
        </is>
      </c>
      <c r="F1521" t="inlineStr">
        <is>
          <t>New Lead</t>
        </is>
      </c>
      <c r="H1521" t="inlineStr">
        <is>
          <t>View Tender</t>
        </is>
      </c>
      <c r="K1521" t="inlineStr">
        <is>
          <t>Not found</t>
        </is>
      </c>
      <c r="L1521" t="inlineStr">
        <is>
          <t>Unknown</t>
        </is>
      </c>
      <c r="T1521" t="inlineStr">
        <is>
          <t>https://tenders.iglonline.net/tenderDetail/155/Active Tenders And Corrigendum-Addendum</t>
        </is>
      </c>
      <c r="U1521" t="inlineStr">
        <is>
          <t>No</t>
        </is>
      </c>
      <c r="V1521" t="inlineStr">
        <is>
          <t>Bot tarafindan tespit edildi (2026-07-01)</t>
        </is>
      </c>
    </row>
    <row r="1522">
      <c r="A1522" t="inlineStr">
        <is>
          <t>T-1326</t>
        </is>
      </c>
      <c r="B1522" t="inlineStr">
        <is>
          <t>Indraprastha Gas (IGL)</t>
        </is>
      </c>
      <c r="C1522" t="inlineStr">
        <is>
          <t>Indraprastha Gas (IGL)</t>
        </is>
      </c>
      <c r="F1522" t="inlineStr">
        <is>
          <t>New Lead</t>
        </is>
      </c>
      <c r="H1522" t="inlineStr">
        <is>
          <t>Reply_to_bidder_query_mobile_AMC_tender_query.pdf</t>
        </is>
      </c>
      <c r="K1522" t="inlineStr">
        <is>
          <t>Not found</t>
        </is>
      </c>
      <c r="L1522" t="inlineStr">
        <is>
          <t>Unknown</t>
        </is>
      </c>
      <c r="T1522" t="inlineStr">
        <is>
          <t>https://tenders.iglonline.net/uploads/tender/Reply_to_bidder_query_mobile_AMC_tender_query.pdf</t>
        </is>
      </c>
      <c r="U1522" t="inlineStr">
        <is>
          <t>No</t>
        </is>
      </c>
      <c r="V1522" t="inlineStr">
        <is>
          <t>Bot tarafindan tespit edildi (2026-07-01)</t>
        </is>
      </c>
    </row>
    <row r="1523">
      <c r="A1523" t="inlineStr">
        <is>
          <t>T-1327</t>
        </is>
      </c>
      <c r="B1523" t="inlineStr">
        <is>
          <t>Indraprastha Gas (IGL)</t>
        </is>
      </c>
      <c r="C1523" t="inlineStr">
        <is>
          <t>Indraprastha Gas (IGL)</t>
        </is>
      </c>
      <c r="F1523" t="inlineStr">
        <is>
          <t>New Lead</t>
        </is>
      </c>
      <c r="H1523" t="inlineStr">
        <is>
          <t>CORRIGENDUM_17526.pdf</t>
        </is>
      </c>
      <c r="K1523" t="inlineStr">
        <is>
          <t>Not found</t>
        </is>
      </c>
      <c r="L1523" t="inlineStr">
        <is>
          <t>Unknown</t>
        </is>
      </c>
      <c r="T1523" t="inlineStr">
        <is>
          <t>https://tenders.iglonline.net/uploads/tender/CORRIGENDUM_17526.pdf</t>
        </is>
      </c>
      <c r="U1523" t="inlineStr">
        <is>
          <t>No</t>
        </is>
      </c>
      <c r="V1523" t="inlineStr">
        <is>
          <t>Bot tarafindan tespit edildi (2026-07-01)</t>
        </is>
      </c>
    </row>
    <row r="1524">
      <c r="A1524" t="inlineStr">
        <is>
          <t>T-1328</t>
        </is>
      </c>
      <c r="B1524" t="inlineStr">
        <is>
          <t>Indraprastha Gas (IGL)</t>
        </is>
      </c>
      <c r="C1524" t="inlineStr">
        <is>
          <t>Indraprastha Gas (IGL)</t>
        </is>
      </c>
      <c r="F1524" t="inlineStr">
        <is>
          <t>New Lead</t>
        </is>
      </c>
      <c r="H1524" t="inlineStr">
        <is>
          <t>CORRIGENDUM_3__.pdf</t>
        </is>
      </c>
      <c r="K1524" t="inlineStr">
        <is>
          <t>Not found</t>
        </is>
      </c>
      <c r="L1524" t="inlineStr">
        <is>
          <t>Unknown</t>
        </is>
      </c>
      <c r="T1524" t="inlineStr">
        <is>
          <t>https://tenders.iglonline.net/uploads/tender/CORRIGENDUM_3__.pdf</t>
        </is>
      </c>
      <c r="U1524" t="inlineStr">
        <is>
          <t>No</t>
        </is>
      </c>
      <c r="V1524" t="inlineStr">
        <is>
          <t>Bot tarafindan tespit edildi (2026-07-01)</t>
        </is>
      </c>
    </row>
    <row r="1525">
      <c r="A1525" t="inlineStr">
        <is>
          <t>T-1329</t>
        </is>
      </c>
      <c r="B1525" t="inlineStr">
        <is>
          <t>Indraprastha Gas (IGL)</t>
        </is>
      </c>
      <c r="C1525" t="inlineStr">
        <is>
          <t>Indraprastha Gas (IGL)</t>
        </is>
      </c>
      <c r="F1525" t="inlineStr">
        <is>
          <t>New Lead</t>
        </is>
      </c>
      <c r="H1525" t="inlineStr">
        <is>
          <t>View Tender</t>
        </is>
      </c>
      <c r="K1525" t="inlineStr">
        <is>
          <t>Not found</t>
        </is>
      </c>
      <c r="L1525" t="inlineStr">
        <is>
          <t>Unknown</t>
        </is>
      </c>
      <c r="T1525" t="inlineStr">
        <is>
          <t>https://tenders.iglonline.net/tenderDetail/154/Active Tenders And Corrigendum-Addendum</t>
        </is>
      </c>
      <c r="U1525" t="inlineStr">
        <is>
          <t>No</t>
        </is>
      </c>
      <c r="V1525" t="inlineStr">
        <is>
          <t>Bot tarafindan tespit edildi (2026-07-01)</t>
        </is>
      </c>
    </row>
    <row r="1526">
      <c r="A1526" t="inlineStr">
        <is>
          <t>T-1330</t>
        </is>
      </c>
      <c r="B1526" t="inlineStr">
        <is>
          <t>Indraprastha Gas (IGL)</t>
        </is>
      </c>
      <c r="C1526" t="inlineStr">
        <is>
          <t>Indraprastha Gas (IGL)</t>
        </is>
      </c>
      <c r="F1526" t="inlineStr">
        <is>
          <t>New Lead</t>
        </is>
      </c>
      <c r="H1526" t="inlineStr">
        <is>
          <t>Corrigendum_CC17491.pdf</t>
        </is>
      </c>
      <c r="K1526" t="inlineStr">
        <is>
          <t>Not found</t>
        </is>
      </c>
      <c r="L1526" t="inlineStr">
        <is>
          <t>Unknown</t>
        </is>
      </c>
      <c r="T1526" t="inlineStr">
        <is>
          <t>https://tenders.iglonline.net/uploads/tender/Corrigendum_CC17491.pdf</t>
        </is>
      </c>
      <c r="U1526" t="inlineStr">
        <is>
          <t>No</t>
        </is>
      </c>
      <c r="V1526" t="inlineStr">
        <is>
          <t>Bot tarafindan tespit edildi (2026-07-01)</t>
        </is>
      </c>
    </row>
    <row r="1527">
      <c r="A1527" t="inlineStr">
        <is>
          <t>T-1331</t>
        </is>
      </c>
      <c r="B1527" t="inlineStr">
        <is>
          <t>Indraprastha Gas (IGL)</t>
        </is>
      </c>
      <c r="C1527" t="inlineStr">
        <is>
          <t>Indraprastha Gas (IGL)</t>
        </is>
      </c>
      <c r="F1527" t="inlineStr">
        <is>
          <t>New Lead</t>
        </is>
      </c>
      <c r="H1527" t="inlineStr">
        <is>
          <t>Corrigendum_II_(2).pdf</t>
        </is>
      </c>
      <c r="K1527" t="inlineStr">
        <is>
          <t>Not found</t>
        </is>
      </c>
      <c r="L1527" t="inlineStr">
        <is>
          <t>Unknown</t>
        </is>
      </c>
      <c r="T1527" t="inlineStr">
        <is>
          <t>https://tenders.iglonline.net/uploads/tender/Corrigendum_II_(2).pdf</t>
        </is>
      </c>
      <c r="U1527" t="inlineStr">
        <is>
          <t>No</t>
        </is>
      </c>
      <c r="V1527" t="inlineStr">
        <is>
          <t>Bot tarafindan tespit edildi (2026-07-01)</t>
        </is>
      </c>
    </row>
    <row r="1528">
      <c r="A1528" t="inlineStr">
        <is>
          <t>T-1332</t>
        </is>
      </c>
      <c r="B1528" t="inlineStr">
        <is>
          <t>Indraprastha Gas (IGL)</t>
        </is>
      </c>
      <c r="C1528" t="inlineStr">
        <is>
          <t>Indraprastha Gas (IGL)</t>
        </is>
      </c>
      <c r="D1528" t="inlineStr">
        <is>
          <t>TIFICATION_tender_cancellation.pdf</t>
        </is>
      </c>
      <c r="F1528" t="inlineStr">
        <is>
          <t>New Lead</t>
        </is>
      </c>
      <c r="G1528" t="inlineStr">
        <is>
          <t>Gas-related / review</t>
        </is>
      </c>
      <c r="H1528" t="inlineStr">
        <is>
          <t>View Tender</t>
        </is>
      </c>
      <c r="K1528" t="inlineStr">
        <is>
          <t>Not found</t>
        </is>
      </c>
      <c r="L1528" t="inlineStr">
        <is>
          <t>Unknown</t>
        </is>
      </c>
      <c r="T1528" t="inlineStr">
        <is>
          <t>https://tenders.iglonline.net/tenderDetail/153/Active Tenders And Corrigendum-Addendum</t>
        </is>
      </c>
      <c r="U1528" t="inlineStr">
        <is>
          <t>No</t>
        </is>
      </c>
      <c r="V1528" t="inlineStr">
        <is>
          <t>Bot tarafindan tespit edildi (2026-07-01); Bot tespit/zenginlestirme (2026-07-01); meta:score=50;priority=Medium;source_type=html_table;closing_date=;equipment=Gas-related / review;reasons=equipment:Gas-related / review,document source,tender reference signal</t>
        </is>
      </c>
    </row>
    <row r="1529">
      <c r="A1529" t="inlineStr">
        <is>
          <t>T-1333</t>
        </is>
      </c>
      <c r="B1529" t="inlineStr">
        <is>
          <t>Indraprastha Gas (IGL)</t>
        </is>
      </c>
      <c r="C1529" t="inlineStr">
        <is>
          <t>Indraprastha Gas (IGL)</t>
        </is>
      </c>
      <c r="D1529" t="inlineStr">
        <is>
          <t>TIFICATION_tender_cancellation.pdf</t>
        </is>
      </c>
      <c r="F1529" t="inlineStr">
        <is>
          <t>New Lead</t>
        </is>
      </c>
      <c r="G1529" t="inlineStr">
        <is>
          <t>Gas-related / review</t>
        </is>
      </c>
      <c r="H1529" t="inlineStr">
        <is>
          <t>NOTIFICATION_tender_cancellation.pdf</t>
        </is>
      </c>
      <c r="K1529" t="inlineStr">
        <is>
          <t>Not found</t>
        </is>
      </c>
      <c r="L1529" t="inlineStr">
        <is>
          <t>Unknown</t>
        </is>
      </c>
      <c r="T1529" t="inlineStr">
        <is>
          <t>https://tenders.iglonline.net/uploads/tender/NOTIFICATION_tender_cancellation.pdf</t>
        </is>
      </c>
      <c r="U1529" t="inlineStr">
        <is>
          <t>No</t>
        </is>
      </c>
      <c r="V1529" t="inlineStr">
        <is>
          <t>Bot tarafindan tespit edildi (2026-07-01); Bot tespit/zenginlestirme (2026-07-01); meta:score=50;priority=Medium;source_type=html_table;closing_date=;equipment=Gas-related / review;reasons=equipment:Gas-related / review,document source,tender reference signal</t>
        </is>
      </c>
    </row>
    <row r="1530">
      <c r="A1530" t="inlineStr">
        <is>
          <t>T-1334</t>
        </is>
      </c>
      <c r="B1530" t="inlineStr">
        <is>
          <t>Indraprastha Gas (IGL)</t>
        </is>
      </c>
      <c r="C1530" t="inlineStr">
        <is>
          <t>Indraprastha Gas (IGL)</t>
        </is>
      </c>
      <c r="F1530" t="inlineStr">
        <is>
          <t>New Lead</t>
        </is>
      </c>
      <c r="H1530" t="inlineStr">
        <is>
          <t>View Tender</t>
        </is>
      </c>
      <c r="K1530" t="inlineStr">
        <is>
          <t>Not found</t>
        </is>
      </c>
      <c r="L1530" t="inlineStr">
        <is>
          <t>Unknown</t>
        </is>
      </c>
      <c r="T1530" t="inlineStr">
        <is>
          <t>https://tenders.iglonline.net/tenderDetail/152/Active Tenders And Corrigendum-Addendum</t>
        </is>
      </c>
      <c r="U1530" t="inlineStr">
        <is>
          <t>No</t>
        </is>
      </c>
      <c r="V1530" t="inlineStr">
        <is>
          <t>Bot tarafindan tespit edildi (2026-07-01)</t>
        </is>
      </c>
    </row>
    <row r="1531">
      <c r="A1531" t="inlineStr">
        <is>
          <t>T-1335</t>
        </is>
      </c>
      <c r="B1531" t="inlineStr">
        <is>
          <t>Indraprastha Gas (IGL)</t>
        </is>
      </c>
      <c r="C1531" t="inlineStr">
        <is>
          <t>Indraprastha Gas (IGL)</t>
        </is>
      </c>
      <c r="F1531" t="inlineStr">
        <is>
          <t>New Lead</t>
        </is>
      </c>
      <c r="H1531" t="inlineStr">
        <is>
          <t>View Tender</t>
        </is>
      </c>
      <c r="K1531" t="inlineStr">
        <is>
          <t>Not found</t>
        </is>
      </c>
      <c r="L1531" t="inlineStr">
        <is>
          <t>Unknown</t>
        </is>
      </c>
      <c r="T1531" t="inlineStr">
        <is>
          <t>https://tenders.iglonline.net/tenderDetail/151/Active Tenders And Corrigendum-Addendum</t>
        </is>
      </c>
      <c r="U1531" t="inlineStr">
        <is>
          <t>No</t>
        </is>
      </c>
      <c r="V1531" t="inlineStr">
        <is>
          <t>Bot tarafindan tespit edildi (2026-07-01)</t>
        </is>
      </c>
    </row>
    <row r="1532">
      <c r="A1532" t="inlineStr">
        <is>
          <t>T-1336</t>
        </is>
      </c>
      <c r="B1532" t="inlineStr">
        <is>
          <t>Indraprastha Gas (IGL)</t>
        </is>
      </c>
      <c r="C1532" t="inlineStr">
        <is>
          <t>Indraprastha Gas (IGL)</t>
        </is>
      </c>
      <c r="F1532" t="inlineStr">
        <is>
          <t>New Lead</t>
        </is>
      </c>
      <c r="H1532" t="inlineStr">
        <is>
          <t>Corrigendum-I_CC17524_High_Mast.pdf</t>
        </is>
      </c>
      <c r="K1532" t="inlineStr">
        <is>
          <t>Not found</t>
        </is>
      </c>
      <c r="L1532" t="inlineStr">
        <is>
          <t>Unknown</t>
        </is>
      </c>
      <c r="T1532" t="inlineStr">
        <is>
          <t>https://tenders.iglonline.net/uploads/tender/Corrigendum-I_CC17524_High_Mast.pdf</t>
        </is>
      </c>
      <c r="U1532" t="inlineStr">
        <is>
          <t>No</t>
        </is>
      </c>
      <c r="V1532" t="inlineStr">
        <is>
          <t>Bot tarafindan tespit edildi (2026-07-01)</t>
        </is>
      </c>
    </row>
    <row r="1533">
      <c r="A1533" t="inlineStr">
        <is>
          <t>T-1337</t>
        </is>
      </c>
      <c r="B1533" t="inlineStr">
        <is>
          <t>Indraprastha Gas (IGL)</t>
        </is>
      </c>
      <c r="C1533" t="inlineStr">
        <is>
          <t>Indraprastha Gas (IGL)</t>
        </is>
      </c>
      <c r="F1533" t="inlineStr">
        <is>
          <t>New Lead</t>
        </is>
      </c>
      <c r="H1533" t="inlineStr">
        <is>
          <t>RTBQ_CC17524_High_Mast_Tower.pdf</t>
        </is>
      </c>
      <c r="K1533" t="inlineStr">
        <is>
          <t>Not found</t>
        </is>
      </c>
      <c r="L1533" t="inlineStr">
        <is>
          <t>Unknown</t>
        </is>
      </c>
      <c r="T1533" t="inlineStr">
        <is>
          <t>https://tenders.iglonline.net/uploads/tender/RTBQ_CC17524_High_Mast_Tower.pdf</t>
        </is>
      </c>
      <c r="U1533" t="inlineStr">
        <is>
          <t>No</t>
        </is>
      </c>
      <c r="V1533" t="inlineStr">
        <is>
          <t>Bot tarafindan tespit edildi (2026-07-01)</t>
        </is>
      </c>
    </row>
    <row r="1534">
      <c r="A1534" t="inlineStr">
        <is>
          <t>T-1338</t>
        </is>
      </c>
      <c r="B1534" t="inlineStr">
        <is>
          <t>Indraprastha Gas (IGL)</t>
        </is>
      </c>
      <c r="C1534" t="inlineStr">
        <is>
          <t>Indraprastha Gas (IGL)</t>
        </is>
      </c>
      <c r="F1534" t="inlineStr">
        <is>
          <t>New Lead</t>
        </is>
      </c>
      <c r="H1534" t="inlineStr">
        <is>
          <t>Corrigendum-II_CC17524.pdf</t>
        </is>
      </c>
      <c r="K1534" t="inlineStr">
        <is>
          <t>Not found</t>
        </is>
      </c>
      <c r="L1534" t="inlineStr">
        <is>
          <t>Unknown</t>
        </is>
      </c>
      <c r="T1534" t="inlineStr">
        <is>
          <t>https://tenders.iglonline.net/uploads/tender/Corrigendum-II_CC17524.pdf</t>
        </is>
      </c>
      <c r="U1534" t="inlineStr">
        <is>
          <t>No</t>
        </is>
      </c>
      <c r="V1534" t="inlineStr">
        <is>
          <t>Bot tarafindan tespit edildi (2026-07-01)</t>
        </is>
      </c>
    </row>
    <row r="1535">
      <c r="A1535" t="inlineStr">
        <is>
          <t>T-1339</t>
        </is>
      </c>
      <c r="B1535" t="inlineStr">
        <is>
          <t>Indraprastha Gas (IGL)</t>
        </is>
      </c>
      <c r="C1535" t="inlineStr">
        <is>
          <t>Indraprastha Gas (IGL)</t>
        </is>
      </c>
      <c r="F1535" t="inlineStr">
        <is>
          <t>New Lead</t>
        </is>
      </c>
      <c r="H1535" t="inlineStr">
        <is>
          <t>View Tender</t>
        </is>
      </c>
      <c r="K1535" t="inlineStr">
        <is>
          <t>Not found</t>
        </is>
      </c>
      <c r="L1535" t="inlineStr">
        <is>
          <t>Unknown</t>
        </is>
      </c>
      <c r="T1535" t="inlineStr">
        <is>
          <t>https://tenders.iglonline.net/tenderDetail/150/Active Tenders And Corrigendum-Addendum</t>
        </is>
      </c>
      <c r="U1535" t="inlineStr">
        <is>
          <t>No</t>
        </is>
      </c>
      <c r="V1535" t="inlineStr">
        <is>
          <t>Bot tarafindan tespit edildi (2026-07-01)</t>
        </is>
      </c>
    </row>
    <row r="1536">
      <c r="A1536" t="inlineStr">
        <is>
          <t>T-1340</t>
        </is>
      </c>
      <c r="B1536" t="inlineStr">
        <is>
          <t>Indraprastha Gas (IGL)</t>
        </is>
      </c>
      <c r="C1536" t="inlineStr">
        <is>
          <t>Indraprastha Gas (IGL)</t>
        </is>
      </c>
      <c r="F1536" t="inlineStr">
        <is>
          <t>New Lead</t>
        </is>
      </c>
      <c r="H1536" t="inlineStr">
        <is>
          <t>Corrigendum_I_Cancellation_of_tender.pdf</t>
        </is>
      </c>
      <c r="K1536" t="inlineStr">
        <is>
          <t>Not found</t>
        </is>
      </c>
      <c r="L1536" t="inlineStr">
        <is>
          <t>Unknown</t>
        </is>
      </c>
      <c r="T1536" t="inlineStr">
        <is>
          <t>https://tenders.iglonline.net/uploads/tender/Corrigendum_I_Cancellation_of_tender.pdf</t>
        </is>
      </c>
      <c r="U1536" t="inlineStr">
        <is>
          <t>No</t>
        </is>
      </c>
      <c r="V1536" t="inlineStr">
        <is>
          <t>Bot tarafindan tespit edildi (2026-07-01)</t>
        </is>
      </c>
    </row>
    <row r="1537">
      <c r="A1537" t="inlineStr">
        <is>
          <t>T-1341</t>
        </is>
      </c>
      <c r="B1537" t="inlineStr">
        <is>
          <t>Indraprastha Gas (IGL)</t>
        </is>
      </c>
      <c r="C1537" t="inlineStr">
        <is>
          <t>Indraprastha Gas (IGL)</t>
        </is>
      </c>
      <c r="F1537" t="inlineStr">
        <is>
          <t>New Lead</t>
        </is>
      </c>
      <c r="H1537" t="inlineStr">
        <is>
          <t>View Tender</t>
        </is>
      </c>
      <c r="K1537" t="inlineStr">
        <is>
          <t>Not found</t>
        </is>
      </c>
      <c r="L1537" t="inlineStr">
        <is>
          <t>Unknown</t>
        </is>
      </c>
      <c r="T1537" t="inlineStr">
        <is>
          <t>https://tenders.iglonline.net/tenderDetail/149/Active Tenders And Corrigendum-Addendum</t>
        </is>
      </c>
      <c r="U1537" t="inlineStr">
        <is>
          <t>No</t>
        </is>
      </c>
      <c r="V1537" t="inlineStr">
        <is>
          <t>Bot tarafindan tespit edildi (2026-07-01)</t>
        </is>
      </c>
    </row>
    <row r="1538">
      <c r="A1538" t="inlineStr">
        <is>
          <t>T-1342</t>
        </is>
      </c>
      <c r="B1538" t="inlineStr">
        <is>
          <t>Indraprastha Gas (IGL)</t>
        </is>
      </c>
      <c r="C1538" t="inlineStr">
        <is>
          <t>Indraprastha Gas (IGL)</t>
        </is>
      </c>
      <c r="F1538" t="inlineStr">
        <is>
          <t>New Lead</t>
        </is>
      </c>
      <c r="H1538" t="inlineStr">
        <is>
          <t>CORRIGENDUM_11.pdf</t>
        </is>
      </c>
      <c r="K1538" t="inlineStr">
        <is>
          <t>Not found</t>
        </is>
      </c>
      <c r="L1538" t="inlineStr">
        <is>
          <t>Unknown</t>
        </is>
      </c>
      <c r="T1538" t="inlineStr">
        <is>
          <t>https://tenders.iglonline.net/uploads/tender/CORRIGENDUM_11.pdf</t>
        </is>
      </c>
      <c r="U1538" t="inlineStr">
        <is>
          <t>No</t>
        </is>
      </c>
      <c r="V1538" t="inlineStr">
        <is>
          <t>Bot tarafindan tespit edildi (2026-07-01)</t>
        </is>
      </c>
    </row>
    <row r="1539">
      <c r="A1539" t="inlineStr">
        <is>
          <t>T-1343</t>
        </is>
      </c>
      <c r="B1539" t="inlineStr">
        <is>
          <t>Indraprastha Gas (IGL)</t>
        </is>
      </c>
      <c r="C1539" t="inlineStr">
        <is>
          <t>Indraprastha Gas (IGL)</t>
        </is>
      </c>
      <c r="F1539" t="inlineStr">
        <is>
          <t>New Lead</t>
        </is>
      </c>
      <c r="H1539" t="inlineStr">
        <is>
          <t>View Tender</t>
        </is>
      </c>
      <c r="K1539" t="inlineStr">
        <is>
          <t>Not found</t>
        </is>
      </c>
      <c r="L1539" t="inlineStr">
        <is>
          <t>Unknown</t>
        </is>
      </c>
      <c r="T1539" t="inlineStr">
        <is>
          <t>https://tenders.iglonline.net/tenderDetail/148/Active Tenders And Corrigendum-Addendum</t>
        </is>
      </c>
      <c r="U1539" t="inlineStr">
        <is>
          <t>No</t>
        </is>
      </c>
      <c r="V1539" t="inlineStr">
        <is>
          <t>Bot tarafindan tespit edildi (2026-07-01)</t>
        </is>
      </c>
    </row>
    <row r="1540">
      <c r="A1540" t="inlineStr">
        <is>
          <t>T-1344</t>
        </is>
      </c>
      <c r="B1540" t="inlineStr">
        <is>
          <t>Indraprastha Gas (IGL)</t>
        </is>
      </c>
      <c r="C1540" t="inlineStr">
        <is>
          <t>Indraprastha Gas (IGL)</t>
        </is>
      </c>
      <c r="F1540" t="inlineStr">
        <is>
          <t>New Lead</t>
        </is>
      </c>
      <c r="H1540" t="inlineStr">
        <is>
          <t>Drawings.pdf</t>
        </is>
      </c>
      <c r="K1540" t="inlineStr">
        <is>
          <t>Not found</t>
        </is>
      </c>
      <c r="L1540" t="inlineStr">
        <is>
          <t>Unknown</t>
        </is>
      </c>
      <c r="T1540" t="inlineStr">
        <is>
          <t>https://tenders.iglonline.net/uploads/tender/Drawings.pdf</t>
        </is>
      </c>
      <c r="U1540" t="inlineStr">
        <is>
          <t>No</t>
        </is>
      </c>
      <c r="V1540" t="inlineStr">
        <is>
          <t>Bot tarafindan tespit edildi (2026-07-01)</t>
        </is>
      </c>
    </row>
    <row r="1541">
      <c r="A1541" t="inlineStr">
        <is>
          <t>T-1345</t>
        </is>
      </c>
      <c r="B1541" t="inlineStr">
        <is>
          <t>Indraprastha Gas (IGL)</t>
        </is>
      </c>
      <c r="C1541" t="inlineStr">
        <is>
          <t>Indraprastha Gas (IGL)</t>
        </is>
      </c>
      <c r="F1541" t="inlineStr">
        <is>
          <t>New Lead</t>
        </is>
      </c>
      <c r="H1541" t="inlineStr">
        <is>
          <t>Corrigendum-I1.pdf</t>
        </is>
      </c>
      <c r="K1541" t="inlineStr">
        <is>
          <t>Not found</t>
        </is>
      </c>
      <c r="L1541" t="inlineStr">
        <is>
          <t>Unknown</t>
        </is>
      </c>
      <c r="T1541" t="inlineStr">
        <is>
          <t>https://tenders.iglonline.net/uploads/tender/Corrigendum-I1.pdf</t>
        </is>
      </c>
      <c r="U1541" t="inlineStr">
        <is>
          <t>No</t>
        </is>
      </c>
      <c r="V1541" t="inlineStr">
        <is>
          <t>Bot tarafindan tespit edildi (2026-07-01)</t>
        </is>
      </c>
    </row>
    <row r="1542">
      <c r="A1542" t="inlineStr">
        <is>
          <t>T-1346</t>
        </is>
      </c>
      <c r="B1542" t="inlineStr">
        <is>
          <t>Indraprastha Gas (IGL)</t>
        </is>
      </c>
      <c r="C1542" t="inlineStr">
        <is>
          <t>Indraprastha Gas (IGL)</t>
        </is>
      </c>
      <c r="F1542" t="inlineStr">
        <is>
          <t>New Lead</t>
        </is>
      </c>
      <c r="H1542" t="inlineStr">
        <is>
          <t>View Tender</t>
        </is>
      </c>
      <c r="K1542" t="inlineStr">
        <is>
          <t>Not found</t>
        </is>
      </c>
      <c r="L1542" t="inlineStr">
        <is>
          <t>Unknown</t>
        </is>
      </c>
      <c r="T1542" t="inlineStr">
        <is>
          <t>https://tenders.iglonline.net/tenderDetail/147/Active Tenders And Corrigendum-Addendum</t>
        </is>
      </c>
      <c r="U1542" t="inlineStr">
        <is>
          <t>No</t>
        </is>
      </c>
      <c r="V1542" t="inlineStr">
        <is>
          <t>Bot tarafindan tespit edildi (2026-07-01)</t>
        </is>
      </c>
    </row>
    <row r="1543">
      <c r="A1543" t="inlineStr">
        <is>
          <t>T-1347</t>
        </is>
      </c>
      <c r="B1543" t="inlineStr">
        <is>
          <t>Indraprastha Gas (IGL)</t>
        </is>
      </c>
      <c r="C1543" t="inlineStr">
        <is>
          <t>Indraprastha Gas (IGL)</t>
        </is>
      </c>
      <c r="F1543" t="inlineStr">
        <is>
          <t>New Lead</t>
        </is>
      </c>
      <c r="H1543" t="inlineStr">
        <is>
          <t>CORRIGENDUM_1.pdf</t>
        </is>
      </c>
      <c r="K1543" t="inlineStr">
        <is>
          <t>Not found</t>
        </is>
      </c>
      <c r="L1543" t="inlineStr">
        <is>
          <t>Unknown</t>
        </is>
      </c>
      <c r="T1543" t="inlineStr">
        <is>
          <t>https://tenders.iglonline.net/uploads/tender/CORRIGENDUM_1.pdf</t>
        </is>
      </c>
      <c r="U1543" t="inlineStr">
        <is>
          <t>No</t>
        </is>
      </c>
      <c r="V1543" t="inlineStr">
        <is>
          <t>Bot tarafindan tespit edildi (2026-07-01)</t>
        </is>
      </c>
    </row>
    <row r="1544">
      <c r="A1544" t="inlineStr">
        <is>
          <t>T-1348</t>
        </is>
      </c>
      <c r="B1544" t="inlineStr">
        <is>
          <t>Indraprastha Gas (IGL)</t>
        </is>
      </c>
      <c r="C1544" t="inlineStr">
        <is>
          <t>Indraprastha Gas (IGL)</t>
        </is>
      </c>
      <c r="F1544" t="inlineStr">
        <is>
          <t>New Lead</t>
        </is>
      </c>
      <c r="H1544" t="inlineStr">
        <is>
          <t>CORRIGENDUM_2.pdf</t>
        </is>
      </c>
      <c r="K1544" t="inlineStr">
        <is>
          <t>Not found</t>
        </is>
      </c>
      <c r="L1544" t="inlineStr">
        <is>
          <t>Unknown</t>
        </is>
      </c>
      <c r="T1544" t="inlineStr">
        <is>
          <t>https://tenders.iglonline.net/uploads/tender/CORRIGENDUM_2.pdf</t>
        </is>
      </c>
      <c r="U1544" t="inlineStr">
        <is>
          <t>No</t>
        </is>
      </c>
      <c r="V1544" t="inlineStr">
        <is>
          <t>Bot tarafindan tespit edildi (2026-07-01)</t>
        </is>
      </c>
    </row>
    <row r="1545">
      <c r="A1545" t="inlineStr">
        <is>
          <t>T-1349</t>
        </is>
      </c>
      <c r="B1545" t="inlineStr">
        <is>
          <t>Indraprastha Gas (IGL)</t>
        </is>
      </c>
      <c r="C1545" t="inlineStr">
        <is>
          <t>Indraprastha Gas (IGL)</t>
        </is>
      </c>
      <c r="F1545" t="inlineStr">
        <is>
          <t>New Lead</t>
        </is>
      </c>
      <c r="H1545" t="inlineStr">
        <is>
          <t>Corrigendum3.pdf</t>
        </is>
      </c>
      <c r="K1545" t="inlineStr">
        <is>
          <t>Not found</t>
        </is>
      </c>
      <c r="L1545" t="inlineStr">
        <is>
          <t>Unknown</t>
        </is>
      </c>
      <c r="T1545" t="inlineStr">
        <is>
          <t>https://tenders.iglonline.net/uploads/tender/Corrigendum3.pdf</t>
        </is>
      </c>
      <c r="U1545" t="inlineStr">
        <is>
          <t>No</t>
        </is>
      </c>
      <c r="V1545" t="inlineStr">
        <is>
          <t>Bot tarafindan tespit edildi (2026-07-01)</t>
        </is>
      </c>
    </row>
    <row r="1546">
      <c r="A1546" t="inlineStr">
        <is>
          <t>T-1350</t>
        </is>
      </c>
      <c r="B1546" t="inlineStr">
        <is>
          <t>Indraprastha Gas (IGL)</t>
        </is>
      </c>
      <c r="C1546" t="inlineStr">
        <is>
          <t>Indraprastha Gas (IGL)</t>
        </is>
      </c>
      <c r="F1546" t="inlineStr">
        <is>
          <t>New Lead</t>
        </is>
      </c>
      <c r="H1546" t="inlineStr">
        <is>
          <t>Reply_to_bidder_query_WAF_tender_queryunibtemp.pdf</t>
        </is>
      </c>
      <c r="K1546" t="inlineStr">
        <is>
          <t>Not found</t>
        </is>
      </c>
      <c r="L1546" t="inlineStr">
        <is>
          <t>Unknown</t>
        </is>
      </c>
      <c r="T1546" t="inlineStr">
        <is>
          <t>https://tenders.iglonline.net/uploads/tender/Reply_to_bidder_query_WAF_tender_queryunibtemp.pdf</t>
        </is>
      </c>
      <c r="U1546" t="inlineStr">
        <is>
          <t>No</t>
        </is>
      </c>
      <c r="V1546" t="inlineStr">
        <is>
          <t>Bot tarafindan tespit edildi (2026-07-01)</t>
        </is>
      </c>
    </row>
    <row r="1547">
      <c r="A1547" t="inlineStr">
        <is>
          <t>T-1351</t>
        </is>
      </c>
      <c r="B1547" t="inlineStr">
        <is>
          <t>Indraprastha Gas (IGL)</t>
        </is>
      </c>
      <c r="C1547" t="inlineStr">
        <is>
          <t>Indraprastha Gas (IGL)</t>
        </is>
      </c>
      <c r="F1547" t="inlineStr">
        <is>
          <t>New Lead</t>
        </is>
      </c>
      <c r="H1547" t="inlineStr">
        <is>
          <t>CORRIGENDUM_5_.pdf</t>
        </is>
      </c>
      <c r="K1547" t="inlineStr">
        <is>
          <t>Not found</t>
        </is>
      </c>
      <c r="L1547" t="inlineStr">
        <is>
          <t>Unknown</t>
        </is>
      </c>
      <c r="T1547" t="inlineStr">
        <is>
          <t>https://tenders.iglonline.net/uploads/tender/CORRIGENDUM_5_.pdf</t>
        </is>
      </c>
      <c r="U1547" t="inlineStr">
        <is>
          <t>No</t>
        </is>
      </c>
      <c r="V1547" t="inlineStr">
        <is>
          <t>Bot tarafindan tespit edildi (2026-07-01)</t>
        </is>
      </c>
    </row>
    <row r="1548">
      <c r="A1548" t="inlineStr">
        <is>
          <t>T-1352</t>
        </is>
      </c>
      <c r="B1548" t="inlineStr">
        <is>
          <t>Indraprastha Gas (IGL)</t>
        </is>
      </c>
      <c r="C1548" t="inlineStr">
        <is>
          <t>Indraprastha Gas (IGL)</t>
        </is>
      </c>
      <c r="F1548" t="inlineStr">
        <is>
          <t>New Lead</t>
        </is>
      </c>
      <c r="H1548" t="inlineStr">
        <is>
          <t>CORRIGENDUM_6.pdf</t>
        </is>
      </c>
      <c r="K1548" t="inlineStr">
        <is>
          <t>Not found</t>
        </is>
      </c>
      <c r="L1548" t="inlineStr">
        <is>
          <t>Unknown</t>
        </is>
      </c>
      <c r="T1548" t="inlineStr">
        <is>
          <t>https://tenders.iglonline.net/uploads/tender/CORRIGENDUM_6.pdf</t>
        </is>
      </c>
      <c r="U1548" t="inlineStr">
        <is>
          <t>No</t>
        </is>
      </c>
      <c r="V1548" t="inlineStr">
        <is>
          <t>Bot tarafindan tespit edildi (2026-07-01)</t>
        </is>
      </c>
    </row>
    <row r="1549">
      <c r="A1549" t="inlineStr">
        <is>
          <t>T-1353</t>
        </is>
      </c>
      <c r="B1549" t="inlineStr">
        <is>
          <t>Indraprastha Gas (IGL)</t>
        </is>
      </c>
      <c r="C1549" t="inlineStr">
        <is>
          <t>Indraprastha Gas (IGL)</t>
        </is>
      </c>
      <c r="F1549" t="inlineStr">
        <is>
          <t>New Lead</t>
        </is>
      </c>
      <c r="H1549" t="inlineStr">
        <is>
          <t>View Tender</t>
        </is>
      </c>
      <c r="K1549" t="inlineStr">
        <is>
          <t>Not found</t>
        </is>
      </c>
      <c r="L1549" t="inlineStr">
        <is>
          <t>Unknown</t>
        </is>
      </c>
      <c r="T1549" t="inlineStr">
        <is>
          <t>https://tenders.iglonline.net/tenderDetail/146/Active Tenders And Corrigendum-Addendum</t>
        </is>
      </c>
      <c r="U1549" t="inlineStr">
        <is>
          <t>No</t>
        </is>
      </c>
      <c r="V1549" t="inlineStr">
        <is>
          <t>Bot tarafindan tespit edildi (2026-07-01)</t>
        </is>
      </c>
    </row>
    <row r="1550">
      <c r="A1550" t="inlineStr">
        <is>
          <t>T-1354</t>
        </is>
      </c>
      <c r="B1550" t="inlineStr">
        <is>
          <t>Indraprastha Gas (IGL)</t>
        </is>
      </c>
      <c r="C1550" t="inlineStr">
        <is>
          <t>Indraprastha Gas (IGL)</t>
        </is>
      </c>
      <c r="F1550" t="inlineStr">
        <is>
          <t>New Lead</t>
        </is>
      </c>
      <c r="H1550" t="inlineStr">
        <is>
          <t>CORRIGENDUM_1_CM17440_(1).pdf</t>
        </is>
      </c>
      <c r="K1550" t="inlineStr">
        <is>
          <t>Not found</t>
        </is>
      </c>
      <c r="L1550" t="inlineStr">
        <is>
          <t>Unknown</t>
        </is>
      </c>
      <c r="T1550" t="inlineStr">
        <is>
          <t>https://tenders.iglonline.net/uploads/tender/CORRIGENDUM_1_CM17440_(1).pdf</t>
        </is>
      </c>
      <c r="U1550" t="inlineStr">
        <is>
          <t>No</t>
        </is>
      </c>
      <c r="V1550" t="inlineStr">
        <is>
          <t>Bot tarafindan tespit edildi (2026-07-01)</t>
        </is>
      </c>
    </row>
    <row r="1551">
      <c r="A1551" t="inlineStr">
        <is>
          <t>T-1355</t>
        </is>
      </c>
      <c r="B1551" t="inlineStr">
        <is>
          <t>Indraprastha Gas (IGL)</t>
        </is>
      </c>
      <c r="C1551" t="inlineStr">
        <is>
          <t>Indraprastha Gas (IGL)</t>
        </is>
      </c>
      <c r="F1551" t="inlineStr">
        <is>
          <t>New Lead</t>
        </is>
      </c>
      <c r="H1551" t="inlineStr">
        <is>
          <t>CORRIGENDUM_17440.pdf</t>
        </is>
      </c>
      <c r="K1551" t="inlineStr">
        <is>
          <t>Not found</t>
        </is>
      </c>
      <c r="L1551" t="inlineStr">
        <is>
          <t>Unknown</t>
        </is>
      </c>
      <c r="T1551" t="inlineStr">
        <is>
          <t>https://tenders.iglonline.net/uploads/tender/CORRIGENDUM_17440.pdf</t>
        </is>
      </c>
      <c r="U1551" t="inlineStr">
        <is>
          <t>No</t>
        </is>
      </c>
      <c r="V1551" t="inlineStr">
        <is>
          <t>Bot tarafindan tespit edildi (2026-07-01)</t>
        </is>
      </c>
    </row>
    <row r="1552">
      <c r="A1552" t="inlineStr">
        <is>
          <t>T-1356</t>
        </is>
      </c>
      <c r="B1552" t="inlineStr">
        <is>
          <t>Indraprastha Gas (IGL)</t>
        </is>
      </c>
      <c r="C1552" t="inlineStr">
        <is>
          <t>Indraprastha Gas (IGL)</t>
        </is>
      </c>
      <c r="F1552" t="inlineStr">
        <is>
          <t>New Lead</t>
        </is>
      </c>
      <c r="H1552" t="inlineStr">
        <is>
          <t>Clarifications_against_pre-bid_queries.pdf</t>
        </is>
      </c>
      <c r="K1552" t="inlineStr">
        <is>
          <t>Not found</t>
        </is>
      </c>
      <c r="L1552" t="inlineStr">
        <is>
          <t>Unknown</t>
        </is>
      </c>
      <c r="T1552" t="inlineStr">
        <is>
          <t>https://tenders.iglonline.net/uploads/tender/Clarifications_against_pre-bid_queries.pdf</t>
        </is>
      </c>
      <c r="U1552" t="inlineStr">
        <is>
          <t>No</t>
        </is>
      </c>
      <c r="V1552" t="inlineStr">
        <is>
          <t>Bot tarafindan tespit edildi (2026-07-01)</t>
        </is>
      </c>
    </row>
    <row r="1553">
      <c r="A1553" t="inlineStr">
        <is>
          <t>T-1357</t>
        </is>
      </c>
      <c r="B1553" t="inlineStr">
        <is>
          <t>Indraprastha Gas (IGL)</t>
        </is>
      </c>
      <c r="C1553" t="inlineStr">
        <is>
          <t>Indraprastha Gas (IGL)</t>
        </is>
      </c>
      <c r="F1553" t="inlineStr">
        <is>
          <t>New Lead</t>
        </is>
      </c>
      <c r="H1553" t="inlineStr">
        <is>
          <t>CORRIGENDUM_IV.pdf</t>
        </is>
      </c>
      <c r="K1553" t="inlineStr">
        <is>
          <t>Not found</t>
        </is>
      </c>
      <c r="L1553" t="inlineStr">
        <is>
          <t>Unknown</t>
        </is>
      </c>
      <c r="T1553" t="inlineStr">
        <is>
          <t>https://tenders.iglonline.net/uploads/tender/CORRIGENDUM_IV.pdf</t>
        </is>
      </c>
      <c r="U1553" t="inlineStr">
        <is>
          <t>No</t>
        </is>
      </c>
      <c r="V1553" t="inlineStr">
        <is>
          <t>Bot tarafindan tespit edildi (2026-07-01)</t>
        </is>
      </c>
    </row>
    <row r="1554">
      <c r="A1554" t="inlineStr">
        <is>
          <t>T-1358</t>
        </is>
      </c>
      <c r="B1554" t="inlineStr">
        <is>
          <t>Indraprastha Gas (IGL)</t>
        </is>
      </c>
      <c r="C1554" t="inlineStr">
        <is>
          <t>Indraprastha Gas (IGL)</t>
        </is>
      </c>
      <c r="F1554" t="inlineStr">
        <is>
          <t>New Lead</t>
        </is>
      </c>
      <c r="H1554" t="inlineStr">
        <is>
          <t>CORRIGENDUM_V.pdf</t>
        </is>
      </c>
      <c r="K1554" t="inlineStr">
        <is>
          <t>Not found</t>
        </is>
      </c>
      <c r="L1554" t="inlineStr">
        <is>
          <t>Unknown</t>
        </is>
      </c>
      <c r="T1554" t="inlineStr">
        <is>
          <t>https://tenders.iglonline.net/uploads/tender/CORRIGENDUM_V.pdf</t>
        </is>
      </c>
      <c r="U1554" t="inlineStr">
        <is>
          <t>No</t>
        </is>
      </c>
      <c r="V1554" t="inlineStr">
        <is>
          <t>Bot tarafindan tespit edildi (2026-07-01)</t>
        </is>
      </c>
    </row>
    <row r="1555">
      <c r="A1555" t="inlineStr">
        <is>
          <t>T-1359</t>
        </is>
      </c>
      <c r="B1555" t="inlineStr">
        <is>
          <t>Indraprastha Gas (IGL)</t>
        </is>
      </c>
      <c r="C1555" t="inlineStr">
        <is>
          <t>Indraprastha Gas (IGL)</t>
        </is>
      </c>
      <c r="F1555" t="inlineStr">
        <is>
          <t>New Lead</t>
        </is>
      </c>
      <c r="H1555" t="inlineStr">
        <is>
          <t>View Tender</t>
        </is>
      </c>
      <c r="K1555" t="inlineStr">
        <is>
          <t>Not found</t>
        </is>
      </c>
      <c r="L1555" t="inlineStr">
        <is>
          <t>Unknown</t>
        </is>
      </c>
      <c r="T1555" t="inlineStr">
        <is>
          <t>https://tenders.iglonline.net/tenderDetail/145/Active Tenders And Corrigendum-Addendum</t>
        </is>
      </c>
      <c r="U1555" t="inlineStr">
        <is>
          <t>No</t>
        </is>
      </c>
      <c r="V1555" t="inlineStr">
        <is>
          <t>Bot tarafindan tespit edildi (2026-07-01)</t>
        </is>
      </c>
    </row>
    <row r="1556">
      <c r="A1556" t="inlineStr">
        <is>
          <t>T-1360</t>
        </is>
      </c>
      <c r="B1556" t="inlineStr">
        <is>
          <t>Indraprastha Gas (IGL)</t>
        </is>
      </c>
      <c r="C1556" t="inlineStr">
        <is>
          <t>Indraprastha Gas (IGL)</t>
        </is>
      </c>
      <c r="F1556" t="inlineStr">
        <is>
          <t>New Lead</t>
        </is>
      </c>
      <c r="H1556" t="inlineStr">
        <is>
          <t>View Tender</t>
        </is>
      </c>
      <c r="K1556" t="inlineStr">
        <is>
          <t>Not found</t>
        </is>
      </c>
      <c r="L1556" t="inlineStr">
        <is>
          <t>Unknown</t>
        </is>
      </c>
      <c r="T1556" t="inlineStr">
        <is>
          <t>https://tenders.iglonline.net/tenderDetail/144/Active Tenders And Corrigendum-Addendum</t>
        </is>
      </c>
      <c r="U1556" t="inlineStr">
        <is>
          <t>No</t>
        </is>
      </c>
      <c r="V1556" t="inlineStr">
        <is>
          <t>Bot tarafindan tespit edildi (2026-07-01)</t>
        </is>
      </c>
    </row>
    <row r="1557">
      <c r="A1557" t="inlineStr">
        <is>
          <t>T-1361</t>
        </is>
      </c>
      <c r="B1557" t="inlineStr">
        <is>
          <t>Indraprastha Gas (IGL)</t>
        </is>
      </c>
      <c r="C1557" t="inlineStr">
        <is>
          <t>Indraprastha Gas (IGL)</t>
        </is>
      </c>
      <c r="D1557" t="inlineStr">
        <is>
          <t>IGL/ET2/CP/CP17435</t>
        </is>
      </c>
      <c r="F1557" t="inlineStr">
        <is>
          <t>Awarded</t>
        </is>
      </c>
      <c r="G1557" t="inlineStr">
        <is>
          <t>FRS</t>
        </is>
      </c>
      <c r="H1557" t="inlineStr">
        <is>
          <t>Corrigendum_1_CP17435.pdf</t>
        </is>
      </c>
      <c r="K1557" t="inlineStr">
        <is>
          <t>Not found</t>
        </is>
      </c>
      <c r="L1557" t="inlineStr">
        <is>
          <t>Unknown</t>
        </is>
      </c>
      <c r="T1557" t="inlineStr">
        <is>
          <t>https://tenders.iglonline.net/uploads/tender/Corrigendum_1_CP17435.pdf</t>
        </is>
      </c>
      <c r="U1557" t="inlineStr">
        <is>
          <t>No</t>
        </is>
      </c>
      <c r="V1557" t="inlineStr">
        <is>
          <t>Bot tarafindan tespit edildi (2026-07-01) | Bot enrich; date=2026-07-01; type=pdf; score=330; pdf_conf=Low</t>
        </is>
      </c>
    </row>
    <row r="1558">
      <c r="A1558" t="inlineStr">
        <is>
          <t>T-1362</t>
        </is>
      </c>
      <c r="B1558" t="inlineStr">
        <is>
          <t>Indraprastha Gas (IGL)</t>
        </is>
      </c>
      <c r="C1558" t="inlineStr">
        <is>
          <t>Indraprastha Gas (IGL)</t>
        </is>
      </c>
      <c r="D1558" t="inlineStr">
        <is>
          <t>IGL/ET2/CP/CP17435</t>
        </is>
      </c>
      <c r="F1558" t="inlineStr">
        <is>
          <t>Awarded</t>
        </is>
      </c>
      <c r="G1558" t="inlineStr">
        <is>
          <t>FRS</t>
        </is>
      </c>
      <c r="H1558" t="inlineStr">
        <is>
          <t>Corrigendum_2_CP17435.pdf</t>
        </is>
      </c>
      <c r="K1558" t="inlineStr">
        <is>
          <t>Not found</t>
        </is>
      </c>
      <c r="L1558" t="inlineStr">
        <is>
          <t>Unknown</t>
        </is>
      </c>
      <c r="T1558" t="inlineStr">
        <is>
          <t>https://tenders.iglonline.net/uploads/tender/Corrigendum_2_CP17435.pdf</t>
        </is>
      </c>
      <c r="U1558" t="inlineStr">
        <is>
          <t>No</t>
        </is>
      </c>
      <c r="V1558" t="inlineStr">
        <is>
          <t>Bot tarafindan tespit edildi (2026-07-01) | Bot enrich; date=2026-07-01; type=pdf; score=330; pdf_conf=Low</t>
        </is>
      </c>
    </row>
    <row r="1559">
      <c r="A1559" t="inlineStr">
        <is>
          <t>T-1363</t>
        </is>
      </c>
      <c r="B1559" t="inlineStr">
        <is>
          <t>Indraprastha Gas (IGL)</t>
        </is>
      </c>
      <c r="C1559" t="inlineStr">
        <is>
          <t>Indraprastha Gas (IGL)</t>
        </is>
      </c>
      <c r="D1559" t="inlineStr">
        <is>
          <t>IGL/ET2/CP/CP17435</t>
        </is>
      </c>
      <c r="F1559" t="inlineStr">
        <is>
          <t>Awarded</t>
        </is>
      </c>
      <c r="G1559" t="inlineStr">
        <is>
          <t>FRS</t>
        </is>
      </c>
      <c r="H1559" t="inlineStr">
        <is>
          <t>Annexure_to_Corrigendum_3.pdf</t>
        </is>
      </c>
      <c r="I1559" t="inlineStr">
        <is>
          <t>3</t>
        </is>
      </c>
      <c r="K1559" t="inlineStr">
        <is>
          <t>Not found</t>
        </is>
      </c>
      <c r="L1559" t="inlineStr">
        <is>
          <t>Unknown</t>
        </is>
      </c>
      <c r="T1559" t="inlineStr">
        <is>
          <t>https://tenders.iglonline.net/uploads/tender/Annexure_to_Corrigendum_3.pdf</t>
        </is>
      </c>
      <c r="U1559" t="inlineStr">
        <is>
          <t>No</t>
        </is>
      </c>
      <c r="V1559" t="inlineStr">
        <is>
          <t>Bot tarafindan tespit edildi (2026-07-01) | Bot enrich; date=2026-07-01; type=pdf; score=330; pdf_conf=Medium</t>
        </is>
      </c>
    </row>
    <row r="1560">
      <c r="A1560" t="inlineStr">
        <is>
          <t>T-1364</t>
        </is>
      </c>
      <c r="B1560" t="inlineStr">
        <is>
          <t>Indraprastha Gas (IGL)</t>
        </is>
      </c>
      <c r="C1560" t="inlineStr">
        <is>
          <t>Indraprastha Gas (IGL)</t>
        </is>
      </c>
      <c r="D1560" t="inlineStr">
        <is>
          <t>IGL/ET2/CP/CP17435</t>
        </is>
      </c>
      <c r="F1560" t="inlineStr">
        <is>
          <t>Awarded</t>
        </is>
      </c>
      <c r="G1560" t="inlineStr">
        <is>
          <t>FRS</t>
        </is>
      </c>
      <c r="H1560" t="inlineStr">
        <is>
          <t>Corrigendum_3_CP17435.pdf</t>
        </is>
      </c>
      <c r="K1560" t="inlineStr">
        <is>
          <t>in any case. TECHNICAL REQUIREMENTS Cl. No. 6.0 under Sec-V 5 65 of 96 Regulators for downs</t>
        </is>
      </c>
      <c r="L1560" t="inlineStr">
        <is>
          <t>Unknown</t>
        </is>
      </c>
      <c r="T1560" t="inlineStr">
        <is>
          <t>https://tenders.iglonline.net/uploads/tender/Corrigendum_3_CP17435.pdf</t>
        </is>
      </c>
      <c r="U1560" t="inlineStr">
        <is>
          <t>No</t>
        </is>
      </c>
      <c r="V1560" t="inlineStr">
        <is>
          <t>Bot tarafindan tespit edildi (2026-07-01) | Bot enrich; date=2026-07-01; type=pdf; score=330; pdf_conf=Medium</t>
        </is>
      </c>
    </row>
    <row r="1561">
      <c r="A1561" t="inlineStr">
        <is>
          <t>T-1365</t>
        </is>
      </c>
      <c r="B1561" t="inlineStr">
        <is>
          <t>Indraprastha Gas (IGL)</t>
        </is>
      </c>
      <c r="C1561" t="inlineStr">
        <is>
          <t>Indraprastha Gas (IGL)</t>
        </is>
      </c>
      <c r="D1561" t="inlineStr">
        <is>
          <t>IGL/ET2/CP/CP17435</t>
        </is>
      </c>
      <c r="E1561" t="inlineStr">
        <is>
          <t>26-05-2023</t>
        </is>
      </c>
      <c r="F1561" t="inlineStr">
        <is>
          <t>Awarded</t>
        </is>
      </c>
      <c r="G1561" t="inlineStr">
        <is>
          <t>FRS</t>
        </is>
      </c>
      <c r="H1561" t="inlineStr">
        <is>
          <t>RTBQ.pdf</t>
        </is>
      </c>
      <c r="K1561" t="inlineStr">
        <is>
          <t>in any case. Refer Corrigendum-3 Supplier will be responsible for the supplied As the scope</t>
        </is>
      </c>
      <c r="L1561" t="inlineStr">
        <is>
          <t>Unknown</t>
        </is>
      </c>
      <c r="M1561" t="n">
        <v>300</v>
      </c>
      <c r="T1561" t="inlineStr">
        <is>
          <t>https://tenders.iglonline.net/uploads/tender/RTBQ.pdf</t>
        </is>
      </c>
      <c r="U1561" t="inlineStr">
        <is>
          <t>No</t>
        </is>
      </c>
      <c r="V1561" t="inlineStr">
        <is>
          <t>Bot tarafindan tespit edildi (2026-07-01) | closing=26-05-2023 | Bot enrich; date=2026-07-01; type=pdf; pdf_closing=26-05-2023; score=330; pdf_conf=High</t>
        </is>
      </c>
    </row>
    <row r="1562">
      <c r="A1562" t="inlineStr">
        <is>
          <t>T-1366</t>
        </is>
      </c>
      <c r="B1562" t="inlineStr">
        <is>
          <t>Indraprastha Gas (IGL)</t>
        </is>
      </c>
      <c r="C1562" t="inlineStr">
        <is>
          <t>Indraprastha Gas (IGL)</t>
        </is>
      </c>
      <c r="D1562" t="inlineStr">
        <is>
          <t>IGL/ET2/CP/CP17435</t>
        </is>
      </c>
      <c r="F1562" t="inlineStr">
        <is>
          <t>Awarded</t>
        </is>
      </c>
      <c r="G1562" t="inlineStr">
        <is>
          <t>FRS</t>
        </is>
      </c>
      <c r="H1562" t="inlineStr">
        <is>
          <t>Corrigendum_4_CP17435_(1).pdf</t>
        </is>
      </c>
      <c r="K1562" t="inlineStr">
        <is>
          <t>Not found</t>
        </is>
      </c>
      <c r="L1562" t="inlineStr">
        <is>
          <t>Unknown</t>
        </is>
      </c>
      <c r="T1562" t="inlineStr">
        <is>
          <t>https://tenders.iglonline.net/uploads/tender/Corrigendum_4_CP17435_(1).pdf</t>
        </is>
      </c>
      <c r="U1562" t="inlineStr">
        <is>
          <t>No</t>
        </is>
      </c>
      <c r="V1562" t="inlineStr">
        <is>
          <t>Bot tarafindan tespit edildi (2026-07-01) | Bot enrich; date=2026-07-01; type=pdf; score=330; pdf_conf=Low</t>
        </is>
      </c>
    </row>
    <row r="1563">
      <c r="A1563" t="inlineStr">
        <is>
          <t>T-1367</t>
        </is>
      </c>
      <c r="B1563" t="inlineStr">
        <is>
          <t>Indraprastha Gas (IGL)</t>
        </is>
      </c>
      <c r="C1563" t="inlineStr">
        <is>
          <t>Indraprastha Gas (IGL)</t>
        </is>
      </c>
      <c r="D1563" t="inlineStr">
        <is>
          <t>IGL/ET2/CP/CP17435</t>
        </is>
      </c>
      <c r="F1563" t="inlineStr">
        <is>
          <t>Awarded</t>
        </is>
      </c>
      <c r="G1563" t="inlineStr">
        <is>
          <t>FRS</t>
        </is>
      </c>
      <c r="H1563" t="inlineStr">
        <is>
          <t>Corrigendum_5_CP17435.pdf</t>
        </is>
      </c>
      <c r="K1563" t="inlineStr">
        <is>
          <t>Not found</t>
        </is>
      </c>
      <c r="L1563" t="inlineStr">
        <is>
          <t>Unknown</t>
        </is>
      </c>
      <c r="T1563" t="inlineStr">
        <is>
          <t>https://tenders.iglonline.net/uploads/tender/Corrigendum_5_CP17435.pdf</t>
        </is>
      </c>
      <c r="U1563" t="inlineStr">
        <is>
          <t>No</t>
        </is>
      </c>
      <c r="V1563" t="inlineStr">
        <is>
          <t>Bot tarafindan tespit edildi (2026-07-01) | Bot enrich; date=2026-07-01; type=pdf; score=330; pdf_conf=Low</t>
        </is>
      </c>
    </row>
    <row r="1564">
      <c r="A1564" t="inlineStr">
        <is>
          <t>T-1368</t>
        </is>
      </c>
      <c r="B1564" t="inlineStr">
        <is>
          <t>Indraprastha Gas (IGL)</t>
        </is>
      </c>
      <c r="C1564" t="inlineStr">
        <is>
          <t>Indraprastha Gas (IGL)</t>
        </is>
      </c>
      <c r="D1564" t="inlineStr">
        <is>
          <t>IGL/ET2/CP/CP17435</t>
        </is>
      </c>
      <c r="E1564" t="inlineStr">
        <is>
          <t>20-06-2023</t>
        </is>
      </c>
      <c r="F1564" t="inlineStr">
        <is>
          <t>Awarded</t>
        </is>
      </c>
      <c r="G1564" t="inlineStr">
        <is>
          <t>FRS</t>
        </is>
      </c>
      <c r="H1564" t="inlineStr">
        <is>
          <t>RTBQ_2.pdf</t>
        </is>
      </c>
      <c r="I1564" t="inlineStr">
        <is>
          <t>nos.</t>
        </is>
      </c>
      <c r="K1564" t="inlineStr">
        <is>
          <t>in any case. As the scope is for Supply of Loose regulator and SSV with it</t>
        </is>
      </c>
      <c r="L1564" t="inlineStr">
        <is>
          <t>Unknown</t>
        </is>
      </c>
      <c r="M1564" t="n">
        <v>100</v>
      </c>
      <c r="T1564" t="inlineStr">
        <is>
          <t>https://tenders.iglonline.net/uploads/tender/RTBQ_2.pdf</t>
        </is>
      </c>
      <c r="U1564" t="inlineStr">
        <is>
          <t>No</t>
        </is>
      </c>
      <c r="V1564" t="inlineStr">
        <is>
          <t>Bot tarafindan tespit edildi (2026-07-01) | closing=20-06-2023 | Bot enrich; date=2026-07-01; type=pdf; pdf_closing=20-06-2023; score=330; pdf_conf=High</t>
        </is>
      </c>
    </row>
    <row r="1565">
      <c r="A1565" t="inlineStr">
        <is>
          <t>T-1369</t>
        </is>
      </c>
      <c r="B1565" t="inlineStr">
        <is>
          <t>Indraprastha Gas (IGL)</t>
        </is>
      </c>
      <c r="C1565" t="inlineStr">
        <is>
          <t>Indraprastha Gas (IGL)</t>
        </is>
      </c>
      <c r="D1565" t="inlineStr">
        <is>
          <t>IGL/ET2/CP/CP17435</t>
        </is>
      </c>
      <c r="F1565" t="inlineStr">
        <is>
          <t>Awarded</t>
        </is>
      </c>
      <c r="G1565" t="inlineStr">
        <is>
          <t>FRS</t>
        </is>
      </c>
      <c r="H1565" t="inlineStr">
        <is>
          <t>Corrigendum_6_CP17435.pdf</t>
        </is>
      </c>
      <c r="K1565" t="inlineStr">
        <is>
          <t>Not found</t>
        </is>
      </c>
      <c r="L1565" t="inlineStr">
        <is>
          <t>Unknown</t>
        </is>
      </c>
      <c r="T1565" t="inlineStr">
        <is>
          <t>https://tenders.iglonline.net/uploads/tender/Corrigendum_6_CP17435.pdf</t>
        </is>
      </c>
      <c r="U1565" t="inlineStr">
        <is>
          <t>No</t>
        </is>
      </c>
      <c r="V1565" t="inlineStr">
        <is>
          <t>Bot tarafindan tespit edildi (2026-07-01) | Bot enrich; date=2026-07-01; type=pdf; score=330; pdf_conf=Low</t>
        </is>
      </c>
    </row>
    <row r="1566">
      <c r="A1566" t="inlineStr">
        <is>
          <t>T-1370</t>
        </is>
      </c>
      <c r="B1566" t="inlineStr">
        <is>
          <t>Indraprastha Gas (IGL)</t>
        </is>
      </c>
      <c r="C1566" t="inlineStr">
        <is>
          <t>Indraprastha Gas (IGL)</t>
        </is>
      </c>
      <c r="D1566" t="inlineStr">
        <is>
          <t>IGL/ET2/CP/CP17435</t>
        </is>
      </c>
      <c r="F1566" t="inlineStr">
        <is>
          <t>Awarded</t>
        </is>
      </c>
      <c r="G1566" t="inlineStr">
        <is>
          <t>FRS</t>
        </is>
      </c>
      <c r="H1566" t="inlineStr">
        <is>
          <t>Corrigendum_7_CP17435.pdf</t>
        </is>
      </c>
      <c r="K1566" t="inlineStr">
        <is>
          <t>Not found</t>
        </is>
      </c>
      <c r="L1566" t="inlineStr">
        <is>
          <t>Unknown</t>
        </is>
      </c>
      <c r="T1566" t="inlineStr">
        <is>
          <t>https://tenders.iglonline.net/uploads/tender/Corrigendum_7_CP17435.pdf</t>
        </is>
      </c>
      <c r="U1566" t="inlineStr">
        <is>
          <t>No</t>
        </is>
      </c>
      <c r="V1566" t="inlineStr">
        <is>
          <t>Bot tarafindan tespit edildi (2026-07-01) | Bot enrich; date=2026-07-01; type=pdf; score=330; pdf_conf=Low</t>
        </is>
      </c>
    </row>
    <row r="1567">
      <c r="A1567" t="inlineStr">
        <is>
          <t>T-1371</t>
        </is>
      </c>
      <c r="B1567" t="inlineStr">
        <is>
          <t>Indraprastha Gas (IGL)</t>
        </is>
      </c>
      <c r="C1567" t="inlineStr">
        <is>
          <t>Indraprastha Gas (IGL)</t>
        </is>
      </c>
      <c r="D1567" t="inlineStr">
        <is>
          <t>LOA/Contract.</t>
        </is>
      </c>
      <c r="F1567" t="inlineStr">
        <is>
          <t>Awarded</t>
        </is>
      </c>
      <c r="G1567" t="inlineStr">
        <is>
          <t>FRS</t>
        </is>
      </c>
      <c r="H1567" t="inlineStr">
        <is>
          <t>Corrigendum_8_CP17435.pdf</t>
        </is>
      </c>
      <c r="K1567" t="inlineStr">
        <is>
          <t>Not found</t>
        </is>
      </c>
      <c r="L1567" t="inlineStr">
        <is>
          <t>Unknown</t>
        </is>
      </c>
      <c r="M1567" t="n">
        <v>100</v>
      </c>
      <c r="T1567" t="inlineStr">
        <is>
          <t>https://tenders.iglonline.net/uploads/tender/Corrigendum_8_CP17435.pdf</t>
        </is>
      </c>
      <c r="U1567" t="inlineStr">
        <is>
          <t>No</t>
        </is>
      </c>
      <c r="V1567" t="inlineStr">
        <is>
          <t>Bot tarafindan tespit edildi (2026-07-01) | Bot enrich; date=2026-07-01; type=pdf; score=330; pdf_conf=Medium</t>
        </is>
      </c>
    </row>
    <row r="1568">
      <c r="A1568" t="inlineStr">
        <is>
          <t>T-1372</t>
        </is>
      </c>
      <c r="B1568" t="inlineStr">
        <is>
          <t>Indraprastha Gas (IGL)</t>
        </is>
      </c>
      <c r="C1568" t="inlineStr">
        <is>
          <t>Indraprastha Gas (IGL)</t>
        </is>
      </c>
      <c r="D1568" t="inlineStr">
        <is>
          <t>IGL/ET2/CP/CP17435</t>
        </is>
      </c>
      <c r="E1568" t="inlineStr">
        <is>
          <t>11-07-2023</t>
        </is>
      </c>
      <c r="F1568" t="inlineStr">
        <is>
          <t>Awarded</t>
        </is>
      </c>
      <c r="G1568" t="inlineStr">
        <is>
          <t>FRS</t>
        </is>
      </c>
      <c r="H1568" t="inlineStr">
        <is>
          <t>RTBQ_3.pdf</t>
        </is>
      </c>
      <c r="K1568" t="inlineStr">
        <is>
          <t>Not found</t>
        </is>
      </c>
      <c r="L1568" t="inlineStr">
        <is>
          <t>Unknown</t>
        </is>
      </c>
      <c r="M1568" t="n">
        <v>100</v>
      </c>
      <c r="T1568" t="inlineStr">
        <is>
          <t>https://tenders.iglonline.net/uploads/tender/RTBQ_3.pdf</t>
        </is>
      </c>
      <c r="U1568" t="inlineStr">
        <is>
          <t>No</t>
        </is>
      </c>
      <c r="V1568" t="inlineStr">
        <is>
          <t>Bot tarafindan tespit edildi (2026-07-01) | closing=11-07-2023 | Bot enrich; date=2026-07-01; type=pdf; pdf_closing=11-07-2023; score=330; pdf_conf=High</t>
        </is>
      </c>
    </row>
    <row r="1569">
      <c r="A1569" t="inlineStr">
        <is>
          <t>T-1373</t>
        </is>
      </c>
      <c r="B1569" t="inlineStr">
        <is>
          <t>Indraprastha Gas (IGL)</t>
        </is>
      </c>
      <c r="C1569" t="inlineStr">
        <is>
          <t>Indraprastha Gas (IGL)</t>
        </is>
      </c>
      <c r="D1569" t="inlineStr">
        <is>
          <t>IGL/ET2/CP/CP17435</t>
        </is>
      </c>
      <c r="F1569" t="inlineStr">
        <is>
          <t>Awarded</t>
        </is>
      </c>
      <c r="G1569" t="inlineStr">
        <is>
          <t>FRS</t>
        </is>
      </c>
      <c r="H1569" t="inlineStr">
        <is>
          <t>Corrigendum_9_CP17435.pdf</t>
        </is>
      </c>
      <c r="K1569" t="inlineStr">
        <is>
          <t>Not found</t>
        </is>
      </c>
      <c r="L1569" t="inlineStr">
        <is>
          <t>Unknown</t>
        </is>
      </c>
      <c r="T1569" t="inlineStr">
        <is>
          <t>https://tenders.iglonline.net/uploads/tender/Corrigendum_9_CP17435.pdf</t>
        </is>
      </c>
      <c r="U1569" t="inlineStr">
        <is>
          <t>No</t>
        </is>
      </c>
      <c r="V1569" t="inlineStr">
        <is>
          <t>Bot tarafindan tespit edildi (2026-07-01) | Bot enrich; date=2026-07-01; type=pdf; score=330; pdf_conf=Low</t>
        </is>
      </c>
    </row>
    <row r="1570">
      <c r="A1570" t="inlineStr">
        <is>
          <t>T-1374</t>
        </is>
      </c>
      <c r="B1570" t="inlineStr">
        <is>
          <t>Indraprastha Gas (IGL)</t>
        </is>
      </c>
      <c r="C1570" t="inlineStr">
        <is>
          <t>Indraprastha Gas (IGL)</t>
        </is>
      </c>
      <c r="F1570" t="inlineStr">
        <is>
          <t>New Lead</t>
        </is>
      </c>
      <c r="H1570" t="inlineStr">
        <is>
          <t>View Tender</t>
        </is>
      </c>
      <c r="K1570" t="inlineStr">
        <is>
          <t>Not found</t>
        </is>
      </c>
      <c r="L1570" t="inlineStr">
        <is>
          <t>Unknown</t>
        </is>
      </c>
      <c r="T1570" t="inlineStr">
        <is>
          <t>https://tenders.iglonline.net/tenderDetail/143/Active Tenders And Corrigendum-Addendum</t>
        </is>
      </c>
      <c r="U1570" t="inlineStr">
        <is>
          <t>No</t>
        </is>
      </c>
      <c r="V1570" t="inlineStr">
        <is>
          <t>Bot tarafindan tespit edildi (2026-07-01)</t>
        </is>
      </c>
    </row>
    <row r="1571">
      <c r="A1571" t="inlineStr">
        <is>
          <t>T-1375</t>
        </is>
      </c>
      <c r="B1571" t="inlineStr">
        <is>
          <t>Indraprastha Gas (IGL)</t>
        </is>
      </c>
      <c r="C1571" t="inlineStr">
        <is>
          <t>Indraprastha Gas (IGL)</t>
        </is>
      </c>
      <c r="F1571" t="inlineStr">
        <is>
          <t>New Lead</t>
        </is>
      </c>
      <c r="H1571" t="inlineStr">
        <is>
          <t>Corrigendum-I_CC17497_EV_Charging_Stations.pdf</t>
        </is>
      </c>
      <c r="K1571" t="inlineStr">
        <is>
          <t>Not found</t>
        </is>
      </c>
      <c r="L1571" t="inlineStr">
        <is>
          <t>Unknown</t>
        </is>
      </c>
      <c r="T1571" t="inlineStr">
        <is>
          <t>https://tenders.iglonline.net/uploads/tender/Corrigendum-I_CC17497_EV_Charging_Stations.pdf</t>
        </is>
      </c>
      <c r="U1571" t="inlineStr">
        <is>
          <t>No</t>
        </is>
      </c>
      <c r="V1571" t="inlineStr">
        <is>
          <t>Bot tarafindan tespit edildi (2026-07-01)</t>
        </is>
      </c>
    </row>
    <row r="1572">
      <c r="A1572" t="inlineStr">
        <is>
          <t>T-1376</t>
        </is>
      </c>
      <c r="B1572" t="inlineStr">
        <is>
          <t>Indraprastha Gas (IGL)</t>
        </is>
      </c>
      <c r="C1572" t="inlineStr">
        <is>
          <t>Indraprastha Gas (IGL)</t>
        </is>
      </c>
      <c r="F1572" t="inlineStr">
        <is>
          <t>New Lead</t>
        </is>
      </c>
      <c r="H1572" t="inlineStr">
        <is>
          <t>View Tender</t>
        </is>
      </c>
      <c r="K1572" t="inlineStr">
        <is>
          <t>Not found</t>
        </is>
      </c>
      <c r="L1572" t="inlineStr">
        <is>
          <t>Unknown</t>
        </is>
      </c>
      <c r="T1572" t="inlineStr">
        <is>
          <t>https://tenders.iglonline.net/tenderDetail/142/Active Tenders And Corrigendum-Addendum</t>
        </is>
      </c>
      <c r="U1572" t="inlineStr">
        <is>
          <t>No</t>
        </is>
      </c>
      <c r="V1572" t="inlineStr">
        <is>
          <t>Bot tarafindan tespit edildi (2026-07-01)</t>
        </is>
      </c>
    </row>
    <row r="1573">
      <c r="A1573" t="inlineStr">
        <is>
          <t>T-1377</t>
        </is>
      </c>
      <c r="B1573" t="inlineStr">
        <is>
          <t>Indraprastha Gas (IGL)</t>
        </is>
      </c>
      <c r="C1573" t="inlineStr">
        <is>
          <t>Indraprastha Gas (IGL)</t>
        </is>
      </c>
      <c r="F1573" t="inlineStr">
        <is>
          <t>New Lead</t>
        </is>
      </c>
      <c r="H1573" t="inlineStr">
        <is>
          <t>Corrigendum_CC17482.pdf</t>
        </is>
      </c>
      <c r="K1573" t="inlineStr">
        <is>
          <t>Not found</t>
        </is>
      </c>
      <c r="L1573" t="inlineStr">
        <is>
          <t>Unknown</t>
        </is>
      </c>
      <c r="T1573" t="inlineStr">
        <is>
          <t>https://tenders.iglonline.net/uploads/tender/Corrigendum_CC17482.pdf</t>
        </is>
      </c>
      <c r="U1573" t="inlineStr">
        <is>
          <t>No</t>
        </is>
      </c>
      <c r="V1573" t="inlineStr">
        <is>
          <t>Bot tarafindan tespit edildi (2026-07-01)</t>
        </is>
      </c>
    </row>
    <row r="1574">
      <c r="A1574" t="inlineStr">
        <is>
          <t>T-1378</t>
        </is>
      </c>
      <c r="B1574" t="inlineStr">
        <is>
          <t>Indraprastha Gas (IGL)</t>
        </is>
      </c>
      <c r="C1574" t="inlineStr">
        <is>
          <t>Indraprastha Gas (IGL)</t>
        </is>
      </c>
      <c r="F1574" t="inlineStr">
        <is>
          <t>New Lead</t>
        </is>
      </c>
      <c r="H1574" t="inlineStr">
        <is>
          <t>View Tender</t>
        </is>
      </c>
      <c r="K1574" t="inlineStr">
        <is>
          <t>Not found</t>
        </is>
      </c>
      <c r="L1574" t="inlineStr">
        <is>
          <t>Unknown</t>
        </is>
      </c>
      <c r="T1574" t="inlineStr">
        <is>
          <t>https://tenders.iglonline.net/tenderDetail/141/Active Tenders And Corrigendum-Addendum</t>
        </is>
      </c>
      <c r="U1574" t="inlineStr">
        <is>
          <t>No</t>
        </is>
      </c>
      <c r="V1574" t="inlineStr">
        <is>
          <t>Bot tarafindan tespit edildi (2026-07-01)</t>
        </is>
      </c>
    </row>
    <row r="1575">
      <c r="A1575" t="inlineStr">
        <is>
          <t>T-1379</t>
        </is>
      </c>
      <c r="B1575" t="inlineStr">
        <is>
          <t>Indraprastha Gas (IGL)</t>
        </is>
      </c>
      <c r="C1575" t="inlineStr">
        <is>
          <t>Indraprastha Gas (IGL)</t>
        </is>
      </c>
      <c r="F1575" t="inlineStr">
        <is>
          <t>New Lead</t>
        </is>
      </c>
      <c r="H1575" t="inlineStr">
        <is>
          <t>Corrigendum.pdf</t>
        </is>
      </c>
      <c r="K1575" t="inlineStr">
        <is>
          <t>Not found</t>
        </is>
      </c>
      <c r="L1575" t="inlineStr">
        <is>
          <t>Unknown</t>
        </is>
      </c>
      <c r="T1575" t="inlineStr">
        <is>
          <t>https://tenders.iglonline.net/uploads/tender/Corrigendum.pdf</t>
        </is>
      </c>
      <c r="U1575" t="inlineStr">
        <is>
          <t>No</t>
        </is>
      </c>
      <c r="V1575" t="inlineStr">
        <is>
          <t>Bot tarafindan tespit edildi (2026-07-01)</t>
        </is>
      </c>
    </row>
    <row r="1576">
      <c r="A1576" t="inlineStr">
        <is>
          <t>T-1380</t>
        </is>
      </c>
      <c r="B1576" t="inlineStr">
        <is>
          <t>Indraprastha Gas (IGL)</t>
        </is>
      </c>
      <c r="C1576" t="inlineStr">
        <is>
          <t>Indraprastha Gas (IGL)</t>
        </is>
      </c>
      <c r="F1576" t="inlineStr">
        <is>
          <t>New Lead</t>
        </is>
      </c>
      <c r="H1576" t="inlineStr">
        <is>
          <t>Corrigendum_II_(1)1.pdf</t>
        </is>
      </c>
      <c r="K1576" t="inlineStr">
        <is>
          <t>Not found</t>
        </is>
      </c>
      <c r="L1576" t="inlineStr">
        <is>
          <t>Unknown</t>
        </is>
      </c>
      <c r="T1576" t="inlineStr">
        <is>
          <t>https://tenders.iglonline.net/uploads/tender/Corrigendum_II_(1)1.pdf</t>
        </is>
      </c>
      <c r="U1576" t="inlineStr">
        <is>
          <t>No</t>
        </is>
      </c>
      <c r="V1576" t="inlineStr">
        <is>
          <t>Bot tarafindan tespit edildi (2026-07-01)</t>
        </is>
      </c>
    </row>
    <row r="1577">
      <c r="A1577" t="inlineStr">
        <is>
          <t>T-1381</t>
        </is>
      </c>
      <c r="B1577" t="inlineStr">
        <is>
          <t>Indraprastha Gas (IGL)</t>
        </is>
      </c>
      <c r="C1577" t="inlineStr">
        <is>
          <t>Indraprastha Gas (IGL)</t>
        </is>
      </c>
      <c r="F1577" t="inlineStr">
        <is>
          <t>New Lead</t>
        </is>
      </c>
      <c r="H1577" t="inlineStr">
        <is>
          <t>View Tender</t>
        </is>
      </c>
      <c r="K1577" t="inlineStr">
        <is>
          <t>Not found</t>
        </is>
      </c>
      <c r="L1577" t="inlineStr">
        <is>
          <t>Unknown</t>
        </is>
      </c>
      <c r="T1577" t="inlineStr">
        <is>
          <t>https://tenders.iglonline.net/tenderDetail/140/Active Tenders And Corrigendum-Addendum</t>
        </is>
      </c>
      <c r="U1577" t="inlineStr">
        <is>
          <t>No</t>
        </is>
      </c>
      <c r="V1577" t="inlineStr">
        <is>
          <t>Bot tarafindan tespit edildi (2026-07-01)</t>
        </is>
      </c>
    </row>
    <row r="1578">
      <c r="A1578" t="inlineStr">
        <is>
          <t>T-1382</t>
        </is>
      </c>
      <c r="B1578" t="inlineStr">
        <is>
          <t>Indraprastha Gas (IGL)</t>
        </is>
      </c>
      <c r="C1578" t="inlineStr">
        <is>
          <t>Indraprastha Gas (IGL)</t>
        </is>
      </c>
      <c r="F1578" t="inlineStr">
        <is>
          <t>New Lead</t>
        </is>
      </c>
      <c r="H1578" t="inlineStr">
        <is>
          <t>CORRIGENDUM_1_CM17490.pdf</t>
        </is>
      </c>
      <c r="K1578" t="inlineStr">
        <is>
          <t>Not found</t>
        </is>
      </c>
      <c r="L1578" t="inlineStr">
        <is>
          <t>Unknown</t>
        </is>
      </c>
      <c r="T1578" t="inlineStr">
        <is>
          <t>https://tenders.iglonline.net/uploads/tender/CORRIGENDUM_1_CM17490.pdf</t>
        </is>
      </c>
      <c r="U1578" t="inlineStr">
        <is>
          <t>No</t>
        </is>
      </c>
      <c r="V1578" t="inlineStr">
        <is>
          <t>Bot tarafindan tespit edildi (2026-07-01)</t>
        </is>
      </c>
    </row>
    <row r="1579">
      <c r="A1579" t="inlineStr">
        <is>
          <t>T-1383</t>
        </is>
      </c>
      <c r="B1579" t="inlineStr">
        <is>
          <t>Indraprastha Gas (IGL)</t>
        </is>
      </c>
      <c r="C1579" t="inlineStr">
        <is>
          <t>Indraprastha Gas (IGL)</t>
        </is>
      </c>
      <c r="F1579" t="inlineStr">
        <is>
          <t>New Lead</t>
        </is>
      </c>
      <c r="H1579" t="inlineStr">
        <is>
          <t>Clarifications_against_pre-bid.pdf</t>
        </is>
      </c>
      <c r="K1579" t="inlineStr">
        <is>
          <t>Not found</t>
        </is>
      </c>
      <c r="L1579" t="inlineStr">
        <is>
          <t>Unknown</t>
        </is>
      </c>
      <c r="T1579" t="inlineStr">
        <is>
          <t>https://tenders.iglonline.net/uploads/tender/Clarifications_against_pre-bid.pdf</t>
        </is>
      </c>
      <c r="U1579" t="inlineStr">
        <is>
          <t>No</t>
        </is>
      </c>
      <c r="V1579" t="inlineStr">
        <is>
          <t>Bot tarafindan tespit edildi (2026-07-01)</t>
        </is>
      </c>
    </row>
    <row r="1580">
      <c r="A1580" t="inlineStr">
        <is>
          <t>T-1384</t>
        </is>
      </c>
      <c r="B1580" t="inlineStr">
        <is>
          <t>Indraprastha Gas (IGL)</t>
        </is>
      </c>
      <c r="C1580" t="inlineStr">
        <is>
          <t>Indraprastha Gas (IGL)</t>
        </is>
      </c>
      <c r="F1580" t="inlineStr">
        <is>
          <t>New Lead</t>
        </is>
      </c>
      <c r="H1580" t="inlineStr">
        <is>
          <t>CORRIGENDUM_17490_3B.pdf</t>
        </is>
      </c>
      <c r="K1580" t="inlineStr">
        <is>
          <t>Not found</t>
        </is>
      </c>
      <c r="L1580" t="inlineStr">
        <is>
          <t>Unknown</t>
        </is>
      </c>
      <c r="T1580" t="inlineStr">
        <is>
          <t>https://tenders.iglonline.net/uploads/tender/CORRIGENDUM_17490_3B.pdf</t>
        </is>
      </c>
      <c r="U1580" t="inlineStr">
        <is>
          <t>No</t>
        </is>
      </c>
      <c r="V1580" t="inlineStr">
        <is>
          <t>Bot tarafindan tespit edildi (2026-07-01)</t>
        </is>
      </c>
    </row>
    <row r="1581">
      <c r="A1581" t="inlineStr">
        <is>
          <t>T-1385</t>
        </is>
      </c>
      <c r="B1581" t="inlineStr">
        <is>
          <t>Indraprastha Gas (IGL)</t>
        </is>
      </c>
      <c r="C1581" t="inlineStr">
        <is>
          <t>Indraprastha Gas (IGL)</t>
        </is>
      </c>
      <c r="F1581" t="inlineStr">
        <is>
          <t>New Lead</t>
        </is>
      </c>
      <c r="H1581" t="inlineStr">
        <is>
          <t>Corrigendum_4_17490.pdf</t>
        </is>
      </c>
      <c r="K1581" t="inlineStr">
        <is>
          <t>Not found</t>
        </is>
      </c>
      <c r="L1581" t="inlineStr">
        <is>
          <t>Unknown</t>
        </is>
      </c>
      <c r="T1581" t="inlineStr">
        <is>
          <t>https://tenders.iglonline.net/uploads/tender/Corrigendum_4_17490.pdf</t>
        </is>
      </c>
      <c r="U1581" t="inlineStr">
        <is>
          <t>No</t>
        </is>
      </c>
      <c r="V1581" t="inlineStr">
        <is>
          <t>Bot tarafindan tespit edildi (2026-07-01)</t>
        </is>
      </c>
    </row>
    <row r="1582">
      <c r="A1582" t="inlineStr">
        <is>
          <t>T-1386</t>
        </is>
      </c>
      <c r="B1582" t="inlineStr">
        <is>
          <t>Indraprastha Gas (IGL)</t>
        </is>
      </c>
      <c r="C1582" t="inlineStr">
        <is>
          <t>Indraprastha Gas (IGL)</t>
        </is>
      </c>
      <c r="F1582" t="inlineStr">
        <is>
          <t>New Lead</t>
        </is>
      </c>
      <c r="H1582" t="inlineStr">
        <is>
          <t>View Tender</t>
        </is>
      </c>
      <c r="K1582" t="inlineStr">
        <is>
          <t>Not found</t>
        </is>
      </c>
      <c r="L1582" t="inlineStr">
        <is>
          <t>Unknown</t>
        </is>
      </c>
      <c r="T1582" t="inlineStr">
        <is>
          <t>https://tenders.iglonline.net/tenderDetail/139/Active Tenders And Corrigendum-Addendum</t>
        </is>
      </c>
      <c r="U1582" t="inlineStr">
        <is>
          <t>No</t>
        </is>
      </c>
      <c r="V1582" t="inlineStr">
        <is>
          <t>Bot tarafindan tespit edildi (2026-07-01)</t>
        </is>
      </c>
    </row>
    <row r="1583">
      <c r="A1583" t="inlineStr">
        <is>
          <t>T-1387</t>
        </is>
      </c>
      <c r="B1583" t="inlineStr">
        <is>
          <t>Indraprastha Gas (IGL)</t>
        </is>
      </c>
      <c r="C1583" t="inlineStr">
        <is>
          <t>Indraprastha Gas (IGL)</t>
        </is>
      </c>
      <c r="F1583" t="inlineStr">
        <is>
          <t>New Lead</t>
        </is>
      </c>
      <c r="H1583" t="inlineStr">
        <is>
          <t>View Tender</t>
        </is>
      </c>
      <c r="K1583" t="inlineStr">
        <is>
          <t>Not found</t>
        </is>
      </c>
      <c r="L1583" t="inlineStr">
        <is>
          <t>Unknown</t>
        </is>
      </c>
      <c r="T1583" t="inlineStr">
        <is>
          <t>https://tenders.iglonline.net/tenderDetail/138/Active Tenders And Corrigendum-Addendum</t>
        </is>
      </c>
      <c r="U1583" t="inlineStr">
        <is>
          <t>No</t>
        </is>
      </c>
      <c r="V1583" t="inlineStr">
        <is>
          <t>Bot tarafindan tespit edildi (2026-07-01)</t>
        </is>
      </c>
    </row>
    <row r="1584">
      <c r="A1584" t="inlineStr">
        <is>
          <t>T-1388</t>
        </is>
      </c>
      <c r="B1584" t="inlineStr">
        <is>
          <t>Indraprastha Gas (IGL)</t>
        </is>
      </c>
      <c r="C1584" t="inlineStr">
        <is>
          <t>Indraprastha Gas (IGL)</t>
        </is>
      </c>
      <c r="F1584" t="inlineStr">
        <is>
          <t>New Lead</t>
        </is>
      </c>
      <c r="H1584" t="inlineStr">
        <is>
          <t>Reply_to_Prebid_Queries_CC17486.pdf</t>
        </is>
      </c>
      <c r="K1584" t="inlineStr">
        <is>
          <t>Not found</t>
        </is>
      </c>
      <c r="L1584" t="inlineStr">
        <is>
          <t>Unknown</t>
        </is>
      </c>
      <c r="T1584" t="inlineStr">
        <is>
          <t>https://tenders.iglonline.net/uploads/tender/Reply_to_Prebid_Queries_CC17486.pdf</t>
        </is>
      </c>
      <c r="U1584" t="inlineStr">
        <is>
          <t>No</t>
        </is>
      </c>
      <c r="V1584" t="inlineStr">
        <is>
          <t>Bot tarafindan tespit edildi (2026-07-01)</t>
        </is>
      </c>
    </row>
    <row r="1585">
      <c r="A1585" t="inlineStr">
        <is>
          <t>T-1389</t>
        </is>
      </c>
      <c r="B1585" t="inlineStr">
        <is>
          <t>Indraprastha Gas (IGL)</t>
        </is>
      </c>
      <c r="C1585" t="inlineStr">
        <is>
          <t>Indraprastha Gas (IGL)</t>
        </is>
      </c>
      <c r="F1585" t="inlineStr">
        <is>
          <t>New Lead</t>
        </is>
      </c>
      <c r="H1585" t="inlineStr">
        <is>
          <t>Commercial_Corrigendum_1_CC17486.pdf</t>
        </is>
      </c>
      <c r="K1585" t="inlineStr">
        <is>
          <t>Not found</t>
        </is>
      </c>
      <c r="L1585" t="inlineStr">
        <is>
          <t>Unknown</t>
        </is>
      </c>
      <c r="T1585" t="inlineStr">
        <is>
          <t>https://tenders.iglonline.net/uploads/tender/Commercial_Corrigendum_1_CC17486.pdf</t>
        </is>
      </c>
      <c r="U1585" t="inlineStr">
        <is>
          <t>No</t>
        </is>
      </c>
      <c r="V1585" t="inlineStr">
        <is>
          <t>Bot tarafindan tespit edildi (2026-07-01)</t>
        </is>
      </c>
    </row>
    <row r="1586">
      <c r="A1586" t="inlineStr">
        <is>
          <t>T-1390</t>
        </is>
      </c>
      <c r="B1586" t="inlineStr">
        <is>
          <t>Indraprastha Gas (IGL)</t>
        </is>
      </c>
      <c r="C1586" t="inlineStr">
        <is>
          <t>Indraprastha Gas (IGL)</t>
        </is>
      </c>
      <c r="F1586" t="inlineStr">
        <is>
          <t>New Lead</t>
        </is>
      </c>
      <c r="H1586" t="inlineStr">
        <is>
          <t>View Tender</t>
        </is>
      </c>
      <c r="K1586" t="inlineStr">
        <is>
          <t>Not found</t>
        </is>
      </c>
      <c r="L1586" t="inlineStr">
        <is>
          <t>Unknown</t>
        </is>
      </c>
      <c r="T1586" t="inlineStr">
        <is>
          <t>https://tenders.iglonline.net/tenderDetail/137/Active Tenders And Corrigendum-Addendum</t>
        </is>
      </c>
      <c r="U1586" t="inlineStr">
        <is>
          <t>No</t>
        </is>
      </c>
      <c r="V1586" t="inlineStr">
        <is>
          <t>Bot tarafindan tespit edildi (2026-07-01)</t>
        </is>
      </c>
    </row>
    <row r="1587">
      <c r="A1587" t="inlineStr">
        <is>
          <t>T-1391</t>
        </is>
      </c>
      <c r="B1587" t="inlineStr">
        <is>
          <t>Indraprastha Gas (IGL)</t>
        </is>
      </c>
      <c r="C1587" t="inlineStr">
        <is>
          <t>Indraprastha Gas (IGL)</t>
        </is>
      </c>
      <c r="F1587" t="inlineStr">
        <is>
          <t>New Lead</t>
        </is>
      </c>
      <c r="H1587" t="inlineStr">
        <is>
          <t>Corrigendum1_xlsx_(1).pdf</t>
        </is>
      </c>
      <c r="K1587" t="inlineStr">
        <is>
          <t>Not found</t>
        </is>
      </c>
      <c r="L1587" t="inlineStr">
        <is>
          <t>Unknown</t>
        </is>
      </c>
      <c r="T1587" t="inlineStr">
        <is>
          <t>https://tenders.iglonline.net/uploads/tender/Corrigendum1_xlsx_(1).pdf</t>
        </is>
      </c>
      <c r="U1587" t="inlineStr">
        <is>
          <t>No</t>
        </is>
      </c>
      <c r="V1587" t="inlineStr">
        <is>
          <t>Bot tarafindan tespit edildi (2026-07-01)</t>
        </is>
      </c>
    </row>
    <row r="1588">
      <c r="A1588" t="inlineStr">
        <is>
          <t>T-1392</t>
        </is>
      </c>
      <c r="B1588" t="inlineStr">
        <is>
          <t>Indraprastha Gas (IGL)</t>
        </is>
      </c>
      <c r="C1588" t="inlineStr">
        <is>
          <t>Indraprastha Gas (IGL)</t>
        </is>
      </c>
      <c r="F1588" t="inlineStr">
        <is>
          <t>New Lead</t>
        </is>
      </c>
      <c r="H1588" t="inlineStr">
        <is>
          <t>View Tender</t>
        </is>
      </c>
      <c r="K1588" t="inlineStr">
        <is>
          <t>Not found</t>
        </is>
      </c>
      <c r="L1588" t="inlineStr">
        <is>
          <t>Unknown</t>
        </is>
      </c>
      <c r="T1588" t="inlineStr">
        <is>
          <t>https://tenders.iglonline.net/tenderDetail/136/Active Tenders And Corrigendum-Addendum</t>
        </is>
      </c>
      <c r="U1588" t="inlineStr">
        <is>
          <t>No</t>
        </is>
      </c>
      <c r="V1588" t="inlineStr">
        <is>
          <t>Bot tarafindan tespit edildi (2026-07-01)</t>
        </is>
      </c>
    </row>
    <row r="1589">
      <c r="A1589" t="inlineStr">
        <is>
          <t>T-1393</t>
        </is>
      </c>
      <c r="B1589" t="inlineStr">
        <is>
          <t>Indraprastha Gas (IGL)</t>
        </is>
      </c>
      <c r="C1589" t="inlineStr">
        <is>
          <t>Indraprastha Gas (IGL)</t>
        </is>
      </c>
      <c r="F1589" t="inlineStr">
        <is>
          <t>New Lead</t>
        </is>
      </c>
      <c r="H1589" t="inlineStr">
        <is>
          <t>Replies_to_bidders_queries_(1).pdf</t>
        </is>
      </c>
      <c r="K1589" t="inlineStr">
        <is>
          <t>Not found</t>
        </is>
      </c>
      <c r="L1589" t="inlineStr">
        <is>
          <t>Unknown</t>
        </is>
      </c>
      <c r="T1589" t="inlineStr">
        <is>
          <t>https://tenders.iglonline.net/uploads/tender/Replies_to_bidders_queries_(1).pdf</t>
        </is>
      </c>
      <c r="U1589" t="inlineStr">
        <is>
          <t>No</t>
        </is>
      </c>
      <c r="V1589" t="inlineStr">
        <is>
          <t>Bot tarafindan tespit edildi (2026-07-01)</t>
        </is>
      </c>
    </row>
    <row r="1590">
      <c r="A1590" t="inlineStr">
        <is>
          <t>T-1394</t>
        </is>
      </c>
      <c r="B1590" t="inlineStr">
        <is>
          <t>Indraprastha Gas (IGL)</t>
        </is>
      </c>
      <c r="C1590" t="inlineStr">
        <is>
          <t>Indraprastha Gas (IGL)</t>
        </is>
      </c>
      <c r="F1590" t="inlineStr">
        <is>
          <t>New Lead</t>
        </is>
      </c>
      <c r="H1590" t="inlineStr">
        <is>
          <t>Corrigendum1_xlsx1.pdf</t>
        </is>
      </c>
      <c r="K1590" t="inlineStr">
        <is>
          <t>Not found</t>
        </is>
      </c>
      <c r="L1590" t="inlineStr">
        <is>
          <t>Unknown</t>
        </is>
      </c>
      <c r="T1590" t="inlineStr">
        <is>
          <t>https://tenders.iglonline.net/uploads/tender/Corrigendum1_xlsx1.pdf</t>
        </is>
      </c>
      <c r="U1590" t="inlineStr">
        <is>
          <t>No</t>
        </is>
      </c>
      <c r="V1590" t="inlineStr">
        <is>
          <t>Bot tarafindan tespit edildi (2026-07-01)</t>
        </is>
      </c>
    </row>
    <row r="1591">
      <c r="A1591" t="inlineStr">
        <is>
          <t>T-1395</t>
        </is>
      </c>
      <c r="B1591" t="inlineStr">
        <is>
          <t>Indraprastha Gas (IGL)</t>
        </is>
      </c>
      <c r="C1591" t="inlineStr">
        <is>
          <t>Indraprastha Gas (IGL)</t>
        </is>
      </c>
      <c r="F1591" t="inlineStr">
        <is>
          <t>New Lead</t>
        </is>
      </c>
      <c r="H1591" t="inlineStr">
        <is>
          <t>View Tender</t>
        </is>
      </c>
      <c r="K1591" t="inlineStr">
        <is>
          <t>Not found</t>
        </is>
      </c>
      <c r="L1591" t="inlineStr">
        <is>
          <t>Unknown</t>
        </is>
      </c>
      <c r="T1591" t="inlineStr">
        <is>
          <t>https://tenders.iglonline.net/tenderDetail/135/Active Tenders And Corrigendum-Addendum</t>
        </is>
      </c>
      <c r="U1591" t="inlineStr">
        <is>
          <t>No</t>
        </is>
      </c>
      <c r="V1591" t="inlineStr">
        <is>
          <t>Bot tarafindan tespit edildi (2026-07-01)</t>
        </is>
      </c>
    </row>
    <row r="1592">
      <c r="A1592" t="inlineStr">
        <is>
          <t>T-1396</t>
        </is>
      </c>
      <c r="B1592" t="inlineStr">
        <is>
          <t>Indraprastha Gas (IGL)</t>
        </is>
      </c>
      <c r="C1592" t="inlineStr">
        <is>
          <t>Indraprastha Gas (IGL)</t>
        </is>
      </c>
      <c r="F1592" t="inlineStr">
        <is>
          <t>New Lead</t>
        </is>
      </c>
      <c r="H1592" t="inlineStr">
        <is>
          <t>Corrigendum_1_CM17487.pdf</t>
        </is>
      </c>
      <c r="K1592" t="inlineStr">
        <is>
          <t>Not found</t>
        </is>
      </c>
      <c r="L1592" t="inlineStr">
        <is>
          <t>Unknown</t>
        </is>
      </c>
      <c r="T1592" t="inlineStr">
        <is>
          <t>https://tenders.iglonline.net/uploads/tender/Corrigendum_1_CM17487.pdf</t>
        </is>
      </c>
      <c r="U1592" t="inlineStr">
        <is>
          <t>No</t>
        </is>
      </c>
      <c r="V1592" t="inlineStr">
        <is>
          <t>Bot tarafindan tespit edildi (2026-07-01)</t>
        </is>
      </c>
    </row>
    <row r="1593">
      <c r="A1593" t="inlineStr">
        <is>
          <t>T-1397</t>
        </is>
      </c>
      <c r="B1593" t="inlineStr">
        <is>
          <t>Indraprastha Gas (IGL)</t>
        </is>
      </c>
      <c r="C1593" t="inlineStr">
        <is>
          <t>Indraprastha Gas (IGL)</t>
        </is>
      </c>
      <c r="F1593" t="inlineStr">
        <is>
          <t>New Lead</t>
        </is>
      </c>
      <c r="H1593" t="inlineStr">
        <is>
          <t>View Tender</t>
        </is>
      </c>
      <c r="K1593" t="inlineStr">
        <is>
          <t>Not found</t>
        </is>
      </c>
      <c r="L1593" t="inlineStr">
        <is>
          <t>Unknown</t>
        </is>
      </c>
      <c r="T1593" t="inlineStr">
        <is>
          <t>https://tenders.iglonline.net/tenderDetail/134/Active Tenders And Corrigendum-Addendum</t>
        </is>
      </c>
      <c r="U1593" t="inlineStr">
        <is>
          <t>No</t>
        </is>
      </c>
      <c r="V1593" t="inlineStr">
        <is>
          <t>Bot tarafindan tespit edildi (2026-07-01)</t>
        </is>
      </c>
    </row>
    <row r="1594">
      <c r="A1594" t="inlineStr">
        <is>
          <t>T-1398</t>
        </is>
      </c>
      <c r="B1594" t="inlineStr">
        <is>
          <t>Indraprastha Gas (IGL)</t>
        </is>
      </c>
      <c r="C1594" t="inlineStr">
        <is>
          <t>Indraprastha Gas (IGL)</t>
        </is>
      </c>
      <c r="F1594" t="inlineStr">
        <is>
          <t>New Lead</t>
        </is>
      </c>
      <c r="H1594" t="inlineStr">
        <is>
          <t>Commercial_Corrigendum_1_CC17481.pdf</t>
        </is>
      </c>
      <c r="K1594" t="inlineStr">
        <is>
          <t>Not found</t>
        </is>
      </c>
      <c r="L1594" t="inlineStr">
        <is>
          <t>Unknown</t>
        </is>
      </c>
      <c r="T1594" t="inlineStr">
        <is>
          <t>https://tenders.iglonline.net/uploads/tender/Commercial_Corrigendum_1_CC17481.pdf</t>
        </is>
      </c>
      <c r="U1594" t="inlineStr">
        <is>
          <t>No</t>
        </is>
      </c>
      <c r="V1594" t="inlineStr">
        <is>
          <t>Bot tarafindan tespit edildi (2026-07-01)</t>
        </is>
      </c>
    </row>
    <row r="1595">
      <c r="A1595" t="inlineStr">
        <is>
          <t>T-1399</t>
        </is>
      </c>
      <c r="B1595" t="inlineStr">
        <is>
          <t>Indraprastha Gas (IGL)</t>
        </is>
      </c>
      <c r="C1595" t="inlineStr">
        <is>
          <t>Indraprastha Gas (IGL)</t>
        </is>
      </c>
      <c r="F1595" t="inlineStr">
        <is>
          <t>New Lead</t>
        </is>
      </c>
      <c r="H1595" t="inlineStr">
        <is>
          <t>Reply_Pre-Bid_Queries_CC17481.pdf</t>
        </is>
      </c>
      <c r="K1595" t="inlineStr">
        <is>
          <t>Not found</t>
        </is>
      </c>
      <c r="L1595" t="inlineStr">
        <is>
          <t>Unknown</t>
        </is>
      </c>
      <c r="T1595" t="inlineStr">
        <is>
          <t>https://tenders.iglonline.net/uploads/tender/Reply_Pre-Bid_Queries_CC17481.pdf</t>
        </is>
      </c>
      <c r="U1595" t="inlineStr">
        <is>
          <t>No</t>
        </is>
      </c>
      <c r="V1595" t="inlineStr">
        <is>
          <t>Bot tarafindan tespit edildi (2026-07-01)</t>
        </is>
      </c>
    </row>
    <row r="1596">
      <c r="A1596" t="inlineStr">
        <is>
          <t>T-1400</t>
        </is>
      </c>
      <c r="B1596" t="inlineStr">
        <is>
          <t>Indraprastha Gas (IGL)</t>
        </is>
      </c>
      <c r="C1596" t="inlineStr">
        <is>
          <t>Indraprastha Gas (IGL)</t>
        </is>
      </c>
      <c r="F1596" t="inlineStr">
        <is>
          <t>New Lead</t>
        </is>
      </c>
      <c r="H1596" t="inlineStr">
        <is>
          <t>View Tender</t>
        </is>
      </c>
      <c r="K1596" t="inlineStr">
        <is>
          <t>Not found</t>
        </is>
      </c>
      <c r="L1596" t="inlineStr">
        <is>
          <t>Unknown</t>
        </is>
      </c>
      <c r="T1596" t="inlineStr">
        <is>
          <t>https://tenders.iglonline.net/tenderDetail/133/Active Tenders And Corrigendum-Addendum</t>
        </is>
      </c>
      <c r="U1596" t="inlineStr">
        <is>
          <t>No</t>
        </is>
      </c>
      <c r="V1596" t="inlineStr">
        <is>
          <t>Bot tarafindan tespit edildi (2026-07-01)</t>
        </is>
      </c>
    </row>
    <row r="1597">
      <c r="A1597" t="inlineStr">
        <is>
          <t>T-1401</t>
        </is>
      </c>
      <c r="B1597" t="inlineStr">
        <is>
          <t>Indraprastha Gas (IGL)</t>
        </is>
      </c>
      <c r="C1597" t="inlineStr">
        <is>
          <t>Indraprastha Gas (IGL)</t>
        </is>
      </c>
      <c r="F1597" t="inlineStr">
        <is>
          <t>New Lead</t>
        </is>
      </c>
      <c r="H1597" t="inlineStr">
        <is>
          <t>CP17374_dated_13_02_2023_TID_30998_Corrigendum_2.pdf</t>
        </is>
      </c>
      <c r="K1597" t="inlineStr">
        <is>
          <t>Not found</t>
        </is>
      </c>
      <c r="L1597" t="inlineStr">
        <is>
          <t>Unknown</t>
        </is>
      </c>
      <c r="T1597" t="inlineStr">
        <is>
          <t>https://tenders.iglonline.net/uploads/tender/CP17374_dated_13_02_2023_TID_30998_Corrigendum_2.pdf</t>
        </is>
      </c>
      <c r="U1597" t="inlineStr">
        <is>
          <t>No</t>
        </is>
      </c>
      <c r="V1597" t="inlineStr">
        <is>
          <t>Bot tarafindan tespit edildi (2026-07-01)</t>
        </is>
      </c>
    </row>
    <row r="1598">
      <c r="A1598" t="inlineStr">
        <is>
          <t>T-1402</t>
        </is>
      </c>
      <c r="B1598" t="inlineStr">
        <is>
          <t>Indraprastha Gas (IGL)</t>
        </is>
      </c>
      <c r="C1598" t="inlineStr">
        <is>
          <t>Indraprastha Gas (IGL)</t>
        </is>
      </c>
      <c r="F1598" t="inlineStr">
        <is>
          <t>New Lead</t>
        </is>
      </c>
      <c r="H1598" t="inlineStr">
        <is>
          <t>CP17374_dated_13_02_2023_TID_30998_Replies_to_bidders_queries.pdf</t>
        </is>
      </c>
      <c r="K1598" t="inlineStr">
        <is>
          <t>Not found</t>
        </is>
      </c>
      <c r="L1598" t="inlineStr">
        <is>
          <t>Unknown</t>
        </is>
      </c>
      <c r="T1598" t="inlineStr">
        <is>
          <t>https://tenders.iglonline.net/uploads/tender/CP17374_dated_13_02_2023_TID_30998_Replies_to_bidders_queries.pdf</t>
        </is>
      </c>
      <c r="U1598" t="inlineStr">
        <is>
          <t>No</t>
        </is>
      </c>
      <c r="V1598" t="inlineStr">
        <is>
          <t>Bot tarafindan tespit edildi (2026-07-01)</t>
        </is>
      </c>
    </row>
    <row r="1599">
      <c r="A1599" t="inlineStr">
        <is>
          <t>T-1403</t>
        </is>
      </c>
      <c r="B1599" t="inlineStr">
        <is>
          <t>Indraprastha Gas (IGL)</t>
        </is>
      </c>
      <c r="C1599" t="inlineStr">
        <is>
          <t>Indraprastha Gas (IGL)</t>
        </is>
      </c>
      <c r="F1599" t="inlineStr">
        <is>
          <t>New Lead</t>
        </is>
      </c>
      <c r="H1599" t="inlineStr">
        <is>
          <t>CP17374_dated_13_02_2023_TID_30998_Corrigendum_1.pdf</t>
        </is>
      </c>
      <c r="K1599" t="inlineStr">
        <is>
          <t>Not found</t>
        </is>
      </c>
      <c r="L1599" t="inlineStr">
        <is>
          <t>Unknown</t>
        </is>
      </c>
      <c r="T1599" t="inlineStr">
        <is>
          <t>https://tenders.iglonline.net/uploads/tender/CP17374_dated_13_02_2023_TID_30998_Corrigendum_1.pdf</t>
        </is>
      </c>
      <c r="U1599" t="inlineStr">
        <is>
          <t>No</t>
        </is>
      </c>
      <c r="V1599" t="inlineStr">
        <is>
          <t>Bot tarafindan tespit edildi (2026-07-01)</t>
        </is>
      </c>
    </row>
    <row r="1600">
      <c r="A1600" t="inlineStr">
        <is>
          <t>T-1404</t>
        </is>
      </c>
      <c r="B1600" t="inlineStr">
        <is>
          <t>Indraprastha Gas (IGL)</t>
        </is>
      </c>
      <c r="C1600" t="inlineStr">
        <is>
          <t>Indraprastha Gas (IGL)</t>
        </is>
      </c>
      <c r="F1600" t="inlineStr">
        <is>
          <t>New Lead</t>
        </is>
      </c>
      <c r="H1600" t="inlineStr">
        <is>
          <t>View Tender</t>
        </is>
      </c>
      <c r="K1600" t="inlineStr">
        <is>
          <t>Not found</t>
        </is>
      </c>
      <c r="L1600" t="inlineStr">
        <is>
          <t>Unknown</t>
        </is>
      </c>
      <c r="T1600" t="inlineStr">
        <is>
          <t>https://tenders.iglonline.net/tenderDetail/132/Active Tenders And Corrigendum-Addendum</t>
        </is>
      </c>
      <c r="U1600" t="inlineStr">
        <is>
          <t>No</t>
        </is>
      </c>
      <c r="V1600" t="inlineStr">
        <is>
          <t>Bot tarafindan tespit edildi (2026-07-01)</t>
        </is>
      </c>
    </row>
    <row r="1601">
      <c r="A1601" t="inlineStr">
        <is>
          <t>T-1405</t>
        </is>
      </c>
      <c r="B1601" t="inlineStr">
        <is>
          <t>Indraprastha Gas (IGL)</t>
        </is>
      </c>
      <c r="C1601" t="inlineStr">
        <is>
          <t>Indraprastha Gas (IGL)</t>
        </is>
      </c>
      <c r="F1601" t="inlineStr">
        <is>
          <t>New Lead</t>
        </is>
      </c>
      <c r="H1601" t="inlineStr">
        <is>
          <t>CP17390_dated_07_03_2023_TID_31007_Corrigendum_3_CP173902.pdf</t>
        </is>
      </c>
      <c r="K1601" t="inlineStr">
        <is>
          <t>Not found</t>
        </is>
      </c>
      <c r="L1601" t="inlineStr">
        <is>
          <t>Unknown</t>
        </is>
      </c>
      <c r="T1601" t="inlineStr">
        <is>
          <t>https://tenders.iglonline.net/uploads/tender/CP17390_dated_07_03_2023_TID_31007_Corrigendum_3_CP173902.pdf</t>
        </is>
      </c>
      <c r="U1601" t="inlineStr">
        <is>
          <t>No</t>
        </is>
      </c>
      <c r="V1601" t="inlineStr">
        <is>
          <t>Bot tarafindan tespit edildi (2026-07-01)</t>
        </is>
      </c>
    </row>
    <row r="1602">
      <c r="A1602" t="inlineStr">
        <is>
          <t>T-1406</t>
        </is>
      </c>
      <c r="B1602" t="inlineStr">
        <is>
          <t>Indraprastha Gas (IGL)</t>
        </is>
      </c>
      <c r="C1602" t="inlineStr">
        <is>
          <t>Indraprastha Gas (IGL)</t>
        </is>
      </c>
      <c r="F1602" t="inlineStr">
        <is>
          <t>New Lead</t>
        </is>
      </c>
      <c r="H1602" t="inlineStr">
        <is>
          <t>CP17390_dated_07_03_2023_TID_31007_Replies_to_bidders_queries2.pdf</t>
        </is>
      </c>
      <c r="K1602" t="inlineStr">
        <is>
          <t>Not found</t>
        </is>
      </c>
      <c r="L1602" t="inlineStr">
        <is>
          <t>Unknown</t>
        </is>
      </c>
      <c r="T1602" t="inlineStr">
        <is>
          <t>https://tenders.iglonline.net/uploads/tender/CP17390_dated_07_03_2023_TID_31007_Replies_to_bidders_queries2.pdf</t>
        </is>
      </c>
      <c r="U1602" t="inlineStr">
        <is>
          <t>No</t>
        </is>
      </c>
      <c r="V1602" t="inlineStr">
        <is>
          <t>Bot tarafindan tespit edildi (2026-07-01)</t>
        </is>
      </c>
    </row>
    <row r="1603">
      <c r="A1603" t="inlineStr">
        <is>
          <t>T-1407</t>
        </is>
      </c>
      <c r="B1603" t="inlineStr">
        <is>
          <t>Indraprastha Gas (IGL)</t>
        </is>
      </c>
      <c r="C1603" t="inlineStr">
        <is>
          <t>Indraprastha Gas (IGL)</t>
        </is>
      </c>
      <c r="F1603" t="inlineStr">
        <is>
          <t>New Lead</t>
        </is>
      </c>
      <c r="H1603" t="inlineStr">
        <is>
          <t>CP17390_dated_07_03_2023_TID_31007_Corrigendum_21.pdf</t>
        </is>
      </c>
      <c r="K1603" t="inlineStr">
        <is>
          <t>Not found</t>
        </is>
      </c>
      <c r="L1603" t="inlineStr">
        <is>
          <t>Unknown</t>
        </is>
      </c>
      <c r="T1603" t="inlineStr">
        <is>
          <t>https://tenders.iglonline.net/uploads/tender/CP17390_dated_07_03_2023_TID_31007_Corrigendum_21.pdf</t>
        </is>
      </c>
      <c r="U1603" t="inlineStr">
        <is>
          <t>No</t>
        </is>
      </c>
      <c r="V1603" t="inlineStr">
        <is>
          <t>Bot tarafindan tespit edildi (2026-07-01)</t>
        </is>
      </c>
    </row>
    <row r="1604">
      <c r="A1604" t="inlineStr">
        <is>
          <t>T-1408</t>
        </is>
      </c>
      <c r="B1604" t="inlineStr">
        <is>
          <t>Indraprastha Gas (IGL)</t>
        </is>
      </c>
      <c r="C1604" t="inlineStr">
        <is>
          <t>Indraprastha Gas (IGL)</t>
        </is>
      </c>
      <c r="F1604" t="inlineStr">
        <is>
          <t>New Lead</t>
        </is>
      </c>
      <c r="H1604" t="inlineStr">
        <is>
          <t>CP17390_dated_07_03_2023_TID_31007_Corrigendum_1_Annex.pdf</t>
        </is>
      </c>
      <c r="K1604" t="inlineStr">
        <is>
          <t>Not found</t>
        </is>
      </c>
      <c r="L1604" t="inlineStr">
        <is>
          <t>Unknown</t>
        </is>
      </c>
      <c r="T1604" t="inlineStr">
        <is>
          <t>https://tenders.iglonline.net/uploads/tender/CP17390_dated_07_03_2023_TID_31007_Corrigendum_1_Annex.pdf</t>
        </is>
      </c>
      <c r="U1604" t="inlineStr">
        <is>
          <t>No</t>
        </is>
      </c>
      <c r="V1604" t="inlineStr">
        <is>
          <t>Bot tarafindan tespit edildi (2026-07-01)</t>
        </is>
      </c>
    </row>
    <row r="1605">
      <c r="A1605" t="inlineStr">
        <is>
          <t>T-1409</t>
        </is>
      </c>
      <c r="B1605" t="inlineStr">
        <is>
          <t>Indraprastha Gas (IGL)</t>
        </is>
      </c>
      <c r="C1605" t="inlineStr">
        <is>
          <t>Indraprastha Gas (IGL)</t>
        </is>
      </c>
      <c r="F1605" t="inlineStr">
        <is>
          <t>New Lead</t>
        </is>
      </c>
      <c r="H1605" t="inlineStr">
        <is>
          <t>View Tender</t>
        </is>
      </c>
      <c r="K1605" t="inlineStr">
        <is>
          <t>Not found</t>
        </is>
      </c>
      <c r="L1605" t="inlineStr">
        <is>
          <t>Unknown</t>
        </is>
      </c>
      <c r="T1605" t="inlineStr">
        <is>
          <t>https://tenders.iglonline.net/tenderDetail/131/Active Tenders And Corrigendum-Addendum</t>
        </is>
      </c>
      <c r="U1605" t="inlineStr">
        <is>
          <t>No</t>
        </is>
      </c>
      <c r="V1605" t="inlineStr">
        <is>
          <t>Bot tarafindan tespit edildi (2026-07-01)</t>
        </is>
      </c>
    </row>
    <row r="1606">
      <c r="A1606" t="inlineStr">
        <is>
          <t>T-1410</t>
        </is>
      </c>
      <c r="B1606" t="inlineStr">
        <is>
          <t>Indraprastha Gas (IGL)</t>
        </is>
      </c>
      <c r="C1606" t="inlineStr">
        <is>
          <t>Indraprastha Gas (IGL)</t>
        </is>
      </c>
      <c r="F1606" t="inlineStr">
        <is>
          <t>New Lead</t>
        </is>
      </c>
      <c r="H1606" t="inlineStr">
        <is>
          <t>Corrigendum_1_CP17429.pdf</t>
        </is>
      </c>
      <c r="K1606" t="inlineStr">
        <is>
          <t>Not found</t>
        </is>
      </c>
      <c r="L1606" t="inlineStr">
        <is>
          <t>Unknown</t>
        </is>
      </c>
      <c r="T1606" t="inlineStr">
        <is>
          <t>https://tenders.iglonline.net/uploads/tender/Corrigendum_1_CP17429.pdf</t>
        </is>
      </c>
      <c r="U1606" t="inlineStr">
        <is>
          <t>No</t>
        </is>
      </c>
      <c r="V1606" t="inlineStr">
        <is>
          <t>Bot tarafindan tespit edildi (2026-07-01)</t>
        </is>
      </c>
    </row>
    <row r="1607">
      <c r="A1607" t="inlineStr">
        <is>
          <t>T-1411</t>
        </is>
      </c>
      <c r="B1607" t="inlineStr">
        <is>
          <t>Indraprastha Gas (IGL)</t>
        </is>
      </c>
      <c r="C1607" t="inlineStr">
        <is>
          <t>Indraprastha Gas (IGL)</t>
        </is>
      </c>
      <c r="F1607" t="inlineStr">
        <is>
          <t>New Lead</t>
        </is>
      </c>
      <c r="H1607" t="inlineStr">
        <is>
          <t>Corrigendum_22.pdf</t>
        </is>
      </c>
      <c r="K1607" t="inlineStr">
        <is>
          <t>Not found</t>
        </is>
      </c>
      <c r="L1607" t="inlineStr">
        <is>
          <t>Unknown</t>
        </is>
      </c>
      <c r="T1607" t="inlineStr">
        <is>
          <t>https://tenders.iglonline.net/uploads/tender/Corrigendum_22.pdf</t>
        </is>
      </c>
      <c r="U1607" t="inlineStr">
        <is>
          <t>No</t>
        </is>
      </c>
      <c r="V1607" t="inlineStr">
        <is>
          <t>Bot tarafindan tespit edildi (2026-07-01)</t>
        </is>
      </c>
    </row>
    <row r="1608">
      <c r="A1608" t="inlineStr">
        <is>
          <t>T-1412</t>
        </is>
      </c>
      <c r="B1608" t="inlineStr">
        <is>
          <t>Indraprastha Gas (IGL)</t>
        </is>
      </c>
      <c r="C1608" t="inlineStr">
        <is>
          <t>Indraprastha Gas (IGL)</t>
        </is>
      </c>
      <c r="F1608" t="inlineStr">
        <is>
          <t>New Lead</t>
        </is>
      </c>
      <c r="H1608" t="inlineStr">
        <is>
          <t>Replies_to_bidders_queries.pdf</t>
        </is>
      </c>
      <c r="K1608" t="inlineStr">
        <is>
          <t>Not found</t>
        </is>
      </c>
      <c r="L1608" t="inlineStr">
        <is>
          <t>Unknown</t>
        </is>
      </c>
      <c r="T1608" t="inlineStr">
        <is>
          <t>https://tenders.iglonline.net/uploads/tender/Replies_to_bidders_queries.pdf</t>
        </is>
      </c>
      <c r="U1608" t="inlineStr">
        <is>
          <t>No</t>
        </is>
      </c>
      <c r="V1608" t="inlineStr">
        <is>
          <t>Bot tarafindan tespit edildi (2026-07-01)</t>
        </is>
      </c>
    </row>
    <row r="1609">
      <c r="A1609" t="inlineStr">
        <is>
          <t>T-1413</t>
        </is>
      </c>
      <c r="B1609" t="inlineStr">
        <is>
          <t>Indraprastha Gas (IGL)</t>
        </is>
      </c>
      <c r="C1609" t="inlineStr">
        <is>
          <t>Indraprastha Gas (IGL)</t>
        </is>
      </c>
      <c r="F1609" t="inlineStr">
        <is>
          <t>New Lead</t>
        </is>
      </c>
      <c r="H1609" t="inlineStr">
        <is>
          <t>Corrigendum_3_(1).pdf</t>
        </is>
      </c>
      <c r="K1609" t="inlineStr">
        <is>
          <t>Not found</t>
        </is>
      </c>
      <c r="L1609" t="inlineStr">
        <is>
          <t>Unknown</t>
        </is>
      </c>
      <c r="T1609" t="inlineStr">
        <is>
          <t>https://tenders.iglonline.net/uploads/tender/Corrigendum_3_(1).pdf</t>
        </is>
      </c>
      <c r="U1609" t="inlineStr">
        <is>
          <t>No</t>
        </is>
      </c>
      <c r="V1609" t="inlineStr">
        <is>
          <t>Bot tarafindan tespit edildi (2026-07-01)</t>
        </is>
      </c>
    </row>
    <row r="1610">
      <c r="A1610" t="inlineStr">
        <is>
          <t>T-1414</t>
        </is>
      </c>
      <c r="B1610" t="inlineStr">
        <is>
          <t>Indraprastha Gas (IGL)</t>
        </is>
      </c>
      <c r="C1610" t="inlineStr">
        <is>
          <t>Indraprastha Gas (IGL)</t>
        </is>
      </c>
      <c r="F1610" t="inlineStr">
        <is>
          <t>New Lead</t>
        </is>
      </c>
      <c r="G1610" t="inlineStr">
        <is>
          <t>Regulating station</t>
        </is>
      </c>
      <c r="H1610" t="inlineStr">
        <is>
          <t>View Tender</t>
        </is>
      </c>
      <c r="K1610" t="inlineStr">
        <is>
          <t>Not found</t>
        </is>
      </c>
      <c r="L1610" t="inlineStr">
        <is>
          <t>Unknown</t>
        </is>
      </c>
      <c r="T1610" t="inlineStr">
        <is>
          <t>https://tenders.iglonline.net/tenderDetail/130/Active Tenders And Corrigendum-Addendum</t>
        </is>
      </c>
      <c r="U1610" t="inlineStr">
        <is>
          <t>No</t>
        </is>
      </c>
      <c r="V1610"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1">
      <c r="A1611" t="inlineStr">
        <is>
          <t>T-1415</t>
        </is>
      </c>
      <c r="B1611" t="inlineStr">
        <is>
          <t>Indraprastha Gas (IGL)</t>
        </is>
      </c>
      <c r="C1611" t="inlineStr">
        <is>
          <t>Indraprastha Gas (IGL)</t>
        </is>
      </c>
      <c r="D1611" t="inlineStr">
        <is>
          <t>IGL/ET2/CP/CP17432</t>
        </is>
      </c>
      <c r="F1611" t="inlineStr">
        <is>
          <t>Awarded</t>
        </is>
      </c>
      <c r="G1611" t="inlineStr">
        <is>
          <t>MRS</t>
        </is>
      </c>
      <c r="H1611" t="inlineStr">
        <is>
          <t>Corrigendum_2.pdf</t>
        </is>
      </c>
      <c r="K1611" t="inlineStr">
        <is>
          <t>Not found</t>
        </is>
      </c>
      <c r="L1611" t="inlineStr">
        <is>
          <t>Unknown</t>
        </is>
      </c>
      <c r="T1611" t="inlineStr">
        <is>
          <t>https://tenders.iglonline.net/uploads/tender/Corrigendum_2.pdf</t>
        </is>
      </c>
      <c r="U1611" t="inlineStr">
        <is>
          <t>No</t>
        </is>
      </c>
      <c r="V161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2">
      <c r="A1612" t="inlineStr">
        <is>
          <t>T-1416</t>
        </is>
      </c>
      <c r="B1612" t="inlineStr">
        <is>
          <t>Indraprastha Gas (IGL)</t>
        </is>
      </c>
      <c r="C1612" t="inlineStr">
        <is>
          <t>Indraprastha Gas (IGL)</t>
        </is>
      </c>
      <c r="D1612" t="inlineStr">
        <is>
          <t>IGL/ET2/CP/CP17432</t>
        </is>
      </c>
      <c r="F1612" t="inlineStr">
        <is>
          <t>Awarded</t>
        </is>
      </c>
      <c r="G1612" t="inlineStr">
        <is>
          <t>MRS</t>
        </is>
      </c>
      <c r="H1612" t="inlineStr">
        <is>
          <t>Corrigendum_3.pdf</t>
        </is>
      </c>
      <c r="K1612" t="inlineStr">
        <is>
          <t>Not found</t>
        </is>
      </c>
      <c r="L1612" t="inlineStr">
        <is>
          <t>Unknown</t>
        </is>
      </c>
      <c r="T1612" t="inlineStr">
        <is>
          <t>https://tenders.iglonline.net/uploads/tender/Corrigendum_3.pdf</t>
        </is>
      </c>
      <c r="U1612" t="inlineStr">
        <is>
          <t>No</t>
        </is>
      </c>
      <c r="V1612"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3">
      <c r="A1613" t="inlineStr">
        <is>
          <t>T-1417</t>
        </is>
      </c>
      <c r="B1613" t="inlineStr">
        <is>
          <t>Indraprastha Gas (IGL)</t>
        </is>
      </c>
      <c r="C1613" t="inlineStr">
        <is>
          <t>Indraprastha Gas (IGL)</t>
        </is>
      </c>
      <c r="D1613" t="inlineStr">
        <is>
          <t>IGL/ET2/CP/CP17432</t>
        </is>
      </c>
      <c r="F1613" t="inlineStr">
        <is>
          <t>Awarded</t>
        </is>
      </c>
      <c r="G1613" t="inlineStr">
        <is>
          <t>MRS</t>
        </is>
      </c>
      <c r="H1613" t="inlineStr">
        <is>
          <t>Corrigendum_1_(5).pdf</t>
        </is>
      </c>
      <c r="K1613" t="inlineStr">
        <is>
          <t>Not found</t>
        </is>
      </c>
      <c r="L1613" t="inlineStr">
        <is>
          <t>Unknown</t>
        </is>
      </c>
      <c r="T1613" t="inlineStr">
        <is>
          <t>https://tenders.iglonline.net/uploads/tender/Corrigendum_1_(5).pdf</t>
        </is>
      </c>
      <c r="U1613" t="inlineStr">
        <is>
          <t>No</t>
        </is>
      </c>
      <c r="V161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4">
      <c r="A1614" t="inlineStr">
        <is>
          <t>T-1418</t>
        </is>
      </c>
      <c r="B1614" t="inlineStr">
        <is>
          <t>Indraprastha Gas (IGL)</t>
        </is>
      </c>
      <c r="C1614" t="inlineStr">
        <is>
          <t>Indraprastha Gas (IGL)</t>
        </is>
      </c>
      <c r="F1614" t="inlineStr">
        <is>
          <t>New Lead</t>
        </is>
      </c>
      <c r="H1614" t="inlineStr">
        <is>
          <t>View Tender</t>
        </is>
      </c>
      <c r="K1614" t="inlineStr">
        <is>
          <t>Not found</t>
        </is>
      </c>
      <c r="L1614" t="inlineStr">
        <is>
          <t>Unknown</t>
        </is>
      </c>
      <c r="T1614" t="inlineStr">
        <is>
          <t>https://tenders.iglonline.net/tenderDetail/129/Active Tenders And Corrigendum-Addendum</t>
        </is>
      </c>
      <c r="U1614" t="inlineStr">
        <is>
          <t>No</t>
        </is>
      </c>
      <c r="V1614" t="inlineStr">
        <is>
          <t>Bot tarafindan tespit edildi (2026-07-01)</t>
        </is>
      </c>
    </row>
    <row r="1615">
      <c r="A1615" t="inlineStr">
        <is>
          <t>T-1419</t>
        </is>
      </c>
      <c r="B1615" t="inlineStr">
        <is>
          <t>Indraprastha Gas (IGL)</t>
        </is>
      </c>
      <c r="C1615" t="inlineStr">
        <is>
          <t>Indraprastha Gas (IGL)</t>
        </is>
      </c>
      <c r="F1615" t="inlineStr">
        <is>
          <t>New Lead</t>
        </is>
      </c>
      <c r="G1615" t="inlineStr">
        <is>
          <t>Unclassified</t>
        </is>
      </c>
      <c r="H1615" t="inlineStr">
        <is>
          <t>Corrigendum-I.pdf</t>
        </is>
      </c>
      <c r="K1615" t="inlineStr">
        <is>
          <t>Not found</t>
        </is>
      </c>
      <c r="L1615" t="inlineStr">
        <is>
          <t>Unknown</t>
        </is>
      </c>
      <c r="T1615" t="inlineStr">
        <is>
          <t>https://tenders.iglonline.net/uploads/tender/Corrigendum-I.pdf</t>
        </is>
      </c>
      <c r="U1615" t="inlineStr">
        <is>
          <t>No</t>
        </is>
      </c>
      <c r="V1615" t="inlineStr">
        <is>
          <t>Bot tarafindan tespit edildi (2026-07-01); Bot tespit/zenginlestirme (2026-07-01); meta:score=40;priority=Medium;source_type=html_table;closing_date=;equipment=Unclassified;reasons=document source,quantity signal</t>
        </is>
      </c>
    </row>
    <row r="1616">
      <c r="A1616" t="inlineStr">
        <is>
          <t>T-1420</t>
        </is>
      </c>
      <c r="B1616" t="inlineStr">
        <is>
          <t>Indraprastha Gas (IGL)</t>
        </is>
      </c>
      <c r="C1616" t="inlineStr">
        <is>
          <t>Indraprastha Gas (IGL)</t>
        </is>
      </c>
      <c r="F1616" t="inlineStr">
        <is>
          <t>New Lead</t>
        </is>
      </c>
      <c r="G1616" t="inlineStr">
        <is>
          <t>Unclassified</t>
        </is>
      </c>
      <c r="H1616" t="inlineStr">
        <is>
          <t>Corrigendum-II.pdf</t>
        </is>
      </c>
      <c r="K1616" t="inlineStr">
        <is>
          <t>Not found</t>
        </is>
      </c>
      <c r="L1616" t="inlineStr">
        <is>
          <t>Unknown</t>
        </is>
      </c>
      <c r="T1616" t="inlineStr">
        <is>
          <t>https://tenders.iglonline.net/uploads/tender/Corrigendum-II.pdf</t>
        </is>
      </c>
      <c r="U1616" t="inlineStr">
        <is>
          <t>No</t>
        </is>
      </c>
      <c r="V1616" t="inlineStr">
        <is>
          <t>Bot tarafindan tespit edildi (2026-07-01); Bot tespit/zenginlestirme (2026-07-01); meta:score=40;priority=Medium;source_type=html_table;closing_date=;equipment=Unclassified;reasons=document source,quantity signal</t>
        </is>
      </c>
    </row>
    <row r="1617">
      <c r="A1617" t="inlineStr">
        <is>
          <t>T-1421</t>
        </is>
      </c>
      <c r="B1617" t="inlineStr">
        <is>
          <t>Indraprastha Gas (IGL)</t>
        </is>
      </c>
      <c r="C1617" t="inlineStr">
        <is>
          <t>Indraprastha Gas (IGL)</t>
        </is>
      </c>
      <c r="F1617" t="inlineStr">
        <is>
          <t>New Lead</t>
        </is>
      </c>
      <c r="G1617" t="inlineStr">
        <is>
          <t>Unclassified</t>
        </is>
      </c>
      <c r="H1617" t="inlineStr">
        <is>
          <t>Corrigendum-III.pdf</t>
        </is>
      </c>
      <c r="K1617" t="inlineStr">
        <is>
          <t>Not found</t>
        </is>
      </c>
      <c r="L1617" t="inlineStr">
        <is>
          <t>Unknown</t>
        </is>
      </c>
      <c r="T1617" t="inlineStr">
        <is>
          <t>https://tenders.iglonline.net/uploads/tender/Corrigendum-III.pdf</t>
        </is>
      </c>
      <c r="U1617" t="inlineStr">
        <is>
          <t>No</t>
        </is>
      </c>
      <c r="V1617" t="inlineStr">
        <is>
          <t>Bot tarafindan tespit edildi (2026-07-01); Bot tespit/zenginlestirme (2026-07-01); meta:score=40;priority=Medium;source_type=html_table;closing_date=;equipment=Unclassified;reasons=document source,quantity signal</t>
        </is>
      </c>
    </row>
    <row r="1618">
      <c r="A1618" t="inlineStr">
        <is>
          <t>T-1422</t>
        </is>
      </c>
      <c r="B1618" t="inlineStr">
        <is>
          <t>Indraprastha Gas (IGL)</t>
        </is>
      </c>
      <c r="C1618" t="inlineStr">
        <is>
          <t>Indraprastha Gas (IGL)</t>
        </is>
      </c>
      <c r="F1618" t="inlineStr">
        <is>
          <t>New Lead</t>
        </is>
      </c>
      <c r="H1618" t="inlineStr">
        <is>
          <t>View Tender</t>
        </is>
      </c>
      <c r="K1618" t="inlineStr">
        <is>
          <t>Not found</t>
        </is>
      </c>
      <c r="L1618" t="inlineStr">
        <is>
          <t>Unknown</t>
        </is>
      </c>
      <c r="T1618" t="inlineStr">
        <is>
          <t>https://tenders.iglonline.net/tenderDetail/128/Active Tenders And Corrigendum-Addendum</t>
        </is>
      </c>
      <c r="U1618" t="inlineStr">
        <is>
          <t>No</t>
        </is>
      </c>
      <c r="V1618" t="inlineStr">
        <is>
          <t>Bot tarafindan tespit edildi (2026-07-01)</t>
        </is>
      </c>
    </row>
    <row r="1619">
      <c r="A1619" t="inlineStr">
        <is>
          <t>T-1423</t>
        </is>
      </c>
      <c r="B1619" t="inlineStr">
        <is>
          <t>Indraprastha Gas (IGL)</t>
        </is>
      </c>
      <c r="C1619" t="inlineStr">
        <is>
          <t>Indraprastha Gas (IGL)</t>
        </is>
      </c>
      <c r="F1619" t="inlineStr">
        <is>
          <t>New Lead</t>
        </is>
      </c>
      <c r="H1619" t="inlineStr">
        <is>
          <t>Corrigendum_I_CC17463.pdf</t>
        </is>
      </c>
      <c r="K1619" t="inlineStr">
        <is>
          <t>Not found</t>
        </is>
      </c>
      <c r="L1619" t="inlineStr">
        <is>
          <t>Unknown</t>
        </is>
      </c>
      <c r="T1619" t="inlineStr">
        <is>
          <t>https://tenders.iglonline.net/uploads/tender/Corrigendum_I_CC17463.pdf</t>
        </is>
      </c>
      <c r="U1619" t="inlineStr">
        <is>
          <t>No</t>
        </is>
      </c>
      <c r="V1619" t="inlineStr">
        <is>
          <t>Bot tarafindan tespit edildi (2026-07-01)</t>
        </is>
      </c>
    </row>
    <row r="1620">
      <c r="A1620" t="inlineStr">
        <is>
          <t>T-1424</t>
        </is>
      </c>
      <c r="B1620" t="inlineStr">
        <is>
          <t>Indraprastha Gas (IGL)</t>
        </is>
      </c>
      <c r="C1620" t="inlineStr">
        <is>
          <t>Indraprastha Gas (IGL)</t>
        </is>
      </c>
      <c r="F1620" t="inlineStr">
        <is>
          <t>New Lead</t>
        </is>
      </c>
      <c r="H1620" t="inlineStr">
        <is>
          <t>Reply_Prebid_Queries_CC17463.pdf</t>
        </is>
      </c>
      <c r="K1620" t="inlineStr">
        <is>
          <t>Not found</t>
        </is>
      </c>
      <c r="L1620" t="inlineStr">
        <is>
          <t>Unknown</t>
        </is>
      </c>
      <c r="T1620" t="inlineStr">
        <is>
          <t>https://tenders.iglonline.net/uploads/tender/Reply_Prebid_Queries_CC17463.pdf</t>
        </is>
      </c>
      <c r="U1620" t="inlineStr">
        <is>
          <t>No</t>
        </is>
      </c>
      <c r="V1620" t="inlineStr">
        <is>
          <t>Bot tarafindan tespit edildi (2026-07-01)</t>
        </is>
      </c>
    </row>
    <row r="1621">
      <c r="A1621" t="inlineStr">
        <is>
          <t>T-1425</t>
        </is>
      </c>
      <c r="B1621" t="inlineStr">
        <is>
          <t>Indraprastha Gas (IGL)</t>
        </is>
      </c>
      <c r="C1621" t="inlineStr">
        <is>
          <t>Indraprastha Gas (IGL)</t>
        </is>
      </c>
      <c r="F1621" t="inlineStr">
        <is>
          <t>New Lead</t>
        </is>
      </c>
      <c r="H1621" t="inlineStr">
        <is>
          <t>Corrigendum_II_CC17463.pdf</t>
        </is>
      </c>
      <c r="K1621" t="inlineStr">
        <is>
          <t>Not found</t>
        </is>
      </c>
      <c r="L1621" t="inlineStr">
        <is>
          <t>Unknown</t>
        </is>
      </c>
      <c r="T1621" t="inlineStr">
        <is>
          <t>https://tenders.iglonline.net/uploads/tender/Corrigendum_II_CC17463.pdf</t>
        </is>
      </c>
      <c r="U1621" t="inlineStr">
        <is>
          <t>No</t>
        </is>
      </c>
      <c r="V1621" t="inlineStr">
        <is>
          <t>Bot tarafindan tespit edildi (2026-07-01)</t>
        </is>
      </c>
    </row>
    <row r="1622">
      <c r="A1622" t="inlineStr">
        <is>
          <t>T-1426</t>
        </is>
      </c>
      <c r="B1622" t="inlineStr">
        <is>
          <t>Indraprastha Gas (IGL)</t>
        </is>
      </c>
      <c r="C1622" t="inlineStr">
        <is>
          <t>Indraprastha Gas (IGL)</t>
        </is>
      </c>
      <c r="F1622" t="inlineStr">
        <is>
          <t>New Lead</t>
        </is>
      </c>
      <c r="G1622" t="inlineStr">
        <is>
          <t>Regulating station</t>
        </is>
      </c>
      <c r="H1622" t="inlineStr">
        <is>
          <t>View Tender</t>
        </is>
      </c>
      <c r="K1622" t="inlineStr">
        <is>
          <t>Not found</t>
        </is>
      </c>
      <c r="L1622" t="inlineStr">
        <is>
          <t>Unknown</t>
        </is>
      </c>
      <c r="T1622" t="inlineStr">
        <is>
          <t>https://tenders.iglonline.net/tenderDetail/127/Active Tenders And Corrigendum-Addendum</t>
        </is>
      </c>
      <c r="U1622" t="inlineStr">
        <is>
          <t>No</t>
        </is>
      </c>
      <c r="V162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3">
      <c r="A1623" t="inlineStr">
        <is>
          <t>T-1427</t>
        </is>
      </c>
      <c r="B1623" t="inlineStr">
        <is>
          <t>Indraprastha Gas (IGL)</t>
        </is>
      </c>
      <c r="C1623" t="inlineStr">
        <is>
          <t>Indraprastha Gas (IGL)</t>
        </is>
      </c>
      <c r="D1623" t="inlineStr">
        <is>
          <t>FORLAYING</t>
        </is>
      </c>
      <c r="F1623" t="inlineStr">
        <is>
          <t>Awarded</t>
        </is>
      </c>
      <c r="G1623" t="inlineStr">
        <is>
          <t>MRS</t>
        </is>
      </c>
      <c r="H1623" t="inlineStr">
        <is>
          <t>Corrigendum_1_CP17431.pdf</t>
        </is>
      </c>
      <c r="K1623" t="inlineStr">
        <is>
          <t>Not found</t>
        </is>
      </c>
      <c r="L1623" t="inlineStr">
        <is>
          <t>Unknown</t>
        </is>
      </c>
      <c r="M1623" t="n">
        <v>100</v>
      </c>
      <c r="T1623" t="inlineStr">
        <is>
          <t>https://tenders.iglonline.net/uploads/tender/Corrigendum_1_CP17431.pdf</t>
        </is>
      </c>
      <c r="U1623" t="inlineStr">
        <is>
          <t>No</t>
        </is>
      </c>
      <c r="V162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4">
      <c r="A1624" t="inlineStr">
        <is>
          <t>T-1428</t>
        </is>
      </c>
      <c r="B1624" t="inlineStr">
        <is>
          <t>Indraprastha Gas (IGL)</t>
        </is>
      </c>
      <c r="C1624" t="inlineStr">
        <is>
          <t>Indraprastha Gas (IGL)</t>
        </is>
      </c>
      <c r="D1624" t="inlineStr">
        <is>
          <t>IGL/ET2/CP/CP17431</t>
        </is>
      </c>
      <c r="F1624" t="inlineStr">
        <is>
          <t>Awarded</t>
        </is>
      </c>
      <c r="G1624" t="inlineStr">
        <is>
          <t>MRS</t>
        </is>
      </c>
      <c r="H1624" t="inlineStr">
        <is>
          <t>Corrigendum_2_(1).pdf</t>
        </is>
      </c>
      <c r="K1624" t="inlineStr">
        <is>
          <t>Not found</t>
        </is>
      </c>
      <c r="L1624" t="inlineStr">
        <is>
          <t>Unknown</t>
        </is>
      </c>
      <c r="T1624" t="inlineStr">
        <is>
          <t>https://tenders.iglonline.net/uploads/tender/Corrigendum_2_(1).pdf</t>
        </is>
      </c>
      <c r="U1624" t="inlineStr">
        <is>
          <t>No</t>
        </is>
      </c>
      <c r="V162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5">
      <c r="A1625" t="inlineStr">
        <is>
          <t>T-1429</t>
        </is>
      </c>
      <c r="B1625" t="inlineStr">
        <is>
          <t>Indraprastha Gas (IGL)</t>
        </is>
      </c>
      <c r="C1625" t="inlineStr">
        <is>
          <t>Indraprastha Gas (IGL)</t>
        </is>
      </c>
      <c r="D1625" t="inlineStr">
        <is>
          <t>FORLAYING</t>
        </is>
      </c>
      <c r="F1625" t="inlineStr">
        <is>
          <t>Awarded</t>
        </is>
      </c>
      <c r="G1625" t="inlineStr">
        <is>
          <t>MRS</t>
        </is>
      </c>
      <c r="H1625" t="inlineStr">
        <is>
          <t>Corrigendum_31.pdf</t>
        </is>
      </c>
      <c r="K1625" t="inlineStr">
        <is>
          <t>s mentioned pool-wise in above table) Top</t>
        </is>
      </c>
      <c r="L1625" t="inlineStr">
        <is>
          <t>Unknown</t>
        </is>
      </c>
      <c r="M1625" t="n">
        <v>100</v>
      </c>
      <c r="T1625" t="inlineStr">
        <is>
          <t>https://tenders.iglonline.net/uploads/tender/Corrigendum_31.pdf</t>
        </is>
      </c>
      <c r="U1625" t="inlineStr">
        <is>
          <t>No</t>
        </is>
      </c>
      <c r="V162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6">
      <c r="A1626" t="inlineStr">
        <is>
          <t>T-1430</t>
        </is>
      </c>
      <c r="B1626" t="inlineStr">
        <is>
          <t>Indraprastha Gas (IGL)</t>
        </is>
      </c>
      <c r="C1626" t="inlineStr">
        <is>
          <t>Indraprastha Gas (IGL)</t>
        </is>
      </c>
      <c r="D1626" t="inlineStr">
        <is>
          <t>LOA issue</t>
        </is>
      </c>
      <c r="E1626" t="inlineStr">
        <is>
          <t>30 May 2023</t>
        </is>
      </c>
      <c r="F1626" t="inlineStr">
        <is>
          <t>Awarded</t>
        </is>
      </c>
      <c r="G1626" t="inlineStr">
        <is>
          <t>MRS</t>
        </is>
      </c>
      <c r="H1626" t="inlineStr">
        <is>
          <t>Replies_to_bidders_queries1.pdf</t>
        </is>
      </c>
      <c r="K1626" t="inlineStr">
        <is>
          <t>left the segment due to any reason. Commercial All Policy should be on basic value like all</t>
        </is>
      </c>
      <c r="L1626" t="inlineStr">
        <is>
          <t>Unknown</t>
        </is>
      </c>
      <c r="M1626" t="n">
        <v>1400</v>
      </c>
      <c r="T1626" t="inlineStr">
        <is>
          <t>https://tenders.iglonline.net/uploads/tender/Replies_to_bidders_queries1.pdf</t>
        </is>
      </c>
      <c r="U1626" t="inlineStr">
        <is>
          <t>No</t>
        </is>
      </c>
      <c r="V1626" t="inlineStr">
        <is>
          <t>Bot tarafindan tespit edildi (2026-07-01) | closing=30 May 2023 | Bot enrich; date=2026-07-01; type=pdf; pdf_closing=30 May 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627">
      <c r="A1627" t="inlineStr">
        <is>
          <t>T-1431</t>
        </is>
      </c>
      <c r="B1627" t="inlineStr">
        <is>
          <t>Indraprastha Gas (IGL)</t>
        </is>
      </c>
      <c r="C1627" t="inlineStr">
        <is>
          <t>Indraprastha Gas (IGL)</t>
        </is>
      </c>
      <c r="D1627" t="inlineStr">
        <is>
          <t>IGL/ET2/CP/CP17431</t>
        </is>
      </c>
      <c r="F1627" t="inlineStr">
        <is>
          <t>Awarded</t>
        </is>
      </c>
      <c r="G1627" t="inlineStr">
        <is>
          <t>MRS</t>
        </is>
      </c>
      <c r="H1627" t="inlineStr">
        <is>
          <t>Corrigendum_43.pdf</t>
        </is>
      </c>
      <c r="K1627" t="inlineStr">
        <is>
          <t>Not found</t>
        </is>
      </c>
      <c r="L1627" t="inlineStr">
        <is>
          <t>Unknown</t>
        </is>
      </c>
      <c r="T1627" t="inlineStr">
        <is>
          <t>https://tenders.iglonline.net/uploads/tender/Corrigendum_43.pdf</t>
        </is>
      </c>
      <c r="U1627" t="inlineStr">
        <is>
          <t>No</t>
        </is>
      </c>
      <c r="V162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8">
      <c r="A1628" t="inlineStr">
        <is>
          <t>T-1432</t>
        </is>
      </c>
      <c r="B1628" t="inlineStr">
        <is>
          <t>Indraprastha Gas (IGL)</t>
        </is>
      </c>
      <c r="C1628" t="inlineStr">
        <is>
          <t>Indraprastha Gas (IGL)</t>
        </is>
      </c>
      <c r="F1628" t="inlineStr">
        <is>
          <t>New Lead</t>
        </is>
      </c>
      <c r="H1628" t="inlineStr">
        <is>
          <t>View Tender</t>
        </is>
      </c>
      <c r="K1628" t="inlineStr">
        <is>
          <t>Not found</t>
        </is>
      </c>
      <c r="L1628" t="inlineStr">
        <is>
          <t>Unknown</t>
        </is>
      </c>
      <c r="T1628" t="inlineStr">
        <is>
          <t>https://tenders.iglonline.net/tenderDetail/121/Active Tenders And Corrigendum-Addendum</t>
        </is>
      </c>
      <c r="U1628" t="inlineStr">
        <is>
          <t>No</t>
        </is>
      </c>
      <c r="V1628" t="inlineStr">
        <is>
          <t>Bot tarafindan tespit edildi (2026-07-01)</t>
        </is>
      </c>
    </row>
    <row r="1629">
      <c r="A1629" t="inlineStr">
        <is>
          <t>T-1433</t>
        </is>
      </c>
      <c r="B1629" t="inlineStr">
        <is>
          <t>Indraprastha Gas (IGL)</t>
        </is>
      </c>
      <c r="C1629" t="inlineStr">
        <is>
          <t>Indraprastha Gas (IGL)</t>
        </is>
      </c>
      <c r="F1629" t="inlineStr">
        <is>
          <t>New Lead</t>
        </is>
      </c>
      <c r="H1629" t="inlineStr">
        <is>
          <t>Corrigendum_I_CC17451.pdf</t>
        </is>
      </c>
      <c r="K1629" t="inlineStr">
        <is>
          <t>Not found</t>
        </is>
      </c>
      <c r="L1629" t="inlineStr">
        <is>
          <t>Unknown</t>
        </is>
      </c>
      <c r="T1629" t="inlineStr">
        <is>
          <t>https://tenders.iglonline.net/uploads/tender/Corrigendum_I_CC17451.pdf</t>
        </is>
      </c>
      <c r="U1629" t="inlineStr">
        <is>
          <t>No</t>
        </is>
      </c>
      <c r="V1629" t="inlineStr">
        <is>
          <t>Bot tarafindan tespit edildi (2026-07-01)</t>
        </is>
      </c>
    </row>
    <row r="1630">
      <c r="A1630" t="inlineStr">
        <is>
          <t>T-1434</t>
        </is>
      </c>
      <c r="B1630" t="inlineStr">
        <is>
          <t>Indraprastha Gas (IGL)</t>
        </is>
      </c>
      <c r="C1630" t="inlineStr">
        <is>
          <t>Indraprastha Gas (IGL)</t>
        </is>
      </c>
      <c r="F1630" t="inlineStr">
        <is>
          <t>New Lead</t>
        </is>
      </c>
      <c r="H1630" t="inlineStr">
        <is>
          <t>Corrigendum_II_CC17451.pdf</t>
        </is>
      </c>
      <c r="K1630" t="inlineStr">
        <is>
          <t>Not found</t>
        </is>
      </c>
      <c r="L1630" t="inlineStr">
        <is>
          <t>Unknown</t>
        </is>
      </c>
      <c r="T1630" t="inlineStr">
        <is>
          <t>https://tenders.iglonline.net/uploads/tender/Corrigendum_II_CC17451.pdf</t>
        </is>
      </c>
      <c r="U1630" t="inlineStr">
        <is>
          <t>No</t>
        </is>
      </c>
      <c r="V1630" t="inlineStr">
        <is>
          <t>Bot tarafindan tespit edildi (2026-07-01)</t>
        </is>
      </c>
    </row>
    <row r="1631">
      <c r="A1631" t="inlineStr">
        <is>
          <t>T-1435</t>
        </is>
      </c>
      <c r="B1631" t="inlineStr">
        <is>
          <t>Indraprastha Gas (IGL)</t>
        </is>
      </c>
      <c r="C1631" t="inlineStr">
        <is>
          <t>Indraprastha Gas (IGL)</t>
        </is>
      </c>
      <c r="F1631" t="inlineStr">
        <is>
          <t>New Lead</t>
        </is>
      </c>
      <c r="H1631" t="inlineStr">
        <is>
          <t>Reply_Prebid_Queries_CC17451.pdf</t>
        </is>
      </c>
      <c r="K1631" t="inlineStr">
        <is>
          <t>Not found</t>
        </is>
      </c>
      <c r="L1631" t="inlineStr">
        <is>
          <t>Unknown</t>
        </is>
      </c>
      <c r="T1631" t="inlineStr">
        <is>
          <t>https://tenders.iglonline.net/uploads/tender/Reply_Prebid_Queries_CC17451.pdf</t>
        </is>
      </c>
      <c r="U1631" t="inlineStr">
        <is>
          <t>No</t>
        </is>
      </c>
      <c r="V1631" t="inlineStr">
        <is>
          <t>Bot tarafindan tespit edildi (2026-07-01)</t>
        </is>
      </c>
    </row>
    <row r="1632">
      <c r="A1632" t="inlineStr">
        <is>
          <t>T-1436</t>
        </is>
      </c>
      <c r="B1632" t="inlineStr">
        <is>
          <t>Indraprastha Gas (IGL)</t>
        </is>
      </c>
      <c r="C1632" t="inlineStr">
        <is>
          <t>Indraprastha Gas (IGL)</t>
        </is>
      </c>
      <c r="F1632" t="inlineStr">
        <is>
          <t>New Lead</t>
        </is>
      </c>
      <c r="H1632" t="inlineStr">
        <is>
          <t>View Tender</t>
        </is>
      </c>
      <c r="K1632" t="inlineStr">
        <is>
          <t>Not found</t>
        </is>
      </c>
      <c r="L1632" t="inlineStr">
        <is>
          <t>Unknown</t>
        </is>
      </c>
      <c r="T1632" t="inlineStr">
        <is>
          <t>https://tenders.iglonline.net/tenderDetail/120/Active Tenders And Corrigendum-Addendum</t>
        </is>
      </c>
      <c r="U1632" t="inlineStr">
        <is>
          <t>No</t>
        </is>
      </c>
      <c r="V1632" t="inlineStr">
        <is>
          <t>Bot tarafindan tespit edildi (2026-07-01)</t>
        </is>
      </c>
    </row>
    <row r="1633">
      <c r="A1633" t="inlineStr">
        <is>
          <t>T-1437</t>
        </is>
      </c>
      <c r="B1633" t="inlineStr">
        <is>
          <t>Indraprastha Gas (IGL)</t>
        </is>
      </c>
      <c r="C1633" t="inlineStr">
        <is>
          <t>Indraprastha Gas (IGL)</t>
        </is>
      </c>
      <c r="F1633" t="inlineStr">
        <is>
          <t>New Lead</t>
        </is>
      </c>
      <c r="H1633" t="inlineStr">
        <is>
          <t>Corrigendum_1_(1).pdf</t>
        </is>
      </c>
      <c r="K1633" t="inlineStr">
        <is>
          <t>Not found</t>
        </is>
      </c>
      <c r="L1633" t="inlineStr">
        <is>
          <t>Unknown</t>
        </is>
      </c>
      <c r="T1633" t="inlineStr">
        <is>
          <t>https://tenders.iglonline.net/uploads/tender/Corrigendum_1_(1).pdf</t>
        </is>
      </c>
      <c r="U1633" t="inlineStr">
        <is>
          <t>No</t>
        </is>
      </c>
      <c r="V1633" t="inlineStr">
        <is>
          <t>Bot tarafindan tespit edildi (2026-07-01)</t>
        </is>
      </c>
    </row>
    <row r="1634">
      <c r="A1634" t="inlineStr">
        <is>
          <t>T-1438</t>
        </is>
      </c>
      <c r="B1634" t="inlineStr">
        <is>
          <t>Indraprastha Gas (IGL)</t>
        </is>
      </c>
      <c r="C1634" t="inlineStr">
        <is>
          <t>Indraprastha Gas (IGL)</t>
        </is>
      </c>
      <c r="F1634" t="inlineStr">
        <is>
          <t>New Lead</t>
        </is>
      </c>
      <c r="H1634" t="inlineStr">
        <is>
          <t>View Tender</t>
        </is>
      </c>
      <c r="K1634" t="inlineStr">
        <is>
          <t>Not found</t>
        </is>
      </c>
      <c r="L1634" t="inlineStr">
        <is>
          <t>Unknown</t>
        </is>
      </c>
      <c r="T1634" t="inlineStr">
        <is>
          <t>https://tenders.iglonline.net/tenderDetail/117/Active Tenders And Corrigendum-Addendum</t>
        </is>
      </c>
      <c r="U1634" t="inlineStr">
        <is>
          <t>No</t>
        </is>
      </c>
      <c r="V1634" t="inlineStr">
        <is>
          <t>Bot tarafindan tespit edildi (2026-07-01)</t>
        </is>
      </c>
    </row>
    <row r="1635">
      <c r="A1635" t="inlineStr">
        <is>
          <t>T-1439</t>
        </is>
      </c>
      <c r="B1635" t="inlineStr">
        <is>
          <t>Indraprastha Gas (IGL)</t>
        </is>
      </c>
      <c r="C1635" t="inlineStr">
        <is>
          <t>Indraprastha Gas (IGL)</t>
        </is>
      </c>
      <c r="F1635" t="inlineStr">
        <is>
          <t>New Lead</t>
        </is>
      </c>
      <c r="H1635" t="inlineStr">
        <is>
          <t>View Tender</t>
        </is>
      </c>
      <c r="K1635" t="inlineStr">
        <is>
          <t>Not found</t>
        </is>
      </c>
      <c r="L1635" t="inlineStr">
        <is>
          <t>Unknown</t>
        </is>
      </c>
      <c r="T1635" t="inlineStr">
        <is>
          <t>https://tenders.iglonline.net/tenderDetail/116/Active Tenders And Corrigendum-Addendum</t>
        </is>
      </c>
      <c r="U1635" t="inlineStr">
        <is>
          <t>No</t>
        </is>
      </c>
      <c r="V1635" t="inlineStr">
        <is>
          <t>Bot tarafindan tespit edildi (2026-07-01)</t>
        </is>
      </c>
    </row>
    <row r="1636">
      <c r="A1636" t="inlineStr">
        <is>
          <t>T-1440</t>
        </is>
      </c>
      <c r="B1636" t="inlineStr">
        <is>
          <t>Indraprastha Gas (IGL)</t>
        </is>
      </c>
      <c r="C1636" t="inlineStr">
        <is>
          <t>Indraprastha Gas (IGL)</t>
        </is>
      </c>
      <c r="F1636" t="inlineStr">
        <is>
          <t>New Lead</t>
        </is>
      </c>
      <c r="H1636" t="inlineStr">
        <is>
          <t>Corrigendum-II_CC173821.pdf</t>
        </is>
      </c>
      <c r="K1636" t="inlineStr">
        <is>
          <t>Not found</t>
        </is>
      </c>
      <c r="L1636" t="inlineStr">
        <is>
          <t>Unknown</t>
        </is>
      </c>
      <c r="T1636" t="inlineStr">
        <is>
          <t>https://tenders.iglonline.net/uploads/tender/Corrigendum-II_CC173821.pdf</t>
        </is>
      </c>
      <c r="U1636" t="inlineStr">
        <is>
          <t>No</t>
        </is>
      </c>
      <c r="V1636" t="inlineStr">
        <is>
          <t>Bot tarafindan tespit edildi (2026-07-01)</t>
        </is>
      </c>
    </row>
    <row r="1637">
      <c r="A1637" t="inlineStr">
        <is>
          <t>T-1441</t>
        </is>
      </c>
      <c r="B1637" t="inlineStr">
        <is>
          <t>Indraprastha Gas (IGL)</t>
        </is>
      </c>
      <c r="C1637" t="inlineStr">
        <is>
          <t>Indraprastha Gas (IGL)</t>
        </is>
      </c>
      <c r="F1637" t="inlineStr">
        <is>
          <t>New Lead</t>
        </is>
      </c>
      <c r="H1637" t="inlineStr">
        <is>
          <t>View Tender</t>
        </is>
      </c>
      <c r="K1637" t="inlineStr">
        <is>
          <t>Not found</t>
        </is>
      </c>
      <c r="L1637" t="inlineStr">
        <is>
          <t>Unknown</t>
        </is>
      </c>
      <c r="T1637" t="inlineStr">
        <is>
          <t>https://tenders.iglonline.net/tenderDetail/115/Active Tenders And Corrigendum-Addendum</t>
        </is>
      </c>
      <c r="U1637" t="inlineStr">
        <is>
          <t>No</t>
        </is>
      </c>
      <c r="V1637" t="inlineStr">
        <is>
          <t>Bot tarafindan tespit edildi (2026-07-01)</t>
        </is>
      </c>
    </row>
    <row r="1638">
      <c r="A1638" t="inlineStr">
        <is>
          <t>T-1442</t>
        </is>
      </c>
      <c r="B1638" t="inlineStr">
        <is>
          <t>Indraprastha Gas (IGL)</t>
        </is>
      </c>
      <c r="C1638" t="inlineStr">
        <is>
          <t>Indraprastha Gas (IGL)</t>
        </is>
      </c>
      <c r="F1638" t="inlineStr">
        <is>
          <t>New Lead</t>
        </is>
      </c>
      <c r="H1638" t="inlineStr">
        <is>
          <t>CORRIGENDUM_3_CM17422.pdf</t>
        </is>
      </c>
      <c r="K1638" t="inlineStr">
        <is>
          <t>Not found</t>
        </is>
      </c>
      <c r="L1638" t="inlineStr">
        <is>
          <t>Unknown</t>
        </is>
      </c>
      <c r="T1638" t="inlineStr">
        <is>
          <t>https://tenders.iglonline.net/uploads/tender/CORRIGENDUM_3_CM17422.pdf</t>
        </is>
      </c>
      <c r="U1638" t="inlineStr">
        <is>
          <t>No</t>
        </is>
      </c>
      <c r="V1638" t="inlineStr">
        <is>
          <t>Bot tarafindan tespit edildi (2026-07-01)</t>
        </is>
      </c>
    </row>
    <row r="1639">
      <c r="A1639" t="inlineStr">
        <is>
          <t>T-1443</t>
        </is>
      </c>
      <c r="B1639" t="inlineStr">
        <is>
          <t>Indraprastha Gas (IGL)</t>
        </is>
      </c>
      <c r="C1639" t="inlineStr">
        <is>
          <t>Indraprastha Gas (IGL)</t>
        </is>
      </c>
      <c r="F1639" t="inlineStr">
        <is>
          <t>New Lead</t>
        </is>
      </c>
      <c r="H1639" t="inlineStr">
        <is>
          <t>Corrigendum_4.pdf</t>
        </is>
      </c>
      <c r="K1639" t="inlineStr">
        <is>
          <t>Not found</t>
        </is>
      </c>
      <c r="L1639" t="inlineStr">
        <is>
          <t>Unknown</t>
        </is>
      </c>
      <c r="T1639" t="inlineStr">
        <is>
          <t>https://tenders.iglonline.net/uploads/tender/Corrigendum_4.pdf</t>
        </is>
      </c>
      <c r="U1639" t="inlineStr">
        <is>
          <t>No</t>
        </is>
      </c>
      <c r="V1639" t="inlineStr">
        <is>
          <t>Bot tarafindan tespit edildi (2026-07-01)</t>
        </is>
      </c>
    </row>
    <row r="1640">
      <c r="A1640" t="inlineStr">
        <is>
          <t>T-1444</t>
        </is>
      </c>
      <c r="B1640" t="inlineStr">
        <is>
          <t>Indraprastha Gas (IGL)</t>
        </is>
      </c>
      <c r="C1640" t="inlineStr">
        <is>
          <t>Indraprastha Gas (IGL)</t>
        </is>
      </c>
      <c r="F1640" t="inlineStr">
        <is>
          <t>New Lead</t>
        </is>
      </c>
      <c r="H1640" t="inlineStr">
        <is>
          <t>Annexure_A.pdf</t>
        </is>
      </c>
      <c r="K1640" t="inlineStr">
        <is>
          <t>Not found</t>
        </is>
      </c>
      <c r="L1640" t="inlineStr">
        <is>
          <t>Unknown</t>
        </is>
      </c>
      <c r="T1640" t="inlineStr">
        <is>
          <t>https://tenders.iglonline.net/uploads/tender/Annexure_A.pdf</t>
        </is>
      </c>
      <c r="U1640" t="inlineStr">
        <is>
          <t>No</t>
        </is>
      </c>
      <c r="V1640" t="inlineStr">
        <is>
          <t>Bot tarafindan tespit edildi (2026-07-01)</t>
        </is>
      </c>
    </row>
    <row r="1641">
      <c r="A1641" t="inlineStr">
        <is>
          <t>T-1445</t>
        </is>
      </c>
      <c r="B1641" t="inlineStr">
        <is>
          <t>Indraprastha Gas (IGL)</t>
        </is>
      </c>
      <c r="C1641" t="inlineStr">
        <is>
          <t>Indraprastha Gas (IGL)</t>
        </is>
      </c>
      <c r="F1641" t="inlineStr">
        <is>
          <t>New Lead</t>
        </is>
      </c>
      <c r="H1641" t="inlineStr">
        <is>
          <t>CORRIGENDUM5.pdf</t>
        </is>
      </c>
      <c r="K1641" t="inlineStr">
        <is>
          <t>Not found</t>
        </is>
      </c>
      <c r="L1641" t="inlineStr">
        <is>
          <t>Unknown</t>
        </is>
      </c>
      <c r="T1641" t="inlineStr">
        <is>
          <t>https://tenders.iglonline.net/uploads/tender/CORRIGENDUM5.pdf</t>
        </is>
      </c>
      <c r="U1641" t="inlineStr">
        <is>
          <t>No</t>
        </is>
      </c>
      <c r="V1641" t="inlineStr">
        <is>
          <t>Bot tarafindan tespit edildi (2026-07-01)</t>
        </is>
      </c>
    </row>
    <row r="1642">
      <c r="A1642" t="inlineStr">
        <is>
          <t>T-1446</t>
        </is>
      </c>
      <c r="B1642" t="inlineStr">
        <is>
          <t>Indraprastha Gas (IGL)</t>
        </is>
      </c>
      <c r="C1642" t="inlineStr">
        <is>
          <t>Indraprastha Gas (IGL)</t>
        </is>
      </c>
      <c r="F1642" t="inlineStr">
        <is>
          <t>New Lead</t>
        </is>
      </c>
      <c r="H1642" t="inlineStr">
        <is>
          <t>Corrigendum_-_II.pdf</t>
        </is>
      </c>
      <c r="K1642" t="inlineStr">
        <is>
          <t>Not found</t>
        </is>
      </c>
      <c r="L1642" t="inlineStr">
        <is>
          <t>Unknown</t>
        </is>
      </c>
      <c r="T1642" t="inlineStr">
        <is>
          <t>https://tenders.iglonline.net/uploads/tender/Corrigendum_-_II.pdf</t>
        </is>
      </c>
      <c r="U1642" t="inlineStr">
        <is>
          <t>No</t>
        </is>
      </c>
      <c r="V1642" t="inlineStr">
        <is>
          <t>Bot tarafindan tespit edildi (2026-07-01)</t>
        </is>
      </c>
    </row>
    <row r="1643">
      <c r="A1643" t="inlineStr">
        <is>
          <t>T-1447</t>
        </is>
      </c>
      <c r="B1643" t="inlineStr">
        <is>
          <t>Indraprastha Gas (IGL)</t>
        </is>
      </c>
      <c r="C1643" t="inlineStr">
        <is>
          <t>Indraprastha Gas (IGL)</t>
        </is>
      </c>
      <c r="F1643" t="inlineStr">
        <is>
          <t>New Lead</t>
        </is>
      </c>
      <c r="H1643" t="inlineStr">
        <is>
          <t>CORRIGENDUM_6_17422.pdf</t>
        </is>
      </c>
      <c r="K1643" t="inlineStr">
        <is>
          <t>Not found</t>
        </is>
      </c>
      <c r="L1643" t="inlineStr">
        <is>
          <t>Unknown</t>
        </is>
      </c>
      <c r="T1643" t="inlineStr">
        <is>
          <t>https://tenders.iglonline.net/uploads/tender/CORRIGENDUM_6_17422.pdf</t>
        </is>
      </c>
      <c r="U1643" t="inlineStr">
        <is>
          <t>No</t>
        </is>
      </c>
      <c r="V1643" t="inlineStr">
        <is>
          <t>Bot tarafindan tespit edildi (2026-07-01)</t>
        </is>
      </c>
    </row>
    <row r="1644">
      <c r="A1644" t="inlineStr">
        <is>
          <t>T-1448</t>
        </is>
      </c>
      <c r="B1644" t="inlineStr">
        <is>
          <t>Indraprastha Gas (IGL)</t>
        </is>
      </c>
      <c r="C1644" t="inlineStr">
        <is>
          <t>Indraprastha Gas (IGL)</t>
        </is>
      </c>
      <c r="F1644" t="inlineStr">
        <is>
          <t>New Lead</t>
        </is>
      </c>
      <c r="H1644" t="inlineStr">
        <is>
          <t>View Tender</t>
        </is>
      </c>
      <c r="K1644" t="inlineStr">
        <is>
          <t>Not found</t>
        </is>
      </c>
      <c r="L1644" t="inlineStr">
        <is>
          <t>Unknown</t>
        </is>
      </c>
      <c r="T1644" t="inlineStr">
        <is>
          <t>https://tenders.iglonline.net/tenderDetail/114/Active Tenders And Corrigendum-Addendum</t>
        </is>
      </c>
      <c r="U1644" t="inlineStr">
        <is>
          <t>No</t>
        </is>
      </c>
      <c r="V1644" t="inlineStr">
        <is>
          <t>Bot tarafindan tespit edildi (2026-07-01)</t>
        </is>
      </c>
    </row>
    <row r="1645">
      <c r="A1645" t="inlineStr">
        <is>
          <t>T-1449</t>
        </is>
      </c>
      <c r="B1645" t="inlineStr">
        <is>
          <t>Indraprastha Gas (IGL)</t>
        </is>
      </c>
      <c r="C1645" t="inlineStr">
        <is>
          <t>Indraprastha Gas (IGL)</t>
        </is>
      </c>
      <c r="F1645" t="inlineStr">
        <is>
          <t>New Lead</t>
        </is>
      </c>
      <c r="H1645" t="inlineStr">
        <is>
          <t>View Tender</t>
        </is>
      </c>
      <c r="K1645" t="inlineStr">
        <is>
          <t>Not found</t>
        </is>
      </c>
      <c r="L1645" t="inlineStr">
        <is>
          <t>Unknown</t>
        </is>
      </c>
      <c r="T1645" t="inlineStr">
        <is>
          <t>https://tenders.iglonline.net/tenderDetail/113/Active Tenders And Corrigendum-Addendum</t>
        </is>
      </c>
      <c r="U1645" t="inlineStr">
        <is>
          <t>No</t>
        </is>
      </c>
      <c r="V1645" t="inlineStr">
        <is>
          <t>Bot tarafindan tespit edildi (2026-07-01)</t>
        </is>
      </c>
    </row>
    <row r="1646">
      <c r="A1646" t="inlineStr">
        <is>
          <t>T-1450</t>
        </is>
      </c>
      <c r="B1646" t="inlineStr">
        <is>
          <t>Indraprastha Gas (IGL)</t>
        </is>
      </c>
      <c r="C1646" t="inlineStr">
        <is>
          <t>Indraprastha Gas (IGL)</t>
        </is>
      </c>
      <c r="F1646" t="inlineStr">
        <is>
          <t>New Lead</t>
        </is>
      </c>
      <c r="H1646" t="inlineStr">
        <is>
          <t>View Tender</t>
        </is>
      </c>
      <c r="K1646" t="inlineStr">
        <is>
          <t>Not found</t>
        </is>
      </c>
      <c r="L1646" t="inlineStr">
        <is>
          <t>Unknown</t>
        </is>
      </c>
      <c r="T1646" t="inlineStr">
        <is>
          <t>https://tenders.iglonline.net/tenderDetail/112/Active Tenders And Corrigendum-Addendum</t>
        </is>
      </c>
      <c r="U1646" t="inlineStr">
        <is>
          <t>No</t>
        </is>
      </c>
      <c r="V1646" t="inlineStr">
        <is>
          <t>Bot tarafindan tespit edildi (2026-07-01)</t>
        </is>
      </c>
    </row>
    <row r="1647">
      <c r="A1647" t="inlineStr">
        <is>
          <t>T-1451</t>
        </is>
      </c>
      <c r="B1647" t="inlineStr">
        <is>
          <t>Indraprastha Gas (IGL)</t>
        </is>
      </c>
      <c r="C1647" t="inlineStr">
        <is>
          <t>Indraprastha Gas (IGL)</t>
        </is>
      </c>
      <c r="F1647" t="inlineStr">
        <is>
          <t>New Lead</t>
        </is>
      </c>
      <c r="H1647" t="inlineStr">
        <is>
          <t>View Tender</t>
        </is>
      </c>
      <c r="K1647" t="inlineStr">
        <is>
          <t>Not found</t>
        </is>
      </c>
      <c r="L1647" t="inlineStr">
        <is>
          <t>Unknown</t>
        </is>
      </c>
      <c r="T1647" t="inlineStr">
        <is>
          <t>https://tenders.iglonline.net/tenderDetail/111/Active Tenders And Corrigendum-Addendum</t>
        </is>
      </c>
      <c r="U1647" t="inlineStr">
        <is>
          <t>No</t>
        </is>
      </c>
      <c r="V1647" t="inlineStr">
        <is>
          <t>Bot tarafindan tespit edildi (2026-07-01)</t>
        </is>
      </c>
    </row>
    <row r="1648">
      <c r="A1648" t="inlineStr">
        <is>
          <t>T-1452</t>
        </is>
      </c>
      <c r="B1648" t="inlineStr">
        <is>
          <t>Indraprastha Gas (IGL)</t>
        </is>
      </c>
      <c r="C1648" t="inlineStr">
        <is>
          <t>Indraprastha Gas (IGL)</t>
        </is>
      </c>
      <c r="F1648" t="inlineStr">
        <is>
          <t>New Lead</t>
        </is>
      </c>
      <c r="H1648" t="inlineStr">
        <is>
          <t>Estimated_Rates.pdf</t>
        </is>
      </c>
      <c r="K1648" t="inlineStr">
        <is>
          <t>Not found</t>
        </is>
      </c>
      <c r="L1648" t="inlineStr">
        <is>
          <t>Unknown</t>
        </is>
      </c>
      <c r="T1648" t="inlineStr">
        <is>
          <t>https://tenders.iglonline.net/uploads/tender/Estimated_Rates.pdf</t>
        </is>
      </c>
      <c r="U1648" t="inlineStr">
        <is>
          <t>No</t>
        </is>
      </c>
      <c r="V1648" t="inlineStr">
        <is>
          <t>Bot tarafindan tespit edildi (2026-07-01)</t>
        </is>
      </c>
    </row>
    <row r="1649">
      <c r="A1649" t="inlineStr">
        <is>
          <t>T-1453</t>
        </is>
      </c>
      <c r="B1649" t="inlineStr">
        <is>
          <t>Indraprastha Gas (IGL)</t>
        </is>
      </c>
      <c r="C1649" t="inlineStr">
        <is>
          <t>Indraprastha Gas (IGL)</t>
        </is>
      </c>
      <c r="F1649" t="inlineStr">
        <is>
          <t>New Lead</t>
        </is>
      </c>
      <c r="H1649" t="inlineStr">
        <is>
          <t>View Tender</t>
        </is>
      </c>
      <c r="K1649" t="inlineStr">
        <is>
          <t>Not found</t>
        </is>
      </c>
      <c r="L1649" t="inlineStr">
        <is>
          <t>Unknown</t>
        </is>
      </c>
      <c r="T1649" t="inlineStr">
        <is>
          <t>https://tenders.iglonline.net/tenderDetail/110/Active Tenders And Corrigendum-Addendum</t>
        </is>
      </c>
      <c r="U1649" t="inlineStr">
        <is>
          <t>No</t>
        </is>
      </c>
      <c r="V1649" t="inlineStr">
        <is>
          <t>Bot tarafindan tespit edildi (2026-07-01)</t>
        </is>
      </c>
    </row>
    <row r="1650">
      <c r="A1650" t="inlineStr">
        <is>
          <t>T-1454</t>
        </is>
      </c>
      <c r="B1650" t="inlineStr">
        <is>
          <t>Indraprastha Gas (IGL)</t>
        </is>
      </c>
      <c r="C1650" t="inlineStr">
        <is>
          <t>Indraprastha Gas (IGL)</t>
        </is>
      </c>
      <c r="F1650" t="inlineStr">
        <is>
          <t>New Lead</t>
        </is>
      </c>
      <c r="H1650" t="inlineStr">
        <is>
          <t>CM17348_dated_03_02_2023_TID_30993_CORRIGENDUMII.pdf</t>
        </is>
      </c>
      <c r="K1650" t="inlineStr">
        <is>
          <t>Not found</t>
        </is>
      </c>
      <c r="L1650" t="inlineStr">
        <is>
          <t>Unknown</t>
        </is>
      </c>
      <c r="T1650" t="inlineStr">
        <is>
          <t>https://tenders.iglonline.net/uploads/tender/CM17348_dated_03_02_2023_TID_30993_CORRIGENDUMII.pdf</t>
        </is>
      </c>
      <c r="U1650" t="inlineStr">
        <is>
          <t>No</t>
        </is>
      </c>
      <c r="V1650" t="inlineStr">
        <is>
          <t>Bot tarafindan tespit edildi (2026-07-01)</t>
        </is>
      </c>
    </row>
    <row r="1651">
      <c r="A1651" t="inlineStr">
        <is>
          <t>T-1455</t>
        </is>
      </c>
      <c r="B1651" t="inlineStr">
        <is>
          <t>Indraprastha Gas (IGL)</t>
        </is>
      </c>
      <c r="C1651" t="inlineStr">
        <is>
          <t>Indraprastha Gas (IGL)</t>
        </is>
      </c>
      <c r="F1651" t="inlineStr">
        <is>
          <t>New Lead</t>
        </is>
      </c>
      <c r="H1651" t="inlineStr">
        <is>
          <t>CM17348_dated_03_02_2023_TID_30993_Tender_Query_Reply.pdf</t>
        </is>
      </c>
      <c r="K1651" t="inlineStr">
        <is>
          <t>Not found</t>
        </is>
      </c>
      <c r="L1651" t="inlineStr">
        <is>
          <t>Unknown</t>
        </is>
      </c>
      <c r="T1651" t="inlineStr">
        <is>
          <t>https://tenders.iglonline.net/uploads/tender/CM17348_dated_03_02_2023_TID_30993_Tender_Query_Reply.pdf</t>
        </is>
      </c>
      <c r="U1651" t="inlineStr">
        <is>
          <t>No</t>
        </is>
      </c>
      <c r="V1651" t="inlineStr">
        <is>
          <t>Bot tarafindan tespit edildi (2026-07-01)</t>
        </is>
      </c>
    </row>
    <row r="1652">
      <c r="A1652" t="inlineStr">
        <is>
          <t>T-1456</t>
        </is>
      </c>
      <c r="B1652" t="inlineStr">
        <is>
          <t>Indraprastha Gas (IGL)</t>
        </is>
      </c>
      <c r="C1652" t="inlineStr">
        <is>
          <t>Indraprastha Gas (IGL)</t>
        </is>
      </c>
      <c r="F1652" t="inlineStr">
        <is>
          <t>New Lead</t>
        </is>
      </c>
      <c r="H1652" t="inlineStr">
        <is>
          <t>CM17348_dated_03_02_2023_TID_30993_Corrigendum_-_I.pdf</t>
        </is>
      </c>
      <c r="K1652" t="inlineStr">
        <is>
          <t>Not found</t>
        </is>
      </c>
      <c r="L1652" t="inlineStr">
        <is>
          <t>Unknown</t>
        </is>
      </c>
      <c r="T1652" t="inlineStr">
        <is>
          <t>https://tenders.iglonline.net/uploads/tender/CM17348_dated_03_02_2023_TID_30993_Corrigendum_-_I.pdf</t>
        </is>
      </c>
      <c r="U1652" t="inlineStr">
        <is>
          <t>No</t>
        </is>
      </c>
      <c r="V1652" t="inlineStr">
        <is>
          <t>Bot tarafindan tespit edildi (2026-07-01)</t>
        </is>
      </c>
    </row>
    <row r="1653">
      <c r="A1653" t="inlineStr">
        <is>
          <t>T-1457</t>
        </is>
      </c>
      <c r="B1653" t="inlineStr">
        <is>
          <t>Indraprastha Gas (IGL)</t>
        </is>
      </c>
      <c r="C1653" t="inlineStr">
        <is>
          <t>Indraprastha Gas (IGL)</t>
        </is>
      </c>
      <c r="F1653" t="inlineStr">
        <is>
          <t>New Lead</t>
        </is>
      </c>
      <c r="H1653" t="inlineStr">
        <is>
          <t>CM17348_dated_03_02_2023_TID_30993_CORRIGENDUM_3.pdf</t>
        </is>
      </c>
      <c r="K1653" t="inlineStr">
        <is>
          <t>Not found</t>
        </is>
      </c>
      <c r="L1653" t="inlineStr">
        <is>
          <t>Unknown</t>
        </is>
      </c>
      <c r="T1653" t="inlineStr">
        <is>
          <t>https://tenders.iglonline.net/uploads/tender/CM17348_dated_03_02_2023_TID_30993_CORRIGENDUM_3.pdf</t>
        </is>
      </c>
      <c r="U1653" t="inlineStr">
        <is>
          <t>No</t>
        </is>
      </c>
      <c r="V1653" t="inlineStr">
        <is>
          <t>Bot tarafindan tespit edildi (2026-07-01)</t>
        </is>
      </c>
    </row>
    <row r="1654">
      <c r="A1654" t="inlineStr">
        <is>
          <t>T-1458</t>
        </is>
      </c>
      <c r="B1654" t="inlineStr">
        <is>
          <t>Indraprastha Gas (IGL)</t>
        </is>
      </c>
      <c r="C1654" t="inlineStr">
        <is>
          <t>Indraprastha Gas (IGL)</t>
        </is>
      </c>
      <c r="F1654" t="inlineStr">
        <is>
          <t>New Lead</t>
        </is>
      </c>
      <c r="H1654" t="inlineStr">
        <is>
          <t>CM17348_dated_03_02_2023_TID_30993_CORRIGENDUM4_(1).pdf</t>
        </is>
      </c>
      <c r="K1654" t="inlineStr">
        <is>
          <t>Not found</t>
        </is>
      </c>
      <c r="L1654" t="inlineStr">
        <is>
          <t>Unknown</t>
        </is>
      </c>
      <c r="T1654" t="inlineStr">
        <is>
          <t>https://tenders.iglonline.net/uploads/tender/CM17348_dated_03_02_2023_TID_30993_CORRIGENDUM4_(1).pdf</t>
        </is>
      </c>
      <c r="U1654" t="inlineStr">
        <is>
          <t>No</t>
        </is>
      </c>
      <c r="V1654" t="inlineStr">
        <is>
          <t>Bot tarafindan tespit edildi (2026-07-01)</t>
        </is>
      </c>
    </row>
    <row r="1655">
      <c r="A1655" t="inlineStr">
        <is>
          <t>T-1459</t>
        </is>
      </c>
      <c r="B1655" t="inlineStr">
        <is>
          <t>Indraprastha Gas (IGL)</t>
        </is>
      </c>
      <c r="C1655" t="inlineStr">
        <is>
          <t>Indraprastha Gas (IGL)</t>
        </is>
      </c>
      <c r="F1655" t="inlineStr">
        <is>
          <t>New Lead</t>
        </is>
      </c>
      <c r="H1655" t="inlineStr">
        <is>
          <t>CORRIGENDUM_5.pdf</t>
        </is>
      </c>
      <c r="K1655" t="inlineStr">
        <is>
          <t>Not found</t>
        </is>
      </c>
      <c r="L1655" t="inlineStr">
        <is>
          <t>Unknown</t>
        </is>
      </c>
      <c r="T1655" t="inlineStr">
        <is>
          <t>https://tenders.iglonline.net/uploads/tender/CORRIGENDUM_5.pdf</t>
        </is>
      </c>
      <c r="U1655" t="inlineStr">
        <is>
          <t>No</t>
        </is>
      </c>
      <c r="V1655" t="inlineStr">
        <is>
          <t>Bot tarafindan tespit edildi (2026-07-01)</t>
        </is>
      </c>
    </row>
    <row r="1656">
      <c r="A1656" t="inlineStr">
        <is>
          <t>T-1460</t>
        </is>
      </c>
      <c r="B1656" t="inlineStr">
        <is>
          <t>Indraprastha Gas (IGL)</t>
        </is>
      </c>
      <c r="C1656" t="inlineStr">
        <is>
          <t>Indraprastha Gas (IGL)</t>
        </is>
      </c>
      <c r="F1656" t="inlineStr">
        <is>
          <t>New Lead</t>
        </is>
      </c>
      <c r="H1656" t="inlineStr">
        <is>
          <t>View Tender</t>
        </is>
      </c>
      <c r="K1656" t="inlineStr">
        <is>
          <t>Not found</t>
        </is>
      </c>
      <c r="L1656" t="inlineStr">
        <is>
          <t>Unknown</t>
        </is>
      </c>
      <c r="T1656" t="inlineStr">
        <is>
          <t>https://tenders.iglonline.net/tenderDetail/109/Active Tenders And Corrigendum-Addendum</t>
        </is>
      </c>
      <c r="U1656" t="inlineStr">
        <is>
          <t>No</t>
        </is>
      </c>
      <c r="V1656" t="inlineStr">
        <is>
          <t>Bot tarafindan tespit edildi (2026-07-01)</t>
        </is>
      </c>
    </row>
    <row r="1657">
      <c r="A1657" t="inlineStr">
        <is>
          <t>T-1461</t>
        </is>
      </c>
      <c r="B1657" t="inlineStr">
        <is>
          <t>Indraprastha Gas (IGL)</t>
        </is>
      </c>
      <c r="C1657" t="inlineStr">
        <is>
          <t>Indraprastha Gas (IGL)</t>
        </is>
      </c>
      <c r="F1657" t="inlineStr">
        <is>
          <t>New Lead</t>
        </is>
      </c>
      <c r="H1657" t="inlineStr">
        <is>
          <t>Corrigendum_I_CC17409.pdf</t>
        </is>
      </c>
      <c r="K1657" t="inlineStr">
        <is>
          <t>Not found</t>
        </is>
      </c>
      <c r="L1657" t="inlineStr">
        <is>
          <t>Unknown</t>
        </is>
      </c>
      <c r="T1657" t="inlineStr">
        <is>
          <t>https://tenders.iglonline.net/uploads/tender/Corrigendum_I_CC17409.pdf</t>
        </is>
      </c>
      <c r="U1657" t="inlineStr">
        <is>
          <t>No</t>
        </is>
      </c>
      <c r="V1657" t="inlineStr">
        <is>
          <t>Bot tarafindan tespit edildi (2026-07-01)</t>
        </is>
      </c>
    </row>
    <row r="1658">
      <c r="A1658" t="inlineStr">
        <is>
          <t>T-1462</t>
        </is>
      </c>
      <c r="B1658" t="inlineStr">
        <is>
          <t>Indraprastha Gas (IGL)</t>
        </is>
      </c>
      <c r="C1658" t="inlineStr">
        <is>
          <t>Indraprastha Gas (IGL)</t>
        </is>
      </c>
      <c r="F1658" t="inlineStr">
        <is>
          <t>New Lead</t>
        </is>
      </c>
      <c r="H1658" t="inlineStr">
        <is>
          <t>View Tender</t>
        </is>
      </c>
      <c r="K1658" t="inlineStr">
        <is>
          <t>Not found</t>
        </is>
      </c>
      <c r="L1658" t="inlineStr">
        <is>
          <t>Unknown</t>
        </is>
      </c>
      <c r="T1658" t="inlineStr">
        <is>
          <t>https://tenders.iglonline.net/tenderDetail/108/Active Tenders And Corrigendum-Addendum</t>
        </is>
      </c>
      <c r="U1658" t="inlineStr">
        <is>
          <t>No</t>
        </is>
      </c>
      <c r="V1658" t="inlineStr">
        <is>
          <t>Bot tarafindan tespit edildi (2026-07-01)</t>
        </is>
      </c>
    </row>
    <row r="1659">
      <c r="A1659" t="inlineStr">
        <is>
          <t>T-1463</t>
        </is>
      </c>
      <c r="B1659" t="inlineStr">
        <is>
          <t>Indraprastha Gas (IGL)</t>
        </is>
      </c>
      <c r="C1659" t="inlineStr">
        <is>
          <t>Indraprastha Gas (IGL)</t>
        </is>
      </c>
      <c r="F1659" t="inlineStr">
        <is>
          <t>New Lead</t>
        </is>
      </c>
      <c r="H1659" t="inlineStr">
        <is>
          <t>Replies_to_Bidders_Queries_CP17391.pdf</t>
        </is>
      </c>
      <c r="K1659" t="inlineStr">
        <is>
          <t>Not found</t>
        </is>
      </c>
      <c r="L1659" t="inlineStr">
        <is>
          <t>Unknown</t>
        </is>
      </c>
      <c r="T1659" t="inlineStr">
        <is>
          <t>https://tenders.iglonline.net/uploads/tender/Replies_to_Bidders_Queries_CP17391.pdf</t>
        </is>
      </c>
      <c r="U1659" t="inlineStr">
        <is>
          <t>No</t>
        </is>
      </c>
      <c r="V1659" t="inlineStr">
        <is>
          <t>Bot tarafindan tespit edildi (2026-07-01)</t>
        </is>
      </c>
    </row>
    <row r="1660">
      <c r="A1660" t="inlineStr">
        <is>
          <t>T-1464</t>
        </is>
      </c>
      <c r="B1660" t="inlineStr">
        <is>
          <t>Indraprastha Gas (IGL)</t>
        </is>
      </c>
      <c r="C1660" t="inlineStr">
        <is>
          <t>Indraprastha Gas (IGL)</t>
        </is>
      </c>
      <c r="F1660" t="inlineStr">
        <is>
          <t>New Lead</t>
        </is>
      </c>
      <c r="G1660" t="inlineStr">
        <is>
          <t>Service regulator</t>
        </is>
      </c>
      <c r="H1660" t="inlineStr">
        <is>
          <t>View Tender</t>
        </is>
      </c>
      <c r="K1660" t="inlineStr">
        <is>
          <t>Not found</t>
        </is>
      </c>
      <c r="L1660" t="inlineStr">
        <is>
          <t>Unknown</t>
        </is>
      </c>
      <c r="T1660" t="inlineStr">
        <is>
          <t>https://tenders.iglonline.net/tenderDetail/107/Active Tenders And Corrigendum-Addendum</t>
        </is>
      </c>
      <c r="U1660" t="inlineStr">
        <is>
          <t>No</t>
        </is>
      </c>
      <c r="V1660"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1661">
      <c r="A1661" t="inlineStr">
        <is>
          <t>T-1465</t>
        </is>
      </c>
      <c r="B1661" t="inlineStr">
        <is>
          <t>Indraprastha Gas (IGL)</t>
        </is>
      </c>
      <c r="C1661" t="inlineStr">
        <is>
          <t>Indraprastha Gas (IGL)</t>
        </is>
      </c>
      <c r="D1661" t="inlineStr">
        <is>
          <t>IGL/ET2/CP/CP17358</t>
        </is>
      </c>
      <c r="F1661" t="inlineStr">
        <is>
          <t>Awarded</t>
        </is>
      </c>
      <c r="G1661" t="inlineStr">
        <is>
          <t>service regulator</t>
        </is>
      </c>
      <c r="H1661" t="inlineStr">
        <is>
          <t>Corrigendum_1_CP17358.pdf</t>
        </is>
      </c>
      <c r="K1661" t="inlineStr">
        <is>
          <t>Not found</t>
        </is>
      </c>
      <c r="L1661" t="inlineStr">
        <is>
          <t>Unknown</t>
        </is>
      </c>
      <c r="T1661" t="inlineStr">
        <is>
          <t>https://tenders.iglonline.net/uploads/tender/Corrigendum_1_CP17358.pdf</t>
        </is>
      </c>
      <c r="U1661" t="inlineStr">
        <is>
          <t>No</t>
        </is>
      </c>
      <c r="V1661"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2">
      <c r="A1662" t="inlineStr">
        <is>
          <t>T-1466</t>
        </is>
      </c>
      <c r="B1662" t="inlineStr">
        <is>
          <t>Indraprastha Gas (IGL)</t>
        </is>
      </c>
      <c r="C1662" t="inlineStr">
        <is>
          <t>Indraprastha Gas (IGL)</t>
        </is>
      </c>
      <c r="D1662" t="inlineStr">
        <is>
          <t>IGL/ET2/CP/CP17358</t>
        </is>
      </c>
      <c r="F1662" t="inlineStr">
        <is>
          <t>Awarded</t>
        </is>
      </c>
      <c r="G1662" t="inlineStr">
        <is>
          <t>service regulator</t>
        </is>
      </c>
      <c r="H1662" t="inlineStr">
        <is>
          <t>Corrigendum_2_CP17358.pdf</t>
        </is>
      </c>
      <c r="K1662" t="inlineStr">
        <is>
          <t>Not found</t>
        </is>
      </c>
      <c r="L1662" t="inlineStr">
        <is>
          <t>Unknown</t>
        </is>
      </c>
      <c r="T1662" t="inlineStr">
        <is>
          <t>https://tenders.iglonline.net/uploads/tender/Corrigendum_2_CP17358.pdf</t>
        </is>
      </c>
      <c r="U1662" t="inlineStr">
        <is>
          <t>No</t>
        </is>
      </c>
      <c r="V166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3">
      <c r="A1663" t="inlineStr">
        <is>
          <t>T-1467</t>
        </is>
      </c>
      <c r="B1663" t="inlineStr">
        <is>
          <t>Indraprastha Gas (IGL)</t>
        </is>
      </c>
      <c r="C1663" t="inlineStr">
        <is>
          <t>Indraprastha Gas (IGL)</t>
        </is>
      </c>
      <c r="F1663" t="inlineStr">
        <is>
          <t>New Lead</t>
        </is>
      </c>
      <c r="H1663" t="inlineStr">
        <is>
          <t>View Tender</t>
        </is>
      </c>
      <c r="K1663" t="inlineStr">
        <is>
          <t>Not found</t>
        </is>
      </c>
      <c r="L1663" t="inlineStr">
        <is>
          <t>Unknown</t>
        </is>
      </c>
      <c r="T1663" t="inlineStr">
        <is>
          <t>https://tenders.iglonline.net/tenderDetail/106/Active Tenders And Corrigendum-Addendum</t>
        </is>
      </c>
      <c r="U1663" t="inlineStr">
        <is>
          <t>No</t>
        </is>
      </c>
      <c r="V1663" t="inlineStr">
        <is>
          <t>Bot tarafindan tespit edildi (2026-07-01)</t>
        </is>
      </c>
    </row>
    <row r="1664">
      <c r="A1664" t="inlineStr">
        <is>
          <t>T-1468</t>
        </is>
      </c>
      <c r="B1664" t="inlineStr">
        <is>
          <t>Indraprastha Gas (IGL)</t>
        </is>
      </c>
      <c r="C1664" t="inlineStr">
        <is>
          <t>Indraprastha Gas (IGL)</t>
        </is>
      </c>
      <c r="F1664" t="inlineStr">
        <is>
          <t>New Lead</t>
        </is>
      </c>
      <c r="H1664" t="inlineStr">
        <is>
          <t>CORRIGENDUM1_(1).pdf</t>
        </is>
      </c>
      <c r="K1664" t="inlineStr">
        <is>
          <t>Not found</t>
        </is>
      </c>
      <c r="L1664" t="inlineStr">
        <is>
          <t>Unknown</t>
        </is>
      </c>
      <c r="T1664" t="inlineStr">
        <is>
          <t>https://tenders.iglonline.net/uploads/tender/CORRIGENDUM1_(1).pdf</t>
        </is>
      </c>
      <c r="U1664" t="inlineStr">
        <is>
          <t>No</t>
        </is>
      </c>
      <c r="V1664" t="inlineStr">
        <is>
          <t>Bot tarafindan tespit edildi (2026-07-01)</t>
        </is>
      </c>
    </row>
    <row r="1665">
      <c r="A1665" t="inlineStr">
        <is>
          <t>T-1469</t>
        </is>
      </c>
      <c r="B1665" t="inlineStr">
        <is>
          <t>Indraprastha Gas (IGL)</t>
        </is>
      </c>
      <c r="C1665" t="inlineStr">
        <is>
          <t>Indraprastha Gas (IGL)</t>
        </is>
      </c>
      <c r="F1665" t="inlineStr">
        <is>
          <t>New Lead</t>
        </is>
      </c>
      <c r="H1665" t="inlineStr">
        <is>
          <t>Corrigendum_III.pdf</t>
        </is>
      </c>
      <c r="K1665" t="inlineStr">
        <is>
          <t>Not found</t>
        </is>
      </c>
      <c r="L1665" t="inlineStr">
        <is>
          <t>Unknown</t>
        </is>
      </c>
      <c r="T1665" t="inlineStr">
        <is>
          <t>https://tenders.iglonline.net/uploads/tender/Corrigendum_III.pdf</t>
        </is>
      </c>
      <c r="U1665" t="inlineStr">
        <is>
          <t>No</t>
        </is>
      </c>
      <c r="V1665" t="inlineStr">
        <is>
          <t>Bot tarafindan tespit edildi (2026-07-01)</t>
        </is>
      </c>
    </row>
    <row r="1666">
      <c r="A1666" t="inlineStr">
        <is>
          <t>T-1470</t>
        </is>
      </c>
      <c r="B1666" t="inlineStr">
        <is>
          <t>Indraprastha Gas (IGL)</t>
        </is>
      </c>
      <c r="C1666" t="inlineStr">
        <is>
          <t>Indraprastha Gas (IGL)</t>
        </is>
      </c>
      <c r="F1666" t="inlineStr">
        <is>
          <t>New Lead</t>
        </is>
      </c>
      <c r="H1666" t="inlineStr">
        <is>
          <t>View Tender</t>
        </is>
      </c>
      <c r="K1666" t="inlineStr">
        <is>
          <t>Not found</t>
        </is>
      </c>
      <c r="L1666" t="inlineStr">
        <is>
          <t>Unknown</t>
        </is>
      </c>
      <c r="T1666" t="inlineStr">
        <is>
          <t>https://tenders.iglonline.net/tenderDetail/104/Active Tenders And Corrigendum-Addendum</t>
        </is>
      </c>
      <c r="U1666" t="inlineStr">
        <is>
          <t>No</t>
        </is>
      </c>
      <c r="V1666" t="inlineStr">
        <is>
          <t>Bot tarafindan tespit edildi (2026-07-01)</t>
        </is>
      </c>
    </row>
    <row r="1667">
      <c r="A1667" t="inlineStr">
        <is>
          <t>T-1471</t>
        </is>
      </c>
      <c r="B1667" t="inlineStr">
        <is>
          <t>Indraprastha Gas (IGL)</t>
        </is>
      </c>
      <c r="C1667" t="inlineStr">
        <is>
          <t>Indraprastha Gas (IGL)</t>
        </is>
      </c>
      <c r="F1667" t="inlineStr">
        <is>
          <t>New Lead</t>
        </is>
      </c>
      <c r="H1667" t="inlineStr">
        <is>
          <t>Corrigendum_CC17354.pdf</t>
        </is>
      </c>
      <c r="K1667" t="inlineStr">
        <is>
          <t>Not found</t>
        </is>
      </c>
      <c r="L1667" t="inlineStr">
        <is>
          <t>Unknown</t>
        </is>
      </c>
      <c r="T1667" t="inlineStr">
        <is>
          <t>https://tenders.iglonline.net/uploads/tender/Corrigendum_CC17354.pdf</t>
        </is>
      </c>
      <c r="U1667" t="inlineStr">
        <is>
          <t>No</t>
        </is>
      </c>
      <c r="V1667" t="inlineStr">
        <is>
          <t>Bot tarafindan tespit edildi (2026-07-01)</t>
        </is>
      </c>
    </row>
    <row r="1668">
      <c r="A1668" t="inlineStr">
        <is>
          <t>T-1472</t>
        </is>
      </c>
      <c r="B1668" t="inlineStr">
        <is>
          <t>Indraprastha Gas (IGL)</t>
        </is>
      </c>
      <c r="C1668" t="inlineStr">
        <is>
          <t>Indraprastha Gas (IGL)</t>
        </is>
      </c>
      <c r="F1668" t="inlineStr">
        <is>
          <t>New Lead</t>
        </is>
      </c>
      <c r="H1668" t="inlineStr">
        <is>
          <t>RTBQ_CC17354_(1).pdf</t>
        </is>
      </c>
      <c r="K1668" t="inlineStr">
        <is>
          <t>Not found</t>
        </is>
      </c>
      <c r="L1668" t="inlineStr">
        <is>
          <t>Unknown</t>
        </is>
      </c>
      <c r="T1668" t="inlineStr">
        <is>
          <t>https://tenders.iglonline.net/uploads/tender/RTBQ_CC17354_(1).pdf</t>
        </is>
      </c>
      <c r="U1668" t="inlineStr">
        <is>
          <t>No</t>
        </is>
      </c>
      <c r="V1668" t="inlineStr">
        <is>
          <t>Bot tarafindan tespit edildi (2026-07-01)</t>
        </is>
      </c>
    </row>
    <row r="1669">
      <c r="A1669" t="inlineStr">
        <is>
          <t>T-1473</t>
        </is>
      </c>
      <c r="B1669" t="inlineStr">
        <is>
          <t>Indraprastha Gas (IGL)</t>
        </is>
      </c>
      <c r="C1669" t="inlineStr">
        <is>
          <t>Indraprastha Gas (IGL)</t>
        </is>
      </c>
      <c r="F1669" t="inlineStr">
        <is>
          <t>New Lead</t>
        </is>
      </c>
      <c r="H1669" t="inlineStr">
        <is>
          <t>Sheet_A_(1).pdf</t>
        </is>
      </c>
      <c r="K1669" t="inlineStr">
        <is>
          <t>Not found</t>
        </is>
      </c>
      <c r="L1669" t="inlineStr">
        <is>
          <t>Unknown</t>
        </is>
      </c>
      <c r="T1669" t="inlineStr">
        <is>
          <t>https://tenders.iglonline.net/uploads/tender/Sheet_A_(1).pdf</t>
        </is>
      </c>
      <c r="U1669" t="inlineStr">
        <is>
          <t>No</t>
        </is>
      </c>
      <c r="V1669" t="inlineStr">
        <is>
          <t>Bot tarafindan tespit edildi (2026-07-01)</t>
        </is>
      </c>
    </row>
    <row r="1670">
      <c r="A1670" t="inlineStr">
        <is>
          <t>T-1474</t>
        </is>
      </c>
      <c r="B1670" t="inlineStr">
        <is>
          <t>Indraprastha Gas (IGL)</t>
        </is>
      </c>
      <c r="C1670" t="inlineStr">
        <is>
          <t>Indraprastha Gas (IGL)</t>
        </is>
      </c>
      <c r="F1670" t="inlineStr">
        <is>
          <t>New Lead</t>
        </is>
      </c>
      <c r="H1670" t="inlineStr">
        <is>
          <t>View Tender</t>
        </is>
      </c>
      <c r="K1670" t="inlineStr">
        <is>
          <t>Not found</t>
        </is>
      </c>
      <c r="L1670" t="inlineStr">
        <is>
          <t>Unknown</t>
        </is>
      </c>
      <c r="T1670" t="inlineStr">
        <is>
          <t>https://tenders.iglonline.net/tenderDetail/103/Active Tenders And Corrigendum-Addendum</t>
        </is>
      </c>
      <c r="U1670" t="inlineStr">
        <is>
          <t>No</t>
        </is>
      </c>
      <c r="V1670" t="inlineStr">
        <is>
          <t>Bot tarafindan tespit edildi (2026-07-01)</t>
        </is>
      </c>
    </row>
    <row r="1671">
      <c r="A1671" t="inlineStr">
        <is>
          <t>T-1475</t>
        </is>
      </c>
      <c r="B1671" t="inlineStr">
        <is>
          <t>Indraprastha Gas (IGL)</t>
        </is>
      </c>
      <c r="C1671" t="inlineStr">
        <is>
          <t>Indraprastha Gas (IGL)</t>
        </is>
      </c>
      <c r="F1671" t="inlineStr">
        <is>
          <t>New Lead</t>
        </is>
      </c>
      <c r="H1671" t="inlineStr">
        <is>
          <t>Corrigendum_1_CM17367.pdf</t>
        </is>
      </c>
      <c r="K1671" t="inlineStr">
        <is>
          <t>Not found</t>
        </is>
      </c>
      <c r="L1671" t="inlineStr">
        <is>
          <t>Unknown</t>
        </is>
      </c>
      <c r="T1671" t="inlineStr">
        <is>
          <t>https://tenders.iglonline.net/uploads/tender/Corrigendum_1_CM17367.pdf</t>
        </is>
      </c>
      <c r="U1671" t="inlineStr">
        <is>
          <t>No</t>
        </is>
      </c>
      <c r="V1671" t="inlineStr">
        <is>
          <t>Bot tarafindan tespit edildi (2026-07-01)</t>
        </is>
      </c>
    </row>
    <row r="1672">
      <c r="A1672" t="inlineStr">
        <is>
          <t>T-1476</t>
        </is>
      </c>
      <c r="B1672" t="inlineStr">
        <is>
          <t>Indraprastha Gas (IGL)</t>
        </is>
      </c>
      <c r="C1672" t="inlineStr">
        <is>
          <t>Indraprastha Gas (IGL)</t>
        </is>
      </c>
      <c r="F1672" t="inlineStr">
        <is>
          <t>New Lead</t>
        </is>
      </c>
      <c r="H1672" t="inlineStr">
        <is>
          <t>Reply_to_Queries.pdf</t>
        </is>
      </c>
      <c r="K1672" t="inlineStr">
        <is>
          <t>Not found</t>
        </is>
      </c>
      <c r="L1672" t="inlineStr">
        <is>
          <t>Unknown</t>
        </is>
      </c>
      <c r="T1672" t="inlineStr">
        <is>
          <t>https://tenders.iglonline.net/uploads/tender/Reply_to_Queries.pdf</t>
        </is>
      </c>
      <c r="U1672" t="inlineStr">
        <is>
          <t>No</t>
        </is>
      </c>
      <c r="V1672" t="inlineStr">
        <is>
          <t>Bot tarafindan tespit edildi (2026-07-01)</t>
        </is>
      </c>
    </row>
    <row r="1673">
      <c r="A1673" t="inlineStr">
        <is>
          <t>T-1477</t>
        </is>
      </c>
      <c r="B1673" t="inlineStr">
        <is>
          <t>Indraprastha Gas (IGL)</t>
        </is>
      </c>
      <c r="C1673" t="inlineStr">
        <is>
          <t>Indraprastha Gas (IGL)</t>
        </is>
      </c>
      <c r="F1673" t="inlineStr">
        <is>
          <t>New Lead</t>
        </is>
      </c>
      <c r="H1673" t="inlineStr">
        <is>
          <t>View Tender</t>
        </is>
      </c>
      <c r="K1673" t="inlineStr">
        <is>
          <t>Not found</t>
        </is>
      </c>
      <c r="L1673" t="inlineStr">
        <is>
          <t>Unknown</t>
        </is>
      </c>
      <c r="T1673" t="inlineStr">
        <is>
          <t>https://tenders.iglonline.net/tenderDetail/102/Active Tenders And Corrigendum-Addendum</t>
        </is>
      </c>
      <c r="U1673" t="inlineStr">
        <is>
          <t>No</t>
        </is>
      </c>
      <c r="V1673" t="inlineStr">
        <is>
          <t>Bot tarafindan tespit edildi (2026-07-01)</t>
        </is>
      </c>
    </row>
    <row r="1674">
      <c r="A1674" t="inlineStr">
        <is>
          <t>T-1478</t>
        </is>
      </c>
      <c r="B1674" t="inlineStr">
        <is>
          <t>Indraprastha Gas (IGL)</t>
        </is>
      </c>
      <c r="C1674" t="inlineStr">
        <is>
          <t>Indraprastha Gas (IGL)</t>
        </is>
      </c>
      <c r="F1674" t="inlineStr">
        <is>
          <t>New Lead</t>
        </is>
      </c>
      <c r="H1674" t="inlineStr">
        <is>
          <t>Corrigendum_1_CP17356.pdf</t>
        </is>
      </c>
      <c r="K1674" t="inlineStr">
        <is>
          <t>Not found</t>
        </is>
      </c>
      <c r="L1674" t="inlineStr">
        <is>
          <t>Unknown</t>
        </is>
      </c>
      <c r="T1674" t="inlineStr">
        <is>
          <t>https://tenders.iglonline.net/uploads/tender/Corrigendum_1_CP17356.pdf</t>
        </is>
      </c>
      <c r="U1674" t="inlineStr">
        <is>
          <t>No</t>
        </is>
      </c>
      <c r="V1674" t="inlineStr">
        <is>
          <t>Bot tarafindan tespit edildi (2026-07-01)</t>
        </is>
      </c>
    </row>
    <row r="1675">
      <c r="A1675" t="inlineStr">
        <is>
          <t>T-1479</t>
        </is>
      </c>
      <c r="B1675" t="inlineStr">
        <is>
          <t>Indraprastha Gas (IGL)</t>
        </is>
      </c>
      <c r="C1675" t="inlineStr">
        <is>
          <t>Indraprastha Gas (IGL)</t>
        </is>
      </c>
      <c r="F1675" t="inlineStr">
        <is>
          <t>New Lead</t>
        </is>
      </c>
      <c r="H1675" t="inlineStr">
        <is>
          <t>View Tender</t>
        </is>
      </c>
      <c r="K1675" t="inlineStr">
        <is>
          <t>Not found</t>
        </is>
      </c>
      <c r="L1675" t="inlineStr">
        <is>
          <t>Unknown</t>
        </is>
      </c>
      <c r="T1675" t="inlineStr">
        <is>
          <t>https://tenders.iglonline.net/tenderDetail/101/Active Tenders And Corrigendum-Addendum</t>
        </is>
      </c>
      <c r="U1675" t="inlineStr">
        <is>
          <t>No</t>
        </is>
      </c>
      <c r="V1675" t="inlineStr">
        <is>
          <t>Bot tarafindan tespit edildi (2026-07-01)</t>
        </is>
      </c>
    </row>
    <row r="1676">
      <c r="A1676" t="inlineStr">
        <is>
          <t>T-1480</t>
        </is>
      </c>
      <c r="B1676" t="inlineStr">
        <is>
          <t>Indraprastha Gas (IGL)</t>
        </is>
      </c>
      <c r="C1676" t="inlineStr">
        <is>
          <t>Indraprastha Gas (IGL)</t>
        </is>
      </c>
      <c r="F1676" t="inlineStr">
        <is>
          <t>New Lead</t>
        </is>
      </c>
      <c r="H1676" t="inlineStr">
        <is>
          <t>Corrigendum_1_CP17357.pdf</t>
        </is>
      </c>
      <c r="K1676" t="inlineStr">
        <is>
          <t>Not found</t>
        </is>
      </c>
      <c r="L1676" t="inlineStr">
        <is>
          <t>Unknown</t>
        </is>
      </c>
      <c r="T1676" t="inlineStr">
        <is>
          <t>https://tenders.iglonline.net/uploads/tender/Corrigendum_1_CP17357.pdf</t>
        </is>
      </c>
      <c r="U1676" t="inlineStr">
        <is>
          <t>No</t>
        </is>
      </c>
      <c r="V1676" t="inlineStr">
        <is>
          <t>Bot tarafindan tespit edildi (2026-07-01)</t>
        </is>
      </c>
    </row>
    <row r="1677">
      <c r="A1677" t="inlineStr">
        <is>
          <t>T-1481</t>
        </is>
      </c>
      <c r="B1677" t="inlineStr">
        <is>
          <t>Indraprastha Gas (IGL)</t>
        </is>
      </c>
      <c r="C1677" t="inlineStr">
        <is>
          <t>Indraprastha Gas (IGL)</t>
        </is>
      </c>
      <c r="F1677" t="inlineStr">
        <is>
          <t>New Lead</t>
        </is>
      </c>
      <c r="H1677" t="inlineStr">
        <is>
          <t>Replies_to_Bidder_Queries_CP17357.pdf</t>
        </is>
      </c>
      <c r="K1677" t="inlineStr">
        <is>
          <t>Not found</t>
        </is>
      </c>
      <c r="L1677" t="inlineStr">
        <is>
          <t>Unknown</t>
        </is>
      </c>
      <c r="T1677" t="inlineStr">
        <is>
          <t>https://tenders.iglonline.net/uploads/tender/Replies_to_Bidder_Queries_CP17357.pdf</t>
        </is>
      </c>
      <c r="U1677" t="inlineStr">
        <is>
          <t>No</t>
        </is>
      </c>
      <c r="V1677" t="inlineStr">
        <is>
          <t>Bot tarafindan tespit edildi (2026-07-01)</t>
        </is>
      </c>
    </row>
    <row r="1678">
      <c r="A1678" t="inlineStr">
        <is>
          <t>T-1482</t>
        </is>
      </c>
      <c r="B1678" t="inlineStr">
        <is>
          <t>Indraprastha Gas (IGL)</t>
        </is>
      </c>
      <c r="C1678" t="inlineStr">
        <is>
          <t>Indraprastha Gas (IGL)</t>
        </is>
      </c>
      <c r="F1678" t="inlineStr">
        <is>
          <t>New Lead</t>
        </is>
      </c>
      <c r="H1678" t="inlineStr">
        <is>
          <t>View Tender</t>
        </is>
      </c>
      <c r="K1678" t="inlineStr">
        <is>
          <t>Not found</t>
        </is>
      </c>
      <c r="L1678" t="inlineStr">
        <is>
          <t>Unknown</t>
        </is>
      </c>
      <c r="T1678" t="inlineStr">
        <is>
          <t>https://tenders.iglonline.net/tenderDetail/100/Active Tenders And Corrigendum-Addendum</t>
        </is>
      </c>
      <c r="U1678" t="inlineStr">
        <is>
          <t>No</t>
        </is>
      </c>
      <c r="V1678" t="inlineStr">
        <is>
          <t>Bot tarafindan tespit edildi (2026-07-01)</t>
        </is>
      </c>
    </row>
    <row r="1679">
      <c r="A1679" t="inlineStr">
        <is>
          <t>T-1483</t>
        </is>
      </c>
      <c r="B1679" t="inlineStr">
        <is>
          <t>Indraprastha Gas (IGL)</t>
        </is>
      </c>
      <c r="C1679" t="inlineStr">
        <is>
          <t>Indraprastha Gas (IGL)</t>
        </is>
      </c>
      <c r="F1679" t="inlineStr">
        <is>
          <t>New Lead</t>
        </is>
      </c>
      <c r="H1679" t="inlineStr">
        <is>
          <t>CORRIGENDUM1.pdf</t>
        </is>
      </c>
      <c r="K1679" t="inlineStr">
        <is>
          <t>Not found</t>
        </is>
      </c>
      <c r="L1679" t="inlineStr">
        <is>
          <t>Unknown</t>
        </is>
      </c>
      <c r="T1679" t="inlineStr">
        <is>
          <t>https://tenders.iglonline.net/uploads/tender/CORRIGENDUM1.pdf</t>
        </is>
      </c>
      <c r="U1679" t="inlineStr">
        <is>
          <t>No</t>
        </is>
      </c>
      <c r="V1679" t="inlineStr">
        <is>
          <t>Bot tarafindan tespit edildi (2026-07-01)</t>
        </is>
      </c>
    </row>
    <row r="1680">
      <c r="A1680" t="inlineStr">
        <is>
          <t>T-1484</t>
        </is>
      </c>
      <c r="B1680" t="inlineStr">
        <is>
          <t>Indraprastha Gas (IGL)</t>
        </is>
      </c>
      <c r="C1680" t="inlineStr">
        <is>
          <t>Indraprastha Gas (IGL)</t>
        </is>
      </c>
      <c r="F1680" t="inlineStr">
        <is>
          <t>New Lead</t>
        </is>
      </c>
      <c r="H1680" t="inlineStr">
        <is>
          <t>CORRIGENDUM2.pdf</t>
        </is>
      </c>
      <c r="K1680" t="inlineStr">
        <is>
          <t>Not found</t>
        </is>
      </c>
      <c r="L1680" t="inlineStr">
        <is>
          <t>Unknown</t>
        </is>
      </c>
      <c r="T1680" t="inlineStr">
        <is>
          <t>https://tenders.iglonline.net/uploads/tender/CORRIGENDUM2.pdf</t>
        </is>
      </c>
      <c r="U1680" t="inlineStr">
        <is>
          <t>No</t>
        </is>
      </c>
      <c r="V1680" t="inlineStr">
        <is>
          <t>Bot tarafindan tespit edildi (2026-07-01)</t>
        </is>
      </c>
    </row>
    <row r="1681">
      <c r="A1681" t="inlineStr">
        <is>
          <t>T-1485</t>
        </is>
      </c>
      <c r="B1681" t="inlineStr">
        <is>
          <t>Indraprastha Gas (IGL)</t>
        </is>
      </c>
      <c r="C1681" t="inlineStr">
        <is>
          <t>Indraprastha Gas (IGL)</t>
        </is>
      </c>
      <c r="F1681" t="inlineStr">
        <is>
          <t>New Lead</t>
        </is>
      </c>
      <c r="H1681" t="inlineStr">
        <is>
          <t>View Tender</t>
        </is>
      </c>
      <c r="K1681" t="inlineStr">
        <is>
          <t>Not found</t>
        </is>
      </c>
      <c r="L1681" t="inlineStr">
        <is>
          <t>Unknown</t>
        </is>
      </c>
      <c r="T1681" t="inlineStr">
        <is>
          <t>https://tenders.iglonline.net/tenderDetail/99/Active Tenders And Corrigendum-Addendum</t>
        </is>
      </c>
      <c r="U1681" t="inlineStr">
        <is>
          <t>No</t>
        </is>
      </c>
      <c r="V1681" t="inlineStr">
        <is>
          <t>Bot tarafindan tespit edildi (2026-07-01)</t>
        </is>
      </c>
    </row>
    <row r="1682">
      <c r="A1682" t="inlineStr">
        <is>
          <t>T-1486</t>
        </is>
      </c>
      <c r="B1682" t="inlineStr">
        <is>
          <t>Indraprastha Gas (IGL)</t>
        </is>
      </c>
      <c r="C1682" t="inlineStr">
        <is>
          <t>Indraprastha Gas (IGL)</t>
        </is>
      </c>
      <c r="F1682" t="inlineStr">
        <is>
          <t>New Lead</t>
        </is>
      </c>
      <c r="H1682" t="inlineStr">
        <is>
          <t>Corrigendum_2_CM17347.pdf</t>
        </is>
      </c>
      <c r="K1682" t="inlineStr">
        <is>
          <t>Not found</t>
        </is>
      </c>
      <c r="L1682" t="inlineStr">
        <is>
          <t>Unknown</t>
        </is>
      </c>
      <c r="T1682" t="inlineStr">
        <is>
          <t>https://tenders.iglonline.net/uploads/tender/Corrigendum_2_CM17347.pdf</t>
        </is>
      </c>
      <c r="U1682" t="inlineStr">
        <is>
          <t>No</t>
        </is>
      </c>
      <c r="V1682" t="inlineStr">
        <is>
          <t>Bot tarafindan tespit edildi (2026-07-01)</t>
        </is>
      </c>
    </row>
    <row r="1683">
      <c r="A1683" t="inlineStr">
        <is>
          <t>T-1487</t>
        </is>
      </c>
      <c r="B1683" t="inlineStr">
        <is>
          <t>Indraprastha Gas (IGL)</t>
        </is>
      </c>
      <c r="C1683" t="inlineStr">
        <is>
          <t>Indraprastha Gas (IGL)</t>
        </is>
      </c>
      <c r="F1683" t="inlineStr">
        <is>
          <t>New Lead</t>
        </is>
      </c>
      <c r="H1683" t="inlineStr">
        <is>
          <t>CORRIGENDUM1_CM17347.pdf</t>
        </is>
      </c>
      <c r="K1683" t="inlineStr">
        <is>
          <t>Not found</t>
        </is>
      </c>
      <c r="L1683" t="inlineStr">
        <is>
          <t>Unknown</t>
        </is>
      </c>
      <c r="T1683" t="inlineStr">
        <is>
          <t>https://tenders.iglonline.net/uploads/tender/CORRIGENDUM1_CM17347.pdf</t>
        </is>
      </c>
      <c r="U1683" t="inlineStr">
        <is>
          <t>No</t>
        </is>
      </c>
      <c r="V1683" t="inlineStr">
        <is>
          <t>Bot tarafindan tespit edildi (2026-07-01)</t>
        </is>
      </c>
    </row>
    <row r="1684">
      <c r="A1684" t="inlineStr">
        <is>
          <t>T-1488</t>
        </is>
      </c>
      <c r="B1684" t="inlineStr">
        <is>
          <t>Indraprastha Gas (IGL)</t>
        </is>
      </c>
      <c r="C1684" t="inlineStr">
        <is>
          <t>Indraprastha Gas (IGL)</t>
        </is>
      </c>
      <c r="F1684" t="inlineStr">
        <is>
          <t>New Lead</t>
        </is>
      </c>
      <c r="H1684" t="inlineStr">
        <is>
          <t>Replies_to_prebid.pdf</t>
        </is>
      </c>
      <c r="K1684" t="inlineStr">
        <is>
          <t>Not found</t>
        </is>
      </c>
      <c r="L1684" t="inlineStr">
        <is>
          <t>Unknown</t>
        </is>
      </c>
      <c r="T1684" t="inlineStr">
        <is>
          <t>https://tenders.iglonline.net/uploads/tender/Replies_to_prebid.pdf</t>
        </is>
      </c>
      <c r="U1684" t="inlineStr">
        <is>
          <t>No</t>
        </is>
      </c>
      <c r="V1684" t="inlineStr">
        <is>
          <t>Bot tarafindan tespit edildi (2026-07-01)</t>
        </is>
      </c>
    </row>
    <row r="1685">
      <c r="A1685" t="inlineStr">
        <is>
          <t>T-1489</t>
        </is>
      </c>
      <c r="B1685" t="inlineStr">
        <is>
          <t>Indraprastha Gas (IGL)</t>
        </is>
      </c>
      <c r="C1685" t="inlineStr">
        <is>
          <t>Indraprastha Gas (IGL)</t>
        </is>
      </c>
      <c r="F1685" t="inlineStr">
        <is>
          <t>New Lead</t>
        </is>
      </c>
      <c r="H1685" t="inlineStr">
        <is>
          <t>CORRIGENDUM4.pdf</t>
        </is>
      </c>
      <c r="K1685" t="inlineStr">
        <is>
          <t>Not found</t>
        </is>
      </c>
      <c r="L1685" t="inlineStr">
        <is>
          <t>Unknown</t>
        </is>
      </c>
      <c r="T1685" t="inlineStr">
        <is>
          <t>https://tenders.iglonline.net/uploads/tender/CORRIGENDUM4.pdf</t>
        </is>
      </c>
      <c r="U1685" t="inlineStr">
        <is>
          <t>No</t>
        </is>
      </c>
      <c r="V1685" t="inlineStr">
        <is>
          <t>Bot tarafindan tespit edildi (2026-07-01)</t>
        </is>
      </c>
    </row>
    <row r="1686">
      <c r="A1686" t="inlineStr">
        <is>
          <t>T-1490</t>
        </is>
      </c>
      <c r="B1686" t="inlineStr">
        <is>
          <t>Indraprastha Gas (IGL)</t>
        </is>
      </c>
      <c r="C1686" t="inlineStr">
        <is>
          <t>Indraprastha Gas (IGL)</t>
        </is>
      </c>
      <c r="F1686" t="inlineStr">
        <is>
          <t>New Lead</t>
        </is>
      </c>
      <c r="H1686" t="inlineStr">
        <is>
          <t>CORRIGENDUM6.pdf</t>
        </is>
      </c>
      <c r="K1686" t="inlineStr">
        <is>
          <t>Not found</t>
        </is>
      </c>
      <c r="L1686" t="inlineStr">
        <is>
          <t>Unknown</t>
        </is>
      </c>
      <c r="T1686" t="inlineStr">
        <is>
          <t>https://tenders.iglonline.net/uploads/tender/CORRIGENDUM6.pdf</t>
        </is>
      </c>
      <c r="U1686" t="inlineStr">
        <is>
          <t>No</t>
        </is>
      </c>
      <c r="V1686" t="inlineStr">
        <is>
          <t>Bot tarafindan tespit edildi (2026-07-01)</t>
        </is>
      </c>
    </row>
    <row r="1687">
      <c r="A1687" t="inlineStr">
        <is>
          <t>T-1491</t>
        </is>
      </c>
      <c r="B1687" t="inlineStr">
        <is>
          <t>Indraprastha Gas (IGL)</t>
        </is>
      </c>
      <c r="C1687" t="inlineStr">
        <is>
          <t>Indraprastha Gas (IGL)</t>
        </is>
      </c>
      <c r="F1687" t="inlineStr">
        <is>
          <t>New Lead</t>
        </is>
      </c>
      <c r="H1687" t="inlineStr">
        <is>
          <t>View Tender</t>
        </is>
      </c>
      <c r="K1687" t="inlineStr">
        <is>
          <t>Not found</t>
        </is>
      </c>
      <c r="L1687" t="inlineStr">
        <is>
          <t>Unknown</t>
        </is>
      </c>
      <c r="T1687" t="inlineStr">
        <is>
          <t>https://tenders.iglonline.net/tenderDetail/98/Active Tenders And Corrigendum-Addendum</t>
        </is>
      </c>
      <c r="U1687" t="inlineStr">
        <is>
          <t>No</t>
        </is>
      </c>
      <c r="V1687" t="inlineStr">
        <is>
          <t>Bot tarafindan tespit edildi (2026-07-01)</t>
        </is>
      </c>
    </row>
    <row r="1688">
      <c r="A1688" t="inlineStr">
        <is>
          <t>T-1492</t>
        </is>
      </c>
      <c r="B1688" t="inlineStr">
        <is>
          <t>Indraprastha Gas (IGL)</t>
        </is>
      </c>
      <c r="C1688" t="inlineStr">
        <is>
          <t>Indraprastha Gas (IGL)</t>
        </is>
      </c>
      <c r="F1688" t="inlineStr">
        <is>
          <t>New Lead</t>
        </is>
      </c>
      <c r="H1688" t="inlineStr">
        <is>
          <t>View Tender</t>
        </is>
      </c>
      <c r="K1688" t="inlineStr">
        <is>
          <t>Not found</t>
        </is>
      </c>
      <c r="L1688" t="inlineStr">
        <is>
          <t>Unknown</t>
        </is>
      </c>
      <c r="T1688" t="inlineStr">
        <is>
          <t>https://tenders.iglonline.net/tenderDetail/97/Active Tenders And Corrigendum-Addendum</t>
        </is>
      </c>
      <c r="U1688" t="inlineStr">
        <is>
          <t>No</t>
        </is>
      </c>
      <c r="V1688" t="inlineStr">
        <is>
          <t>Bot tarafindan tespit edildi (2026-07-01)</t>
        </is>
      </c>
    </row>
    <row r="1689">
      <c r="A1689" t="inlineStr">
        <is>
          <t>T-1493</t>
        </is>
      </c>
      <c r="B1689" t="inlineStr">
        <is>
          <t>Indraprastha Gas (IGL)</t>
        </is>
      </c>
      <c r="C1689" t="inlineStr">
        <is>
          <t>Indraprastha Gas (IGL)</t>
        </is>
      </c>
      <c r="F1689" t="inlineStr">
        <is>
          <t>New Lead</t>
        </is>
      </c>
      <c r="H1689" t="inlineStr">
        <is>
          <t>View Tender</t>
        </is>
      </c>
      <c r="K1689" t="inlineStr">
        <is>
          <t>Not found</t>
        </is>
      </c>
      <c r="L1689" t="inlineStr">
        <is>
          <t>Unknown</t>
        </is>
      </c>
      <c r="T1689" t="inlineStr">
        <is>
          <t>https://tenders.iglonline.net/tenderDetail/96/Active Tenders And Corrigendum-Addendum</t>
        </is>
      </c>
      <c r="U1689" t="inlineStr">
        <is>
          <t>No</t>
        </is>
      </c>
      <c r="V1689" t="inlineStr">
        <is>
          <t>Bot tarafindan tespit edildi (2026-07-01)</t>
        </is>
      </c>
    </row>
    <row r="1690">
      <c r="A1690" t="inlineStr">
        <is>
          <t>T-1494</t>
        </is>
      </c>
      <c r="B1690" t="inlineStr">
        <is>
          <t>Indraprastha Gas (IGL)</t>
        </is>
      </c>
      <c r="C1690" t="inlineStr">
        <is>
          <t>Indraprastha Gas (IGL)</t>
        </is>
      </c>
      <c r="F1690" t="inlineStr">
        <is>
          <t>New Lead</t>
        </is>
      </c>
      <c r="H1690" t="inlineStr">
        <is>
          <t>Corrigendum_II_(1).pdf</t>
        </is>
      </c>
      <c r="K1690" t="inlineStr">
        <is>
          <t>Not found</t>
        </is>
      </c>
      <c r="L1690" t="inlineStr">
        <is>
          <t>Unknown</t>
        </is>
      </c>
      <c r="T1690" t="inlineStr">
        <is>
          <t>https://tenders.iglonline.net/uploads/tender/Corrigendum_II_(1).pdf</t>
        </is>
      </c>
      <c r="U1690" t="inlineStr">
        <is>
          <t>No</t>
        </is>
      </c>
      <c r="V1690" t="inlineStr">
        <is>
          <t>Bot tarafindan tespit edildi (2026-07-01)</t>
        </is>
      </c>
    </row>
    <row r="1691">
      <c r="A1691" t="inlineStr">
        <is>
          <t>T-1495</t>
        </is>
      </c>
      <c r="B1691" t="inlineStr">
        <is>
          <t>Indraprastha Gas (IGL)</t>
        </is>
      </c>
      <c r="C1691" t="inlineStr">
        <is>
          <t>Indraprastha Gas (IGL)</t>
        </is>
      </c>
      <c r="F1691" t="inlineStr">
        <is>
          <t>New Lead</t>
        </is>
      </c>
      <c r="H1691" t="inlineStr">
        <is>
          <t>Corrigendum_3_CC17261_(1).pdf</t>
        </is>
      </c>
      <c r="K1691" t="inlineStr">
        <is>
          <t>Not found</t>
        </is>
      </c>
      <c r="L1691" t="inlineStr">
        <is>
          <t>Unknown</t>
        </is>
      </c>
      <c r="T1691" t="inlineStr">
        <is>
          <t>https://tenders.iglonline.net/uploads/tender/Corrigendum_3_CC17261_(1).pdf</t>
        </is>
      </c>
      <c r="U1691" t="inlineStr">
        <is>
          <t>No</t>
        </is>
      </c>
      <c r="V1691" t="inlineStr">
        <is>
          <t>Bot tarafindan tespit edildi (2026-07-01)</t>
        </is>
      </c>
    </row>
    <row r="1692">
      <c r="A1692" t="inlineStr">
        <is>
          <t>T-1496</t>
        </is>
      </c>
      <c r="B1692" t="inlineStr">
        <is>
          <t>Indraprastha Gas (IGL)</t>
        </is>
      </c>
      <c r="C1692" t="inlineStr">
        <is>
          <t>Indraprastha Gas (IGL)</t>
        </is>
      </c>
      <c r="F1692" t="inlineStr">
        <is>
          <t>New Lead</t>
        </is>
      </c>
      <c r="H1692" t="inlineStr">
        <is>
          <t>Corrigendum_4_CC17261.pdf</t>
        </is>
      </c>
      <c r="K1692" t="inlineStr">
        <is>
          <t>Not found</t>
        </is>
      </c>
      <c r="L1692" t="inlineStr">
        <is>
          <t>Unknown</t>
        </is>
      </c>
      <c r="T1692" t="inlineStr">
        <is>
          <t>https://tenders.iglonline.net/uploads/tender/Corrigendum_4_CC17261.pdf</t>
        </is>
      </c>
      <c r="U1692" t="inlineStr">
        <is>
          <t>No</t>
        </is>
      </c>
      <c r="V1692" t="inlineStr">
        <is>
          <t>Bot tarafindan tespit edildi (2026-07-01)</t>
        </is>
      </c>
    </row>
    <row r="1693">
      <c r="A1693" t="inlineStr">
        <is>
          <t>T-1497</t>
        </is>
      </c>
      <c r="B1693" t="inlineStr">
        <is>
          <t>Indraprastha Gas (IGL)</t>
        </is>
      </c>
      <c r="C1693" t="inlineStr">
        <is>
          <t>Indraprastha Gas (IGL)</t>
        </is>
      </c>
      <c r="F1693" t="inlineStr">
        <is>
          <t>New Lead</t>
        </is>
      </c>
      <c r="H1693" t="inlineStr">
        <is>
          <t>Reply_to_Prebid_queries.pdf</t>
        </is>
      </c>
      <c r="K1693" t="inlineStr">
        <is>
          <t>Not found</t>
        </is>
      </c>
      <c r="L1693" t="inlineStr">
        <is>
          <t>Unknown</t>
        </is>
      </c>
      <c r="T1693" t="inlineStr">
        <is>
          <t>https://tenders.iglonline.net/uploads/tender/Reply_to_Prebid_queries.pdf</t>
        </is>
      </c>
      <c r="U1693" t="inlineStr">
        <is>
          <t>No</t>
        </is>
      </c>
      <c r="V1693" t="inlineStr">
        <is>
          <t>Bot tarafindan tespit edildi (2026-07-01)</t>
        </is>
      </c>
    </row>
    <row r="1694">
      <c r="A1694" t="inlineStr">
        <is>
          <t>T-1498</t>
        </is>
      </c>
      <c r="B1694" t="inlineStr">
        <is>
          <t>Indraprastha Gas (IGL)</t>
        </is>
      </c>
      <c r="C1694" t="inlineStr">
        <is>
          <t>Indraprastha Gas (IGL)</t>
        </is>
      </c>
      <c r="F1694" t="inlineStr">
        <is>
          <t>New Lead</t>
        </is>
      </c>
      <c r="H1694" t="inlineStr">
        <is>
          <t>View Tender</t>
        </is>
      </c>
      <c r="K1694" t="inlineStr">
        <is>
          <t>Not found</t>
        </is>
      </c>
      <c r="L1694" t="inlineStr">
        <is>
          <t>Unknown</t>
        </is>
      </c>
      <c r="T1694" t="inlineStr">
        <is>
          <t>https://tenders.iglonline.net/tenderDetail/95/Active Tenders And Corrigendum-Addendum</t>
        </is>
      </c>
      <c r="U1694" t="inlineStr">
        <is>
          <t>No</t>
        </is>
      </c>
      <c r="V1694" t="inlineStr">
        <is>
          <t>Bot tarafindan tespit edildi (2026-07-01)</t>
        </is>
      </c>
    </row>
    <row r="1695">
      <c r="A1695" t="inlineStr">
        <is>
          <t>T-1499</t>
        </is>
      </c>
      <c r="B1695" t="inlineStr">
        <is>
          <t>Indraprastha Gas (IGL)</t>
        </is>
      </c>
      <c r="C1695" t="inlineStr">
        <is>
          <t>Indraprastha Gas (IGL)</t>
        </is>
      </c>
      <c r="F1695" t="inlineStr">
        <is>
          <t>New Lead</t>
        </is>
      </c>
      <c r="H1695" t="inlineStr">
        <is>
          <t>Corrigendum_1_CM17260.pdf</t>
        </is>
      </c>
      <c r="K1695" t="inlineStr">
        <is>
          <t>Not found</t>
        </is>
      </c>
      <c r="L1695" t="inlineStr">
        <is>
          <t>Unknown</t>
        </is>
      </c>
      <c r="T1695" t="inlineStr">
        <is>
          <t>https://tenders.iglonline.net/uploads/tender/Corrigendum_1_CM17260.pdf</t>
        </is>
      </c>
      <c r="U1695" t="inlineStr">
        <is>
          <t>No</t>
        </is>
      </c>
      <c r="V1695" t="inlineStr">
        <is>
          <t>Bot tarafindan tespit edildi (2026-07-01)</t>
        </is>
      </c>
    </row>
    <row r="1696">
      <c r="A1696" t="inlineStr">
        <is>
          <t>T-1500</t>
        </is>
      </c>
      <c r="B1696" t="inlineStr">
        <is>
          <t>Indraprastha Gas (IGL)</t>
        </is>
      </c>
      <c r="C1696" t="inlineStr">
        <is>
          <t>Indraprastha Gas (IGL)</t>
        </is>
      </c>
      <c r="F1696" t="inlineStr">
        <is>
          <t>New Lead</t>
        </is>
      </c>
      <c r="H1696" t="inlineStr">
        <is>
          <t>Corrigendum_3_CM17260.pdf</t>
        </is>
      </c>
      <c r="K1696" t="inlineStr">
        <is>
          <t>Not found</t>
        </is>
      </c>
      <c r="L1696" t="inlineStr">
        <is>
          <t>Unknown</t>
        </is>
      </c>
      <c r="T1696" t="inlineStr">
        <is>
          <t>https://tenders.iglonline.net/uploads/tender/Corrigendum_3_CM17260.pdf</t>
        </is>
      </c>
      <c r="U1696" t="inlineStr">
        <is>
          <t>No</t>
        </is>
      </c>
      <c r="V1696" t="inlineStr">
        <is>
          <t>Bot tarafindan tespit edildi (2026-07-01)</t>
        </is>
      </c>
    </row>
    <row r="1697">
      <c r="A1697" t="inlineStr">
        <is>
          <t>T-1501</t>
        </is>
      </c>
      <c r="B1697" t="inlineStr">
        <is>
          <t>Indraprastha Gas (IGL)</t>
        </is>
      </c>
      <c r="C1697" t="inlineStr">
        <is>
          <t>Indraprastha Gas (IGL)</t>
        </is>
      </c>
      <c r="F1697" t="inlineStr">
        <is>
          <t>New Lead</t>
        </is>
      </c>
      <c r="H1697" t="inlineStr">
        <is>
          <t>Notice_for_Cancellation_CM17260.pdf</t>
        </is>
      </c>
      <c r="K1697" t="inlineStr">
        <is>
          <t>Not found</t>
        </is>
      </c>
      <c r="L1697" t="inlineStr">
        <is>
          <t>Unknown</t>
        </is>
      </c>
      <c r="T1697" t="inlineStr">
        <is>
          <t>https://tenders.iglonline.net/uploads/tender/Notice_for_Cancellation_CM17260.pdf</t>
        </is>
      </c>
      <c r="U1697" t="inlineStr">
        <is>
          <t>No</t>
        </is>
      </c>
      <c r="V1697" t="inlineStr">
        <is>
          <t>Bot tarafindan tespit edildi (2026-07-01)</t>
        </is>
      </c>
    </row>
    <row r="1698">
      <c r="A1698" t="inlineStr">
        <is>
          <t>T-1502</t>
        </is>
      </c>
      <c r="B1698" t="inlineStr">
        <is>
          <t>Indraprastha Gas (IGL)</t>
        </is>
      </c>
      <c r="C1698" t="inlineStr">
        <is>
          <t>Indraprastha Gas (IGL)</t>
        </is>
      </c>
      <c r="F1698" t="inlineStr">
        <is>
          <t>New Lead</t>
        </is>
      </c>
      <c r="H1698" t="inlineStr">
        <is>
          <t>View Tender</t>
        </is>
      </c>
      <c r="K1698" t="inlineStr">
        <is>
          <t>Not found</t>
        </is>
      </c>
      <c r="L1698" t="inlineStr">
        <is>
          <t>Unknown</t>
        </is>
      </c>
      <c r="T1698" t="inlineStr">
        <is>
          <t>https://tenders.iglonline.net/tenderDetail/94/Active Tenders And Corrigendum-Addendum</t>
        </is>
      </c>
      <c r="U1698" t="inlineStr">
        <is>
          <t>No</t>
        </is>
      </c>
      <c r="V1698" t="inlineStr">
        <is>
          <t>Bot tarafindan tespit edildi (2026-07-01)</t>
        </is>
      </c>
    </row>
    <row r="1699">
      <c r="A1699" t="inlineStr">
        <is>
          <t>T-1503</t>
        </is>
      </c>
      <c r="B1699" t="inlineStr">
        <is>
          <t>Indraprastha Gas (IGL)</t>
        </is>
      </c>
      <c r="C1699" t="inlineStr">
        <is>
          <t>Indraprastha Gas (IGL)</t>
        </is>
      </c>
      <c r="F1699" t="inlineStr">
        <is>
          <t>New Lead</t>
        </is>
      </c>
      <c r="H1699" t="inlineStr">
        <is>
          <t>Corrigendum_1.pdf</t>
        </is>
      </c>
      <c r="K1699" t="inlineStr">
        <is>
          <t>Not found</t>
        </is>
      </c>
      <c r="L1699" t="inlineStr">
        <is>
          <t>Unknown</t>
        </is>
      </c>
      <c r="T1699" t="inlineStr">
        <is>
          <t>https://tenders.iglonline.net/uploads/tender/Corrigendum_1.pdf</t>
        </is>
      </c>
      <c r="U1699" t="inlineStr">
        <is>
          <t>No</t>
        </is>
      </c>
      <c r="V1699" t="inlineStr">
        <is>
          <t>Bot tarafindan tespit edildi (2026-07-01)</t>
        </is>
      </c>
    </row>
    <row r="1700">
      <c r="A1700" t="inlineStr">
        <is>
          <t>T-1504</t>
        </is>
      </c>
      <c r="B1700" t="inlineStr">
        <is>
          <t>Indraprastha Gas (IGL)</t>
        </is>
      </c>
      <c r="C1700" t="inlineStr">
        <is>
          <t>Indraprastha Gas (IGL)</t>
        </is>
      </c>
      <c r="F1700" t="inlineStr">
        <is>
          <t>New Lead</t>
        </is>
      </c>
      <c r="H1700" t="inlineStr">
        <is>
          <t>Corrigendum_II.pdf</t>
        </is>
      </c>
      <c r="K1700" t="inlineStr">
        <is>
          <t>Not found</t>
        </is>
      </c>
      <c r="L1700" t="inlineStr">
        <is>
          <t>Unknown</t>
        </is>
      </c>
      <c r="T1700" t="inlineStr">
        <is>
          <t>https://tenders.iglonline.net/uploads/tender/Corrigendum_II.pdf</t>
        </is>
      </c>
      <c r="U1700" t="inlineStr">
        <is>
          <t>No</t>
        </is>
      </c>
      <c r="V1700" t="inlineStr">
        <is>
          <t>Bot tarafindan tespit edildi (2026-07-01)</t>
        </is>
      </c>
    </row>
    <row r="1701">
      <c r="A1701" t="inlineStr">
        <is>
          <t>T-1505</t>
        </is>
      </c>
      <c r="B1701" t="inlineStr">
        <is>
          <t>Indraprastha Gas (IGL)</t>
        </is>
      </c>
      <c r="C1701" t="inlineStr">
        <is>
          <t>Indraprastha Gas (IGL)</t>
        </is>
      </c>
      <c r="F1701" t="inlineStr">
        <is>
          <t>New Lead</t>
        </is>
      </c>
      <c r="H1701" t="inlineStr">
        <is>
          <t>View Tender</t>
        </is>
      </c>
      <c r="K1701" t="inlineStr">
        <is>
          <t>Not found</t>
        </is>
      </c>
      <c r="L1701" t="inlineStr">
        <is>
          <t>Unknown</t>
        </is>
      </c>
      <c r="T1701" t="inlineStr">
        <is>
          <t>https://tenders.iglonline.net/tenderDetail/93/Active Tenders And Corrigendum-Addendum</t>
        </is>
      </c>
      <c r="U1701" t="inlineStr">
        <is>
          <t>No</t>
        </is>
      </c>
      <c r="V1701" t="inlineStr">
        <is>
          <t>Bot tarafindan tespit edildi (2026-07-01)</t>
        </is>
      </c>
    </row>
    <row r="1702">
      <c r="A1702" t="inlineStr">
        <is>
          <t>T-1506</t>
        </is>
      </c>
      <c r="B1702" t="inlineStr">
        <is>
          <t>Indraprastha Gas (IGL)</t>
        </is>
      </c>
      <c r="C1702" t="inlineStr">
        <is>
          <t>Indraprastha Gas (IGL)</t>
        </is>
      </c>
      <c r="F1702" t="inlineStr">
        <is>
          <t>New Lead</t>
        </is>
      </c>
      <c r="H1702" t="inlineStr">
        <is>
          <t>CM17319_dated_19_01_2023_TID_30988_CORRIGENDUM_II_CM173192.pdf</t>
        </is>
      </c>
      <c r="K1702" t="inlineStr">
        <is>
          <t>Not found</t>
        </is>
      </c>
      <c r="L1702" t="inlineStr">
        <is>
          <t>Unknown</t>
        </is>
      </c>
      <c r="T1702" t="inlineStr">
        <is>
          <t>https://tenders.iglonline.net/uploads/tender/CM17319_dated_19_01_2023_TID_30988_CORRIGENDUM_II_CM173192.pdf</t>
        </is>
      </c>
      <c r="U1702" t="inlineStr">
        <is>
          <t>No</t>
        </is>
      </c>
      <c r="V1702" t="inlineStr">
        <is>
          <t>Bot tarafindan tespit edildi (2026-07-01)</t>
        </is>
      </c>
    </row>
    <row r="1703">
      <c r="A1703" t="inlineStr">
        <is>
          <t>T-1507</t>
        </is>
      </c>
      <c r="B1703" t="inlineStr">
        <is>
          <t>Indraprastha Gas (IGL)</t>
        </is>
      </c>
      <c r="C1703" t="inlineStr">
        <is>
          <t>Indraprastha Gas (IGL)</t>
        </is>
      </c>
      <c r="F1703" t="inlineStr">
        <is>
          <t>New Lead</t>
        </is>
      </c>
      <c r="H1703" t="inlineStr">
        <is>
          <t>CORRIGENDUM_3_CM17319.pdf</t>
        </is>
      </c>
      <c r="K1703" t="inlineStr">
        <is>
          <t>Not found</t>
        </is>
      </c>
      <c r="L1703" t="inlineStr">
        <is>
          <t>Unknown</t>
        </is>
      </c>
      <c r="T1703" t="inlineStr">
        <is>
          <t>https://tenders.iglonline.net/uploads/tender/CORRIGENDUM_3_CM17319.pdf</t>
        </is>
      </c>
      <c r="U1703" t="inlineStr">
        <is>
          <t>No</t>
        </is>
      </c>
      <c r="V1703" t="inlineStr">
        <is>
          <t>Bot tarafindan tespit edildi (2026-07-01)</t>
        </is>
      </c>
    </row>
    <row r="1704">
      <c r="A1704" t="inlineStr">
        <is>
          <t>T-1508</t>
        </is>
      </c>
      <c r="B1704" t="inlineStr">
        <is>
          <t>Indraprastha Gas (IGL)</t>
        </is>
      </c>
      <c r="C1704" t="inlineStr">
        <is>
          <t>Indraprastha Gas (IGL)</t>
        </is>
      </c>
      <c r="F1704" t="inlineStr">
        <is>
          <t>New Lead</t>
        </is>
      </c>
      <c r="H1704" t="inlineStr">
        <is>
          <t>View Tender</t>
        </is>
      </c>
      <c r="K1704" t="inlineStr">
        <is>
          <t>Not found</t>
        </is>
      </c>
      <c r="L1704" t="inlineStr">
        <is>
          <t>Unknown</t>
        </is>
      </c>
      <c r="T1704" t="inlineStr">
        <is>
          <t>https://tenders.iglonline.net/tenderDetail/92/Active Tenders And Corrigendum-Addendum</t>
        </is>
      </c>
      <c r="U1704" t="inlineStr">
        <is>
          <t>No</t>
        </is>
      </c>
      <c r="V1704" t="inlineStr">
        <is>
          <t>Bot tarafindan tespit edildi (2026-07-01)</t>
        </is>
      </c>
    </row>
    <row r="1705">
      <c r="A1705" t="inlineStr">
        <is>
          <t>T-1509</t>
        </is>
      </c>
      <c r="B1705" t="inlineStr">
        <is>
          <t>Indraprastha Gas (IGL)</t>
        </is>
      </c>
      <c r="C1705" t="inlineStr">
        <is>
          <t>Indraprastha Gas (IGL)</t>
        </is>
      </c>
      <c r="F1705" t="inlineStr">
        <is>
          <t>New Lead</t>
        </is>
      </c>
      <c r="H1705" t="inlineStr">
        <is>
          <t>Corrigendum_1_CP17326.pdf</t>
        </is>
      </c>
      <c r="K1705" t="inlineStr">
        <is>
          <t>Not found</t>
        </is>
      </c>
      <c r="L1705" t="inlineStr">
        <is>
          <t>Unknown</t>
        </is>
      </c>
      <c r="T1705" t="inlineStr">
        <is>
          <t>https://tenders.iglonline.net/uploads/tender/Corrigendum_1_CP17326.pdf</t>
        </is>
      </c>
      <c r="U1705" t="inlineStr">
        <is>
          <t>No</t>
        </is>
      </c>
      <c r="V1705" t="inlineStr">
        <is>
          <t>Bot tarafindan tespit edildi (2026-07-01)</t>
        </is>
      </c>
    </row>
    <row r="1706">
      <c r="A1706" t="inlineStr">
        <is>
          <t>T-1510</t>
        </is>
      </c>
      <c r="B1706" t="inlineStr">
        <is>
          <t>Indraprastha Gas (IGL)</t>
        </is>
      </c>
      <c r="C1706" t="inlineStr">
        <is>
          <t>Indraprastha Gas (IGL)</t>
        </is>
      </c>
      <c r="F1706" t="inlineStr">
        <is>
          <t>New Lead</t>
        </is>
      </c>
      <c r="H1706" t="inlineStr">
        <is>
          <t>IGL_Commercial_Corrigendum_10.pdf</t>
        </is>
      </c>
      <c r="K1706" t="inlineStr">
        <is>
          <t>Not found</t>
        </is>
      </c>
      <c r="L1706" t="inlineStr">
        <is>
          <t>Unknown</t>
        </is>
      </c>
      <c r="T1706" t="inlineStr">
        <is>
          <t>https://tenders.iglonline.net/uploads/tender/IGL_Commercial_Corrigendum_10.pdf</t>
        </is>
      </c>
      <c r="U1706" t="inlineStr">
        <is>
          <t>No</t>
        </is>
      </c>
      <c r="V1706" t="inlineStr">
        <is>
          <t>Bot tarafindan tespit edildi (2026-07-01)</t>
        </is>
      </c>
    </row>
    <row r="1707">
      <c r="A1707" t="inlineStr">
        <is>
          <t>T-1511</t>
        </is>
      </c>
      <c r="B1707" t="inlineStr">
        <is>
          <t>Indraprastha Gas (IGL)</t>
        </is>
      </c>
      <c r="C1707" t="inlineStr">
        <is>
          <t>Indraprastha Gas (IGL)</t>
        </is>
      </c>
      <c r="F1707" t="inlineStr">
        <is>
          <t>New Lead</t>
        </is>
      </c>
      <c r="H1707" t="inlineStr">
        <is>
          <t>Corrigendum_2_CP17326.pdf</t>
        </is>
      </c>
      <c r="K1707" t="inlineStr">
        <is>
          <t>Not found</t>
        </is>
      </c>
      <c r="L1707" t="inlineStr">
        <is>
          <t>Unknown</t>
        </is>
      </c>
      <c r="T1707" t="inlineStr">
        <is>
          <t>https://tenders.iglonline.net/uploads/tender/Corrigendum_2_CP17326.pdf</t>
        </is>
      </c>
      <c r="U1707" t="inlineStr">
        <is>
          <t>No</t>
        </is>
      </c>
      <c r="V1707" t="inlineStr">
        <is>
          <t>Bot tarafindan tespit edildi (2026-07-01)</t>
        </is>
      </c>
    </row>
    <row r="1708">
      <c r="A1708" t="inlineStr">
        <is>
          <t>T-1512</t>
        </is>
      </c>
      <c r="B1708" t="inlineStr">
        <is>
          <t>Indraprastha Gas (IGL)</t>
        </is>
      </c>
      <c r="C1708" t="inlineStr">
        <is>
          <t>Indraprastha Gas (IGL)</t>
        </is>
      </c>
      <c r="F1708" t="inlineStr">
        <is>
          <t>New Lead</t>
        </is>
      </c>
      <c r="H1708" t="inlineStr">
        <is>
          <t>View Tender</t>
        </is>
      </c>
      <c r="K1708" t="inlineStr">
        <is>
          <t>Not found</t>
        </is>
      </c>
      <c r="L1708" t="inlineStr">
        <is>
          <t>Unknown</t>
        </is>
      </c>
      <c r="T1708" t="inlineStr">
        <is>
          <t>https://tenders.iglonline.net/tenderDetail/91/Active Tenders And Corrigendum-Addendum</t>
        </is>
      </c>
      <c r="U1708" t="inlineStr">
        <is>
          <t>No</t>
        </is>
      </c>
      <c r="V1708" t="inlineStr">
        <is>
          <t>Bot tarafindan tespit edildi (2026-07-01)</t>
        </is>
      </c>
    </row>
    <row r="1709">
      <c r="A1709" t="inlineStr">
        <is>
          <t>T-1513</t>
        </is>
      </c>
      <c r="B1709" t="inlineStr">
        <is>
          <t>Indraprastha Gas (IGL)</t>
        </is>
      </c>
      <c r="C1709" t="inlineStr">
        <is>
          <t>Indraprastha Gas (IGL)</t>
        </is>
      </c>
      <c r="F1709" t="inlineStr">
        <is>
          <t>New Lead</t>
        </is>
      </c>
      <c r="H1709" t="inlineStr">
        <is>
          <t>View Tender</t>
        </is>
      </c>
      <c r="K1709" t="inlineStr">
        <is>
          <t>Not found</t>
        </is>
      </c>
      <c r="L1709" t="inlineStr">
        <is>
          <t>Unknown</t>
        </is>
      </c>
      <c r="T1709" t="inlineStr">
        <is>
          <t>https://tenders.iglonline.net/tenderDetail/90/Active Tenders And Corrigendum-Addendum</t>
        </is>
      </c>
      <c r="U1709" t="inlineStr">
        <is>
          <t>No</t>
        </is>
      </c>
      <c r="V1709" t="inlineStr">
        <is>
          <t>Bot tarafindan tespit edildi (2026-07-01)</t>
        </is>
      </c>
    </row>
    <row r="1710">
      <c r="A1710" t="inlineStr">
        <is>
          <t>T-1514</t>
        </is>
      </c>
      <c r="B1710" t="inlineStr">
        <is>
          <t>Indraprastha Gas (IGL)</t>
        </is>
      </c>
      <c r="C1710" t="inlineStr">
        <is>
          <t>Indraprastha Gas (IGL)</t>
        </is>
      </c>
      <c r="F1710" t="inlineStr">
        <is>
          <t>New Lead</t>
        </is>
      </c>
      <c r="H1710" t="inlineStr">
        <is>
          <t>CC17303_dated_03_01_2023_TID_30985_Corrigendum-I.pdf</t>
        </is>
      </c>
      <c r="K1710" t="inlineStr">
        <is>
          <t>Not found</t>
        </is>
      </c>
      <c r="L1710" t="inlineStr">
        <is>
          <t>Unknown</t>
        </is>
      </c>
      <c r="T1710" t="inlineStr">
        <is>
          <t>https://tenders.iglonline.net/uploads/tender/CC17303_dated_03_01_2023_TID_30985_Corrigendum-I.pdf</t>
        </is>
      </c>
      <c r="U1710" t="inlineStr">
        <is>
          <t>No</t>
        </is>
      </c>
      <c r="V1710" t="inlineStr">
        <is>
          <t>Bot tarafindan tespit edildi (2026-07-01)</t>
        </is>
      </c>
    </row>
    <row r="1711">
      <c r="A1711" t="inlineStr">
        <is>
          <t>T-1515</t>
        </is>
      </c>
      <c r="B1711" t="inlineStr">
        <is>
          <t>Indraprastha Gas (IGL)</t>
        </is>
      </c>
      <c r="C1711" t="inlineStr">
        <is>
          <t>Indraprastha Gas (IGL)</t>
        </is>
      </c>
      <c r="F1711" t="inlineStr">
        <is>
          <t>New Lead</t>
        </is>
      </c>
      <c r="H1711" t="inlineStr">
        <is>
          <t>View Tender</t>
        </is>
      </c>
      <c r="K1711" t="inlineStr">
        <is>
          <t>Not found</t>
        </is>
      </c>
      <c r="L1711" t="inlineStr">
        <is>
          <t>Unknown</t>
        </is>
      </c>
      <c r="T1711" t="inlineStr">
        <is>
          <t>https://tenders.iglonline.net/tenderDetail/89/Active Tenders And Corrigendum-Addendum</t>
        </is>
      </c>
      <c r="U1711" t="inlineStr">
        <is>
          <t>No</t>
        </is>
      </c>
      <c r="V1711" t="inlineStr">
        <is>
          <t>Bot tarafindan tespit edildi (2026-07-01)</t>
        </is>
      </c>
    </row>
    <row r="1712">
      <c r="A1712" t="inlineStr">
        <is>
          <t>T-1516</t>
        </is>
      </c>
      <c r="B1712" t="inlineStr">
        <is>
          <t>Indraprastha Gas (IGL)</t>
        </is>
      </c>
      <c r="C1712" t="inlineStr">
        <is>
          <t>Indraprastha Gas (IGL)</t>
        </is>
      </c>
      <c r="F1712" t="inlineStr">
        <is>
          <t>New Lead</t>
        </is>
      </c>
      <c r="H1712" t="inlineStr">
        <is>
          <t>CC17300_dated_02_01_2023_TID_30984_Corrigendum_I_CC17300.pdf</t>
        </is>
      </c>
      <c r="K1712" t="inlineStr">
        <is>
          <t>Not found</t>
        </is>
      </c>
      <c r="L1712" t="inlineStr">
        <is>
          <t>Unknown</t>
        </is>
      </c>
      <c r="T1712" t="inlineStr">
        <is>
          <t>https://tenders.iglonline.net/uploads/tender/CC17300_dated_02_01_2023_TID_30984_Corrigendum_I_CC17300.pdf</t>
        </is>
      </c>
      <c r="U1712" t="inlineStr">
        <is>
          <t>No</t>
        </is>
      </c>
      <c r="V1712" t="inlineStr">
        <is>
          <t>Bot tarafindan tespit edildi (2026-07-01)</t>
        </is>
      </c>
    </row>
    <row r="1713">
      <c r="A1713" t="inlineStr">
        <is>
          <t>T-1517</t>
        </is>
      </c>
      <c r="B1713" t="inlineStr">
        <is>
          <t>Indraprastha Gas (IGL)</t>
        </is>
      </c>
      <c r="C1713" t="inlineStr">
        <is>
          <t>Indraprastha Gas (IGL)</t>
        </is>
      </c>
      <c r="F1713" t="inlineStr">
        <is>
          <t>New Lead</t>
        </is>
      </c>
      <c r="H1713" t="inlineStr">
        <is>
          <t>View Tender</t>
        </is>
      </c>
      <c r="K1713" t="inlineStr">
        <is>
          <t>Not found</t>
        </is>
      </c>
      <c r="L1713" t="inlineStr">
        <is>
          <t>Unknown</t>
        </is>
      </c>
      <c r="T1713" t="inlineStr">
        <is>
          <t>https://tenders.iglonline.net/tenderDetail/88/Active Tenders And Corrigendum-Addendum</t>
        </is>
      </c>
      <c r="U1713" t="inlineStr">
        <is>
          <t>No</t>
        </is>
      </c>
      <c r="V1713" t="inlineStr">
        <is>
          <t>Bot tarafindan tespit edildi (2026-07-01)</t>
        </is>
      </c>
    </row>
    <row r="1714">
      <c r="A1714" t="inlineStr">
        <is>
          <t>T-1518</t>
        </is>
      </c>
      <c r="B1714" t="inlineStr">
        <is>
          <t>Indraprastha Gas (IGL)</t>
        </is>
      </c>
      <c r="C1714" t="inlineStr">
        <is>
          <t>Indraprastha Gas (IGL)</t>
        </is>
      </c>
      <c r="F1714" t="inlineStr">
        <is>
          <t>New Lead</t>
        </is>
      </c>
      <c r="H1714" t="inlineStr">
        <is>
          <t>CC17292_dated_02_01_2023_TID_30983_Corrigendum-I_CC172921.pdf</t>
        </is>
      </c>
      <c r="K1714" t="inlineStr">
        <is>
          <t>Not found</t>
        </is>
      </c>
      <c r="L1714" t="inlineStr">
        <is>
          <t>Unknown</t>
        </is>
      </c>
      <c r="T1714" t="inlineStr">
        <is>
          <t>https://tenders.iglonline.net/uploads/tender/CC17292_dated_02_01_2023_TID_30983_Corrigendum-I_CC172921.pdf</t>
        </is>
      </c>
      <c r="U1714" t="inlineStr">
        <is>
          <t>No</t>
        </is>
      </c>
      <c r="V1714" t="inlineStr">
        <is>
          <t>Bot tarafindan tespit edildi (2026-07-01)</t>
        </is>
      </c>
    </row>
    <row r="1715">
      <c r="A1715" t="inlineStr">
        <is>
          <t>T-1519</t>
        </is>
      </c>
      <c r="B1715" t="inlineStr">
        <is>
          <t>Indraprastha Gas (IGL)</t>
        </is>
      </c>
      <c r="C1715" t="inlineStr">
        <is>
          <t>Indraprastha Gas (IGL)</t>
        </is>
      </c>
      <c r="F1715" t="inlineStr">
        <is>
          <t>New Lead</t>
        </is>
      </c>
      <c r="H1715" t="inlineStr">
        <is>
          <t>CC17292_dated_02_01_2023_TID_30983_Corrigendum-II.pdf</t>
        </is>
      </c>
      <c r="K1715" t="inlineStr">
        <is>
          <t>Not found</t>
        </is>
      </c>
      <c r="L1715" t="inlineStr">
        <is>
          <t>Unknown</t>
        </is>
      </c>
      <c r="T1715" t="inlineStr">
        <is>
          <t>https://tenders.iglonline.net/uploads/tender/CC17292_dated_02_01_2023_TID_30983_Corrigendum-II.pdf</t>
        </is>
      </c>
      <c r="U1715" t="inlineStr">
        <is>
          <t>No</t>
        </is>
      </c>
      <c r="V1715" t="inlineStr">
        <is>
          <t>Bot tarafindan tespit edildi (2026-07-01)</t>
        </is>
      </c>
    </row>
    <row r="1716">
      <c r="A1716" t="inlineStr">
        <is>
          <t>T-1520</t>
        </is>
      </c>
      <c r="B1716" t="inlineStr">
        <is>
          <t>Indraprastha Gas (IGL)</t>
        </is>
      </c>
      <c r="C1716" t="inlineStr">
        <is>
          <t>Indraprastha Gas (IGL)</t>
        </is>
      </c>
      <c r="F1716" t="inlineStr">
        <is>
          <t>New Lead</t>
        </is>
      </c>
      <c r="H1716" t="inlineStr">
        <is>
          <t>View Tender</t>
        </is>
      </c>
      <c r="K1716" t="inlineStr">
        <is>
          <t>Not found</t>
        </is>
      </c>
      <c r="L1716" t="inlineStr">
        <is>
          <t>Unknown</t>
        </is>
      </c>
      <c r="T1716" t="inlineStr">
        <is>
          <t>https://tenders.iglonline.net/tenderDetail/87/Active Tenders And Corrigendum-Addendum</t>
        </is>
      </c>
      <c r="U1716" t="inlineStr">
        <is>
          <t>No</t>
        </is>
      </c>
      <c r="V1716" t="inlineStr">
        <is>
          <t>Bot tarafindan tespit edildi (2026-07-01)</t>
        </is>
      </c>
    </row>
    <row r="1717">
      <c r="A1717" t="inlineStr">
        <is>
          <t>T-1521</t>
        </is>
      </c>
      <c r="B1717" t="inlineStr">
        <is>
          <t>Indraprastha Gas (IGL)</t>
        </is>
      </c>
      <c r="C1717" t="inlineStr">
        <is>
          <t>Indraprastha Gas (IGL)</t>
        </is>
      </c>
      <c r="F1717" t="inlineStr">
        <is>
          <t>New Lead</t>
        </is>
      </c>
      <c r="H1717" t="inlineStr">
        <is>
          <t>CP17311_dated_30_12_2022_TID_30982_Corrigendum_1_CP173111.pdf</t>
        </is>
      </c>
      <c r="K1717" t="inlineStr">
        <is>
          <t>Not found</t>
        </is>
      </c>
      <c r="L1717" t="inlineStr">
        <is>
          <t>Unknown</t>
        </is>
      </c>
      <c r="T1717" t="inlineStr">
        <is>
          <t>https://tenders.iglonline.net/uploads/tender/CP17311_dated_30_12_2022_TID_30982_Corrigendum_1_CP173111.pdf</t>
        </is>
      </c>
      <c r="U1717" t="inlineStr">
        <is>
          <t>No</t>
        </is>
      </c>
      <c r="V1717" t="inlineStr">
        <is>
          <t>Bot tarafindan tespit edildi (2026-07-01)</t>
        </is>
      </c>
    </row>
    <row r="1718">
      <c r="A1718" t="inlineStr">
        <is>
          <t>T-1522</t>
        </is>
      </c>
      <c r="B1718" t="inlineStr">
        <is>
          <t>Indraprastha Gas (IGL)</t>
        </is>
      </c>
      <c r="C1718" t="inlineStr">
        <is>
          <t>Indraprastha Gas (IGL)</t>
        </is>
      </c>
      <c r="F1718" t="inlineStr">
        <is>
          <t>New Lead</t>
        </is>
      </c>
      <c r="H1718" t="inlineStr">
        <is>
          <t>View Tender</t>
        </is>
      </c>
      <c r="K1718" t="inlineStr">
        <is>
          <t>Not found</t>
        </is>
      </c>
      <c r="L1718" t="inlineStr">
        <is>
          <t>Unknown</t>
        </is>
      </c>
      <c r="T1718" t="inlineStr">
        <is>
          <t>https://tenders.iglonline.net/tenderDetail/86/Active Tenders And Corrigendum-Addendum</t>
        </is>
      </c>
      <c r="U1718" t="inlineStr">
        <is>
          <t>No</t>
        </is>
      </c>
      <c r="V1718" t="inlineStr">
        <is>
          <t>Bot tarafindan tespit edildi (2026-07-01)</t>
        </is>
      </c>
    </row>
    <row r="1719">
      <c r="A1719" t="inlineStr">
        <is>
          <t>T-1523</t>
        </is>
      </c>
      <c r="B1719" t="inlineStr">
        <is>
          <t>Indraprastha Gas (IGL)</t>
        </is>
      </c>
      <c r="C1719" t="inlineStr">
        <is>
          <t>Indraprastha Gas (IGL)</t>
        </is>
      </c>
      <c r="F1719" t="inlineStr">
        <is>
          <t>New Lead</t>
        </is>
      </c>
      <c r="H1719" t="inlineStr">
        <is>
          <t>CP17294_dated_30_12_2022_TID_30981_Corrigendum_2.pdf</t>
        </is>
      </c>
      <c r="K1719" t="inlineStr">
        <is>
          <t>Not found</t>
        </is>
      </c>
      <c r="L1719" t="inlineStr">
        <is>
          <t>Unknown</t>
        </is>
      </c>
      <c r="T1719" t="inlineStr">
        <is>
          <t>https://tenders.iglonline.net/uploads/tender/CP17294_dated_30_12_2022_TID_30981_Corrigendum_2.pdf</t>
        </is>
      </c>
      <c r="U1719" t="inlineStr">
        <is>
          <t>No</t>
        </is>
      </c>
      <c r="V1719" t="inlineStr">
        <is>
          <t>Bot tarafindan tespit edildi (2026-07-01)</t>
        </is>
      </c>
    </row>
    <row r="1720">
      <c r="A1720" t="inlineStr">
        <is>
          <t>T-1524</t>
        </is>
      </c>
      <c r="B1720" t="inlineStr">
        <is>
          <t>Indraprastha Gas (IGL)</t>
        </is>
      </c>
      <c r="C1720" t="inlineStr">
        <is>
          <t>Indraprastha Gas (IGL)</t>
        </is>
      </c>
      <c r="F1720" t="inlineStr">
        <is>
          <t>New Lead</t>
        </is>
      </c>
      <c r="H1720" t="inlineStr">
        <is>
          <t>CP17294_dated_30_12_2022_TID_30981_Annexure-1.pdf</t>
        </is>
      </c>
      <c r="K1720" t="inlineStr">
        <is>
          <t>Not found</t>
        </is>
      </c>
      <c r="L1720" t="inlineStr">
        <is>
          <t>Unknown</t>
        </is>
      </c>
      <c r="T1720" t="inlineStr">
        <is>
          <t>https://tenders.iglonline.net/uploads/tender/CP17294_dated_30_12_2022_TID_30981_Annexure-1.pdf</t>
        </is>
      </c>
      <c r="U1720" t="inlineStr">
        <is>
          <t>No</t>
        </is>
      </c>
      <c r="V1720" t="inlineStr">
        <is>
          <t>Bot tarafindan tespit edildi (2026-07-01)</t>
        </is>
      </c>
    </row>
    <row r="1721">
      <c r="A1721" t="inlineStr">
        <is>
          <t>T-1525</t>
        </is>
      </c>
      <c r="B1721" t="inlineStr">
        <is>
          <t>Indraprastha Gas (IGL)</t>
        </is>
      </c>
      <c r="C1721" t="inlineStr">
        <is>
          <t>Indraprastha Gas (IGL)</t>
        </is>
      </c>
      <c r="F1721" t="inlineStr">
        <is>
          <t>New Lead</t>
        </is>
      </c>
      <c r="H1721" t="inlineStr">
        <is>
          <t>CP17294_dated_30_12_2022_TID_30981_Replies_to_bidders_queries_(1).pdf</t>
        </is>
      </c>
      <c r="K1721" t="inlineStr">
        <is>
          <t>Not found</t>
        </is>
      </c>
      <c r="L1721" t="inlineStr">
        <is>
          <t>Unknown</t>
        </is>
      </c>
      <c r="T1721" t="inlineStr">
        <is>
          <t>https://tenders.iglonline.net/uploads/tender/CP17294_dated_30_12_2022_TID_30981_Replies_to_bidders_queries_(1).pdf</t>
        </is>
      </c>
      <c r="U1721" t="inlineStr">
        <is>
          <t>No</t>
        </is>
      </c>
      <c r="V1721" t="inlineStr">
        <is>
          <t>Bot tarafindan tespit edildi (2026-07-01)</t>
        </is>
      </c>
    </row>
    <row r="1722">
      <c r="A1722" t="inlineStr">
        <is>
          <t>T-1526</t>
        </is>
      </c>
      <c r="B1722" t="inlineStr">
        <is>
          <t>Indraprastha Gas (IGL)</t>
        </is>
      </c>
      <c r="C1722" t="inlineStr">
        <is>
          <t>Indraprastha Gas (IGL)</t>
        </is>
      </c>
      <c r="F1722" t="inlineStr">
        <is>
          <t>New Lead</t>
        </is>
      </c>
      <c r="H1722" t="inlineStr">
        <is>
          <t>CP17294_dated_30_12_2022_TID_30981_Corrigendum_4_CP17294.pdf</t>
        </is>
      </c>
      <c r="K1722" t="inlineStr">
        <is>
          <t>Not found</t>
        </is>
      </c>
      <c r="L1722" t="inlineStr">
        <is>
          <t>Unknown</t>
        </is>
      </c>
      <c r="T1722" t="inlineStr">
        <is>
          <t>https://tenders.iglonline.net/uploads/tender/CP17294_dated_30_12_2022_TID_30981_Corrigendum_4_CP17294.pdf</t>
        </is>
      </c>
      <c r="U1722" t="inlineStr">
        <is>
          <t>No</t>
        </is>
      </c>
      <c r="V1722" t="inlineStr">
        <is>
          <t>Bot tarafindan tespit edildi (2026-07-01)</t>
        </is>
      </c>
    </row>
    <row r="1723">
      <c r="A1723" t="inlineStr">
        <is>
          <t>T-1527</t>
        </is>
      </c>
      <c r="B1723" t="inlineStr">
        <is>
          <t>Indraprastha Gas (IGL)</t>
        </is>
      </c>
      <c r="C1723" t="inlineStr">
        <is>
          <t>Indraprastha Gas (IGL)</t>
        </is>
      </c>
      <c r="F1723" t="inlineStr">
        <is>
          <t>New Lead</t>
        </is>
      </c>
      <c r="H1723" t="inlineStr">
        <is>
          <t>View Tender</t>
        </is>
      </c>
      <c r="K1723" t="inlineStr">
        <is>
          <t>Not found</t>
        </is>
      </c>
      <c r="L1723" t="inlineStr">
        <is>
          <t>Unknown</t>
        </is>
      </c>
      <c r="T1723" t="inlineStr">
        <is>
          <t>https://tenders.iglonline.net/tenderDetail/85/Active Tenders And Corrigendum-Addendum</t>
        </is>
      </c>
      <c r="U1723" t="inlineStr">
        <is>
          <t>No</t>
        </is>
      </c>
      <c r="V1723" t="inlineStr">
        <is>
          <t>Bot tarafindan tespit edildi (2026-07-01)</t>
        </is>
      </c>
    </row>
    <row r="1724">
      <c r="A1724" t="inlineStr">
        <is>
          <t>T-1528</t>
        </is>
      </c>
      <c r="B1724" t="inlineStr">
        <is>
          <t>Indraprastha Gas (IGL)</t>
        </is>
      </c>
      <c r="C1724" t="inlineStr">
        <is>
          <t>Indraprastha Gas (IGL)</t>
        </is>
      </c>
      <c r="F1724" t="inlineStr">
        <is>
          <t>New Lead</t>
        </is>
      </c>
      <c r="H1724" t="inlineStr">
        <is>
          <t>CP17304_dated_28_12_2022_TID_30980_RTBQ_CP17304.pdf</t>
        </is>
      </c>
      <c r="K1724" t="inlineStr">
        <is>
          <t>Not found</t>
        </is>
      </c>
      <c r="L1724" t="inlineStr">
        <is>
          <t>Unknown</t>
        </is>
      </c>
      <c r="T1724" t="inlineStr">
        <is>
          <t>https://tenders.iglonline.net/uploads/tender/CP17304_dated_28_12_2022_TID_30980_RTBQ_CP17304.pdf</t>
        </is>
      </c>
      <c r="U1724" t="inlineStr">
        <is>
          <t>No</t>
        </is>
      </c>
      <c r="V1724" t="inlineStr">
        <is>
          <t>Bot tarafindan tespit edildi (2026-07-01)</t>
        </is>
      </c>
    </row>
    <row r="1725">
      <c r="A1725" t="inlineStr">
        <is>
          <t>T-1529</t>
        </is>
      </c>
      <c r="B1725" t="inlineStr">
        <is>
          <t>Indraprastha Gas (IGL)</t>
        </is>
      </c>
      <c r="C1725" t="inlineStr">
        <is>
          <t>Indraprastha Gas (IGL)</t>
        </is>
      </c>
      <c r="F1725" t="inlineStr">
        <is>
          <t>New Lead</t>
        </is>
      </c>
      <c r="H1725" t="inlineStr">
        <is>
          <t>View Tender</t>
        </is>
      </c>
      <c r="K1725" t="inlineStr">
        <is>
          <t>Not found</t>
        </is>
      </c>
      <c r="L1725" t="inlineStr">
        <is>
          <t>Unknown</t>
        </is>
      </c>
      <c r="T1725" t="inlineStr">
        <is>
          <t>https://tenders.iglonline.net/tenderDetail/84/Active Tenders And Corrigendum-Addendum</t>
        </is>
      </c>
      <c r="U1725" t="inlineStr">
        <is>
          <t>No</t>
        </is>
      </c>
      <c r="V1725" t="inlineStr">
        <is>
          <t>Bot tarafindan tespit edildi (2026-07-01)</t>
        </is>
      </c>
    </row>
    <row r="1726">
      <c r="A1726" t="inlineStr">
        <is>
          <t>T-1530</t>
        </is>
      </c>
      <c r="B1726" t="inlineStr">
        <is>
          <t>Indraprastha Gas (IGL)</t>
        </is>
      </c>
      <c r="C1726" t="inlineStr">
        <is>
          <t>Indraprastha Gas (IGL)</t>
        </is>
      </c>
      <c r="F1726" t="inlineStr">
        <is>
          <t>New Lead</t>
        </is>
      </c>
      <c r="H1726" t="inlineStr">
        <is>
          <t>CM17291_dated_27_12_2022_TID_30979_Corrigendum_1_CM17291.pdf</t>
        </is>
      </c>
      <c r="K1726" t="inlineStr">
        <is>
          <t>Not found</t>
        </is>
      </c>
      <c r="L1726" t="inlineStr">
        <is>
          <t>Unknown</t>
        </is>
      </c>
      <c r="T1726" t="inlineStr">
        <is>
          <t>https://tenders.iglonline.net/uploads/tender/CM17291_dated_27_12_2022_TID_30979_Corrigendum_1_CM17291.pdf</t>
        </is>
      </c>
      <c r="U1726" t="inlineStr">
        <is>
          <t>No</t>
        </is>
      </c>
      <c r="V1726" t="inlineStr">
        <is>
          <t>Bot tarafindan tespit edildi (2026-07-01)</t>
        </is>
      </c>
    </row>
    <row r="1727">
      <c r="A1727" t="inlineStr">
        <is>
          <t>T-1531</t>
        </is>
      </c>
      <c r="B1727" t="inlineStr">
        <is>
          <t>Indraprastha Gas (IGL)</t>
        </is>
      </c>
      <c r="C1727" t="inlineStr">
        <is>
          <t>Indraprastha Gas (IGL)</t>
        </is>
      </c>
      <c r="F1727" t="inlineStr">
        <is>
          <t>New Lead</t>
        </is>
      </c>
      <c r="H1727" t="inlineStr">
        <is>
          <t>CM17291_dated_27_12_2022_TID_30979_Reply_Prebid_Queries_CM17291.pdf</t>
        </is>
      </c>
      <c r="K1727" t="inlineStr">
        <is>
          <t>Not found</t>
        </is>
      </c>
      <c r="L1727" t="inlineStr">
        <is>
          <t>Unknown</t>
        </is>
      </c>
      <c r="T1727" t="inlineStr">
        <is>
          <t>https://tenders.iglonline.net/uploads/tender/CM17291_dated_27_12_2022_TID_30979_Reply_Prebid_Queries_CM17291.pdf</t>
        </is>
      </c>
      <c r="U1727" t="inlineStr">
        <is>
          <t>No</t>
        </is>
      </c>
      <c r="V1727" t="inlineStr">
        <is>
          <t>Bot tarafindan tespit edildi (2026-07-01)</t>
        </is>
      </c>
    </row>
    <row r="1728">
      <c r="A1728" t="inlineStr">
        <is>
          <t>T-1532</t>
        </is>
      </c>
      <c r="B1728" t="inlineStr">
        <is>
          <t>Indraprastha Gas (IGL)</t>
        </is>
      </c>
      <c r="C1728" t="inlineStr">
        <is>
          <t>Indraprastha Gas (IGL)</t>
        </is>
      </c>
      <c r="F1728" t="inlineStr">
        <is>
          <t>New Lead</t>
        </is>
      </c>
      <c r="H1728" t="inlineStr">
        <is>
          <t>CM17291_dated_27_12_2022_TID_30979_Corrigendum_2_CM17291.pdf</t>
        </is>
      </c>
      <c r="K1728" t="inlineStr">
        <is>
          <t>Not found</t>
        </is>
      </c>
      <c r="L1728" t="inlineStr">
        <is>
          <t>Unknown</t>
        </is>
      </c>
      <c r="T1728" t="inlineStr">
        <is>
          <t>https://tenders.iglonline.net/uploads/tender/CM17291_dated_27_12_2022_TID_30979_Corrigendum_2_CM17291.pdf</t>
        </is>
      </c>
      <c r="U1728" t="inlineStr">
        <is>
          <t>No</t>
        </is>
      </c>
      <c r="V1728" t="inlineStr">
        <is>
          <t>Bot tarafindan tespit edildi (2026-07-01)</t>
        </is>
      </c>
    </row>
    <row r="1729">
      <c r="A1729" t="inlineStr">
        <is>
          <t>T-1533</t>
        </is>
      </c>
      <c r="B1729" t="inlineStr">
        <is>
          <t>Indraprastha Gas (IGL)</t>
        </is>
      </c>
      <c r="C1729" t="inlineStr">
        <is>
          <t>Indraprastha Gas (IGL)</t>
        </is>
      </c>
      <c r="F1729" t="inlineStr">
        <is>
          <t>New Lead</t>
        </is>
      </c>
      <c r="H1729" t="inlineStr">
        <is>
          <t>View Tender</t>
        </is>
      </c>
      <c r="K1729" t="inlineStr">
        <is>
          <t>Not found</t>
        </is>
      </c>
      <c r="L1729" t="inlineStr">
        <is>
          <t>Unknown</t>
        </is>
      </c>
      <c r="T1729" t="inlineStr">
        <is>
          <t>https://tenders.iglonline.net/tenderDetail/83/Active Tenders And Corrigendum-Addendum</t>
        </is>
      </c>
      <c r="U1729" t="inlineStr">
        <is>
          <t>No</t>
        </is>
      </c>
      <c r="V1729" t="inlineStr">
        <is>
          <t>Bot tarafindan tespit edildi (2026-07-01)</t>
        </is>
      </c>
    </row>
    <row r="1730">
      <c r="A1730" t="inlineStr">
        <is>
          <t>T-1534</t>
        </is>
      </c>
      <c r="B1730" t="inlineStr">
        <is>
          <t>Indraprastha Gas (IGL)</t>
        </is>
      </c>
      <c r="C1730" t="inlineStr">
        <is>
          <t>Indraprastha Gas (IGL)</t>
        </is>
      </c>
      <c r="F1730" t="inlineStr">
        <is>
          <t>New Lead</t>
        </is>
      </c>
      <c r="H1730" t="inlineStr">
        <is>
          <t>CC17279_TID_30978_Corrigendum_I_CC17279_.pdf</t>
        </is>
      </c>
      <c r="K1730" t="inlineStr">
        <is>
          <t>Not found</t>
        </is>
      </c>
      <c r="L1730" t="inlineStr">
        <is>
          <t>Unknown</t>
        </is>
      </c>
      <c r="T1730" t="inlineStr">
        <is>
          <t>https://tenders.iglonline.net/uploads/tender/CC17279_TID_30978_Corrigendum_I_CC17279_.pdf</t>
        </is>
      </c>
      <c r="U1730" t="inlineStr">
        <is>
          <t>No</t>
        </is>
      </c>
      <c r="V1730" t="inlineStr">
        <is>
          <t>Bot tarafindan tespit edildi (2026-07-01)</t>
        </is>
      </c>
    </row>
    <row r="1731">
      <c r="A1731" t="inlineStr">
        <is>
          <t>T-1535</t>
        </is>
      </c>
      <c r="B1731" t="inlineStr">
        <is>
          <t>Indraprastha Gas (IGL)</t>
        </is>
      </c>
      <c r="C1731" t="inlineStr">
        <is>
          <t>Indraprastha Gas (IGL)</t>
        </is>
      </c>
      <c r="F1731" t="inlineStr">
        <is>
          <t>New Lead</t>
        </is>
      </c>
      <c r="H1731" t="inlineStr">
        <is>
          <t>View Tender</t>
        </is>
      </c>
      <c r="K1731" t="inlineStr">
        <is>
          <t>Not found</t>
        </is>
      </c>
      <c r="L1731" t="inlineStr">
        <is>
          <t>Unknown</t>
        </is>
      </c>
      <c r="T1731" t="inlineStr">
        <is>
          <t>https://tenders.iglonline.net/tenderDetail/82/Active Tenders And Corrigendum-Addendum</t>
        </is>
      </c>
      <c r="U1731" t="inlineStr">
        <is>
          <t>No</t>
        </is>
      </c>
      <c r="V1731" t="inlineStr">
        <is>
          <t>Bot tarafindan tespit edildi (2026-07-01)</t>
        </is>
      </c>
    </row>
    <row r="1732">
      <c r="A1732" t="inlineStr">
        <is>
          <t>T-1536</t>
        </is>
      </c>
      <c r="B1732" t="inlineStr">
        <is>
          <t>Indraprastha Gas (IGL)</t>
        </is>
      </c>
      <c r="C1732" t="inlineStr">
        <is>
          <t>Indraprastha Gas (IGL)</t>
        </is>
      </c>
      <c r="F1732" t="inlineStr">
        <is>
          <t>New Lead</t>
        </is>
      </c>
      <c r="H1732" t="inlineStr">
        <is>
          <t>CC17226_dated_09_12_2022_TID_30977_Corrigendum_3_CC17226.pdf</t>
        </is>
      </c>
      <c r="K1732" t="inlineStr">
        <is>
          <t>Not found</t>
        </is>
      </c>
      <c r="L1732" t="inlineStr">
        <is>
          <t>Unknown</t>
        </is>
      </c>
      <c r="T1732" t="inlineStr">
        <is>
          <t>https://tenders.iglonline.net/uploads/tender/CC17226_dated_09_12_2022_TID_30977_Corrigendum_3_CC17226.pdf</t>
        </is>
      </c>
      <c r="U1732" t="inlineStr">
        <is>
          <t>No</t>
        </is>
      </c>
      <c r="V1732" t="inlineStr">
        <is>
          <t>Bot tarafindan tespit edildi (2026-07-01)</t>
        </is>
      </c>
    </row>
    <row r="1733">
      <c r="A1733" t="inlineStr">
        <is>
          <t>T-1537</t>
        </is>
      </c>
      <c r="B1733" t="inlineStr">
        <is>
          <t>Indraprastha Gas (IGL)</t>
        </is>
      </c>
      <c r="C1733" t="inlineStr">
        <is>
          <t>Indraprastha Gas (IGL)</t>
        </is>
      </c>
      <c r="F1733" t="inlineStr">
        <is>
          <t>New Lead</t>
        </is>
      </c>
      <c r="H1733" t="inlineStr">
        <is>
          <t>CC17226_dated_09_12_2022_TID_30977_Addendum_1.pdf</t>
        </is>
      </c>
      <c r="K1733" t="inlineStr">
        <is>
          <t>Not found</t>
        </is>
      </c>
      <c r="L1733" t="inlineStr">
        <is>
          <t>Unknown</t>
        </is>
      </c>
      <c r="T1733" t="inlineStr">
        <is>
          <t>https://tenders.iglonline.net/uploads/tender/CC17226_dated_09_12_2022_TID_30977_Addendum_1.pdf</t>
        </is>
      </c>
      <c r="U1733" t="inlineStr">
        <is>
          <t>No</t>
        </is>
      </c>
      <c r="V1733" t="inlineStr">
        <is>
          <t>Bot tarafindan tespit edildi (2026-07-01)</t>
        </is>
      </c>
    </row>
    <row r="1734">
      <c r="A1734" t="inlineStr">
        <is>
          <t>T-1538</t>
        </is>
      </c>
      <c r="B1734" t="inlineStr">
        <is>
          <t>Indraprastha Gas (IGL)</t>
        </is>
      </c>
      <c r="C1734" t="inlineStr">
        <is>
          <t>Indraprastha Gas (IGL)</t>
        </is>
      </c>
      <c r="F1734" t="inlineStr">
        <is>
          <t>New Lead</t>
        </is>
      </c>
      <c r="H1734" t="inlineStr">
        <is>
          <t>CC17226_dated_09_12_2022_TID_30977_PREBID_REPLY.pdf</t>
        </is>
      </c>
      <c r="K1734" t="inlineStr">
        <is>
          <t>Not found</t>
        </is>
      </c>
      <c r="L1734" t="inlineStr">
        <is>
          <t>Unknown</t>
        </is>
      </c>
      <c r="T1734" t="inlineStr">
        <is>
          <t>https://tenders.iglonline.net/uploads/tender/CC17226_dated_09_12_2022_TID_30977_PREBID_REPLY.pdf</t>
        </is>
      </c>
      <c r="U1734" t="inlineStr">
        <is>
          <t>No</t>
        </is>
      </c>
      <c r="V1734" t="inlineStr">
        <is>
          <t>Bot tarafindan tespit edildi (2026-07-01)</t>
        </is>
      </c>
    </row>
    <row r="1735">
      <c r="A1735" t="inlineStr">
        <is>
          <t>T-1539</t>
        </is>
      </c>
      <c r="B1735" t="inlineStr">
        <is>
          <t>Indraprastha Gas (IGL)</t>
        </is>
      </c>
      <c r="C1735" t="inlineStr">
        <is>
          <t>Indraprastha Gas (IGL)</t>
        </is>
      </c>
      <c r="F1735" t="inlineStr">
        <is>
          <t>New Lead</t>
        </is>
      </c>
      <c r="H1735" t="inlineStr">
        <is>
          <t>CC17226_dated_09_12_2022_TID_30977_CORRIGENDUM_1unibtemp.pdf</t>
        </is>
      </c>
      <c r="K1735" t="inlineStr">
        <is>
          <t>Not found</t>
        </is>
      </c>
      <c r="L1735" t="inlineStr">
        <is>
          <t>Unknown</t>
        </is>
      </c>
      <c r="T1735" t="inlineStr">
        <is>
          <t>https://tenders.iglonline.net/uploads/tender/CC17226_dated_09_12_2022_TID_30977_CORRIGENDUM_1unibtemp.pdf</t>
        </is>
      </c>
      <c r="U1735" t="inlineStr">
        <is>
          <t>No</t>
        </is>
      </c>
      <c r="V1735" t="inlineStr">
        <is>
          <t>Bot tarafindan tespit edildi (2026-07-01)</t>
        </is>
      </c>
    </row>
    <row r="1736">
      <c r="A1736" t="inlineStr">
        <is>
          <t>T-1540</t>
        </is>
      </c>
      <c r="B1736" t="inlineStr">
        <is>
          <t>Indraprastha Gas (IGL)</t>
        </is>
      </c>
      <c r="C1736" t="inlineStr">
        <is>
          <t>Indraprastha Gas (IGL)</t>
        </is>
      </c>
      <c r="F1736" t="inlineStr">
        <is>
          <t>New Lead</t>
        </is>
      </c>
      <c r="H1736" t="inlineStr">
        <is>
          <t>View Tender</t>
        </is>
      </c>
      <c r="K1736" t="inlineStr">
        <is>
          <t>Not found</t>
        </is>
      </c>
      <c r="L1736" t="inlineStr">
        <is>
          <t>Unknown</t>
        </is>
      </c>
      <c r="T1736" t="inlineStr">
        <is>
          <t>https://tenders.iglonline.net/tenderDetail/81/Active Tenders And Corrigendum-Addendum</t>
        </is>
      </c>
      <c r="U1736" t="inlineStr">
        <is>
          <t>No</t>
        </is>
      </c>
      <c r="V1736" t="inlineStr">
        <is>
          <t>Bot tarafindan tespit edildi (2026-07-01)</t>
        </is>
      </c>
    </row>
    <row r="1737">
      <c r="A1737" t="inlineStr">
        <is>
          <t>T-1541</t>
        </is>
      </c>
      <c r="B1737" t="inlineStr">
        <is>
          <t>Indraprastha Gas (IGL)</t>
        </is>
      </c>
      <c r="C1737" t="inlineStr">
        <is>
          <t>Indraprastha Gas (IGL)</t>
        </is>
      </c>
      <c r="F1737" t="inlineStr">
        <is>
          <t>New Lead</t>
        </is>
      </c>
      <c r="H1737" t="inlineStr">
        <is>
          <t>_CM17277_dated_06_12_2022_TID_30976_CORRIGENDUNV_Calarifications_of_Queriesunibtemp.pdf</t>
        </is>
      </c>
      <c r="K1737" t="inlineStr">
        <is>
          <t>Not found</t>
        </is>
      </c>
      <c r="L1737" t="inlineStr">
        <is>
          <t>Unknown</t>
        </is>
      </c>
      <c r="T1737" t="inlineStr">
        <is>
          <t>https://tenders.iglonline.net/uploads/tender/_CM17277_dated_06_12_2022_TID_30976_CORRIGENDUNV_Calarifications_of_Queriesunibtemp.pdf</t>
        </is>
      </c>
      <c r="U1737" t="inlineStr">
        <is>
          <t>No</t>
        </is>
      </c>
      <c r="V1737" t="inlineStr">
        <is>
          <t>Bot tarafindan tespit edildi (2026-07-01)</t>
        </is>
      </c>
    </row>
    <row r="1738">
      <c r="A1738" t="inlineStr">
        <is>
          <t>T-1542</t>
        </is>
      </c>
      <c r="B1738" t="inlineStr">
        <is>
          <t>Indraprastha Gas (IGL)</t>
        </is>
      </c>
      <c r="C1738" t="inlineStr">
        <is>
          <t>Indraprastha Gas (IGL)</t>
        </is>
      </c>
      <c r="F1738" t="inlineStr">
        <is>
          <t>New Lead</t>
        </is>
      </c>
      <c r="H1738" t="inlineStr">
        <is>
          <t>_CM17277_dated_06_12_2022_TID_30976_CORRIGENDUM_IV_CM17277.pdf</t>
        </is>
      </c>
      <c r="K1738" t="inlineStr">
        <is>
          <t>Not found</t>
        </is>
      </c>
      <c r="L1738" t="inlineStr">
        <is>
          <t>Unknown</t>
        </is>
      </c>
      <c r="T1738" t="inlineStr">
        <is>
          <t>https://tenders.iglonline.net/uploads/tender/_CM17277_dated_06_12_2022_TID_30976_CORRIGENDUM_IV_CM17277.pdf</t>
        </is>
      </c>
      <c r="U1738" t="inlineStr">
        <is>
          <t>No</t>
        </is>
      </c>
      <c r="V1738" t="inlineStr">
        <is>
          <t>Bot tarafindan tespit edildi (2026-07-01)</t>
        </is>
      </c>
    </row>
    <row r="1739">
      <c r="A1739" t="inlineStr">
        <is>
          <t>T-1543</t>
        </is>
      </c>
      <c r="B1739" t="inlineStr">
        <is>
          <t>Indraprastha Gas (IGL)</t>
        </is>
      </c>
      <c r="C1739" t="inlineStr">
        <is>
          <t>Indraprastha Gas (IGL)</t>
        </is>
      </c>
      <c r="F1739" t="inlineStr">
        <is>
          <t>New Lead</t>
        </is>
      </c>
      <c r="H1739" t="inlineStr">
        <is>
          <t>_CM17277_dated_06_12_2022_TID_30976_CORRIGENDUM_III_CM17277.pdf</t>
        </is>
      </c>
      <c r="K1739" t="inlineStr">
        <is>
          <t>Not found</t>
        </is>
      </c>
      <c r="L1739" t="inlineStr">
        <is>
          <t>Unknown</t>
        </is>
      </c>
      <c r="T1739" t="inlineStr">
        <is>
          <t>https://tenders.iglonline.net/uploads/tender/_CM17277_dated_06_12_2022_TID_30976_CORRIGENDUM_III_CM17277.pdf</t>
        </is>
      </c>
      <c r="U1739" t="inlineStr">
        <is>
          <t>No</t>
        </is>
      </c>
      <c r="V1739" t="inlineStr">
        <is>
          <t>Bot tarafindan tespit edildi (2026-07-01)</t>
        </is>
      </c>
    </row>
    <row r="1740">
      <c r="A1740" t="inlineStr">
        <is>
          <t>T-1544</t>
        </is>
      </c>
      <c r="B1740" t="inlineStr">
        <is>
          <t>Indraprastha Gas (IGL)</t>
        </is>
      </c>
      <c r="C1740" t="inlineStr">
        <is>
          <t>Indraprastha Gas (IGL)</t>
        </is>
      </c>
      <c r="F1740" t="inlineStr">
        <is>
          <t>New Lead</t>
        </is>
      </c>
      <c r="H1740" t="inlineStr">
        <is>
          <t>_CM17277_dated_06_12_2022_TID_30976_CORRIGENDUM_II_Clarifications_against_pre_bid_queriesunibtemp.pdf</t>
        </is>
      </c>
      <c r="K1740" t="inlineStr">
        <is>
          <t>Not found</t>
        </is>
      </c>
      <c r="L1740" t="inlineStr">
        <is>
          <t>Unknown</t>
        </is>
      </c>
      <c r="T1740" t="inlineStr">
        <is>
          <t>https://tenders.iglonline.net/uploads/tender/_CM17277_dated_06_12_2022_TID_30976_CORRIGENDUM_II_Clarifications_against_pre_bid_queriesunibtemp.pdf</t>
        </is>
      </c>
      <c r="U1740" t="inlineStr">
        <is>
          <t>No</t>
        </is>
      </c>
      <c r="V1740" t="inlineStr">
        <is>
          <t>Bot tarafindan tespit edildi (2026-07-01)</t>
        </is>
      </c>
    </row>
    <row r="1741">
      <c r="A1741" t="inlineStr">
        <is>
          <t>T-1545</t>
        </is>
      </c>
      <c r="B1741" t="inlineStr">
        <is>
          <t>Indraprastha Gas (IGL)</t>
        </is>
      </c>
      <c r="C1741" t="inlineStr">
        <is>
          <t>Indraprastha Gas (IGL)</t>
        </is>
      </c>
      <c r="F1741" t="inlineStr">
        <is>
          <t>New Lead</t>
        </is>
      </c>
      <c r="H1741" t="inlineStr">
        <is>
          <t>_CM17277_dated_06_12_2022_TID_30976_CORRIGENDUM_1_CM17277.pdf</t>
        </is>
      </c>
      <c r="K1741" t="inlineStr">
        <is>
          <t>Not found</t>
        </is>
      </c>
      <c r="L1741" t="inlineStr">
        <is>
          <t>Unknown</t>
        </is>
      </c>
      <c r="T1741" t="inlineStr">
        <is>
          <t>https://tenders.iglonline.net/uploads/tender/_CM17277_dated_06_12_2022_TID_30976_CORRIGENDUM_1_CM17277.pdf</t>
        </is>
      </c>
      <c r="U1741" t="inlineStr">
        <is>
          <t>No</t>
        </is>
      </c>
      <c r="V1741" t="inlineStr">
        <is>
          <t>Bot tarafindan tespit edildi (2026-07-01)</t>
        </is>
      </c>
    </row>
    <row r="1742">
      <c r="A1742" t="inlineStr">
        <is>
          <t>T-1546</t>
        </is>
      </c>
      <c r="B1742" t="inlineStr">
        <is>
          <t>Indraprastha Gas (IGL)</t>
        </is>
      </c>
      <c r="C1742" t="inlineStr">
        <is>
          <t>Indraprastha Gas (IGL)</t>
        </is>
      </c>
      <c r="F1742" t="inlineStr">
        <is>
          <t>New Lead</t>
        </is>
      </c>
      <c r="H1742" t="inlineStr">
        <is>
          <t>CORRIGENDUM_VI_CM17277.pdf</t>
        </is>
      </c>
      <c r="K1742" t="inlineStr">
        <is>
          <t>Not found</t>
        </is>
      </c>
      <c r="L1742" t="inlineStr">
        <is>
          <t>Unknown</t>
        </is>
      </c>
      <c r="T1742" t="inlineStr">
        <is>
          <t>https://tenders.iglonline.net/uploads/tender/CORRIGENDUM_VI_CM17277.pdf</t>
        </is>
      </c>
      <c r="U1742" t="inlineStr">
        <is>
          <t>No</t>
        </is>
      </c>
      <c r="V1742" t="inlineStr">
        <is>
          <t>Bot tarafindan tespit edildi (2026-07-01)</t>
        </is>
      </c>
    </row>
    <row r="1743">
      <c r="A1743" t="inlineStr">
        <is>
          <t>T-1547</t>
        </is>
      </c>
      <c r="B1743" t="inlineStr">
        <is>
          <t>Indraprastha Gas (IGL)</t>
        </is>
      </c>
      <c r="C1743" t="inlineStr">
        <is>
          <t>Indraprastha Gas (IGL)</t>
        </is>
      </c>
      <c r="F1743" t="inlineStr">
        <is>
          <t>New Lead</t>
        </is>
      </c>
      <c r="H1743" t="inlineStr">
        <is>
          <t>View Tender</t>
        </is>
      </c>
      <c r="K1743" t="inlineStr">
        <is>
          <t>Not found</t>
        </is>
      </c>
      <c r="L1743" t="inlineStr">
        <is>
          <t>Unknown</t>
        </is>
      </c>
      <c r="T1743" t="inlineStr">
        <is>
          <t>https://tenders.iglonline.net/tenderDetail/80/Active Tenders And Corrigendum-Addendum</t>
        </is>
      </c>
      <c r="U1743" t="inlineStr">
        <is>
          <t>No</t>
        </is>
      </c>
      <c r="V1743" t="inlineStr">
        <is>
          <t>Bot tarafindan tespit edildi (2026-07-01)</t>
        </is>
      </c>
    </row>
    <row r="1744">
      <c r="A1744" t="inlineStr">
        <is>
          <t>T-1548</t>
        </is>
      </c>
      <c r="B1744" t="inlineStr">
        <is>
          <t>Indraprastha Gas (IGL)</t>
        </is>
      </c>
      <c r="C1744" t="inlineStr">
        <is>
          <t>Indraprastha Gas (IGL)</t>
        </is>
      </c>
      <c r="F1744" t="inlineStr">
        <is>
          <t>New Lead</t>
        </is>
      </c>
      <c r="H1744" t="inlineStr">
        <is>
          <t>CC17259_Dated_28_11_2022_TID_30975_Corrigendum_6_CC17259.pdf</t>
        </is>
      </c>
      <c r="K1744" t="inlineStr">
        <is>
          <t>Not found</t>
        </is>
      </c>
      <c r="L1744" t="inlineStr">
        <is>
          <t>Unknown</t>
        </is>
      </c>
      <c r="T1744" t="inlineStr">
        <is>
          <t>https://tenders.iglonline.net/uploads/tender/CC17259_Dated_28_11_2022_TID_30975_Corrigendum_6_CC17259.pdf</t>
        </is>
      </c>
      <c r="U1744" t="inlineStr">
        <is>
          <t>No</t>
        </is>
      </c>
      <c r="V1744" t="inlineStr">
        <is>
          <t>Bot tarafindan tespit edildi (2026-07-01)</t>
        </is>
      </c>
    </row>
    <row r="1745">
      <c r="A1745" t="inlineStr">
        <is>
          <t>T-1549</t>
        </is>
      </c>
      <c r="B1745" t="inlineStr">
        <is>
          <t>Indraprastha Gas (IGL)</t>
        </is>
      </c>
      <c r="C1745" t="inlineStr">
        <is>
          <t>Indraprastha Gas (IGL)</t>
        </is>
      </c>
      <c r="F1745" t="inlineStr">
        <is>
          <t>New Lead</t>
        </is>
      </c>
      <c r="H1745" t="inlineStr">
        <is>
          <t>CC17259_Dated_28_11_2022_TID_30975_Replies_to_bidders_queries.pdf</t>
        </is>
      </c>
      <c r="K1745" t="inlineStr">
        <is>
          <t>Not found</t>
        </is>
      </c>
      <c r="L1745" t="inlineStr">
        <is>
          <t>Unknown</t>
        </is>
      </c>
      <c r="T1745" t="inlineStr">
        <is>
          <t>https://tenders.iglonline.net/uploads/tender/CC17259_Dated_28_11_2022_TID_30975_Replies_to_bidders_queries.pdf</t>
        </is>
      </c>
      <c r="U1745" t="inlineStr">
        <is>
          <t>No</t>
        </is>
      </c>
      <c r="V1745" t="inlineStr">
        <is>
          <t>Bot tarafindan tespit edildi (2026-07-01)</t>
        </is>
      </c>
    </row>
    <row r="1746">
      <c r="A1746" t="inlineStr">
        <is>
          <t>T-1550</t>
        </is>
      </c>
      <c r="B1746" t="inlineStr">
        <is>
          <t>Indraprastha Gas (IGL)</t>
        </is>
      </c>
      <c r="C1746" t="inlineStr">
        <is>
          <t>Indraprastha Gas (IGL)</t>
        </is>
      </c>
      <c r="F1746" t="inlineStr">
        <is>
          <t>New Lead</t>
        </is>
      </c>
      <c r="H1746" t="inlineStr">
        <is>
          <t>CC17259_Dated_28_11_2022_TID_30975_Corrigendum_5_CC17259.pdf</t>
        </is>
      </c>
      <c r="K1746" t="inlineStr">
        <is>
          <t>Not found</t>
        </is>
      </c>
      <c r="L1746" t="inlineStr">
        <is>
          <t>Unknown</t>
        </is>
      </c>
      <c r="T1746" t="inlineStr">
        <is>
          <t>https://tenders.iglonline.net/uploads/tender/CC17259_Dated_28_11_2022_TID_30975_Corrigendum_5_CC17259.pdf</t>
        </is>
      </c>
      <c r="U1746" t="inlineStr">
        <is>
          <t>No</t>
        </is>
      </c>
      <c r="V1746" t="inlineStr">
        <is>
          <t>Bot tarafindan tespit edildi (2026-07-01)</t>
        </is>
      </c>
    </row>
    <row r="1747">
      <c r="A1747" t="inlineStr">
        <is>
          <t>T-1551</t>
        </is>
      </c>
      <c r="B1747" t="inlineStr">
        <is>
          <t>Indraprastha Gas (IGL)</t>
        </is>
      </c>
      <c r="C1747" t="inlineStr">
        <is>
          <t>Indraprastha Gas (IGL)</t>
        </is>
      </c>
      <c r="F1747" t="inlineStr">
        <is>
          <t>New Lead</t>
        </is>
      </c>
      <c r="H1747" t="inlineStr">
        <is>
          <t>CC17259_Dated_28_11_2022_TID_30975_Corrigendum_4_CC17259.pdf</t>
        </is>
      </c>
      <c r="K1747" t="inlineStr">
        <is>
          <t>Not found</t>
        </is>
      </c>
      <c r="L1747" t="inlineStr">
        <is>
          <t>Unknown</t>
        </is>
      </c>
      <c r="T1747" t="inlineStr">
        <is>
          <t>https://tenders.iglonline.net/uploads/tender/CC17259_Dated_28_11_2022_TID_30975_Corrigendum_4_CC17259.pdf</t>
        </is>
      </c>
      <c r="U1747" t="inlineStr">
        <is>
          <t>No</t>
        </is>
      </c>
      <c r="V1747" t="inlineStr">
        <is>
          <t>Bot tarafindan tespit edildi (2026-07-01)</t>
        </is>
      </c>
    </row>
    <row r="1748">
      <c r="A1748" t="inlineStr">
        <is>
          <t>T-1552</t>
        </is>
      </c>
      <c r="B1748" t="inlineStr">
        <is>
          <t>Indraprastha Gas (IGL)</t>
        </is>
      </c>
      <c r="C1748" t="inlineStr">
        <is>
          <t>Indraprastha Gas (IGL)</t>
        </is>
      </c>
      <c r="F1748" t="inlineStr">
        <is>
          <t>New Lead</t>
        </is>
      </c>
      <c r="H1748" t="inlineStr">
        <is>
          <t>CC17259_Dated_28_11_2022_TID_30975_Corrigendum_3_CC17259.pdf</t>
        </is>
      </c>
      <c r="K1748" t="inlineStr">
        <is>
          <t>Not found</t>
        </is>
      </c>
      <c r="L1748" t="inlineStr">
        <is>
          <t>Unknown</t>
        </is>
      </c>
      <c r="T1748" t="inlineStr">
        <is>
          <t>https://tenders.iglonline.net/uploads/tender/CC17259_Dated_28_11_2022_TID_30975_Corrigendum_3_CC17259.pdf</t>
        </is>
      </c>
      <c r="U1748" t="inlineStr">
        <is>
          <t>No</t>
        </is>
      </c>
      <c r="V1748" t="inlineStr">
        <is>
          <t>Bot tarafindan tespit edildi (2026-07-01)</t>
        </is>
      </c>
    </row>
    <row r="1749">
      <c r="A1749" t="inlineStr">
        <is>
          <t>T-1553</t>
        </is>
      </c>
      <c r="B1749" t="inlineStr">
        <is>
          <t>Indraprastha Gas (IGL)</t>
        </is>
      </c>
      <c r="C1749" t="inlineStr">
        <is>
          <t>Indraprastha Gas (IGL)</t>
        </is>
      </c>
      <c r="F1749" t="inlineStr">
        <is>
          <t>New Lead</t>
        </is>
      </c>
      <c r="H1749" t="inlineStr">
        <is>
          <t>CC17259_Dated_28_11_2022_TID_30975_Corrigendum_1_CC17259.pdf</t>
        </is>
      </c>
      <c r="K1749" t="inlineStr">
        <is>
          <t>Not found</t>
        </is>
      </c>
      <c r="L1749" t="inlineStr">
        <is>
          <t>Unknown</t>
        </is>
      </c>
      <c r="T1749" t="inlineStr">
        <is>
          <t>https://tenders.iglonline.net/uploads/tender/CC17259_Dated_28_11_2022_TID_30975_Corrigendum_1_CC17259.pdf</t>
        </is>
      </c>
      <c r="U1749" t="inlineStr">
        <is>
          <t>No</t>
        </is>
      </c>
      <c r="V1749" t="inlineStr">
        <is>
          <t>Bot tarafindan tespit edildi (2026-07-01)</t>
        </is>
      </c>
    </row>
    <row r="1750">
      <c r="A1750" t="inlineStr">
        <is>
          <t>T-1554</t>
        </is>
      </c>
      <c r="B1750" t="inlineStr">
        <is>
          <t>Indraprastha Gas (IGL)</t>
        </is>
      </c>
      <c r="C1750" t="inlineStr">
        <is>
          <t>Indraprastha Gas (IGL)</t>
        </is>
      </c>
      <c r="F1750" t="inlineStr">
        <is>
          <t>New Lead</t>
        </is>
      </c>
      <c r="H1750" t="inlineStr">
        <is>
          <t>View Tender</t>
        </is>
      </c>
      <c r="K1750" t="inlineStr">
        <is>
          <t>Not found</t>
        </is>
      </c>
      <c r="L1750" t="inlineStr">
        <is>
          <t>Unknown</t>
        </is>
      </c>
      <c r="T1750" t="inlineStr">
        <is>
          <t>https://tenders.iglonline.net/tenderDetail/79/Active Tenders And Corrigendum-Addendum</t>
        </is>
      </c>
      <c r="U1750" t="inlineStr">
        <is>
          <t>No</t>
        </is>
      </c>
      <c r="V1750" t="inlineStr">
        <is>
          <t>Bot tarafindan tespit edildi (2026-07-01)</t>
        </is>
      </c>
    </row>
    <row r="1751">
      <c r="A1751" t="inlineStr">
        <is>
          <t>T-1555</t>
        </is>
      </c>
      <c r="B1751" t="inlineStr">
        <is>
          <t>Indraprastha Gas (IGL)</t>
        </is>
      </c>
      <c r="C1751" t="inlineStr">
        <is>
          <t>Indraprastha Gas (IGL)</t>
        </is>
      </c>
      <c r="F1751" t="inlineStr">
        <is>
          <t>New Lead</t>
        </is>
      </c>
      <c r="H1751" t="inlineStr">
        <is>
          <t>CP17256_dated_25_11_2022_TID_30974_Corrigendum_4.pdf</t>
        </is>
      </c>
      <c r="K1751" t="inlineStr">
        <is>
          <t>Not found</t>
        </is>
      </c>
      <c r="L1751" t="inlineStr">
        <is>
          <t>Unknown</t>
        </is>
      </c>
      <c r="T1751" t="inlineStr">
        <is>
          <t>https://tenders.iglonline.net/uploads/tender/CP17256_dated_25_11_2022_TID_30974_Corrigendum_4.pdf</t>
        </is>
      </c>
      <c r="U1751" t="inlineStr">
        <is>
          <t>No</t>
        </is>
      </c>
      <c r="V1751" t="inlineStr">
        <is>
          <t>Bot tarafindan tespit edildi (2026-07-01)</t>
        </is>
      </c>
    </row>
    <row r="1752">
      <c r="A1752" t="inlineStr">
        <is>
          <t>T-1556</t>
        </is>
      </c>
      <c r="B1752" t="inlineStr">
        <is>
          <t>Indraprastha Gas (IGL)</t>
        </is>
      </c>
      <c r="C1752" t="inlineStr">
        <is>
          <t>Indraprastha Gas (IGL)</t>
        </is>
      </c>
      <c r="F1752" t="inlineStr">
        <is>
          <t>New Lead</t>
        </is>
      </c>
      <c r="H1752" t="inlineStr">
        <is>
          <t>CP17256_dated_25_11_2022_TID_30974_Replies_to_bidders_queries_CP17256.pdf</t>
        </is>
      </c>
      <c r="K1752" t="inlineStr">
        <is>
          <t>Not found</t>
        </is>
      </c>
      <c r="L1752" t="inlineStr">
        <is>
          <t>Unknown</t>
        </is>
      </c>
      <c r="T1752" t="inlineStr">
        <is>
          <t>https://tenders.iglonline.net/uploads/tender/CP17256_dated_25_11_2022_TID_30974_Replies_to_bidders_queries_CP17256.pdf</t>
        </is>
      </c>
      <c r="U1752" t="inlineStr">
        <is>
          <t>No</t>
        </is>
      </c>
      <c r="V1752" t="inlineStr">
        <is>
          <t>Bot tarafindan tespit edildi (2026-07-01)</t>
        </is>
      </c>
    </row>
    <row r="1753">
      <c r="A1753" t="inlineStr">
        <is>
          <t>T-1557</t>
        </is>
      </c>
      <c r="B1753" t="inlineStr">
        <is>
          <t>Indraprastha Gas (IGL)</t>
        </is>
      </c>
      <c r="C1753" t="inlineStr">
        <is>
          <t>Indraprastha Gas (IGL)</t>
        </is>
      </c>
      <c r="F1753" t="inlineStr">
        <is>
          <t>New Lead</t>
        </is>
      </c>
      <c r="H1753" t="inlineStr">
        <is>
          <t>CP17256_dated_25_11_2022_TID_30974_Corrigendum_3.pdf</t>
        </is>
      </c>
      <c r="K1753" t="inlineStr">
        <is>
          <t>Not found</t>
        </is>
      </c>
      <c r="L1753" t="inlineStr">
        <is>
          <t>Unknown</t>
        </is>
      </c>
      <c r="T1753" t="inlineStr">
        <is>
          <t>https://tenders.iglonline.net/uploads/tender/CP17256_dated_25_11_2022_TID_30974_Corrigendum_3.pdf</t>
        </is>
      </c>
      <c r="U1753" t="inlineStr">
        <is>
          <t>No</t>
        </is>
      </c>
      <c r="V1753" t="inlineStr">
        <is>
          <t>Bot tarafindan tespit edildi (2026-07-01)</t>
        </is>
      </c>
    </row>
    <row r="1754">
      <c r="A1754" t="inlineStr">
        <is>
          <t>T-1558</t>
        </is>
      </c>
      <c r="B1754" t="inlineStr">
        <is>
          <t>Indraprastha Gas (IGL)</t>
        </is>
      </c>
      <c r="C1754" t="inlineStr">
        <is>
          <t>Indraprastha Gas (IGL)</t>
        </is>
      </c>
      <c r="F1754" t="inlineStr">
        <is>
          <t>New Lead</t>
        </is>
      </c>
      <c r="H1754" t="inlineStr">
        <is>
          <t>CP17256_dated_25_11_2022_TID_30974_Corrigendum_2.pdf</t>
        </is>
      </c>
      <c r="K1754" t="inlineStr">
        <is>
          <t>Not found</t>
        </is>
      </c>
      <c r="L1754" t="inlineStr">
        <is>
          <t>Unknown</t>
        </is>
      </c>
      <c r="T1754" t="inlineStr">
        <is>
          <t>https://tenders.iglonline.net/uploads/tender/CP17256_dated_25_11_2022_TID_30974_Corrigendum_2.pdf</t>
        </is>
      </c>
      <c r="U1754" t="inlineStr">
        <is>
          <t>No</t>
        </is>
      </c>
      <c r="V1754" t="inlineStr">
        <is>
          <t>Bot tarafindan tespit edildi (2026-07-01)</t>
        </is>
      </c>
    </row>
    <row r="1755">
      <c r="A1755" t="inlineStr">
        <is>
          <t>T-1559</t>
        </is>
      </c>
      <c r="B1755" t="inlineStr">
        <is>
          <t>Indraprastha Gas (IGL)</t>
        </is>
      </c>
      <c r="C1755" t="inlineStr">
        <is>
          <t>Indraprastha Gas (IGL)</t>
        </is>
      </c>
      <c r="F1755" t="inlineStr">
        <is>
          <t>New Lead</t>
        </is>
      </c>
      <c r="H1755" t="inlineStr">
        <is>
          <t>CP17256_dated_25_11_2022_TID_30974_Corrigendum_1.pdf</t>
        </is>
      </c>
      <c r="K1755" t="inlineStr">
        <is>
          <t>Not found</t>
        </is>
      </c>
      <c r="L1755" t="inlineStr">
        <is>
          <t>Unknown</t>
        </is>
      </c>
      <c r="T1755" t="inlineStr">
        <is>
          <t>https://tenders.iglonline.net/uploads/tender/CP17256_dated_25_11_2022_TID_30974_Corrigendum_1.pdf</t>
        </is>
      </c>
      <c r="U1755" t="inlineStr">
        <is>
          <t>No</t>
        </is>
      </c>
      <c r="V1755" t="inlineStr">
        <is>
          <t>Bot tarafindan tespit edildi (2026-07-01)</t>
        </is>
      </c>
    </row>
    <row r="1756">
      <c r="A1756" t="inlineStr">
        <is>
          <t>T-1560</t>
        </is>
      </c>
      <c r="B1756" t="inlineStr">
        <is>
          <t>Indraprastha Gas (IGL)</t>
        </is>
      </c>
      <c r="C1756" t="inlineStr">
        <is>
          <t>Indraprastha Gas (IGL)</t>
        </is>
      </c>
      <c r="F1756" t="inlineStr">
        <is>
          <t>New Lead</t>
        </is>
      </c>
      <c r="H1756" t="inlineStr">
        <is>
          <t>View Tender</t>
        </is>
      </c>
      <c r="K1756" t="inlineStr">
        <is>
          <t>Not found</t>
        </is>
      </c>
      <c r="L1756" t="inlineStr">
        <is>
          <t>Unknown</t>
        </is>
      </c>
      <c r="T1756" t="inlineStr">
        <is>
          <t>https://tenders.iglonline.net/tenderDetail/78/Active Tenders And Corrigendum-Addendum</t>
        </is>
      </c>
      <c r="U1756" t="inlineStr">
        <is>
          <t>No</t>
        </is>
      </c>
      <c r="V1756" t="inlineStr">
        <is>
          <t>Bot tarafindan tespit edildi (2026-07-01)</t>
        </is>
      </c>
    </row>
    <row r="1757">
      <c r="A1757" t="inlineStr">
        <is>
          <t>T-1561</t>
        </is>
      </c>
      <c r="B1757" t="inlineStr">
        <is>
          <t>Indraprastha Gas (IGL)</t>
        </is>
      </c>
      <c r="C1757" t="inlineStr">
        <is>
          <t>Indraprastha Gas (IGL)</t>
        </is>
      </c>
      <c r="F1757" t="inlineStr">
        <is>
          <t>New Lead</t>
        </is>
      </c>
      <c r="H1757" t="inlineStr">
        <is>
          <t>CC17255_Dated_23_11_2022_TID_30973_Commercial_Corrigendum_9_CC17255.pdf</t>
        </is>
      </c>
      <c r="K1757" t="inlineStr">
        <is>
          <t>Not found</t>
        </is>
      </c>
      <c r="L1757" t="inlineStr">
        <is>
          <t>Unknown</t>
        </is>
      </c>
      <c r="T1757" t="inlineStr">
        <is>
          <t>https://tenders.iglonline.net/uploads/tender/CC17255_Dated_23_11_2022_TID_30973_Commercial_Corrigendum_9_CC17255.pdf</t>
        </is>
      </c>
      <c r="U1757" t="inlineStr">
        <is>
          <t>No</t>
        </is>
      </c>
      <c r="V1757" t="inlineStr">
        <is>
          <t>Bot tarafindan tespit edildi (2026-07-01)</t>
        </is>
      </c>
    </row>
    <row r="1758">
      <c r="A1758" t="inlineStr">
        <is>
          <t>T-1562</t>
        </is>
      </c>
      <c r="B1758" t="inlineStr">
        <is>
          <t>Indraprastha Gas (IGL)</t>
        </is>
      </c>
      <c r="C1758" t="inlineStr">
        <is>
          <t>Indraprastha Gas (IGL)</t>
        </is>
      </c>
      <c r="F1758" t="inlineStr">
        <is>
          <t>New Lead</t>
        </is>
      </c>
      <c r="H1758" t="inlineStr">
        <is>
          <t>CC17255_Dated_23_11_2022_TID_30973_Reply_prebid_Queries_CC17255.pdf</t>
        </is>
      </c>
      <c r="K1758" t="inlineStr">
        <is>
          <t>Not found</t>
        </is>
      </c>
      <c r="L1758" t="inlineStr">
        <is>
          <t>Unknown</t>
        </is>
      </c>
      <c r="T1758" t="inlineStr">
        <is>
          <t>https://tenders.iglonline.net/uploads/tender/CC17255_Dated_23_11_2022_TID_30973_Reply_prebid_Queries_CC17255.pdf</t>
        </is>
      </c>
      <c r="U1758" t="inlineStr">
        <is>
          <t>No</t>
        </is>
      </c>
      <c r="V1758" t="inlineStr">
        <is>
          <t>Bot tarafindan tespit edildi (2026-07-01)</t>
        </is>
      </c>
    </row>
    <row r="1759">
      <c r="A1759" t="inlineStr">
        <is>
          <t>T-1563</t>
        </is>
      </c>
      <c r="B1759" t="inlineStr">
        <is>
          <t>Indraprastha Gas (IGL)</t>
        </is>
      </c>
      <c r="C1759" t="inlineStr">
        <is>
          <t>Indraprastha Gas (IGL)</t>
        </is>
      </c>
      <c r="F1759" t="inlineStr">
        <is>
          <t>New Lead</t>
        </is>
      </c>
      <c r="H1759" t="inlineStr">
        <is>
          <t>CC17255_Dated_23_11_2022_TID_30973_Technical_Corrigendum_1_CC17255.pdf</t>
        </is>
      </c>
      <c r="K1759" t="inlineStr">
        <is>
          <t>Not found</t>
        </is>
      </c>
      <c r="L1759" t="inlineStr">
        <is>
          <t>Unknown</t>
        </is>
      </c>
      <c r="T1759" t="inlineStr">
        <is>
          <t>https://tenders.iglonline.net/uploads/tender/CC17255_Dated_23_11_2022_TID_30973_Technical_Corrigendum_1_CC17255.pdf</t>
        </is>
      </c>
      <c r="U1759" t="inlineStr">
        <is>
          <t>No</t>
        </is>
      </c>
      <c r="V1759" t="inlineStr">
        <is>
          <t>Bot tarafindan tespit edildi (2026-07-01)</t>
        </is>
      </c>
    </row>
    <row r="1760">
      <c r="A1760" t="inlineStr">
        <is>
          <t>T-1564</t>
        </is>
      </c>
      <c r="B1760" t="inlineStr">
        <is>
          <t>Indraprastha Gas (IGL)</t>
        </is>
      </c>
      <c r="C1760" t="inlineStr">
        <is>
          <t>Indraprastha Gas (IGL)</t>
        </is>
      </c>
      <c r="F1760" t="inlineStr">
        <is>
          <t>New Lead</t>
        </is>
      </c>
      <c r="H1760" t="inlineStr">
        <is>
          <t>CC17255_Dated_23_11_2022_TID_30973_Commercial_Corrigendum_8_CC17255.pdf</t>
        </is>
      </c>
      <c r="K1760" t="inlineStr">
        <is>
          <t>Not found</t>
        </is>
      </c>
      <c r="L1760" t="inlineStr">
        <is>
          <t>Unknown</t>
        </is>
      </c>
      <c r="T1760" t="inlineStr">
        <is>
          <t>https://tenders.iglonline.net/uploads/tender/CC17255_Dated_23_11_2022_TID_30973_Commercial_Corrigendum_8_CC17255.pdf</t>
        </is>
      </c>
      <c r="U1760" t="inlineStr">
        <is>
          <t>No</t>
        </is>
      </c>
      <c r="V1760" t="inlineStr">
        <is>
          <t>Bot tarafindan tespit edildi (2026-07-01)</t>
        </is>
      </c>
    </row>
    <row r="1761">
      <c r="A1761" t="inlineStr">
        <is>
          <t>T-1565</t>
        </is>
      </c>
      <c r="B1761" t="inlineStr">
        <is>
          <t>Indraprastha Gas (IGL)</t>
        </is>
      </c>
      <c r="C1761" t="inlineStr">
        <is>
          <t>Indraprastha Gas (IGL)</t>
        </is>
      </c>
      <c r="F1761" t="inlineStr">
        <is>
          <t>New Lead</t>
        </is>
      </c>
      <c r="H1761" t="inlineStr">
        <is>
          <t>CC17255_Dated_23_11_2022_TID_30973_Commercial_Corrigendum_7_CC17255.pdf</t>
        </is>
      </c>
      <c r="K1761" t="inlineStr">
        <is>
          <t>Not found</t>
        </is>
      </c>
      <c r="L1761" t="inlineStr">
        <is>
          <t>Unknown</t>
        </is>
      </c>
      <c r="T1761" t="inlineStr">
        <is>
          <t>https://tenders.iglonline.net/uploads/tender/CC17255_Dated_23_11_2022_TID_30973_Commercial_Corrigendum_7_CC17255.pdf</t>
        </is>
      </c>
      <c r="U1761" t="inlineStr">
        <is>
          <t>No</t>
        </is>
      </c>
      <c r="V1761" t="inlineStr">
        <is>
          <t>Bot tarafindan tespit edildi (2026-07-01)</t>
        </is>
      </c>
    </row>
    <row r="1762">
      <c r="A1762" t="inlineStr">
        <is>
          <t>T-1566</t>
        </is>
      </c>
      <c r="B1762" t="inlineStr">
        <is>
          <t>Indraprastha Gas (IGL)</t>
        </is>
      </c>
      <c r="C1762" t="inlineStr">
        <is>
          <t>Indraprastha Gas (IGL)</t>
        </is>
      </c>
      <c r="F1762" t="inlineStr">
        <is>
          <t>New Lead</t>
        </is>
      </c>
      <c r="H1762" t="inlineStr">
        <is>
          <t>CC17255_Dated_23_11_2022_TID_30973_Commercial_Corrigendum_6_CC17255.pdf</t>
        </is>
      </c>
      <c r="K1762" t="inlineStr">
        <is>
          <t>Not found</t>
        </is>
      </c>
      <c r="L1762" t="inlineStr">
        <is>
          <t>Unknown</t>
        </is>
      </c>
      <c r="T1762" t="inlineStr">
        <is>
          <t>https://tenders.iglonline.net/uploads/tender/CC17255_Dated_23_11_2022_TID_30973_Commercial_Corrigendum_6_CC17255.pdf</t>
        </is>
      </c>
      <c r="U1762" t="inlineStr">
        <is>
          <t>No</t>
        </is>
      </c>
      <c r="V1762" t="inlineStr">
        <is>
          <t>Bot tarafindan tespit edildi (2026-07-01)</t>
        </is>
      </c>
    </row>
    <row r="1763">
      <c r="A1763" t="inlineStr">
        <is>
          <t>T-1567</t>
        </is>
      </c>
      <c r="B1763" t="inlineStr">
        <is>
          <t>Indraprastha Gas (IGL)</t>
        </is>
      </c>
      <c r="C1763" t="inlineStr">
        <is>
          <t>Indraprastha Gas (IGL)</t>
        </is>
      </c>
      <c r="F1763" t="inlineStr">
        <is>
          <t>New Lead</t>
        </is>
      </c>
      <c r="H1763" t="inlineStr">
        <is>
          <t>CC17255_Dated_23_11_2022_TID_30973_Commercial_Corrigendum_5_CC17255.pdf</t>
        </is>
      </c>
      <c r="K1763" t="inlineStr">
        <is>
          <t>Not found</t>
        </is>
      </c>
      <c r="L1763" t="inlineStr">
        <is>
          <t>Unknown</t>
        </is>
      </c>
      <c r="T1763" t="inlineStr">
        <is>
          <t>https://tenders.iglonline.net/uploads/tender/CC17255_Dated_23_11_2022_TID_30973_Commercial_Corrigendum_5_CC17255.pdf</t>
        </is>
      </c>
      <c r="U1763" t="inlineStr">
        <is>
          <t>No</t>
        </is>
      </c>
      <c r="V1763" t="inlineStr">
        <is>
          <t>Bot tarafindan tespit edildi (2026-07-01)</t>
        </is>
      </c>
    </row>
    <row r="1764">
      <c r="A1764" t="inlineStr">
        <is>
          <t>T-1568</t>
        </is>
      </c>
      <c r="B1764" t="inlineStr">
        <is>
          <t>Indraprastha Gas (IGL)</t>
        </is>
      </c>
      <c r="C1764" t="inlineStr">
        <is>
          <t>Indraprastha Gas (IGL)</t>
        </is>
      </c>
      <c r="F1764" t="inlineStr">
        <is>
          <t>New Lead</t>
        </is>
      </c>
      <c r="H1764" t="inlineStr">
        <is>
          <t>CC17255_Dated_23_11_2022_TID_30973_Commercial_Corrigendum_4_CC17255.pdf</t>
        </is>
      </c>
      <c r="K1764" t="inlineStr">
        <is>
          <t>Not found</t>
        </is>
      </c>
      <c r="L1764" t="inlineStr">
        <is>
          <t>Unknown</t>
        </is>
      </c>
      <c r="T1764" t="inlineStr">
        <is>
          <t>https://tenders.iglonline.net/uploads/tender/CC17255_Dated_23_11_2022_TID_30973_Commercial_Corrigendum_4_CC17255.pdf</t>
        </is>
      </c>
      <c r="U1764" t="inlineStr">
        <is>
          <t>No</t>
        </is>
      </c>
      <c r="V1764" t="inlineStr">
        <is>
          <t>Bot tarafindan tespit edildi (2026-07-01)</t>
        </is>
      </c>
    </row>
    <row r="1765">
      <c r="A1765" t="inlineStr">
        <is>
          <t>T-1569</t>
        </is>
      </c>
      <c r="B1765" t="inlineStr">
        <is>
          <t>Indraprastha Gas (IGL)</t>
        </is>
      </c>
      <c r="C1765" t="inlineStr">
        <is>
          <t>Indraprastha Gas (IGL)</t>
        </is>
      </c>
      <c r="F1765" t="inlineStr">
        <is>
          <t>New Lead</t>
        </is>
      </c>
      <c r="H1765" t="inlineStr">
        <is>
          <t>CC17255_Dated_23_11_2022_TID_30973_Commercial_Corrigendum_3_CC17255.pdf</t>
        </is>
      </c>
      <c r="K1765" t="inlineStr">
        <is>
          <t>Not found</t>
        </is>
      </c>
      <c r="L1765" t="inlineStr">
        <is>
          <t>Unknown</t>
        </is>
      </c>
      <c r="T1765" t="inlineStr">
        <is>
          <t>https://tenders.iglonline.net/uploads/tender/CC17255_Dated_23_11_2022_TID_30973_Commercial_Corrigendum_3_CC17255.pdf</t>
        </is>
      </c>
      <c r="U1765" t="inlineStr">
        <is>
          <t>No</t>
        </is>
      </c>
      <c r="V1765" t="inlineStr">
        <is>
          <t>Bot tarafindan tespit edildi (2026-07-01)</t>
        </is>
      </c>
    </row>
    <row r="1766">
      <c r="A1766" t="inlineStr">
        <is>
          <t>T-1570</t>
        </is>
      </c>
      <c r="B1766" t="inlineStr">
        <is>
          <t>Indraprastha Gas (IGL)</t>
        </is>
      </c>
      <c r="C1766" t="inlineStr">
        <is>
          <t>Indraprastha Gas (IGL)</t>
        </is>
      </c>
      <c r="F1766" t="inlineStr">
        <is>
          <t>New Lead</t>
        </is>
      </c>
      <c r="H1766" t="inlineStr">
        <is>
          <t>CC17255_Dated_23_11_2022_TID_30973_Commercial_Corrigendum_2.pdf</t>
        </is>
      </c>
      <c r="K1766" t="inlineStr">
        <is>
          <t>Not found</t>
        </is>
      </c>
      <c r="L1766" t="inlineStr">
        <is>
          <t>Unknown</t>
        </is>
      </c>
      <c r="T1766" t="inlineStr">
        <is>
          <t>https://tenders.iglonline.net/uploads/tender/CC17255_Dated_23_11_2022_TID_30973_Commercial_Corrigendum_2.pdf</t>
        </is>
      </c>
      <c r="U1766" t="inlineStr">
        <is>
          <t>No</t>
        </is>
      </c>
      <c r="V1766" t="inlineStr">
        <is>
          <t>Bot tarafindan tespit edildi (2026-07-01)</t>
        </is>
      </c>
    </row>
    <row r="1767">
      <c r="A1767" t="inlineStr">
        <is>
          <t>T-1571</t>
        </is>
      </c>
      <c r="B1767" t="inlineStr">
        <is>
          <t>Indraprastha Gas (IGL)</t>
        </is>
      </c>
      <c r="C1767" t="inlineStr">
        <is>
          <t>Indraprastha Gas (IGL)</t>
        </is>
      </c>
      <c r="F1767" t="inlineStr">
        <is>
          <t>New Lead</t>
        </is>
      </c>
      <c r="H1767" t="inlineStr">
        <is>
          <t>CC17255_Dated_23_11_2022_TID_30973_Commercial_Corrigendum_1_CC17255.pdf</t>
        </is>
      </c>
      <c r="K1767" t="inlineStr">
        <is>
          <t>Not found</t>
        </is>
      </c>
      <c r="L1767" t="inlineStr">
        <is>
          <t>Unknown</t>
        </is>
      </c>
      <c r="T1767" t="inlineStr">
        <is>
          <t>https://tenders.iglonline.net/uploads/tender/CC17255_Dated_23_11_2022_TID_30973_Commercial_Corrigendum_1_CC17255.pdf</t>
        </is>
      </c>
      <c r="U1767" t="inlineStr">
        <is>
          <t>No</t>
        </is>
      </c>
      <c r="V1767" t="inlineStr">
        <is>
          <t>Bot tarafindan tespit edildi (2026-07-01)</t>
        </is>
      </c>
    </row>
    <row r="1768">
      <c r="A1768" t="inlineStr">
        <is>
          <t>T-1572</t>
        </is>
      </c>
      <c r="B1768" t="inlineStr">
        <is>
          <t>Indraprastha Gas (IGL)</t>
        </is>
      </c>
      <c r="C1768" t="inlineStr">
        <is>
          <t>Indraprastha Gas (IGL)</t>
        </is>
      </c>
      <c r="F1768" t="inlineStr">
        <is>
          <t>New Lead</t>
        </is>
      </c>
      <c r="H1768" t="inlineStr">
        <is>
          <t>Commercial_Corrigendum_10_CC17255.pdf</t>
        </is>
      </c>
      <c r="K1768" t="inlineStr">
        <is>
          <t>Not found</t>
        </is>
      </c>
      <c r="L1768" t="inlineStr">
        <is>
          <t>Unknown</t>
        </is>
      </c>
      <c r="T1768" t="inlineStr">
        <is>
          <t>https://tenders.iglonline.net/uploads/tender/Commercial_Corrigendum_10_CC17255.pdf</t>
        </is>
      </c>
      <c r="U1768" t="inlineStr">
        <is>
          <t>No</t>
        </is>
      </c>
      <c r="V1768" t="inlineStr">
        <is>
          <t>Bot tarafindan tespit edildi (2026-07-01)</t>
        </is>
      </c>
    </row>
    <row r="1769">
      <c r="A1769" t="inlineStr">
        <is>
          <t>T-1573</t>
        </is>
      </c>
      <c r="B1769" t="inlineStr">
        <is>
          <t>Indraprastha Gas (IGL)</t>
        </is>
      </c>
      <c r="C1769" t="inlineStr">
        <is>
          <t>Indraprastha Gas (IGL)</t>
        </is>
      </c>
      <c r="F1769" t="inlineStr">
        <is>
          <t>New Lead</t>
        </is>
      </c>
      <c r="H1769" t="inlineStr">
        <is>
          <t>Commercial_Corrigendum_12_CC17255.pdf</t>
        </is>
      </c>
      <c r="K1769" t="inlineStr">
        <is>
          <t>Not found</t>
        </is>
      </c>
      <c r="L1769" t="inlineStr">
        <is>
          <t>Unknown</t>
        </is>
      </c>
      <c r="T1769" t="inlineStr">
        <is>
          <t>https://tenders.iglonline.net/uploads/tender/Commercial_Corrigendum_12_CC17255.pdf</t>
        </is>
      </c>
      <c r="U1769" t="inlineStr">
        <is>
          <t>No</t>
        </is>
      </c>
      <c r="V1769" t="inlineStr">
        <is>
          <t>Bot tarafindan tespit edildi (2026-07-01)</t>
        </is>
      </c>
    </row>
    <row r="1770">
      <c r="A1770" t="inlineStr">
        <is>
          <t>T-1574</t>
        </is>
      </c>
      <c r="B1770" t="inlineStr">
        <is>
          <t>Indraprastha Gas (IGL)</t>
        </is>
      </c>
      <c r="C1770" t="inlineStr">
        <is>
          <t>Indraprastha Gas (IGL)</t>
        </is>
      </c>
      <c r="F1770" t="inlineStr">
        <is>
          <t>New Lead</t>
        </is>
      </c>
      <c r="H1770" t="inlineStr">
        <is>
          <t>Commercial_Corrigendum_13_CC17255.pdf</t>
        </is>
      </c>
      <c r="K1770" t="inlineStr">
        <is>
          <t>Not found</t>
        </is>
      </c>
      <c r="L1770" t="inlineStr">
        <is>
          <t>Unknown</t>
        </is>
      </c>
      <c r="T1770" t="inlineStr">
        <is>
          <t>https://tenders.iglonline.net/uploads/tender/Commercial_Corrigendum_13_CC17255.pdf</t>
        </is>
      </c>
      <c r="U1770" t="inlineStr">
        <is>
          <t>No</t>
        </is>
      </c>
      <c r="V1770" t="inlineStr">
        <is>
          <t>Bot tarafindan tespit edildi (2026-07-01)</t>
        </is>
      </c>
    </row>
    <row r="1771">
      <c r="A1771" t="inlineStr">
        <is>
          <t>T-1575</t>
        </is>
      </c>
      <c r="B1771" t="inlineStr">
        <is>
          <t>Indraprastha Gas (IGL)</t>
        </is>
      </c>
      <c r="C1771" t="inlineStr">
        <is>
          <t>Indraprastha Gas (IGL)</t>
        </is>
      </c>
      <c r="F1771" t="inlineStr">
        <is>
          <t>New Lead</t>
        </is>
      </c>
      <c r="H1771" t="inlineStr">
        <is>
          <t>Notice_of_Cancellation_CC17255.pdf</t>
        </is>
      </c>
      <c r="K1771" t="inlineStr">
        <is>
          <t>Not found</t>
        </is>
      </c>
      <c r="L1771" t="inlineStr">
        <is>
          <t>Unknown</t>
        </is>
      </c>
      <c r="T1771" t="inlineStr">
        <is>
          <t>https://tenders.iglonline.net/uploads/tender/Notice_of_Cancellation_CC17255.pdf</t>
        </is>
      </c>
      <c r="U1771" t="inlineStr">
        <is>
          <t>No</t>
        </is>
      </c>
      <c r="V1771" t="inlineStr">
        <is>
          <t>Bot tarafindan tespit edildi (2026-07-01)</t>
        </is>
      </c>
    </row>
    <row r="1772">
      <c r="A1772" t="inlineStr">
        <is>
          <t>T-1576</t>
        </is>
      </c>
      <c r="B1772" t="inlineStr">
        <is>
          <t>Indraprastha Gas (IGL)</t>
        </is>
      </c>
      <c r="C1772" t="inlineStr">
        <is>
          <t>Indraprastha Gas (IGL)</t>
        </is>
      </c>
      <c r="F1772" t="inlineStr">
        <is>
          <t>New Lead</t>
        </is>
      </c>
      <c r="H1772" t="inlineStr">
        <is>
          <t>View Tender</t>
        </is>
      </c>
      <c r="K1772" t="inlineStr">
        <is>
          <t>Not found</t>
        </is>
      </c>
      <c r="L1772" t="inlineStr">
        <is>
          <t>Unknown</t>
        </is>
      </c>
      <c r="T1772" t="inlineStr">
        <is>
          <t>https://tenders.iglonline.net/tenderDetail/77/Active Tenders And Corrigendum-Addendum</t>
        </is>
      </c>
      <c r="U1772" t="inlineStr">
        <is>
          <t>No</t>
        </is>
      </c>
      <c r="V1772" t="inlineStr">
        <is>
          <t>Bot tarafindan tespit edildi (2026-07-01)</t>
        </is>
      </c>
    </row>
    <row r="1773">
      <c r="A1773" t="inlineStr">
        <is>
          <t>T-1577</t>
        </is>
      </c>
      <c r="B1773" t="inlineStr">
        <is>
          <t>Indraprastha Gas (IGL)</t>
        </is>
      </c>
      <c r="C1773" t="inlineStr">
        <is>
          <t>Indraprastha Gas (IGL)</t>
        </is>
      </c>
      <c r="F1773" t="inlineStr">
        <is>
          <t>New Lead</t>
        </is>
      </c>
      <c r="H1773" t="inlineStr">
        <is>
          <t>CC17238_dated_23_11_2022_TID_30972_Corrigendum_I_CC17238.pdf</t>
        </is>
      </c>
      <c r="K1773" t="inlineStr">
        <is>
          <t>Not found</t>
        </is>
      </c>
      <c r="L1773" t="inlineStr">
        <is>
          <t>Unknown</t>
        </is>
      </c>
      <c r="T1773" t="inlineStr">
        <is>
          <t>https://tenders.iglonline.net/uploads/tender/CC17238_dated_23_11_2022_TID_30972_Corrigendum_I_CC17238.pdf</t>
        </is>
      </c>
      <c r="U1773" t="inlineStr">
        <is>
          <t>No</t>
        </is>
      </c>
      <c r="V1773" t="inlineStr">
        <is>
          <t>Bot tarafindan tespit edildi (2026-07-01)</t>
        </is>
      </c>
    </row>
    <row r="1774">
      <c r="A1774" t="inlineStr">
        <is>
          <t>T-1578</t>
        </is>
      </c>
      <c r="B1774" t="inlineStr">
        <is>
          <t>Indraprastha Gas (IGL)</t>
        </is>
      </c>
      <c r="C1774" t="inlineStr">
        <is>
          <t>Indraprastha Gas (IGL)</t>
        </is>
      </c>
      <c r="F1774" t="inlineStr">
        <is>
          <t>New Lead</t>
        </is>
      </c>
      <c r="H1774" t="inlineStr">
        <is>
          <t>CC17238_dated_23_11_2022_TID_30972_RTBQ_CC17238.pdf</t>
        </is>
      </c>
      <c r="K1774" t="inlineStr">
        <is>
          <t>Not found</t>
        </is>
      </c>
      <c r="L1774" t="inlineStr">
        <is>
          <t>Unknown</t>
        </is>
      </c>
      <c r="T1774" t="inlineStr">
        <is>
          <t>https://tenders.iglonline.net/uploads/tender/CC17238_dated_23_11_2022_TID_30972_RTBQ_CC17238.pdf</t>
        </is>
      </c>
      <c r="U1774" t="inlineStr">
        <is>
          <t>No</t>
        </is>
      </c>
      <c r="V1774" t="inlineStr">
        <is>
          <t>Bot tarafindan tespit edildi (2026-07-01)</t>
        </is>
      </c>
    </row>
    <row r="1775">
      <c r="A1775" t="inlineStr">
        <is>
          <t>T-1579</t>
        </is>
      </c>
      <c r="B1775" t="inlineStr">
        <is>
          <t>Indraprastha Gas (IGL)</t>
        </is>
      </c>
      <c r="C1775" t="inlineStr">
        <is>
          <t>Indraprastha Gas (IGL)</t>
        </is>
      </c>
      <c r="F1775" t="inlineStr">
        <is>
          <t>New Lead</t>
        </is>
      </c>
      <c r="H1775" t="inlineStr">
        <is>
          <t>View Tender</t>
        </is>
      </c>
      <c r="K1775" t="inlineStr">
        <is>
          <t>Not found</t>
        </is>
      </c>
      <c r="L1775" t="inlineStr">
        <is>
          <t>Unknown</t>
        </is>
      </c>
      <c r="T1775" t="inlineStr">
        <is>
          <t>https://tenders.iglonline.net/tenderDetail/76/Active Tenders And Corrigendum-Addendum</t>
        </is>
      </c>
      <c r="U1775" t="inlineStr">
        <is>
          <t>No</t>
        </is>
      </c>
      <c r="V1775" t="inlineStr">
        <is>
          <t>Bot tarafindan tespit edildi (2026-07-01)</t>
        </is>
      </c>
    </row>
    <row r="1776">
      <c r="A1776" t="inlineStr">
        <is>
          <t>T-1580</t>
        </is>
      </c>
      <c r="B1776" t="inlineStr">
        <is>
          <t>Indraprastha Gas (IGL)</t>
        </is>
      </c>
      <c r="C1776" t="inlineStr">
        <is>
          <t>Indraprastha Gas (IGL)</t>
        </is>
      </c>
      <c r="F1776" t="inlineStr">
        <is>
          <t>New Lead</t>
        </is>
      </c>
      <c r="H1776" t="inlineStr">
        <is>
          <t>CM17250_dated_18_11_2022_TID_30971_Corrigendum_-I_CM17250.pdf</t>
        </is>
      </c>
      <c r="K1776" t="inlineStr">
        <is>
          <t>Not found</t>
        </is>
      </c>
      <c r="L1776" t="inlineStr">
        <is>
          <t>Unknown</t>
        </is>
      </c>
      <c r="T1776" t="inlineStr">
        <is>
          <t>https://tenders.iglonline.net/uploads/tender/CM17250_dated_18_11_2022_TID_30971_Corrigendum_-I_CM17250.pdf</t>
        </is>
      </c>
      <c r="U1776" t="inlineStr">
        <is>
          <t>No</t>
        </is>
      </c>
      <c r="V1776" t="inlineStr">
        <is>
          <t>Bot tarafindan tespit edildi (2026-07-01)</t>
        </is>
      </c>
    </row>
    <row r="1777">
      <c r="A1777" t="inlineStr">
        <is>
          <t>T-1581</t>
        </is>
      </c>
      <c r="B1777" t="inlineStr">
        <is>
          <t>Indraprastha Gas (IGL)</t>
        </is>
      </c>
      <c r="C1777" t="inlineStr">
        <is>
          <t>Indraprastha Gas (IGL)</t>
        </is>
      </c>
      <c r="F1777" t="inlineStr">
        <is>
          <t>New Lead</t>
        </is>
      </c>
      <c r="H1777" t="inlineStr">
        <is>
          <t>CM17250_dated_18_11_2022_TID_30971_Corrigendum_-II.pdf</t>
        </is>
      </c>
      <c r="K1777" t="inlineStr">
        <is>
          <t>Not found</t>
        </is>
      </c>
      <c r="L1777" t="inlineStr">
        <is>
          <t>Unknown</t>
        </is>
      </c>
      <c r="T1777" t="inlineStr">
        <is>
          <t>https://tenders.iglonline.net/uploads/tender/CM17250_dated_18_11_2022_TID_30971_Corrigendum_-II.pdf</t>
        </is>
      </c>
      <c r="U1777" t="inlineStr">
        <is>
          <t>No</t>
        </is>
      </c>
      <c r="V1777" t="inlineStr">
        <is>
          <t>Bot tarafindan tespit edildi (2026-07-01)</t>
        </is>
      </c>
    </row>
    <row r="1778">
      <c r="A1778" t="inlineStr">
        <is>
          <t>T-1582</t>
        </is>
      </c>
      <c r="B1778" t="inlineStr">
        <is>
          <t>Indraprastha Gas (IGL)</t>
        </is>
      </c>
      <c r="C1778" t="inlineStr">
        <is>
          <t>Indraprastha Gas (IGL)</t>
        </is>
      </c>
      <c r="F1778" t="inlineStr">
        <is>
          <t>New Lead</t>
        </is>
      </c>
      <c r="H1778" t="inlineStr">
        <is>
          <t>CM17250_dated_18_11_2022_TID_30971_Corrigendum-III.pdf</t>
        </is>
      </c>
      <c r="K1778" t="inlineStr">
        <is>
          <t>Not found</t>
        </is>
      </c>
      <c r="L1778" t="inlineStr">
        <is>
          <t>Unknown</t>
        </is>
      </c>
      <c r="T1778" t="inlineStr">
        <is>
          <t>https://tenders.iglonline.net/uploads/tender/CM17250_dated_18_11_2022_TID_30971_Corrigendum-III.pdf</t>
        </is>
      </c>
      <c r="U1778" t="inlineStr">
        <is>
          <t>No</t>
        </is>
      </c>
      <c r="V1778" t="inlineStr">
        <is>
          <t>Bot tarafindan tespit edildi (2026-07-01)</t>
        </is>
      </c>
    </row>
    <row r="1779">
      <c r="A1779" t="inlineStr">
        <is>
          <t>T-1583</t>
        </is>
      </c>
      <c r="B1779" t="inlineStr">
        <is>
          <t>Indraprastha Gas (IGL)</t>
        </is>
      </c>
      <c r="C1779" t="inlineStr">
        <is>
          <t>Indraprastha Gas (IGL)</t>
        </is>
      </c>
      <c r="F1779" t="inlineStr">
        <is>
          <t>New Lead</t>
        </is>
      </c>
      <c r="H1779" t="inlineStr">
        <is>
          <t>CM17250_dated_18_11_2022_TID_30971_Corrigendum_IV.pdf</t>
        </is>
      </c>
      <c r="K1779" t="inlineStr">
        <is>
          <t>Not found</t>
        </is>
      </c>
      <c r="L1779" t="inlineStr">
        <is>
          <t>Unknown</t>
        </is>
      </c>
      <c r="T1779" t="inlineStr">
        <is>
          <t>https://tenders.iglonline.net/uploads/tender/CM17250_dated_18_11_2022_TID_30971_Corrigendum_IV.pdf</t>
        </is>
      </c>
      <c r="U1779" t="inlineStr">
        <is>
          <t>No</t>
        </is>
      </c>
      <c r="V1779" t="inlineStr">
        <is>
          <t>Bot tarafindan tespit edildi (2026-07-01)</t>
        </is>
      </c>
    </row>
    <row r="1780">
      <c r="A1780" t="inlineStr">
        <is>
          <t>T-1584</t>
        </is>
      </c>
      <c r="B1780" t="inlineStr">
        <is>
          <t>Indraprastha Gas (IGL)</t>
        </is>
      </c>
      <c r="C1780" t="inlineStr">
        <is>
          <t>Indraprastha Gas (IGL)</t>
        </is>
      </c>
      <c r="F1780" t="inlineStr">
        <is>
          <t>New Lead</t>
        </is>
      </c>
      <c r="H1780" t="inlineStr">
        <is>
          <t>CM17250_dated_18_11_2022_TID_30971_Corrigendum-V_CM17250.pdf</t>
        </is>
      </c>
      <c r="K1780" t="inlineStr">
        <is>
          <t>Not found</t>
        </is>
      </c>
      <c r="L1780" t="inlineStr">
        <is>
          <t>Unknown</t>
        </is>
      </c>
      <c r="T1780" t="inlineStr">
        <is>
          <t>https://tenders.iglonline.net/uploads/tender/CM17250_dated_18_11_2022_TID_30971_Corrigendum-V_CM17250.pdf</t>
        </is>
      </c>
      <c r="U1780" t="inlineStr">
        <is>
          <t>No</t>
        </is>
      </c>
      <c r="V1780" t="inlineStr">
        <is>
          <t>Bot tarafindan tespit edildi (2026-07-01)</t>
        </is>
      </c>
    </row>
    <row r="1781">
      <c r="A1781" t="inlineStr">
        <is>
          <t>T-1585</t>
        </is>
      </c>
      <c r="B1781" t="inlineStr">
        <is>
          <t>Indraprastha Gas (IGL)</t>
        </is>
      </c>
      <c r="C1781" t="inlineStr">
        <is>
          <t>Indraprastha Gas (IGL)</t>
        </is>
      </c>
      <c r="F1781" t="inlineStr">
        <is>
          <t>New Lead</t>
        </is>
      </c>
      <c r="H1781" t="inlineStr">
        <is>
          <t>View Tender</t>
        </is>
      </c>
      <c r="K1781" t="inlineStr">
        <is>
          <t>Not found</t>
        </is>
      </c>
      <c r="L1781" t="inlineStr">
        <is>
          <t>Unknown</t>
        </is>
      </c>
      <c r="T1781" t="inlineStr">
        <is>
          <t>https://tenders.iglonline.net/tenderDetail/75/Active Tenders And Corrigendum-Addendum</t>
        </is>
      </c>
      <c r="U1781" t="inlineStr">
        <is>
          <t>No</t>
        </is>
      </c>
      <c r="V1781" t="inlineStr">
        <is>
          <t>Bot tarafindan tespit edildi (2026-07-01)</t>
        </is>
      </c>
    </row>
    <row r="1782">
      <c r="A1782" t="inlineStr">
        <is>
          <t>T-1586</t>
        </is>
      </c>
      <c r="B1782" t="inlineStr">
        <is>
          <t>Indraprastha Gas (IGL)</t>
        </is>
      </c>
      <c r="C1782" t="inlineStr">
        <is>
          <t>Indraprastha Gas (IGL)</t>
        </is>
      </c>
      <c r="F1782" t="inlineStr">
        <is>
          <t>New Lead</t>
        </is>
      </c>
      <c r="H1782" t="inlineStr">
        <is>
          <t>_CM17245_dated_03_11_2022_TID_30970_CORRIGENDUM_II_CM17245.pdf</t>
        </is>
      </c>
      <c r="K1782" t="inlineStr">
        <is>
          <t>Not found</t>
        </is>
      </c>
      <c r="L1782" t="inlineStr">
        <is>
          <t>Unknown</t>
        </is>
      </c>
      <c r="T1782" t="inlineStr">
        <is>
          <t>https://tenders.iglonline.net/uploads/tender/_CM17245_dated_03_11_2022_TID_30970_CORRIGENDUM_II_CM17245.pdf</t>
        </is>
      </c>
      <c r="U1782" t="inlineStr">
        <is>
          <t>No</t>
        </is>
      </c>
      <c r="V1782" t="inlineStr">
        <is>
          <t>Bot tarafindan tespit edildi (2026-07-01)</t>
        </is>
      </c>
    </row>
    <row r="1783">
      <c r="A1783" t="inlineStr">
        <is>
          <t>T-1587</t>
        </is>
      </c>
      <c r="B1783" t="inlineStr">
        <is>
          <t>Indraprastha Gas (IGL)</t>
        </is>
      </c>
      <c r="C1783" t="inlineStr">
        <is>
          <t>Indraprastha Gas (IGL)</t>
        </is>
      </c>
      <c r="F1783" t="inlineStr">
        <is>
          <t>New Lead</t>
        </is>
      </c>
      <c r="H1783" t="inlineStr">
        <is>
          <t>View Tender</t>
        </is>
      </c>
      <c r="K1783" t="inlineStr">
        <is>
          <t>Not found</t>
        </is>
      </c>
      <c r="L1783" t="inlineStr">
        <is>
          <t>Unknown</t>
        </is>
      </c>
      <c r="T1783" t="inlineStr">
        <is>
          <t>https://tenders.iglonline.net/tenderDetail/74/Active Tenders And Corrigendum-Addendum</t>
        </is>
      </c>
      <c r="U1783" t="inlineStr">
        <is>
          <t>No</t>
        </is>
      </c>
      <c r="V1783" t="inlineStr">
        <is>
          <t>Bot tarafindan tespit edildi (2026-07-01)</t>
        </is>
      </c>
    </row>
    <row r="1784">
      <c r="A1784" t="inlineStr">
        <is>
          <t>T-1588</t>
        </is>
      </c>
      <c r="B1784" t="inlineStr">
        <is>
          <t>Indraprastha Gas (IGL)</t>
        </is>
      </c>
      <c r="C1784" t="inlineStr">
        <is>
          <t>Indraprastha Gas (IGL)</t>
        </is>
      </c>
      <c r="F1784" t="inlineStr">
        <is>
          <t>New Lead</t>
        </is>
      </c>
      <c r="H1784" t="inlineStr">
        <is>
          <t>CC17239_dated_04_11_2022_TID_30969_IGL_Corrigendum_1.pdf</t>
        </is>
      </c>
      <c r="K1784" t="inlineStr">
        <is>
          <t>Not found</t>
        </is>
      </c>
      <c r="L1784" t="inlineStr">
        <is>
          <t>Unknown</t>
        </is>
      </c>
      <c r="T1784" t="inlineStr">
        <is>
          <t>https://tenders.iglonline.net/uploads/tender/CC17239_dated_04_11_2022_TID_30969_IGL_Corrigendum_1.pdf</t>
        </is>
      </c>
      <c r="U1784" t="inlineStr">
        <is>
          <t>No</t>
        </is>
      </c>
      <c r="V1784" t="inlineStr">
        <is>
          <t>Bot tarafindan tespit edildi (2026-07-01)</t>
        </is>
      </c>
    </row>
    <row r="1785">
      <c r="A1785" t="inlineStr">
        <is>
          <t>T-1589</t>
        </is>
      </c>
      <c r="B1785" t="inlineStr">
        <is>
          <t>Indraprastha Gas (IGL)</t>
        </is>
      </c>
      <c r="C1785" t="inlineStr">
        <is>
          <t>Indraprastha Gas (IGL)</t>
        </is>
      </c>
      <c r="F1785" t="inlineStr">
        <is>
          <t>New Lead</t>
        </is>
      </c>
      <c r="H1785" t="inlineStr">
        <is>
          <t>CC17239_dated_04_11_2022_TID_30969_IGL_Technical_Corrigendum_1.pdf</t>
        </is>
      </c>
      <c r="K1785" t="inlineStr">
        <is>
          <t>Not found</t>
        </is>
      </c>
      <c r="L1785" t="inlineStr">
        <is>
          <t>Unknown</t>
        </is>
      </c>
      <c r="T1785" t="inlineStr">
        <is>
          <t>https://tenders.iglonline.net/uploads/tender/CC17239_dated_04_11_2022_TID_30969_IGL_Technical_Corrigendum_1.pdf</t>
        </is>
      </c>
      <c r="U1785" t="inlineStr">
        <is>
          <t>No</t>
        </is>
      </c>
      <c r="V1785" t="inlineStr">
        <is>
          <t>Bot tarafindan tespit edildi (2026-07-01)</t>
        </is>
      </c>
    </row>
    <row r="1786">
      <c r="A1786" t="inlineStr">
        <is>
          <t>T-1590</t>
        </is>
      </c>
      <c r="B1786" t="inlineStr">
        <is>
          <t>Indraprastha Gas (IGL)</t>
        </is>
      </c>
      <c r="C1786" t="inlineStr">
        <is>
          <t>Indraprastha Gas (IGL)</t>
        </is>
      </c>
      <c r="F1786" t="inlineStr">
        <is>
          <t>New Lead</t>
        </is>
      </c>
      <c r="H1786" t="inlineStr">
        <is>
          <t>CC17239_dated_04_11_2022_TID_30969_IGL_Commercial_Corrigendum_2.pdf</t>
        </is>
      </c>
      <c r="K1786" t="inlineStr">
        <is>
          <t>Not found</t>
        </is>
      </c>
      <c r="L1786" t="inlineStr">
        <is>
          <t>Unknown</t>
        </is>
      </c>
      <c r="T1786" t="inlineStr">
        <is>
          <t>https://tenders.iglonline.net/uploads/tender/CC17239_dated_04_11_2022_TID_30969_IGL_Commercial_Corrigendum_2.pdf</t>
        </is>
      </c>
      <c r="U1786" t="inlineStr">
        <is>
          <t>No</t>
        </is>
      </c>
      <c r="V1786" t="inlineStr">
        <is>
          <t>Bot tarafindan tespit edildi (2026-07-01)</t>
        </is>
      </c>
    </row>
    <row r="1787">
      <c r="A1787" t="inlineStr">
        <is>
          <t>T-1591</t>
        </is>
      </c>
      <c r="B1787" t="inlineStr">
        <is>
          <t>Indraprastha Gas (IGL)</t>
        </is>
      </c>
      <c r="C1787" t="inlineStr">
        <is>
          <t>Indraprastha Gas (IGL)</t>
        </is>
      </c>
      <c r="F1787" t="inlineStr">
        <is>
          <t>New Lead</t>
        </is>
      </c>
      <c r="H1787" t="inlineStr">
        <is>
          <t>CC17239_dated_04_11_2022_TID_30969_CC17239_corr3.pdf</t>
        </is>
      </c>
      <c r="K1787" t="inlineStr">
        <is>
          <t>Not found</t>
        </is>
      </c>
      <c r="L1787" t="inlineStr">
        <is>
          <t>Unknown</t>
        </is>
      </c>
      <c r="T1787" t="inlineStr">
        <is>
          <t>https://tenders.iglonline.net/uploads/tender/CC17239_dated_04_11_2022_TID_30969_CC17239_corr3.pdf</t>
        </is>
      </c>
      <c r="U1787" t="inlineStr">
        <is>
          <t>No</t>
        </is>
      </c>
      <c r="V1787" t="inlineStr">
        <is>
          <t>Bot tarafindan tespit edildi (2026-07-01)</t>
        </is>
      </c>
    </row>
    <row r="1788">
      <c r="A1788" t="inlineStr">
        <is>
          <t>T-1592</t>
        </is>
      </c>
      <c r="B1788" t="inlineStr">
        <is>
          <t>Indraprastha Gas (IGL)</t>
        </is>
      </c>
      <c r="C1788" t="inlineStr">
        <is>
          <t>Indraprastha Gas (IGL)</t>
        </is>
      </c>
      <c r="F1788" t="inlineStr">
        <is>
          <t>New Lead</t>
        </is>
      </c>
      <c r="H1788" t="inlineStr">
        <is>
          <t>CC17239_dated_04_11_2022_TID_30969_IGLdispTechcorr2Web.pdf</t>
        </is>
      </c>
      <c r="K1788" t="inlineStr">
        <is>
          <t>Not found</t>
        </is>
      </c>
      <c r="L1788" t="inlineStr">
        <is>
          <t>Unknown</t>
        </is>
      </c>
      <c r="T1788" t="inlineStr">
        <is>
          <t>https://tenders.iglonline.net/uploads/tender/CC17239_dated_04_11_2022_TID_30969_IGLdispTechcorr2Web.pdf</t>
        </is>
      </c>
      <c r="U1788" t="inlineStr">
        <is>
          <t>No</t>
        </is>
      </c>
      <c r="V1788" t="inlineStr">
        <is>
          <t>Bot tarafindan tespit edildi (2026-07-01)</t>
        </is>
      </c>
    </row>
    <row r="1789">
      <c r="A1789" t="inlineStr">
        <is>
          <t>T-1593</t>
        </is>
      </c>
      <c r="B1789" t="inlineStr">
        <is>
          <t>Indraprastha Gas (IGL)</t>
        </is>
      </c>
      <c r="C1789" t="inlineStr">
        <is>
          <t>Indraprastha Gas (IGL)</t>
        </is>
      </c>
      <c r="F1789" t="inlineStr">
        <is>
          <t>New Lead</t>
        </is>
      </c>
      <c r="H1789" t="inlineStr">
        <is>
          <t>CC17239_dated_04_11_2022_TID_30969_IGL_RPBQ_1_CC17239.pdf</t>
        </is>
      </c>
      <c r="K1789" t="inlineStr">
        <is>
          <t>Not found</t>
        </is>
      </c>
      <c r="L1789" t="inlineStr">
        <is>
          <t>Unknown</t>
        </is>
      </c>
      <c r="T1789" t="inlineStr">
        <is>
          <t>https://tenders.iglonline.net/uploads/tender/CC17239_dated_04_11_2022_TID_30969_IGL_RPBQ_1_CC17239.pdf</t>
        </is>
      </c>
      <c r="U1789" t="inlineStr">
        <is>
          <t>No</t>
        </is>
      </c>
      <c r="V1789" t="inlineStr">
        <is>
          <t>Bot tarafindan tespit edildi (2026-07-01)</t>
        </is>
      </c>
    </row>
    <row r="1790">
      <c r="A1790" t="inlineStr">
        <is>
          <t>T-1594</t>
        </is>
      </c>
      <c r="B1790" t="inlineStr">
        <is>
          <t>Indraprastha Gas (IGL)</t>
        </is>
      </c>
      <c r="C1790" t="inlineStr">
        <is>
          <t>Indraprastha Gas (IGL)</t>
        </is>
      </c>
      <c r="F1790" t="inlineStr">
        <is>
          <t>New Lead</t>
        </is>
      </c>
      <c r="H1790" t="inlineStr">
        <is>
          <t>CC17239_dated_04_11_2022_TID_30969_IGL_RPBQ_2_CC17239.pdf</t>
        </is>
      </c>
      <c r="K1790" t="inlineStr">
        <is>
          <t>Not found</t>
        </is>
      </c>
      <c r="L1790" t="inlineStr">
        <is>
          <t>Unknown</t>
        </is>
      </c>
      <c r="T1790" t="inlineStr">
        <is>
          <t>https://tenders.iglonline.net/uploads/tender/CC17239_dated_04_11_2022_TID_30969_IGL_RPBQ_2_CC17239.pdf</t>
        </is>
      </c>
      <c r="U1790" t="inlineStr">
        <is>
          <t>No</t>
        </is>
      </c>
      <c r="V1790" t="inlineStr">
        <is>
          <t>Bot tarafindan tespit edildi (2026-07-01)</t>
        </is>
      </c>
    </row>
    <row r="1791">
      <c r="A1791" t="inlineStr">
        <is>
          <t>T-1595</t>
        </is>
      </c>
      <c r="B1791" t="inlineStr">
        <is>
          <t>Indraprastha Gas (IGL)</t>
        </is>
      </c>
      <c r="C1791" t="inlineStr">
        <is>
          <t>Indraprastha Gas (IGL)</t>
        </is>
      </c>
      <c r="F1791" t="inlineStr">
        <is>
          <t>New Lead</t>
        </is>
      </c>
      <c r="H1791" t="inlineStr">
        <is>
          <t>CC17239_dated_04_11_2022_TID_30969_IGL_Commercial_Corrigendum_3.pdf</t>
        </is>
      </c>
      <c r="K1791" t="inlineStr">
        <is>
          <t>Not found</t>
        </is>
      </c>
      <c r="L1791" t="inlineStr">
        <is>
          <t>Unknown</t>
        </is>
      </c>
      <c r="T1791" t="inlineStr">
        <is>
          <t>https://tenders.iglonline.net/uploads/tender/CC17239_dated_04_11_2022_TID_30969_IGL_Commercial_Corrigendum_3.pdf</t>
        </is>
      </c>
      <c r="U1791" t="inlineStr">
        <is>
          <t>No</t>
        </is>
      </c>
      <c r="V1791" t="inlineStr">
        <is>
          <t>Bot tarafindan tespit edildi (2026-07-01)</t>
        </is>
      </c>
    </row>
    <row r="1792">
      <c r="A1792" t="inlineStr">
        <is>
          <t>T-1596</t>
        </is>
      </c>
      <c r="B1792" t="inlineStr">
        <is>
          <t>Indraprastha Gas (IGL)</t>
        </is>
      </c>
      <c r="C1792" t="inlineStr">
        <is>
          <t>Indraprastha Gas (IGL)</t>
        </is>
      </c>
      <c r="F1792" t="inlineStr">
        <is>
          <t>New Lead</t>
        </is>
      </c>
      <c r="H1792" t="inlineStr">
        <is>
          <t>CC17239_dated_04_11_2022_TID_30969_IGL_Commercial_Corrigendum_4.pdf</t>
        </is>
      </c>
      <c r="K1792" t="inlineStr">
        <is>
          <t>Not found</t>
        </is>
      </c>
      <c r="L1792" t="inlineStr">
        <is>
          <t>Unknown</t>
        </is>
      </c>
      <c r="T1792" t="inlineStr">
        <is>
          <t>https://tenders.iglonline.net/uploads/tender/CC17239_dated_04_11_2022_TID_30969_IGL_Commercial_Corrigendum_4.pdf</t>
        </is>
      </c>
      <c r="U1792" t="inlineStr">
        <is>
          <t>No</t>
        </is>
      </c>
      <c r="V1792" t="inlineStr">
        <is>
          <t>Bot tarafindan tespit edildi (2026-07-01)</t>
        </is>
      </c>
    </row>
    <row r="1793">
      <c r="A1793" t="inlineStr">
        <is>
          <t>T-1597</t>
        </is>
      </c>
      <c r="B1793" t="inlineStr">
        <is>
          <t>Indraprastha Gas (IGL)</t>
        </is>
      </c>
      <c r="C1793" t="inlineStr">
        <is>
          <t>Indraprastha Gas (IGL)</t>
        </is>
      </c>
      <c r="F1793" t="inlineStr">
        <is>
          <t>New Lead</t>
        </is>
      </c>
      <c r="H1793" t="inlineStr">
        <is>
          <t>CC17239_dated_04_11_2022_TID_30969_IGL_Commercial_Corrigendum_5.pdf</t>
        </is>
      </c>
      <c r="K1793" t="inlineStr">
        <is>
          <t>Not found</t>
        </is>
      </c>
      <c r="L1793" t="inlineStr">
        <is>
          <t>Unknown</t>
        </is>
      </c>
      <c r="T1793" t="inlineStr">
        <is>
          <t>https://tenders.iglonline.net/uploads/tender/CC17239_dated_04_11_2022_TID_30969_IGL_Commercial_Corrigendum_5.pdf</t>
        </is>
      </c>
      <c r="U1793" t="inlineStr">
        <is>
          <t>No</t>
        </is>
      </c>
      <c r="V1793" t="inlineStr">
        <is>
          <t>Bot tarafindan tespit edildi (2026-07-01)</t>
        </is>
      </c>
    </row>
    <row r="1794">
      <c r="A1794" t="inlineStr">
        <is>
          <t>T-1598</t>
        </is>
      </c>
      <c r="B1794" t="inlineStr">
        <is>
          <t>Indraprastha Gas (IGL)</t>
        </is>
      </c>
      <c r="C1794" t="inlineStr">
        <is>
          <t>Indraprastha Gas (IGL)</t>
        </is>
      </c>
      <c r="F1794" t="inlineStr">
        <is>
          <t>New Lead</t>
        </is>
      </c>
      <c r="H1794" t="inlineStr">
        <is>
          <t>CC17239_dated_04_11_2022_TID_30969_IGL_Commercial_Corrigendum_6.pdf</t>
        </is>
      </c>
      <c r="K1794" t="inlineStr">
        <is>
          <t>Not found</t>
        </is>
      </c>
      <c r="L1794" t="inlineStr">
        <is>
          <t>Unknown</t>
        </is>
      </c>
      <c r="T1794" t="inlineStr">
        <is>
          <t>https://tenders.iglonline.net/uploads/tender/CC17239_dated_04_11_2022_TID_30969_IGL_Commercial_Corrigendum_6.pdf</t>
        </is>
      </c>
      <c r="U1794" t="inlineStr">
        <is>
          <t>No</t>
        </is>
      </c>
      <c r="V1794" t="inlineStr">
        <is>
          <t>Bot tarafindan tespit edildi (2026-07-01)</t>
        </is>
      </c>
    </row>
    <row r="1795">
      <c r="A1795" t="inlineStr">
        <is>
          <t>T-1599</t>
        </is>
      </c>
      <c r="B1795" t="inlineStr">
        <is>
          <t>Indraprastha Gas (IGL)</t>
        </is>
      </c>
      <c r="C1795" t="inlineStr">
        <is>
          <t>Indraprastha Gas (IGL)</t>
        </is>
      </c>
      <c r="F1795" t="inlineStr">
        <is>
          <t>New Lead</t>
        </is>
      </c>
      <c r="H1795" t="inlineStr">
        <is>
          <t>CC17239_dated_04_11_2022_TID_30969_IGL_Commercial_Corrigendum_7.pdf</t>
        </is>
      </c>
      <c r="K1795" t="inlineStr">
        <is>
          <t>Not found</t>
        </is>
      </c>
      <c r="L1795" t="inlineStr">
        <is>
          <t>Unknown</t>
        </is>
      </c>
      <c r="T1795" t="inlineStr">
        <is>
          <t>https://tenders.iglonline.net/uploads/tender/CC17239_dated_04_11_2022_TID_30969_IGL_Commercial_Corrigendum_7.pdf</t>
        </is>
      </c>
      <c r="U1795" t="inlineStr">
        <is>
          <t>No</t>
        </is>
      </c>
      <c r="V1795" t="inlineStr">
        <is>
          <t>Bot tarafindan tespit edildi (2026-07-01)</t>
        </is>
      </c>
    </row>
    <row r="1796">
      <c r="A1796" t="inlineStr">
        <is>
          <t>T-1600</t>
        </is>
      </c>
      <c r="B1796" t="inlineStr">
        <is>
          <t>Indraprastha Gas (IGL)</t>
        </is>
      </c>
      <c r="C1796" t="inlineStr">
        <is>
          <t>Indraprastha Gas (IGL)</t>
        </is>
      </c>
      <c r="F1796" t="inlineStr">
        <is>
          <t>New Lead</t>
        </is>
      </c>
      <c r="H1796" t="inlineStr">
        <is>
          <t>CC17239_dated_04_11_2022_TID_30969_IGL_Commercial_Corrigendum_8.pdf</t>
        </is>
      </c>
      <c r="K1796" t="inlineStr">
        <is>
          <t>Not found</t>
        </is>
      </c>
      <c r="L1796" t="inlineStr">
        <is>
          <t>Unknown</t>
        </is>
      </c>
      <c r="T1796" t="inlineStr">
        <is>
          <t>https://tenders.iglonline.net/uploads/tender/CC17239_dated_04_11_2022_TID_30969_IGL_Commercial_Corrigendum_8.pdf</t>
        </is>
      </c>
      <c r="U1796" t="inlineStr">
        <is>
          <t>No</t>
        </is>
      </c>
      <c r="V1796" t="inlineStr">
        <is>
          <t>Bot tarafindan tespit edildi (2026-07-01)</t>
        </is>
      </c>
    </row>
    <row r="1797">
      <c r="A1797" t="inlineStr">
        <is>
          <t>T-1601</t>
        </is>
      </c>
      <c r="B1797" t="inlineStr">
        <is>
          <t>Indraprastha Gas (IGL)</t>
        </is>
      </c>
      <c r="C1797" t="inlineStr">
        <is>
          <t>Indraprastha Gas (IGL)</t>
        </is>
      </c>
      <c r="F1797" t="inlineStr">
        <is>
          <t>New Lead</t>
        </is>
      </c>
      <c r="H1797" t="inlineStr">
        <is>
          <t>CC17239_dated_04_11_2022_TID_30969_IGL_Technical_Corrigendum_3.pdf</t>
        </is>
      </c>
      <c r="K1797" t="inlineStr">
        <is>
          <t>Not found</t>
        </is>
      </c>
      <c r="L1797" t="inlineStr">
        <is>
          <t>Unknown</t>
        </is>
      </c>
      <c r="T1797" t="inlineStr">
        <is>
          <t>https://tenders.iglonline.net/uploads/tender/CC17239_dated_04_11_2022_TID_30969_IGL_Technical_Corrigendum_3.pdf</t>
        </is>
      </c>
      <c r="U1797" t="inlineStr">
        <is>
          <t>No</t>
        </is>
      </c>
      <c r="V1797" t="inlineStr">
        <is>
          <t>Bot tarafindan tespit edildi (2026-07-01)</t>
        </is>
      </c>
    </row>
    <row r="1798">
      <c r="A1798" t="inlineStr">
        <is>
          <t>T-1602</t>
        </is>
      </c>
      <c r="B1798" t="inlineStr">
        <is>
          <t>Indraprastha Gas (IGL)</t>
        </is>
      </c>
      <c r="C1798" t="inlineStr">
        <is>
          <t>Indraprastha Gas (IGL)</t>
        </is>
      </c>
      <c r="F1798" t="inlineStr">
        <is>
          <t>New Lead</t>
        </is>
      </c>
      <c r="H1798" t="inlineStr">
        <is>
          <t>CC17239_dated_04_11_2022_TID_30969_IGL_Commercial_Corrigendum_9.pdf</t>
        </is>
      </c>
      <c r="K1798" t="inlineStr">
        <is>
          <t>Not found</t>
        </is>
      </c>
      <c r="L1798" t="inlineStr">
        <is>
          <t>Unknown</t>
        </is>
      </c>
      <c r="T1798" t="inlineStr">
        <is>
          <t>https://tenders.iglonline.net/uploads/tender/CC17239_dated_04_11_2022_TID_30969_IGL_Commercial_Corrigendum_9.pdf</t>
        </is>
      </c>
      <c r="U1798" t="inlineStr">
        <is>
          <t>No</t>
        </is>
      </c>
      <c r="V1798" t="inlineStr">
        <is>
          <t>Bot tarafindan tespit edildi (2026-07-01)</t>
        </is>
      </c>
    </row>
    <row r="1799">
      <c r="A1799" t="inlineStr">
        <is>
          <t>T-1603</t>
        </is>
      </c>
      <c r="B1799" t="inlineStr">
        <is>
          <t>Indraprastha Gas (IGL)</t>
        </is>
      </c>
      <c r="C1799" t="inlineStr">
        <is>
          <t>Indraprastha Gas (IGL)</t>
        </is>
      </c>
      <c r="F1799" t="inlineStr">
        <is>
          <t>New Lead</t>
        </is>
      </c>
      <c r="H1799" t="inlineStr">
        <is>
          <t>IGL_Commercial_Corrigendum_101.pdf</t>
        </is>
      </c>
      <c r="K1799" t="inlineStr">
        <is>
          <t>Not found</t>
        </is>
      </c>
      <c r="L1799" t="inlineStr">
        <is>
          <t>Unknown</t>
        </is>
      </c>
      <c r="T1799" t="inlineStr">
        <is>
          <t>https://tenders.iglonline.net/uploads/tender/IGL_Commercial_Corrigendum_101.pdf</t>
        </is>
      </c>
      <c r="U1799" t="inlineStr">
        <is>
          <t>No</t>
        </is>
      </c>
      <c r="V1799" t="inlineStr">
        <is>
          <t>Bot tarafindan tespit edildi (2026-07-01)</t>
        </is>
      </c>
    </row>
    <row r="1800">
      <c r="A1800" t="inlineStr">
        <is>
          <t>T-1604</t>
        </is>
      </c>
      <c r="B1800" t="inlineStr">
        <is>
          <t>Indraprastha Gas (IGL)</t>
        </is>
      </c>
      <c r="C1800" t="inlineStr">
        <is>
          <t>Indraprastha Gas (IGL)</t>
        </is>
      </c>
      <c r="F1800" t="inlineStr">
        <is>
          <t>New Lead</t>
        </is>
      </c>
      <c r="H1800" t="inlineStr">
        <is>
          <t>Notice_of_Cancellation_CC17239.pdf</t>
        </is>
      </c>
      <c r="K1800" t="inlineStr">
        <is>
          <t>Not found</t>
        </is>
      </c>
      <c r="L1800" t="inlineStr">
        <is>
          <t>Unknown</t>
        </is>
      </c>
      <c r="T1800" t="inlineStr">
        <is>
          <t>https://tenders.iglonline.net/uploads/tender/Notice_of_Cancellation_CC17239.pdf</t>
        </is>
      </c>
      <c r="U1800" t="inlineStr">
        <is>
          <t>No</t>
        </is>
      </c>
      <c r="V1800" t="inlineStr">
        <is>
          <t>Bot tarafindan tespit edildi (2026-07-01)</t>
        </is>
      </c>
    </row>
    <row r="1801">
      <c r="A1801" t="inlineStr">
        <is>
          <t>T-1605</t>
        </is>
      </c>
      <c r="B1801" t="inlineStr">
        <is>
          <t>Indraprastha Gas (IGL)</t>
        </is>
      </c>
      <c r="C1801" t="inlineStr">
        <is>
          <t>Indraprastha Gas (IGL)</t>
        </is>
      </c>
      <c r="F1801" t="inlineStr">
        <is>
          <t>New Lead</t>
        </is>
      </c>
      <c r="H1801" t="inlineStr">
        <is>
          <t>View Tender</t>
        </is>
      </c>
      <c r="K1801" t="inlineStr">
        <is>
          <t>Not found</t>
        </is>
      </c>
      <c r="L1801" t="inlineStr">
        <is>
          <t>Unknown</t>
        </is>
      </c>
      <c r="T1801" t="inlineStr">
        <is>
          <t>https://tenders.iglonline.net/tenderDetail/73/Active Tenders And Corrigendum-Addendum</t>
        </is>
      </c>
      <c r="U1801" t="inlineStr">
        <is>
          <t>No</t>
        </is>
      </c>
      <c r="V1801" t="inlineStr">
        <is>
          <t>Bot tarafindan tespit edildi (2026-07-01)</t>
        </is>
      </c>
    </row>
    <row r="1802">
      <c r="A1802" t="inlineStr">
        <is>
          <t>T-1606</t>
        </is>
      </c>
      <c r="B1802" t="inlineStr">
        <is>
          <t>Indraprastha Gas (IGL)</t>
        </is>
      </c>
      <c r="C1802" t="inlineStr">
        <is>
          <t>Indraprastha Gas (IGL)</t>
        </is>
      </c>
      <c r="F1802" t="inlineStr">
        <is>
          <t>New Lead</t>
        </is>
      </c>
      <c r="H1802" t="inlineStr">
        <is>
          <t>_CC17215_dated_03_11_2022_TID_30967_CORRIGENDUM_2_CM_172152.pdf</t>
        </is>
      </c>
      <c r="K1802" t="inlineStr">
        <is>
          <t>Not found</t>
        </is>
      </c>
      <c r="L1802" t="inlineStr">
        <is>
          <t>Unknown</t>
        </is>
      </c>
      <c r="T1802" t="inlineStr">
        <is>
          <t>https://tenders.iglonline.net/uploads/tender/_CC17215_dated_03_11_2022_TID_30967_CORRIGENDUM_2_CM_172152.pdf</t>
        </is>
      </c>
      <c r="U1802" t="inlineStr">
        <is>
          <t>No</t>
        </is>
      </c>
      <c r="V1802" t="inlineStr">
        <is>
          <t>Bot tarafindan tespit edildi (2026-07-01)</t>
        </is>
      </c>
    </row>
    <row r="1803">
      <c r="A1803" t="inlineStr">
        <is>
          <t>T-1607</t>
        </is>
      </c>
      <c r="B1803" t="inlineStr">
        <is>
          <t>Indraprastha Gas (IGL)</t>
        </is>
      </c>
      <c r="C1803" t="inlineStr">
        <is>
          <t>Indraprastha Gas (IGL)</t>
        </is>
      </c>
      <c r="F1803" t="inlineStr">
        <is>
          <t>New Lead</t>
        </is>
      </c>
      <c r="H1803" t="inlineStr">
        <is>
          <t>_CC17215_dated_03_11_2022_TID_30967_CORRIGENDUM_3_CM_172151.pdf</t>
        </is>
      </c>
      <c r="K1803" t="inlineStr">
        <is>
          <t>Not found</t>
        </is>
      </c>
      <c r="L1803" t="inlineStr">
        <is>
          <t>Unknown</t>
        </is>
      </c>
      <c r="T1803" t="inlineStr">
        <is>
          <t>https://tenders.iglonline.net/uploads/tender/_CC17215_dated_03_11_2022_TID_30967_CORRIGENDUM_3_CM_172151.pdf</t>
        </is>
      </c>
      <c r="U1803" t="inlineStr">
        <is>
          <t>No</t>
        </is>
      </c>
      <c r="V1803" t="inlineStr">
        <is>
          <t>Bot tarafindan tespit edildi (2026-07-01)</t>
        </is>
      </c>
    </row>
    <row r="1804">
      <c r="A1804" t="inlineStr">
        <is>
          <t>T-1608</t>
        </is>
      </c>
      <c r="B1804" t="inlineStr">
        <is>
          <t>Indraprastha Gas (IGL)</t>
        </is>
      </c>
      <c r="C1804" t="inlineStr">
        <is>
          <t>Indraprastha Gas (IGL)</t>
        </is>
      </c>
      <c r="F1804" t="inlineStr">
        <is>
          <t>New Lead</t>
        </is>
      </c>
      <c r="H1804" t="inlineStr">
        <is>
          <t>_CC17215_dated_03_11_2022_TID_30967_CORRIGENDUM_-CM172151.pdf</t>
        </is>
      </c>
      <c r="K1804" t="inlineStr">
        <is>
          <t>Not found</t>
        </is>
      </c>
      <c r="L1804" t="inlineStr">
        <is>
          <t>Unknown</t>
        </is>
      </c>
      <c r="T1804" t="inlineStr">
        <is>
          <t>https://tenders.iglonline.net/uploads/tender/_CC17215_dated_03_11_2022_TID_30967_CORRIGENDUM_-CM172151.pdf</t>
        </is>
      </c>
      <c r="U1804" t="inlineStr">
        <is>
          <t>No</t>
        </is>
      </c>
      <c r="V1804" t="inlineStr">
        <is>
          <t>Bot tarafindan tespit edildi (2026-07-01)</t>
        </is>
      </c>
    </row>
    <row r="1805">
      <c r="A1805" t="inlineStr">
        <is>
          <t>T-1609</t>
        </is>
      </c>
      <c r="B1805" t="inlineStr">
        <is>
          <t>Indraprastha Gas (IGL)</t>
        </is>
      </c>
      <c r="C1805" t="inlineStr">
        <is>
          <t>Indraprastha Gas (IGL)</t>
        </is>
      </c>
      <c r="F1805" t="inlineStr">
        <is>
          <t>New Lead</t>
        </is>
      </c>
      <c r="H1805" t="inlineStr">
        <is>
          <t>_CC17215_dated_03_11_2022_TID_30967_Revised_PPEs_specification_-_ANNEXURE_A1.pdf</t>
        </is>
      </c>
      <c r="K1805" t="inlineStr">
        <is>
          <t>Not found</t>
        </is>
      </c>
      <c r="L1805" t="inlineStr">
        <is>
          <t>Unknown</t>
        </is>
      </c>
      <c r="T1805" t="inlineStr">
        <is>
          <t>https://tenders.iglonline.net/uploads/tender/_CC17215_dated_03_11_2022_TID_30967_Revised_PPEs_specification_-_ANNEXURE_A1.pdf</t>
        </is>
      </c>
      <c r="U1805" t="inlineStr">
        <is>
          <t>No</t>
        </is>
      </c>
      <c r="V1805" t="inlineStr">
        <is>
          <t>Bot tarafindan tespit edildi (2026-07-01)</t>
        </is>
      </c>
    </row>
    <row r="1806">
      <c r="A1806" t="inlineStr">
        <is>
          <t>T-1610</t>
        </is>
      </c>
      <c r="B1806" t="inlineStr">
        <is>
          <t>Indraprastha Gas (IGL)</t>
        </is>
      </c>
      <c r="C1806" t="inlineStr">
        <is>
          <t>Indraprastha Gas (IGL)</t>
        </is>
      </c>
      <c r="F1806" t="inlineStr">
        <is>
          <t>New Lead</t>
        </is>
      </c>
      <c r="H1806" t="inlineStr">
        <is>
          <t>_CC17215_dated_03_11_2022_TID_30967_Tender1.pdf</t>
        </is>
      </c>
      <c r="K1806" t="inlineStr">
        <is>
          <t>Not found</t>
        </is>
      </c>
      <c r="L1806" t="inlineStr">
        <is>
          <t>Unknown</t>
        </is>
      </c>
      <c r="T1806" t="inlineStr">
        <is>
          <t>https://tenders.iglonline.net/uploads/tender/_CC17215_dated_03_11_2022_TID_30967_Tender1.pdf</t>
        </is>
      </c>
      <c r="U1806" t="inlineStr">
        <is>
          <t>No</t>
        </is>
      </c>
      <c r="V1806" t="inlineStr">
        <is>
          <t>Bot tarafindan tespit edildi (2026-07-01)</t>
        </is>
      </c>
    </row>
    <row r="1807">
      <c r="A1807" t="inlineStr">
        <is>
          <t>T-1611</t>
        </is>
      </c>
      <c r="B1807" t="inlineStr">
        <is>
          <t>Indraprastha Gas (IGL)</t>
        </is>
      </c>
      <c r="C1807" t="inlineStr">
        <is>
          <t>Indraprastha Gas (IGL)</t>
        </is>
      </c>
      <c r="F1807" t="inlineStr">
        <is>
          <t>New Lead</t>
        </is>
      </c>
      <c r="H1807" t="inlineStr">
        <is>
          <t>View Tender</t>
        </is>
      </c>
      <c r="K1807" t="inlineStr">
        <is>
          <t>Not found</t>
        </is>
      </c>
      <c r="L1807" t="inlineStr">
        <is>
          <t>Unknown</t>
        </is>
      </c>
      <c r="T1807" t="inlineStr">
        <is>
          <t>https://tenders.iglonline.net/tenderDetail/72/Active Tenders And Corrigendum-Addendum</t>
        </is>
      </c>
      <c r="U1807" t="inlineStr">
        <is>
          <t>No</t>
        </is>
      </c>
      <c r="V1807" t="inlineStr">
        <is>
          <t>Bot tarafindan tespit edildi (2026-07-01)</t>
        </is>
      </c>
    </row>
    <row r="1808">
      <c r="A1808" t="inlineStr">
        <is>
          <t>T-1612</t>
        </is>
      </c>
      <c r="B1808" t="inlineStr">
        <is>
          <t>Indraprastha Gas (IGL)</t>
        </is>
      </c>
      <c r="C1808" t="inlineStr">
        <is>
          <t>Indraprastha Gas (IGL)</t>
        </is>
      </c>
      <c r="F1808" t="inlineStr">
        <is>
          <t>New Lead</t>
        </is>
      </c>
      <c r="H1808" t="inlineStr">
        <is>
          <t>_CC17215_dated_03_11_2022_TID_30967_CORRIGENDUM_2_CM_17215.pdf</t>
        </is>
      </c>
      <c r="K1808" t="inlineStr">
        <is>
          <t>Not found</t>
        </is>
      </c>
      <c r="L1808" t="inlineStr">
        <is>
          <t>Unknown</t>
        </is>
      </c>
      <c r="T1808" t="inlineStr">
        <is>
          <t>https://tenders.iglonline.net/uploads/tender/_CC17215_dated_03_11_2022_TID_30967_CORRIGENDUM_2_CM_17215.pdf</t>
        </is>
      </c>
      <c r="U1808" t="inlineStr">
        <is>
          <t>No</t>
        </is>
      </c>
      <c r="V1808" t="inlineStr">
        <is>
          <t>Bot tarafindan tespit edildi (2026-07-01)</t>
        </is>
      </c>
    </row>
    <row r="1809">
      <c r="A1809" t="inlineStr">
        <is>
          <t>T-1613</t>
        </is>
      </c>
      <c r="B1809" t="inlineStr">
        <is>
          <t>Indraprastha Gas (IGL)</t>
        </is>
      </c>
      <c r="C1809" t="inlineStr">
        <is>
          <t>Indraprastha Gas (IGL)</t>
        </is>
      </c>
      <c r="F1809" t="inlineStr">
        <is>
          <t>New Lead</t>
        </is>
      </c>
      <c r="H1809" t="inlineStr">
        <is>
          <t>_CC17215_dated_03_11_2022_TID_30967_CORRIGENDUM_3_CM_17215.pdf</t>
        </is>
      </c>
      <c r="K1809" t="inlineStr">
        <is>
          <t>Not found</t>
        </is>
      </c>
      <c r="L1809" t="inlineStr">
        <is>
          <t>Unknown</t>
        </is>
      </c>
      <c r="T1809" t="inlineStr">
        <is>
          <t>https://tenders.iglonline.net/uploads/tender/_CC17215_dated_03_11_2022_TID_30967_CORRIGENDUM_3_CM_17215.pdf</t>
        </is>
      </c>
      <c r="U1809" t="inlineStr">
        <is>
          <t>No</t>
        </is>
      </c>
      <c r="V1809" t="inlineStr">
        <is>
          <t>Bot tarafindan tespit edildi (2026-07-01)</t>
        </is>
      </c>
    </row>
    <row r="1810">
      <c r="A1810" t="inlineStr">
        <is>
          <t>T-1614</t>
        </is>
      </c>
      <c r="B1810" t="inlineStr">
        <is>
          <t>Indraprastha Gas (IGL)</t>
        </is>
      </c>
      <c r="C1810" t="inlineStr">
        <is>
          <t>Indraprastha Gas (IGL)</t>
        </is>
      </c>
      <c r="F1810" t="inlineStr">
        <is>
          <t>New Lead</t>
        </is>
      </c>
      <c r="H1810" t="inlineStr">
        <is>
          <t>_CC17215_dated_03_11_2022_TID_30967_CORRIGENDUM_-CM17215.pdf</t>
        </is>
      </c>
      <c r="K1810" t="inlineStr">
        <is>
          <t>Not found</t>
        </is>
      </c>
      <c r="L1810" t="inlineStr">
        <is>
          <t>Unknown</t>
        </is>
      </c>
      <c r="T1810" t="inlineStr">
        <is>
          <t>https://tenders.iglonline.net/uploads/tender/_CC17215_dated_03_11_2022_TID_30967_CORRIGENDUM_-CM17215.pdf</t>
        </is>
      </c>
      <c r="U1810" t="inlineStr">
        <is>
          <t>No</t>
        </is>
      </c>
      <c r="V1810" t="inlineStr">
        <is>
          <t>Bot tarafindan tespit edildi (2026-07-01)</t>
        </is>
      </c>
    </row>
    <row r="1811">
      <c r="A1811" t="inlineStr">
        <is>
          <t>T-1615</t>
        </is>
      </c>
      <c r="B1811" t="inlineStr">
        <is>
          <t>Indraprastha Gas (IGL)</t>
        </is>
      </c>
      <c r="C1811" t="inlineStr">
        <is>
          <t>Indraprastha Gas (IGL)</t>
        </is>
      </c>
      <c r="F1811" t="inlineStr">
        <is>
          <t>New Lead</t>
        </is>
      </c>
      <c r="H1811" t="inlineStr">
        <is>
          <t>_CC17215_dated_03_11_2022_TID_30967_Revised_PPEs_specification_-_ANNEXURE_A.pdf</t>
        </is>
      </c>
      <c r="K1811" t="inlineStr">
        <is>
          <t>Not found</t>
        </is>
      </c>
      <c r="L1811" t="inlineStr">
        <is>
          <t>Unknown</t>
        </is>
      </c>
      <c r="T1811" t="inlineStr">
        <is>
          <t>https://tenders.iglonline.net/uploads/tender/_CC17215_dated_03_11_2022_TID_30967_Revised_PPEs_specification_-_ANNEXURE_A.pdf</t>
        </is>
      </c>
      <c r="U1811" t="inlineStr">
        <is>
          <t>No</t>
        </is>
      </c>
      <c r="V1811" t="inlineStr">
        <is>
          <t>Bot tarafindan tespit edildi (2026-07-01)</t>
        </is>
      </c>
    </row>
    <row r="1812">
      <c r="A1812" t="inlineStr">
        <is>
          <t>T-1616</t>
        </is>
      </c>
      <c r="B1812" t="inlineStr">
        <is>
          <t>Indraprastha Gas (IGL)</t>
        </is>
      </c>
      <c r="C1812" t="inlineStr">
        <is>
          <t>Indraprastha Gas (IGL)</t>
        </is>
      </c>
      <c r="F1812" t="inlineStr">
        <is>
          <t>New Lead</t>
        </is>
      </c>
      <c r="H1812" t="inlineStr">
        <is>
          <t>View Tender</t>
        </is>
      </c>
      <c r="K1812" t="inlineStr">
        <is>
          <t>Not found</t>
        </is>
      </c>
      <c r="L1812" t="inlineStr">
        <is>
          <t>Unknown</t>
        </is>
      </c>
      <c r="T1812" t="inlineStr">
        <is>
          <t>https://tenders.iglonline.net/tenderDetail/71/Active Tenders And Corrigendum-Addendum</t>
        </is>
      </c>
      <c r="U1812" t="inlineStr">
        <is>
          <t>No</t>
        </is>
      </c>
      <c r="V1812" t="inlineStr">
        <is>
          <t>Bot tarafindan tespit edildi (2026-07-01)</t>
        </is>
      </c>
    </row>
    <row r="1813">
      <c r="A1813" t="inlineStr">
        <is>
          <t>T-1617</t>
        </is>
      </c>
      <c r="B1813" t="inlineStr">
        <is>
          <t>Indraprastha Gas (IGL)</t>
        </is>
      </c>
      <c r="C1813" t="inlineStr">
        <is>
          <t>Indraprastha Gas (IGL)</t>
        </is>
      </c>
      <c r="F1813" t="inlineStr">
        <is>
          <t>New Lead</t>
        </is>
      </c>
      <c r="H1813" t="inlineStr">
        <is>
          <t>CORRIGENDUM_1_CM17244_-M1.pdf</t>
        </is>
      </c>
      <c r="K1813" t="inlineStr">
        <is>
          <t>Not found</t>
        </is>
      </c>
      <c r="L1813" t="inlineStr">
        <is>
          <t>Unknown</t>
        </is>
      </c>
      <c r="T1813" t="inlineStr">
        <is>
          <t>https://tenders.iglonline.net/uploads/tender/CORRIGENDUM_1_CM17244_-M1.pdf</t>
        </is>
      </c>
      <c r="U1813" t="inlineStr">
        <is>
          <t>No</t>
        </is>
      </c>
      <c r="V1813" t="inlineStr">
        <is>
          <t>Bot tarafindan tespit edildi (2026-07-01)</t>
        </is>
      </c>
    </row>
    <row r="1814">
      <c r="A1814" t="inlineStr">
        <is>
          <t>T-1618</t>
        </is>
      </c>
      <c r="B1814" t="inlineStr">
        <is>
          <t>Indraprastha Gas (IGL)</t>
        </is>
      </c>
      <c r="C1814" t="inlineStr">
        <is>
          <t>Indraprastha Gas (IGL)</t>
        </is>
      </c>
      <c r="F1814" t="inlineStr">
        <is>
          <t>New Lead</t>
        </is>
      </c>
      <c r="H1814" t="inlineStr">
        <is>
          <t>View Tender</t>
        </is>
      </c>
      <c r="K1814" t="inlineStr">
        <is>
          <t>Not found</t>
        </is>
      </c>
      <c r="L1814" t="inlineStr">
        <is>
          <t>Unknown</t>
        </is>
      </c>
      <c r="T1814" t="inlineStr">
        <is>
          <t>https://tenders.iglonline.net/tenderDetail/69/Active Tenders And Corrigendum-Addendum</t>
        </is>
      </c>
      <c r="U1814" t="inlineStr">
        <is>
          <t>No</t>
        </is>
      </c>
      <c r="V1814" t="inlineStr">
        <is>
          <t>Bot tarafindan tespit edildi (2026-07-01)</t>
        </is>
      </c>
    </row>
    <row r="1815">
      <c r="A1815" t="inlineStr">
        <is>
          <t>T-1619</t>
        </is>
      </c>
      <c r="B1815" t="inlineStr">
        <is>
          <t>Indraprastha Gas (IGL)</t>
        </is>
      </c>
      <c r="C1815" t="inlineStr">
        <is>
          <t>Indraprastha Gas (IGL)</t>
        </is>
      </c>
      <c r="F1815" t="inlineStr">
        <is>
          <t>New Lead</t>
        </is>
      </c>
      <c r="H1815" t="inlineStr">
        <is>
          <t>CP17227_dated_02_11_2022_TID_30965_Corrigendum_1_CP17227.pdf</t>
        </is>
      </c>
      <c r="K1815" t="inlineStr">
        <is>
          <t>Not found</t>
        </is>
      </c>
      <c r="L1815" t="inlineStr">
        <is>
          <t>Unknown</t>
        </is>
      </c>
      <c r="T1815" t="inlineStr">
        <is>
          <t>https://tenders.iglonline.net/uploads/tender/CP17227_dated_02_11_2022_TID_30965_Corrigendum_1_CP17227.pdf</t>
        </is>
      </c>
      <c r="U1815" t="inlineStr">
        <is>
          <t>No</t>
        </is>
      </c>
      <c r="V1815" t="inlineStr">
        <is>
          <t>Bot tarafindan tespit edildi (2026-07-01)</t>
        </is>
      </c>
    </row>
    <row r="1816">
      <c r="A1816" t="inlineStr">
        <is>
          <t>T-1620</t>
        </is>
      </c>
      <c r="B1816" t="inlineStr">
        <is>
          <t>Indraprastha Gas (IGL)</t>
        </is>
      </c>
      <c r="C1816" t="inlineStr">
        <is>
          <t>Indraprastha Gas (IGL)</t>
        </is>
      </c>
      <c r="F1816" t="inlineStr">
        <is>
          <t>New Lead</t>
        </is>
      </c>
      <c r="H1816" t="inlineStr">
        <is>
          <t>Code of Conduct</t>
        </is>
      </c>
      <c r="K1816" t="inlineStr">
        <is>
          <t>Not found</t>
        </is>
      </c>
      <c r="L1816" t="inlineStr">
        <is>
          <t>Unknown</t>
        </is>
      </c>
      <c r="T1816" t="inlineStr">
        <is>
          <t>https://www.iglonline.net/uploads/files/Code_of_Conduct.pdf</t>
        </is>
      </c>
      <c r="U1816" t="inlineStr">
        <is>
          <t>No</t>
        </is>
      </c>
      <c r="V1816" t="inlineStr">
        <is>
          <t>Bot tarafindan tespit edildi (2026-07-01)</t>
        </is>
      </c>
    </row>
    <row r="1817">
      <c r="A1817" t="inlineStr">
        <is>
          <t>T-1621</t>
        </is>
      </c>
      <c r="B1817" t="inlineStr">
        <is>
          <t>Indraprastha Gas (IGL)</t>
        </is>
      </c>
      <c r="C1817" t="inlineStr">
        <is>
          <t>Indraprastha Gas (IGL)</t>
        </is>
      </c>
      <c r="D1817" t="inlineStr">
        <is>
          <t>Fees/Commission</t>
        </is>
      </c>
      <c r="F1817" t="inlineStr">
        <is>
          <t>Awarded</t>
        </is>
      </c>
      <c r="G1817" t="inlineStr">
        <is>
          <t>RMS</t>
        </is>
      </c>
      <c r="H1817" t="inlineStr">
        <is>
          <t>Independent Directors</t>
        </is>
      </c>
      <c r="K1817" t="inlineStr">
        <is>
          <t>Not found</t>
        </is>
      </c>
      <c r="L1817" t="inlineStr">
        <is>
          <t>Unknown</t>
        </is>
      </c>
      <c r="T1817" t="inlineStr">
        <is>
          <t>https://www.iglonline.net//uploads/files/Terms_and_Conditions_of_Appointment_of_Independent_Directors.pdf</t>
        </is>
      </c>
      <c r="U1817" t="inlineStr">
        <is>
          <t>No</t>
        </is>
      </c>
      <c r="V1817" t="inlineStr">
        <is>
          <t>Bot tarafindan tespit edildi (2026-07-01) | Bot enrich; date=2026-07-01; type=pdf; score=300; pdf_conf=Low</t>
        </is>
      </c>
    </row>
    <row r="1818">
      <c r="A1818" t="inlineStr">
        <is>
          <t>T-1622</t>
        </is>
      </c>
      <c r="B1818" t="inlineStr">
        <is>
          <t>Indraprastha Gas (IGL)</t>
        </is>
      </c>
      <c r="C1818" t="inlineStr">
        <is>
          <t>Indraprastha Gas (IGL)</t>
        </is>
      </c>
      <c r="F1818" t="inlineStr">
        <is>
          <t>New Lead</t>
        </is>
      </c>
      <c r="H1818" t="inlineStr">
        <is>
          <t>Committees of Board</t>
        </is>
      </c>
      <c r="K1818" t="inlineStr">
        <is>
          <t>Not found</t>
        </is>
      </c>
      <c r="L1818" t="inlineStr">
        <is>
          <t>Unknown</t>
        </is>
      </c>
      <c r="T1818" t="inlineStr">
        <is>
          <t>https://www.iglonline.net//uploads/files/Committees_of_Board_(1).pdf</t>
        </is>
      </c>
      <c r="U1818" t="inlineStr">
        <is>
          <t>No</t>
        </is>
      </c>
      <c r="V1818" t="inlineStr">
        <is>
          <t>Bot tarafindan tespit edildi (2026-07-01)</t>
        </is>
      </c>
    </row>
    <row r="1819">
      <c r="A1819" t="inlineStr">
        <is>
          <t>T-1623</t>
        </is>
      </c>
      <c r="B1819" t="inlineStr">
        <is>
          <t>Indraprastha Gas (IGL)</t>
        </is>
      </c>
      <c r="C1819" t="inlineStr">
        <is>
          <t>Indraprastha Gas (IGL)</t>
        </is>
      </c>
      <c r="F1819" t="inlineStr">
        <is>
          <t>New Lead</t>
        </is>
      </c>
      <c r="H1819" t="inlineStr">
        <is>
          <t>Payable Service &amp; Charges</t>
        </is>
      </c>
      <c r="K1819" t="inlineStr">
        <is>
          <t>Not found</t>
        </is>
      </c>
      <c r="L1819" t="inlineStr">
        <is>
          <t>Unknown</t>
        </is>
      </c>
      <c r="T1819" t="inlineStr">
        <is>
          <t>https://www.iglonline.net//uploads/files/IGL_-_TARIFF_CARD_EXCEL_REVISED_20_08_2023_F_-_Copy_(1).xlsx</t>
        </is>
      </c>
      <c r="U1819" t="inlineStr">
        <is>
          <t>No</t>
        </is>
      </c>
      <c r="V1819" t="inlineStr">
        <is>
          <t>Bot tarafindan tespit edildi (2026-07-01)</t>
        </is>
      </c>
    </row>
    <row r="1820">
      <c r="A1820" t="inlineStr">
        <is>
          <t>T-1624</t>
        </is>
      </c>
      <c r="B1820" t="inlineStr">
        <is>
          <t>Indraprastha Gas (IGL)</t>
        </is>
      </c>
      <c r="C1820" t="inlineStr">
        <is>
          <t>Indraprastha Gas (IGL)</t>
        </is>
      </c>
      <c r="F1820" t="inlineStr">
        <is>
          <t>New Lead</t>
        </is>
      </c>
      <c r="H1820" t="inlineStr">
        <is>
          <t>Precurement Plan</t>
        </is>
      </c>
      <c r="K1820" t="inlineStr">
        <is>
          <t>Not found</t>
        </is>
      </c>
      <c r="L1820" t="inlineStr">
        <is>
          <t>Unknown</t>
        </is>
      </c>
      <c r="T1820" t="inlineStr">
        <is>
          <t>https://www.iglonline.net/uploads/files/Proc_Plan_5Y.PDF</t>
        </is>
      </c>
      <c r="U1820" t="inlineStr">
        <is>
          <t>No</t>
        </is>
      </c>
      <c r="V1820" t="inlineStr">
        <is>
          <t>Bot tarafindan tespit edildi (2026-07-01)</t>
        </is>
      </c>
    </row>
    <row r="1821">
      <c r="A1821" t="inlineStr">
        <is>
          <t>T-1625</t>
        </is>
      </c>
      <c r="B1821" t="inlineStr">
        <is>
          <t>Indraprastha Gas (IGL)</t>
        </is>
      </c>
      <c r="C1821" t="inlineStr">
        <is>
          <t>Indraprastha Gas (IGL)</t>
        </is>
      </c>
      <c r="F1821" t="inlineStr">
        <is>
          <t>New Lead</t>
        </is>
      </c>
      <c r="H1821" t="inlineStr">
        <is>
          <t>EMERGENCY CONTACTS</t>
        </is>
      </c>
      <c r="K1821" t="inlineStr">
        <is>
          <t>Not found</t>
        </is>
      </c>
      <c r="L1821" t="inlineStr">
        <is>
          <t>Unknown</t>
        </is>
      </c>
      <c r="T1821" t="inlineStr">
        <is>
          <t>https://www.iglonline.net/uploads/files/PNG_CR_Contact_list_NWCS_NCRE_GA_Required_on_27_04_26.xlsx</t>
        </is>
      </c>
      <c r="U1821" t="inlineStr">
        <is>
          <t>No</t>
        </is>
      </c>
      <c r="V1821" t="inlineStr">
        <is>
          <t>Bot tarafindan tespit edildi (2026-07-01)</t>
        </is>
      </c>
    </row>
    <row r="1822">
      <c r="A1822" t="inlineStr">
        <is>
          <t>T-1626</t>
        </is>
      </c>
      <c r="B1822" t="inlineStr">
        <is>
          <t>Indraprastha Gas (IGL)</t>
        </is>
      </c>
      <c r="C1822" t="inlineStr">
        <is>
          <t>Indraprastha Gas (IGL)</t>
        </is>
      </c>
      <c r="F1822" t="inlineStr">
        <is>
          <t>New Lead</t>
        </is>
      </c>
      <c r="G1822" t="inlineStr">
        <is>
          <t>RMS</t>
        </is>
      </c>
      <c r="H1822" t="inlineStr">
        <is>
          <t>Terms &amp; Conditions</t>
        </is>
      </c>
      <c r="K1822" t="inlineStr">
        <is>
          <t>Not found</t>
        </is>
      </c>
      <c r="L1822" t="inlineStr">
        <is>
          <t>Unknown</t>
        </is>
      </c>
      <c r="T1822" t="inlineStr">
        <is>
          <t>https://www.iglonline.net/terms--amp--conditions</t>
        </is>
      </c>
      <c r="U1822" t="inlineStr">
        <is>
          <t>No</t>
        </is>
      </c>
      <c r="V1822" t="inlineStr">
        <is>
          <t>Bot tarafindan tespit edildi (2026-07-01)</t>
        </is>
      </c>
    </row>
    <row r="1823">
      <c r="A1823" t="inlineStr">
        <is>
          <t>T-1627</t>
        </is>
      </c>
      <c r="B1823" t="inlineStr">
        <is>
          <t>Gujarat Gas (GGL)</t>
        </is>
      </c>
      <c r="C1823" t="inlineStr">
        <is>
          <t>Gujarat Gas (GGL)</t>
        </is>
      </c>
      <c r="F1823" t="inlineStr">
        <is>
          <t>New Lead</t>
        </is>
      </c>
      <c r="H1823" t="inlineStr">
        <is>
          <t>Downloads</t>
        </is>
      </c>
      <c r="K1823" t="inlineStr">
        <is>
          <t>Not found</t>
        </is>
      </c>
      <c r="L1823" t="inlineStr">
        <is>
          <t>Unknown</t>
        </is>
      </c>
      <c r="T1823" t="inlineStr">
        <is>
          <t>https://www.gujaratgas.com/resources/downloads/</t>
        </is>
      </c>
      <c r="U1823" t="inlineStr">
        <is>
          <t>No</t>
        </is>
      </c>
      <c r="V1823" t="inlineStr">
        <is>
          <t>Bot tarafindan tespit edildi (2026-07-01)</t>
        </is>
      </c>
    </row>
    <row r="1824">
      <c r="A1824" t="inlineStr">
        <is>
          <t>T-1628</t>
        </is>
      </c>
      <c r="B1824" t="inlineStr">
        <is>
          <t>Gujarat Gas (GGL)</t>
        </is>
      </c>
      <c r="C1824" t="inlineStr">
        <is>
          <t>Gujarat Gas (GGL)</t>
        </is>
      </c>
      <c r="D1824" t="inlineStr">
        <is>
          <t>Policy</t>
        </is>
      </c>
      <c r="F1824" t="inlineStr">
        <is>
          <t>New Lead</t>
        </is>
      </c>
      <c r="G1824" t="inlineStr">
        <is>
          <t>RMS</t>
        </is>
      </c>
      <c r="H1824" t="inlineStr">
        <is>
          <t>Vendors</t>
        </is>
      </c>
      <c r="K1824" t="inlineStr">
        <is>
          <t>Not found</t>
        </is>
      </c>
      <c r="L1824" t="inlineStr">
        <is>
          <t>Unknown</t>
        </is>
      </c>
      <c r="T1824" t="inlineStr">
        <is>
          <t>https://www.gujaratgas.com/tenders/</t>
        </is>
      </c>
      <c r="U1824" t="inlineStr">
        <is>
          <t>No</t>
        </is>
      </c>
      <c r="V1824" t="inlineStr">
        <is>
          <t>Bot tarafindan tespit edildi (2026-07-01) | Bot enrich; date=2026-07-01; type=html; score=180; Bot clean extraction (2026-07-01);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1825">
      <c r="A1825" t="inlineStr">
        <is>
          <t>T-1629</t>
        </is>
      </c>
      <c r="B1825" t="inlineStr">
        <is>
          <t>Gujarat Gas (GGL)</t>
        </is>
      </c>
      <c r="C1825" t="inlineStr">
        <is>
          <t>Gujarat Gas (GGL)</t>
        </is>
      </c>
      <c r="F1825" t="inlineStr">
        <is>
          <t>New Lead</t>
        </is>
      </c>
      <c r="H1825" t="inlineStr">
        <is>
          <t>Current Tenders</t>
        </is>
      </c>
      <c r="K1825" t="inlineStr">
        <is>
          <t>Not found</t>
        </is>
      </c>
      <c r="L1825" t="inlineStr">
        <is>
          <t>Unknown</t>
        </is>
      </c>
      <c r="T1825" t="inlineStr">
        <is>
          <t>https://www.gujaratgas.com/ggl-current-tender/</t>
        </is>
      </c>
      <c r="U1825" t="inlineStr">
        <is>
          <t>No</t>
        </is>
      </c>
      <c r="V1825" t="inlineStr">
        <is>
          <t>Bot tarafindan tespit edildi (2026-07-01)</t>
        </is>
      </c>
    </row>
    <row r="1826">
      <c r="A1826" t="inlineStr">
        <is>
          <t>T-1630</t>
        </is>
      </c>
      <c r="B1826" t="inlineStr">
        <is>
          <t>Gujarat Gas (GGL)</t>
        </is>
      </c>
      <c r="C1826" t="inlineStr">
        <is>
          <t>Gujarat Gas (GGL)</t>
        </is>
      </c>
      <c r="F1826" t="inlineStr">
        <is>
          <t>New Lead</t>
        </is>
      </c>
      <c r="H1826" t="inlineStr">
        <is>
          <t>Expression of Interest (EOI)</t>
        </is>
      </c>
      <c r="K1826" t="inlineStr">
        <is>
          <t>Not found</t>
        </is>
      </c>
      <c r="L1826" t="inlineStr">
        <is>
          <t>Unknown</t>
        </is>
      </c>
      <c r="T1826" t="inlineStr">
        <is>
          <t>https://www.gujaratgas.com/EOI/</t>
        </is>
      </c>
      <c r="U1826" t="inlineStr">
        <is>
          <t>No</t>
        </is>
      </c>
      <c r="V1826" t="inlineStr">
        <is>
          <t>Bot tarafindan tespit edildi (2026-07-01)</t>
        </is>
      </c>
    </row>
    <row r="1827">
      <c r="A1827" t="inlineStr">
        <is>
          <t>T-1631</t>
        </is>
      </c>
      <c r="B1827" t="inlineStr">
        <is>
          <t>Gujarat Gas (GGL)</t>
        </is>
      </c>
      <c r="C1827" t="inlineStr">
        <is>
          <t>Gujarat Gas (GGL)</t>
        </is>
      </c>
      <c r="D1827" t="inlineStr">
        <is>
          <t>Tender Forms</t>
        </is>
      </c>
      <c r="F1827" t="inlineStr">
        <is>
          <t>New Lead</t>
        </is>
      </c>
      <c r="G1827" t="inlineStr">
        <is>
          <t>RMS</t>
        </is>
      </c>
      <c r="H1827" t="inlineStr">
        <is>
          <t>Tender FormsNew</t>
        </is>
      </c>
      <c r="K1827" t="inlineStr">
        <is>
          <t>Not found</t>
        </is>
      </c>
      <c r="L1827" t="inlineStr">
        <is>
          <t>Unknown</t>
        </is>
      </c>
      <c r="T1827" t="inlineStr">
        <is>
          <t>https://www.gujaratgas.com/ggl-tender-forms/</t>
        </is>
      </c>
      <c r="U1827" t="inlineStr">
        <is>
          <t>No</t>
        </is>
      </c>
      <c r="V1827" t="inlineStr">
        <is>
          <t>Bot tarafindan tespit edildi (2026-07-01) | Bot enrich; date=2026-07-01; type=html; score=180;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28">
      <c r="A1828" t="inlineStr">
        <is>
          <t>T-1632</t>
        </is>
      </c>
      <c r="B1828" t="inlineStr">
        <is>
          <t>Gujarat Gas (GGL)</t>
        </is>
      </c>
      <c r="C1828" t="inlineStr">
        <is>
          <t>Gujarat Gas (GGL)</t>
        </is>
      </c>
      <c r="D1828" t="inlineStr">
        <is>
          <t>com/pdf/terms-and-condition.pdf</t>
        </is>
      </c>
      <c r="F1828" t="inlineStr">
        <is>
          <t>New Lead</t>
        </is>
      </c>
      <c r="G1828" t="inlineStr">
        <is>
          <t>RMS</t>
        </is>
      </c>
      <c r="H1828" t="inlineStr">
        <is>
          <t>Terms and Conditions</t>
        </is>
      </c>
      <c r="K1828" t="inlineStr">
        <is>
          <t>Not found</t>
        </is>
      </c>
      <c r="L1828" t="inlineStr">
        <is>
          <t>Unknown</t>
        </is>
      </c>
      <c r="T1828" t="inlineStr">
        <is>
          <t>https://www.gujaratgas.com/pdf/terms-and-condition.pdf</t>
        </is>
      </c>
      <c r="U1828" t="inlineStr">
        <is>
          <t>No</t>
        </is>
      </c>
      <c r="V1828" t="inlineStr">
        <is>
          <t>Bot tarafindan tespit edildi (2026-07-01) | Bot enrich; date=2026-07-01; type=pdf; score=185</t>
        </is>
      </c>
    </row>
    <row r="1829">
      <c r="A1829" t="inlineStr">
        <is>
          <t>T-1633</t>
        </is>
      </c>
      <c r="B1829" t="inlineStr">
        <is>
          <t>Adani Total Gas (ATGL)</t>
        </is>
      </c>
      <c r="C1829" t="inlineStr">
        <is>
          <t>Adani Total Gas (ATGL)</t>
        </is>
      </c>
      <c r="F1829" t="inlineStr">
        <is>
          <t>New Lead</t>
        </is>
      </c>
      <c r="H1829" t="inlineStr">
        <is>
          <t>CNG EOI Form</t>
        </is>
      </c>
      <c r="K1829" t="inlineStr">
        <is>
          <t>Not found</t>
        </is>
      </c>
      <c r="L1829" t="inlineStr">
        <is>
          <t>Unknown</t>
        </is>
      </c>
      <c r="T1829" t="inlineStr">
        <is>
          <t>https://www.adanigas.com/en/cng/cng-dodo-form</t>
        </is>
      </c>
      <c r="U1829" t="inlineStr">
        <is>
          <t>No</t>
        </is>
      </c>
      <c r="V1829" t="inlineStr">
        <is>
          <t>Bot tarafindan tespit edildi (2026-07-01)</t>
        </is>
      </c>
    </row>
    <row r="1830">
      <c r="A1830" t="inlineStr">
        <is>
          <t>T-1634</t>
        </is>
      </c>
      <c r="B1830" t="inlineStr">
        <is>
          <t>Adani Total Gas (ATGL)</t>
        </is>
      </c>
      <c r="C1830" t="inlineStr">
        <is>
          <t>Adani Total Gas (ATGL)</t>
        </is>
      </c>
      <c r="F1830" t="inlineStr">
        <is>
          <t>New Lead</t>
        </is>
      </c>
      <c r="H1830" t="inlineStr">
        <is>
          <t>Download App</t>
        </is>
      </c>
      <c r="K1830" t="inlineStr">
        <is>
          <t>Not found</t>
        </is>
      </c>
      <c r="L1830" t="inlineStr">
        <is>
          <t>Unknown</t>
        </is>
      </c>
      <c r="T1830" t="inlineStr">
        <is>
          <t>https://play.google.com/store/apps/details?id=com.adani.myagl&amp;hl=en&amp;gl=US</t>
        </is>
      </c>
      <c r="U1830" t="inlineStr">
        <is>
          <t>No</t>
        </is>
      </c>
      <c r="V1830" t="inlineStr">
        <is>
          <t>Bot tarafindan tespit edildi (2026-07-01)</t>
        </is>
      </c>
    </row>
    <row r="1831">
      <c r="A1831" t="inlineStr">
        <is>
          <t>T-1635</t>
        </is>
      </c>
      <c r="B1831" t="inlineStr">
        <is>
          <t>Adani Total Gas (ATGL)</t>
        </is>
      </c>
      <c r="C1831" t="inlineStr">
        <is>
          <t>Adani Total Gas (ATGL)</t>
        </is>
      </c>
      <c r="F1831" t="inlineStr">
        <is>
          <t>New Lead</t>
        </is>
      </c>
      <c r="H1831" t="inlineStr">
        <is>
          <t>Downloads</t>
        </is>
      </c>
      <c r="K1831" t="inlineStr">
        <is>
          <t>Not found</t>
        </is>
      </c>
      <c r="L1831" t="inlineStr">
        <is>
          <t>Unknown</t>
        </is>
      </c>
      <c r="T1831" t="inlineStr">
        <is>
          <t>https://www.adanigas.com/en/png-residential/downloads</t>
        </is>
      </c>
      <c r="U1831" t="inlineStr">
        <is>
          <t>No</t>
        </is>
      </c>
      <c r="V1831" t="inlineStr">
        <is>
          <t>Bot tarafindan tespit edildi (2026-07-01)</t>
        </is>
      </c>
    </row>
    <row r="1832">
      <c r="A1832" t="inlineStr">
        <is>
          <t>T-1636</t>
        </is>
      </c>
      <c r="B1832" t="inlineStr">
        <is>
          <t>Adani Total Gas (ATGL)</t>
        </is>
      </c>
      <c r="C1832" t="inlineStr">
        <is>
          <t>Adani Total Gas (ATGL)</t>
        </is>
      </c>
      <c r="F1832" t="inlineStr">
        <is>
          <t>New Lead</t>
        </is>
      </c>
      <c r="H1832" t="inlineStr">
        <is>
          <t>Downloads</t>
        </is>
      </c>
      <c r="K1832" t="inlineStr">
        <is>
          <t>Not found</t>
        </is>
      </c>
      <c r="L1832" t="inlineStr">
        <is>
          <t>Unknown</t>
        </is>
      </c>
      <c r="T1832" t="inlineStr">
        <is>
          <t>https://www.adanigas.com/en/png-commercial/downloads</t>
        </is>
      </c>
      <c r="U1832" t="inlineStr">
        <is>
          <t>No</t>
        </is>
      </c>
      <c r="V1832" t="inlineStr">
        <is>
          <t>Bot tarafindan tespit edildi (2026-07-01)</t>
        </is>
      </c>
    </row>
    <row r="1833">
      <c r="A1833" t="inlineStr">
        <is>
          <t>T-1637</t>
        </is>
      </c>
      <c r="B1833" t="inlineStr">
        <is>
          <t>Adani Total Gas (ATGL)</t>
        </is>
      </c>
      <c r="C1833" t="inlineStr">
        <is>
          <t>Adani Total Gas (ATGL)</t>
        </is>
      </c>
      <c r="F1833" t="inlineStr">
        <is>
          <t>New Lead</t>
        </is>
      </c>
      <c r="H1833" t="inlineStr">
        <is>
          <t>Downloads</t>
        </is>
      </c>
      <c r="K1833" t="inlineStr">
        <is>
          <t>Not found</t>
        </is>
      </c>
      <c r="L1833" t="inlineStr">
        <is>
          <t>Unknown</t>
        </is>
      </c>
      <c r="T1833" t="inlineStr">
        <is>
          <t>https://www.adanigas.com/en/png-industrial/downloads</t>
        </is>
      </c>
      <c r="U1833" t="inlineStr">
        <is>
          <t>No</t>
        </is>
      </c>
      <c r="V1833" t="inlineStr">
        <is>
          <t>Bot tarafindan tespit edildi (2026-07-01)</t>
        </is>
      </c>
    </row>
    <row r="1834">
      <c r="A1834" t="inlineStr">
        <is>
          <t>T-1638</t>
        </is>
      </c>
      <c r="B1834" t="inlineStr">
        <is>
          <t>Adani Total Gas (ATGL)</t>
        </is>
      </c>
      <c r="C1834" t="inlineStr">
        <is>
          <t>Adani Total Gas (ATGL)</t>
        </is>
      </c>
      <c r="F1834" t="inlineStr">
        <is>
          <t>New Lead</t>
        </is>
      </c>
      <c r="H1834" t="inlineStr">
        <is>
          <t>Downloads</t>
        </is>
      </c>
      <c r="K1834" t="inlineStr">
        <is>
          <t>Not found</t>
        </is>
      </c>
      <c r="L1834" t="inlineStr">
        <is>
          <t>Unknown</t>
        </is>
      </c>
      <c r="T1834" t="inlineStr">
        <is>
          <t>https://www.adanigas.com/en/cng/downloads</t>
        </is>
      </c>
      <c r="U1834" t="inlineStr">
        <is>
          <t>No</t>
        </is>
      </c>
      <c r="V1834" t="inlineStr">
        <is>
          <t>Bot tarafindan tespit edildi (2026-07-01)</t>
        </is>
      </c>
    </row>
    <row r="1835">
      <c r="A1835" t="inlineStr">
        <is>
          <t>T-1639</t>
        </is>
      </c>
      <c r="B1835" t="inlineStr">
        <is>
          <t>Adani Total Gas (ATGL)</t>
        </is>
      </c>
      <c r="C1835" t="inlineStr">
        <is>
          <t>Adani Total Gas (ATGL)</t>
        </is>
      </c>
      <c r="F1835" t="inlineStr">
        <is>
          <t>New Lead</t>
        </is>
      </c>
      <c r="H1835" t="inlineStr">
        <is>
          <t>View</t>
        </is>
      </c>
      <c r="K1835" t="inlineStr">
        <is>
          <t>Not found</t>
        </is>
      </c>
      <c r="L1835" t="inlineStr">
        <is>
          <t>Unknown</t>
        </is>
      </c>
      <c r="T1835" t="inlineStr">
        <is>
          <t>https://www.adanigas.com/-/media/Project/AdaniGas/Commercials/Bhilwara-Steel-Laying-Tender.zip</t>
        </is>
      </c>
      <c r="U1835" t="inlineStr">
        <is>
          <t>No</t>
        </is>
      </c>
      <c r="V1835" t="inlineStr">
        <is>
          <t>Bot tarafindan tespit edildi (2026-07-01)</t>
        </is>
      </c>
    </row>
    <row r="1836">
      <c r="A1836" t="inlineStr">
        <is>
          <t>T-1640</t>
        </is>
      </c>
      <c r="B1836" t="inlineStr">
        <is>
          <t>Adani Total Gas (ATGL)</t>
        </is>
      </c>
      <c r="C1836" t="inlineStr">
        <is>
          <t>Adani Total Gas (ATGL)</t>
        </is>
      </c>
      <c r="D1836" t="inlineStr">
        <is>
          <t>media/Project/AdaniGas/Commercials/EOI-for-site-works-for-EV-Charging-Station.pdf</t>
        </is>
      </c>
      <c r="F1836" t="inlineStr">
        <is>
          <t>New Lead</t>
        </is>
      </c>
      <c r="G1836" t="inlineStr">
        <is>
          <t>Unclassified</t>
        </is>
      </c>
      <c r="H1836" t="inlineStr">
        <is>
          <t>View</t>
        </is>
      </c>
      <c r="K1836" t="inlineStr">
        <is>
          <t>Not found</t>
        </is>
      </c>
      <c r="L1836" t="inlineStr">
        <is>
          <t>Unknown</t>
        </is>
      </c>
      <c r="T1836" t="inlineStr">
        <is>
          <t>https://www.adanigas.com/-/media/Project/AdaniGas/Commercials/EOI-for-site-works-for-EV-Charging-Station.pdf?q=1</t>
        </is>
      </c>
      <c r="U1836" t="inlineStr">
        <is>
          <t>No</t>
        </is>
      </c>
      <c r="V1836" t="inlineStr">
        <is>
          <t>Bot tarafindan tespit edildi (2026-07-01) | Bot enrich; date=2026-07-01; type=pdf; score=105; Bot tespit/zenginlestirme (2026-07-01); meta:score=35;priority=Low;source_type=html_table;closing_date=;equipment=Unclassified;reasons=document source,tender reference signal</t>
        </is>
      </c>
    </row>
    <row r="1837">
      <c r="A1837" t="inlineStr">
        <is>
          <t>T-1641</t>
        </is>
      </c>
      <c r="B1837" t="inlineStr">
        <is>
          <t>Adani Total Gas (ATGL)</t>
        </is>
      </c>
      <c r="C1837" t="inlineStr">
        <is>
          <t>Adani Total Gas (ATGL)</t>
        </is>
      </c>
      <c r="D1837" t="inlineStr">
        <is>
          <t>media/Project/AdaniGas/Commercials/EOI-for-steel-pipeline-laying-at-Bhilwara.pdf</t>
        </is>
      </c>
      <c r="F1837" t="inlineStr">
        <is>
          <t>New Lead</t>
        </is>
      </c>
      <c r="G1837" t="inlineStr">
        <is>
          <t>Unclassified</t>
        </is>
      </c>
      <c r="H1837" t="inlineStr">
        <is>
          <t>View</t>
        </is>
      </c>
      <c r="K1837" t="inlineStr">
        <is>
          <t>Not found</t>
        </is>
      </c>
      <c r="L1837" t="inlineStr">
        <is>
          <t>Unknown</t>
        </is>
      </c>
      <c r="T1837" t="inlineStr">
        <is>
          <t>https://www.adanigas.com/-/media/Project/AdaniGas/Commercials/EOI-for-steel-pipeline-laying-at-Bhilwara.pdf?q=1</t>
        </is>
      </c>
      <c r="U1837" t="inlineStr">
        <is>
          <t>No</t>
        </is>
      </c>
      <c r="V1837" t="inlineStr">
        <is>
          <t>Bot tarafindan tespit edildi (2026-07-01) | Bot enrich; date=2026-07-01; type=pdf; score=105; Bot tespit/zenginlestirme (2026-07-01); meta:score=35;priority=Low;source_type=html_table;closing_date=;equipment=Unclassified;reasons=document source,tender reference signal</t>
        </is>
      </c>
    </row>
    <row r="1838">
      <c r="A1838" t="inlineStr">
        <is>
          <t>T-1642</t>
        </is>
      </c>
      <c r="B1838" t="inlineStr">
        <is>
          <t>Adani Total Gas (ATGL)</t>
        </is>
      </c>
      <c r="C1838" t="inlineStr">
        <is>
          <t>Adani Total Gas (ATGL)</t>
        </is>
      </c>
      <c r="D1838" t="inlineStr">
        <is>
          <t>media/Project/AdaniGas/Commercials/RFP-for-Napier-Grass.pdf</t>
        </is>
      </c>
      <c r="F1838" t="inlineStr">
        <is>
          <t>New Lead</t>
        </is>
      </c>
      <c r="G1838" t="inlineStr">
        <is>
          <t>Unclassified</t>
        </is>
      </c>
      <c r="H1838" t="inlineStr">
        <is>
          <t>View</t>
        </is>
      </c>
      <c r="K1838" t="inlineStr">
        <is>
          <t>Not found</t>
        </is>
      </c>
      <c r="L1838" t="inlineStr">
        <is>
          <t>Unknown</t>
        </is>
      </c>
      <c r="T1838" t="inlineStr">
        <is>
          <t>https://www.adanigas.com/-/media/Project/AdaniGas/Commercials/RFP-for-Napier-Grass.pdf?q=1</t>
        </is>
      </c>
      <c r="U1838" t="inlineStr">
        <is>
          <t>No</t>
        </is>
      </c>
      <c r="V1838" t="inlineStr">
        <is>
          <t>Bot tarafindan tespit edildi (2026-07-01) | Bot enrich; date=2026-07-01; type=pdf; score=105; Bot tespit/zenginlestirme (2026-07-01); meta:score=35;priority=Low;source_type=html_table;closing_date=;equipment=Unclassified;reasons=document source,tender reference signal</t>
        </is>
      </c>
    </row>
    <row r="1839">
      <c r="A1839" t="inlineStr">
        <is>
          <t>T-1643</t>
        </is>
      </c>
      <c r="B1839" t="inlineStr">
        <is>
          <t>Adani Total Gas (ATGL)</t>
        </is>
      </c>
      <c r="C1839" t="inlineStr">
        <is>
          <t>Adani Total Gas (ATGL)</t>
        </is>
      </c>
      <c r="D1839" t="inlineStr">
        <is>
          <t>media/Project/AdaniGas/Commercials/EOI-for-Canopy-and-Branding-work-at-EV-Charging-Stations.pdf</t>
        </is>
      </c>
      <c r="F1839" t="inlineStr">
        <is>
          <t>New Lead</t>
        </is>
      </c>
      <c r="G1839" t="inlineStr">
        <is>
          <t>Unclassified</t>
        </is>
      </c>
      <c r="H1839" t="inlineStr">
        <is>
          <t>View</t>
        </is>
      </c>
      <c r="K1839" t="inlineStr">
        <is>
          <t>Not found</t>
        </is>
      </c>
      <c r="L1839" t="inlineStr">
        <is>
          <t>Unknown</t>
        </is>
      </c>
      <c r="T1839" t="inlineStr">
        <is>
          <t>https://www.adanigas.com/-/media/Project/AdaniGas/Commercials/EOI-for-Canopy-and-Branding-work-at-EV-Charging-Stations.pdf?q=1</t>
        </is>
      </c>
      <c r="U1839" t="inlineStr">
        <is>
          <t>No</t>
        </is>
      </c>
      <c r="V1839" t="inlineStr">
        <is>
          <t>Bot tarafindan tespit edildi (2026-07-01) | Bot enrich; date=2026-07-01; type=pdf; score=105; Bot tespit/zenginlestirme (2026-07-01); meta:score=35;priority=Low;source_type=html_table;closing_date=;equipment=Unclassified;reasons=document source,tender reference signal</t>
        </is>
      </c>
    </row>
    <row r="1840">
      <c r="A1840" t="inlineStr">
        <is>
          <t>T-1644</t>
        </is>
      </c>
      <c r="B1840" t="inlineStr">
        <is>
          <t>Adani Total Gas (ATGL)</t>
        </is>
      </c>
      <c r="C1840" t="inlineStr">
        <is>
          <t>Adani Total Gas (ATGL)</t>
        </is>
      </c>
      <c r="D1840" t="inlineStr">
        <is>
          <t>media/Project/AdaniGas/Commercials/EOI-for-Consultancy-work-for-Power-Connection-at-EV-Charging-Stations.pdf</t>
        </is>
      </c>
      <c r="F1840" t="inlineStr">
        <is>
          <t>New Lead</t>
        </is>
      </c>
      <c r="G1840" t="inlineStr">
        <is>
          <t>Unclassified</t>
        </is>
      </c>
      <c r="H1840" t="inlineStr">
        <is>
          <t>View</t>
        </is>
      </c>
      <c r="K1840" t="inlineStr">
        <is>
          <t>Not found</t>
        </is>
      </c>
      <c r="L1840" t="inlineStr">
        <is>
          <t>Unknown</t>
        </is>
      </c>
      <c r="T1840" t="inlineStr">
        <is>
          <t>https://www.adanigas.com/-/media/Project/AdaniGas/Commercials/EOI-for-Consultancy-work-for-Power-Connection-at-EV-Charging-Stations.pdf?q=1</t>
        </is>
      </c>
      <c r="U1840" t="inlineStr">
        <is>
          <t>No</t>
        </is>
      </c>
      <c r="V1840" t="inlineStr">
        <is>
          <t>Bot tarafindan tespit edildi (2026-07-01) | Bot enrich; date=2026-07-01; type=pdf; score=105; Bot tespit/zenginlestirme (2026-07-01); meta:score=35;priority=Low;source_type=html_table;closing_date=;equipment=Unclassified;reasons=document source,tender reference signal</t>
        </is>
      </c>
    </row>
    <row r="1841">
      <c r="A1841" t="inlineStr">
        <is>
          <t>T-1645</t>
        </is>
      </c>
      <c r="B1841" t="inlineStr">
        <is>
          <t>Adani Total Gas (ATGL)</t>
        </is>
      </c>
      <c r="C1841" t="inlineStr">
        <is>
          <t>Adani Total Gas (ATGL)</t>
        </is>
      </c>
      <c r="D1841" t="inlineStr">
        <is>
          <t>media/Project/AdaniGas/Commercials/EOI-for-LT-Power-Connection-for-EV-Charging-Station.pdf</t>
        </is>
      </c>
      <c r="F1841" t="inlineStr">
        <is>
          <t>New Lead</t>
        </is>
      </c>
      <c r="G1841" t="inlineStr">
        <is>
          <t>Unclassified</t>
        </is>
      </c>
      <c r="H1841" t="inlineStr">
        <is>
          <t>View</t>
        </is>
      </c>
      <c r="K1841" t="inlineStr">
        <is>
          <t>Not found</t>
        </is>
      </c>
      <c r="L1841" t="inlineStr">
        <is>
          <t>Unknown</t>
        </is>
      </c>
      <c r="T1841" t="inlineStr">
        <is>
          <t>https://www.adanigas.com/-/media/Project/AdaniGas/Commercials/EOI-for-LT-Power-Connection-for-EV-Charging-Station.pdf?q=1</t>
        </is>
      </c>
      <c r="U1841" t="inlineStr">
        <is>
          <t>No</t>
        </is>
      </c>
      <c r="V1841" t="inlineStr">
        <is>
          <t>Bot tarafindan tespit edildi (2026-07-01) | Bot enrich; date=2026-07-01; type=pdf; score=105; Bot tespit/zenginlestirme (2026-07-01); meta:score=35;priority=Low;source_type=html_table;closing_date=;equipment=Unclassified;reasons=document source,tender reference signal</t>
        </is>
      </c>
    </row>
    <row r="1842">
      <c r="A1842" t="inlineStr">
        <is>
          <t>T-1646</t>
        </is>
      </c>
      <c r="B1842" t="inlineStr">
        <is>
          <t>Adani Total Gas (ATGL)</t>
        </is>
      </c>
      <c r="C1842" t="inlineStr">
        <is>
          <t>Adani Total Gas (ATGL)</t>
        </is>
      </c>
      <c r="D1842" t="inlineStr">
        <is>
          <t>media/Project/AdaniGas/Commercials/EOI-for-ATGL_NIT_Ahmedabad-MSW.pdf</t>
        </is>
      </c>
      <c r="F1842" t="inlineStr">
        <is>
          <t>New Lead</t>
        </is>
      </c>
      <c r="G1842" t="inlineStr">
        <is>
          <t>Unclassified</t>
        </is>
      </c>
      <c r="H1842" t="inlineStr">
        <is>
          <t>View</t>
        </is>
      </c>
      <c r="K1842" t="inlineStr">
        <is>
          <t>Not found</t>
        </is>
      </c>
      <c r="L1842" t="inlineStr">
        <is>
          <t>Unknown</t>
        </is>
      </c>
      <c r="T1842" t="inlineStr">
        <is>
          <t>https://www.adanigas.com/-/media/Project/AdaniGas/Commercials/EOI-for-ATGL_NIT_Ahmedabad-MSW.pdf?q=1</t>
        </is>
      </c>
      <c r="U1842" t="inlineStr">
        <is>
          <t>No</t>
        </is>
      </c>
      <c r="V1842" t="inlineStr">
        <is>
          <t>Bot tarafindan tespit edildi (2026-07-01) | Bot enrich; date=2026-07-01; type=pdf; score=105; Bot tespit/zenginlestirme (2026-07-01); meta:score=35;priority=Low;source_type=html_table;closing_date=;equipment=Unclassified;reasons=document source,tender reference signal</t>
        </is>
      </c>
    </row>
    <row r="1843">
      <c r="A1843" t="inlineStr">
        <is>
          <t>T-1647</t>
        </is>
      </c>
      <c r="B1843" t="inlineStr">
        <is>
          <t>Adani Total Gas (ATGL)</t>
        </is>
      </c>
      <c r="C1843" t="inlineStr">
        <is>
          <t>Adani Total Gas (ATGL)</t>
        </is>
      </c>
      <c r="D1843" t="inlineStr">
        <is>
          <t>media/Project/AdaniGas/Commercials/RFP-for-Gas-Meters.zip</t>
        </is>
      </c>
      <c r="F1843" t="inlineStr">
        <is>
          <t>New Lead</t>
        </is>
      </c>
      <c r="H1843" t="inlineStr">
        <is>
          <t>View</t>
        </is>
      </c>
      <c r="K1843" t="inlineStr">
        <is>
          <t>Not found</t>
        </is>
      </c>
      <c r="L1843" t="inlineStr">
        <is>
          <t>Unknown</t>
        </is>
      </c>
      <c r="T1843" t="inlineStr">
        <is>
          <t>https://www.adanigas.com/-/media/Project/AdaniGas/Commercials/RFP-for-Gas-Meters.zip?q=1</t>
        </is>
      </c>
      <c r="U1843" t="inlineStr">
        <is>
          <t>No</t>
        </is>
      </c>
      <c r="V1843" t="inlineStr">
        <is>
          <t>Bot tarafindan tespit edildi (2026-07-01) | Bot enrich; date=2026-07-01; type=zip; score=105</t>
        </is>
      </c>
    </row>
    <row r="1844">
      <c r="A1844" t="inlineStr">
        <is>
          <t>T-1648</t>
        </is>
      </c>
      <c r="B1844" t="inlineStr">
        <is>
          <t>Adani Total Gas (ATGL)</t>
        </is>
      </c>
      <c r="C1844" t="inlineStr">
        <is>
          <t>Adani Total Gas (ATGL)</t>
        </is>
      </c>
      <c r="D1844" t="inlineStr">
        <is>
          <t>media/Project/AdaniGas/Commercials/EOI-for-Digital-Platfrom-ATEL.pdf</t>
        </is>
      </c>
      <c r="F1844" t="inlineStr">
        <is>
          <t>New Lead</t>
        </is>
      </c>
      <c r="G1844" t="inlineStr">
        <is>
          <t>Unclassified</t>
        </is>
      </c>
      <c r="H1844" t="inlineStr">
        <is>
          <t>View</t>
        </is>
      </c>
      <c r="K1844" t="inlineStr">
        <is>
          <t>Not found</t>
        </is>
      </c>
      <c r="L1844" t="inlineStr">
        <is>
          <t>Unknown</t>
        </is>
      </c>
      <c r="T1844" t="inlineStr">
        <is>
          <t>https://www.adanigas.com/-/media/Project/AdaniGas/Commercials/EOI-for-Digital-Platfrom-ATEL.pdf?q=1</t>
        </is>
      </c>
      <c r="U1844" t="inlineStr">
        <is>
          <t>No</t>
        </is>
      </c>
      <c r="V1844" t="inlineStr">
        <is>
          <t>Bot tarafindan tespit edildi (2026-07-01) | Bot enrich; date=2026-07-01; type=pdf; score=105; Bot tespit/zenginlestirme (2026-07-01); meta:score=35;priority=Low;source_type=html_table;closing_date=;equipment=Unclassified;reasons=document source,tender reference signal</t>
        </is>
      </c>
    </row>
    <row r="1845">
      <c r="A1845" t="inlineStr">
        <is>
          <t>T-1649</t>
        </is>
      </c>
      <c r="B1845" t="inlineStr">
        <is>
          <t>Adani Total Gas (ATGL)</t>
        </is>
      </c>
      <c r="C1845" t="inlineStr">
        <is>
          <t>Adani Total Gas (ATGL)</t>
        </is>
      </c>
      <c r="F1845" t="inlineStr">
        <is>
          <t>New Lead</t>
        </is>
      </c>
      <c r="H1845" t="inlineStr">
        <is>
          <t>Downloads</t>
        </is>
      </c>
      <c r="K1845" t="inlineStr">
        <is>
          <t>Not found</t>
        </is>
      </c>
      <c r="L1845" t="inlineStr">
        <is>
          <t>Unknown</t>
        </is>
      </c>
      <c r="T1845" t="inlineStr">
        <is>
          <t>https://www.adanigas.com/en/downloads</t>
        </is>
      </c>
      <c r="U1845" t="inlineStr">
        <is>
          <t>No</t>
        </is>
      </c>
      <c r="V1845" t="inlineStr">
        <is>
          <t>Bot tarafindan tespit edildi (2026-07-01)</t>
        </is>
      </c>
    </row>
    <row r="1846">
      <c r="A1846" t="inlineStr">
        <is>
          <t>T-1650</t>
        </is>
      </c>
      <c r="B1846" t="inlineStr">
        <is>
          <t>Adani Total Gas (ATGL)</t>
        </is>
      </c>
      <c r="C1846" t="inlineStr">
        <is>
          <t>Adani Total Gas (ATGL)</t>
        </is>
      </c>
      <c r="F1846" t="inlineStr">
        <is>
          <t>New Lead</t>
        </is>
      </c>
      <c r="H1846" t="inlineStr">
        <is>
          <t>https://facebook.com/adanitotalgas/</t>
        </is>
      </c>
      <c r="K1846" t="inlineStr">
        <is>
          <t>Not found</t>
        </is>
      </c>
      <c r="L1846" t="inlineStr">
        <is>
          <t>Unknown</t>
        </is>
      </c>
      <c r="T1846" t="inlineStr">
        <is>
          <t>https://facebook.com/adanitotalgas/</t>
        </is>
      </c>
      <c r="U1846" t="inlineStr">
        <is>
          <t>No</t>
        </is>
      </c>
      <c r="V1846" t="inlineStr">
        <is>
          <t>Bot tarafindan tespit edildi (2026-07-01)</t>
        </is>
      </c>
    </row>
    <row r="1847">
      <c r="A1847" t="inlineStr">
        <is>
          <t>T-1651</t>
        </is>
      </c>
      <c r="B1847" t="inlineStr">
        <is>
          <t>Adani Total Gas (ATGL)</t>
        </is>
      </c>
      <c r="C1847" t="inlineStr">
        <is>
          <t>Adani Total Gas (ATGL)</t>
        </is>
      </c>
      <c r="D1847" t="inlineStr">
        <is>
          <t>otal_gas/</t>
        </is>
      </c>
      <c r="F1847" t="inlineStr">
        <is>
          <t>New Lead</t>
        </is>
      </c>
      <c r="G1847" t="inlineStr">
        <is>
          <t>Unclassified</t>
        </is>
      </c>
      <c r="H1847" t="inlineStr">
        <is>
          <t>https://www.instagram.com/adanitotal_gas/?utm_medium=copy_link</t>
        </is>
      </c>
      <c r="K1847" t="inlineStr">
        <is>
          <t>Not found</t>
        </is>
      </c>
      <c r="L1847" t="inlineStr">
        <is>
          <t>Unknown</t>
        </is>
      </c>
      <c r="T1847" t="inlineStr">
        <is>
          <t>https://www.instagram.com/adanitotal_gas/?utm_medium=copy_link</t>
        </is>
      </c>
      <c r="U1847" t="inlineStr">
        <is>
          <t>No</t>
        </is>
      </c>
      <c r="V1847" t="inlineStr">
        <is>
          <t>Bot tarafindan tespit edildi (2026-07-01); Bot tespit/zenginlestirme (2026-07-01); meta:score=15;priority=Low;source_type=html_link;closing_date=;equipment=Unclassified;reasons=tender reference signal</t>
        </is>
      </c>
    </row>
    <row r="1848">
      <c r="A1848" t="inlineStr">
        <is>
          <t>T-1652</t>
        </is>
      </c>
      <c r="B1848" t="inlineStr">
        <is>
          <t>Adani Total Gas (ATGL)</t>
        </is>
      </c>
      <c r="C1848" t="inlineStr">
        <is>
          <t>Adani Total Gas (ATGL)</t>
        </is>
      </c>
      <c r="F1848" t="inlineStr">
        <is>
          <t>New Lead</t>
        </is>
      </c>
      <c r="G1848" t="inlineStr">
        <is>
          <t>RMS</t>
        </is>
      </c>
      <c r="H1848" t="inlineStr">
        <is>
          <t>Terms &amp; Conditions</t>
        </is>
      </c>
      <c r="K1848" t="inlineStr">
        <is>
          <t>Not found</t>
        </is>
      </c>
      <c r="L1848" t="inlineStr">
        <is>
          <t>Unknown</t>
        </is>
      </c>
      <c r="T1848" t="inlineStr">
        <is>
          <t>https://www.adanigas.com/terms-and-conditions</t>
        </is>
      </c>
      <c r="U1848" t="inlineStr">
        <is>
          <t>No</t>
        </is>
      </c>
      <c r="V1848" t="inlineStr">
        <is>
          <t>Bot tarafindan tespit edildi (2026-07-01)</t>
        </is>
      </c>
    </row>
    <row r="1849">
      <c r="A1849" t="inlineStr">
        <is>
          <t>T-1653</t>
        </is>
      </c>
      <c r="B1849" t="inlineStr">
        <is>
          <t>Adani Total Gas (ATGL)</t>
        </is>
      </c>
      <c r="C1849" t="inlineStr">
        <is>
          <t>Adani Total Gas (ATGL)</t>
        </is>
      </c>
      <c r="F1849" t="inlineStr">
        <is>
          <t>New Lead</t>
        </is>
      </c>
      <c r="H1849" t="inlineStr">
        <is>
          <t>Downloads</t>
        </is>
      </c>
      <c r="K1849" t="inlineStr">
        <is>
          <t>Not found</t>
        </is>
      </c>
      <c r="L1849" t="inlineStr">
        <is>
          <t>Unknown</t>
        </is>
      </c>
      <c r="T1849" t="inlineStr">
        <is>
          <t>https://www.adanigas.com/downloads</t>
        </is>
      </c>
      <c r="U1849" t="inlineStr">
        <is>
          <t>No</t>
        </is>
      </c>
      <c r="V1849" t="inlineStr">
        <is>
          <t>Bot tarafindan tespit edildi (2026-07-01)</t>
        </is>
      </c>
    </row>
    <row r="1850">
      <c r="A1850" t="inlineStr">
        <is>
          <t>T-1654</t>
        </is>
      </c>
      <c r="B1850" t="inlineStr">
        <is>
          <t>Adani Total Gas (ATGL)</t>
        </is>
      </c>
      <c r="C1850" t="inlineStr">
        <is>
          <t>Adani Total Gas (ATGL)</t>
        </is>
      </c>
      <c r="D1850" t="inlineStr">
        <is>
          <t>en/terms-and-conditions</t>
        </is>
      </c>
      <c r="F1850" t="inlineStr">
        <is>
          <t>New Lead</t>
        </is>
      </c>
      <c r="G1850" t="inlineStr">
        <is>
          <t>RMS</t>
        </is>
      </c>
      <c r="H1850" t="inlineStr">
        <is>
          <t>Terms &amp; Conditions</t>
        </is>
      </c>
      <c r="K1850" t="inlineStr">
        <is>
          <t>Not found</t>
        </is>
      </c>
      <c r="L1850" t="inlineStr">
        <is>
          <t>Unknown</t>
        </is>
      </c>
      <c r="T1850" t="inlineStr">
        <is>
          <t>https://www.adanigas.com/en/terms-and-conditions</t>
        </is>
      </c>
      <c r="U1850" t="inlineStr">
        <is>
          <t>No</t>
        </is>
      </c>
      <c r="V1850" t="inlineStr">
        <is>
          <t>Bot tarafindan tespit edildi (2026-07-01) | Bot enrich; date=2026-07-01; type=html; score=160</t>
        </is>
      </c>
    </row>
    <row r="1851">
      <c r="A1851" t="inlineStr">
        <is>
          <t>T-1655</t>
        </is>
      </c>
      <c r="B1851" t="inlineStr">
        <is>
          <t>Torrent Gas</t>
        </is>
      </c>
      <c r="C1851" t="inlineStr">
        <is>
          <t>Torrent Gas</t>
        </is>
      </c>
      <c r="D1851" t="inlineStr">
        <is>
          <t>User/Info/TermsConditions</t>
        </is>
      </c>
      <c r="F1851" t="inlineStr">
        <is>
          <t>New Lead</t>
        </is>
      </c>
      <c r="G1851" t="inlineStr">
        <is>
          <t>RMS</t>
        </is>
      </c>
      <c r="H1851" t="inlineStr">
        <is>
          <t>Terms &amp; Conditions</t>
        </is>
      </c>
      <c r="K1851" t="inlineStr">
        <is>
          <t>Not found</t>
        </is>
      </c>
      <c r="L1851" t="inlineStr">
        <is>
          <t>Unknown</t>
        </is>
      </c>
      <c r="T1851" t="inlineStr">
        <is>
          <t>https://www.torrentgas.com/User/Info/TermsConditions</t>
        </is>
      </c>
      <c r="U1851" t="inlineStr">
        <is>
          <t>No</t>
        </is>
      </c>
      <c r="V1851" t="inlineStr">
        <is>
          <t>Bot tarafindan tespit edildi (2026-07-01) | Bot enrich; date=2026-07-01; type=html; score=160</t>
        </is>
      </c>
    </row>
    <row r="1852">
      <c r="A1852" t="inlineStr">
        <is>
          <t>T-1656</t>
        </is>
      </c>
      <c r="B1852" t="inlineStr">
        <is>
          <t>IndianOil-Adani Gas (IOAGPL)</t>
        </is>
      </c>
      <c r="C1852" t="inlineStr">
        <is>
          <t>IndianOil-Adani Gas (IOAGPL)</t>
        </is>
      </c>
      <c r="D1852" t="inlineStr">
        <is>
          <t>Policy</t>
        </is>
      </c>
      <c r="F1852" t="inlineStr">
        <is>
          <t>Awarded</t>
        </is>
      </c>
      <c r="G1852" t="inlineStr">
        <is>
          <t>Irrelevant / non-target</t>
        </is>
      </c>
      <c r="H1852" t="inlineStr">
        <is>
          <t>CSR Policy</t>
        </is>
      </c>
      <c r="K1852" t="inlineStr">
        <is>
          <t>Not found</t>
        </is>
      </c>
      <c r="L1852" t="inlineStr">
        <is>
          <t>Unknown</t>
        </is>
      </c>
      <c r="T1852" t="inlineStr">
        <is>
          <t>https://ioagpl.com/wp-content/uploads/2021/10/IOAGPL-CSR-Policy.pdf</t>
        </is>
      </c>
      <c r="U1852" t="inlineStr">
        <is>
          <t>No</t>
        </is>
      </c>
      <c r="V1852" t="inlineStr">
        <is>
          <t>Bot tarafindan tespit edildi (2026-07-01) | Bot enrich; date=2026-07-01; type=pdf; score=160; Bot tespit/zenginlestirme (2026-07-01); meta:score=;priority=Low;source_type=html_link;closing_date=;equipment=Irrelevant / non-target;reasons=irrelevant_equipment,document source,website noise</t>
        </is>
      </c>
    </row>
    <row r="1853">
      <c r="A1853" t="inlineStr">
        <is>
          <t>T-1657</t>
        </is>
      </c>
      <c r="B1853" t="inlineStr">
        <is>
          <t>IndianOil-Adani Gas (IOAGPL)</t>
        </is>
      </c>
      <c r="C1853" t="inlineStr">
        <is>
          <t>IndianOil-Adani Gas (IOAGPL)</t>
        </is>
      </c>
      <c r="D1853" t="inlineStr">
        <is>
          <t>com/wp-content/uploads/2021/10/Terms-Conditions_Domestic-PNG-Application-Form_General.pdf</t>
        </is>
      </c>
      <c r="F1853" t="inlineStr">
        <is>
          <t>Awarded</t>
        </is>
      </c>
      <c r="G1853" t="inlineStr">
        <is>
          <t>RMS</t>
        </is>
      </c>
      <c r="H1853" t="inlineStr">
        <is>
          <t>Application Form T&amp;C</t>
        </is>
      </c>
      <c r="K1853" t="inlineStr">
        <is>
          <t>Not found</t>
        </is>
      </c>
      <c r="L1853" t="inlineStr">
        <is>
          <t>Unknown</t>
        </is>
      </c>
      <c r="T1853" t="inlineStr">
        <is>
          <t>https://ioagpl.com/wp-content/uploads/2021/10/Terms-Conditions_Domestic-PNG-Application-Form_General.pdf</t>
        </is>
      </c>
      <c r="U1853" t="inlineStr">
        <is>
          <t>No</t>
        </is>
      </c>
      <c r="V1853" t="inlineStr">
        <is>
          <t>Bot tarafindan tespit edildi (2026-07-01) | Bot enrich; date=2026-07-01; type=pdf; score=300</t>
        </is>
      </c>
    </row>
    <row r="1854">
      <c r="A1854" t="inlineStr">
        <is>
          <t>T-1658</t>
        </is>
      </c>
      <c r="B1854" t="inlineStr">
        <is>
          <t>IndianOil-Adani Gas (IOAGPL)</t>
        </is>
      </c>
      <c r="C1854" t="inlineStr">
        <is>
          <t>IndianOil-Adani Gas (IOAGPL)</t>
        </is>
      </c>
      <c r="D1854" t="inlineStr">
        <is>
          <t>com/wp-content/uploads/2021/10/Self-Billing.pdf</t>
        </is>
      </c>
      <c r="F1854" t="inlineStr">
        <is>
          <t>Awarded</t>
        </is>
      </c>
      <c r="G1854" t="inlineStr">
        <is>
          <t>Unclassified</t>
        </is>
      </c>
      <c r="H1854" t="inlineStr">
        <is>
          <t>Self Billing Manual</t>
        </is>
      </c>
      <c r="K1854" t="inlineStr">
        <is>
          <t>Not found</t>
        </is>
      </c>
      <c r="L1854" t="inlineStr">
        <is>
          <t>Unknown</t>
        </is>
      </c>
      <c r="T1854" t="inlineStr">
        <is>
          <t>https://ioagpl.com/wp-content/uploads/2021/10/Self-Billing.pdf</t>
        </is>
      </c>
      <c r="U1854" t="inlineStr">
        <is>
          <t>No</t>
        </is>
      </c>
      <c r="V1854" t="inlineStr">
        <is>
          <t>Bot tarafindan tespit edildi (2026-07-01) | Bot enrich; date=2026-07-01; type=pdf; score=140; Bot tespit/zenginlestirme (2026-07-01); meta:score=20;priority=Low;source_type=html_link;closing_date=;equipment=Unclassified;reasons=document source</t>
        </is>
      </c>
    </row>
    <row r="1855">
      <c r="A1855" t="inlineStr">
        <is>
          <t>T-1659</t>
        </is>
      </c>
      <c r="B1855" t="inlineStr">
        <is>
          <t>IndianOil-Adani Gas (IOAGPL)</t>
        </is>
      </c>
      <c r="C1855" t="inlineStr">
        <is>
          <t>IndianOil-Adani Gas (IOAGPL)</t>
        </is>
      </c>
      <c r="F1855" t="inlineStr">
        <is>
          <t>New Lead</t>
        </is>
      </c>
      <c r="H1855" t="inlineStr">
        <is>
          <t>Download</t>
        </is>
      </c>
      <c r="K1855" t="inlineStr">
        <is>
          <t>Not found</t>
        </is>
      </c>
      <c r="L1855" t="inlineStr">
        <is>
          <t>Unknown</t>
        </is>
      </c>
      <c r="T1855" t="inlineStr">
        <is>
          <t>https://ioagpl.com/downloads/</t>
        </is>
      </c>
      <c r="U1855" t="inlineStr">
        <is>
          <t>No</t>
        </is>
      </c>
      <c r="V1855" t="inlineStr">
        <is>
          <t>Bot tarafindan tespit edildi (2026-07-01)</t>
        </is>
      </c>
    </row>
    <row r="1856">
      <c r="A1856" t="inlineStr">
        <is>
          <t>T-1660</t>
        </is>
      </c>
      <c r="B1856" t="inlineStr">
        <is>
          <t>IndianOil-Adani Gas (IOAGPL)</t>
        </is>
      </c>
      <c r="C1856" t="inlineStr">
        <is>
          <t>IndianOil-Adani Gas (IOAGPL)</t>
        </is>
      </c>
      <c r="F1856" t="inlineStr">
        <is>
          <t>New Lead</t>
        </is>
      </c>
      <c r="H1856" t="inlineStr">
        <is>
          <t>Active tenders</t>
        </is>
      </c>
      <c r="K1856" t="inlineStr">
        <is>
          <t>Not found</t>
        </is>
      </c>
      <c r="L1856" t="inlineStr">
        <is>
          <t>Unknown</t>
        </is>
      </c>
      <c r="T1856" t="inlineStr">
        <is>
          <t>https://ioagpl.com/active-tenders/</t>
        </is>
      </c>
      <c r="U1856" t="inlineStr">
        <is>
          <t>No</t>
        </is>
      </c>
      <c r="V1856" t="inlineStr">
        <is>
          <t>Bot tarafindan tespit edildi (2026-07-01)</t>
        </is>
      </c>
    </row>
    <row r="1857">
      <c r="A1857" t="inlineStr">
        <is>
          <t>T-1661</t>
        </is>
      </c>
      <c r="B1857" t="inlineStr">
        <is>
          <t>IndianOil-Adani Gas (IOAGPL)</t>
        </is>
      </c>
      <c r="C1857" t="inlineStr">
        <is>
          <t>IndianOil-Adani Gas (IOAGPL)</t>
        </is>
      </c>
      <c r="D1857" t="inlineStr">
        <is>
          <t>Blacklist/Holiday</t>
        </is>
      </c>
      <c r="F1857" t="inlineStr">
        <is>
          <t>Awarded</t>
        </is>
      </c>
      <c r="G1857" t="inlineStr">
        <is>
          <t>Unclassified</t>
        </is>
      </c>
      <c r="H1857" t="inlineStr">
        <is>
          <t>Blacklist/Holiday Vendor</t>
        </is>
      </c>
      <c r="K1857" t="inlineStr">
        <is>
          <t>Not found</t>
        </is>
      </c>
      <c r="L1857" t="inlineStr">
        <is>
          <t>Unknown</t>
        </is>
      </c>
      <c r="T1857" t="inlineStr">
        <is>
          <t>https://ioagpl.com/wp-content/uploads/2021/10/HOLIDAY-LIST-2025.pdf</t>
        </is>
      </c>
      <c r="U1857" t="inlineStr">
        <is>
          <t>No</t>
        </is>
      </c>
      <c r="V1857" t="inlineStr">
        <is>
          <t>Bot tarafindan tespit edildi (2026-07-01) | Bot enrich; date=2026-07-01; type=pdf; score=160; Bot tespit/zenginlestirme (2026-07-01); meta:score=20;priority=Low;source_type=html_link;closing_date=;equipment=Unclassified;reasons=document source</t>
        </is>
      </c>
    </row>
    <row r="1858">
      <c r="A1858" t="inlineStr">
        <is>
          <t>T-1662</t>
        </is>
      </c>
      <c r="B1858" t="inlineStr">
        <is>
          <t>IndianOil-Adani Gas (IOAGPL)</t>
        </is>
      </c>
      <c r="C1858" t="inlineStr">
        <is>
          <t>IndianOil-Adani Gas (IOAGPL)</t>
        </is>
      </c>
      <c r="D1858" t="inlineStr">
        <is>
          <t>com/wp-content/uploads/2021/10/Final-DMA-brochure.pdf</t>
        </is>
      </c>
      <c r="F1858" t="inlineStr">
        <is>
          <t>Awarded</t>
        </is>
      </c>
      <c r="G1858" t="inlineStr">
        <is>
          <t>Unclassified</t>
        </is>
      </c>
      <c r="H1858" t="inlineStr">
        <is>
          <t>EOI for Empanelment of DMA Agency</t>
        </is>
      </c>
      <c r="K1858" t="inlineStr">
        <is>
          <t>Not found</t>
        </is>
      </c>
      <c r="L1858" t="inlineStr">
        <is>
          <t>Unknown</t>
        </is>
      </c>
      <c r="T1858" t="inlineStr">
        <is>
          <t>https://ioagpl.com/wp-content/uploads/2021/10/Final-DMA-brochure.pdf</t>
        </is>
      </c>
      <c r="U1858" t="inlineStr">
        <is>
          <t>No</t>
        </is>
      </c>
      <c r="V1858" t="inlineStr">
        <is>
          <t>Bot tarafindan tespit edildi (2026-07-01) | Bot enrich; date=2026-07-01; type=pdf; score=140; Bot tespit/zenginlestirme (2026-07-01); meta:score=35;priority=Low;source_type=html_link;closing_date=;equipment=Unclassified;reasons=document source,tender reference signal</t>
        </is>
      </c>
    </row>
    <row r="1859">
      <c r="A1859" t="inlineStr">
        <is>
          <t>T-1663</t>
        </is>
      </c>
      <c r="B1859" t="inlineStr">
        <is>
          <t>IndianOil-Adani Gas (IOAGPL)</t>
        </is>
      </c>
      <c r="C1859" t="inlineStr">
        <is>
          <t>IndianOil-Adani Gas (IOAGPL)</t>
        </is>
      </c>
      <c r="D1859" t="inlineStr">
        <is>
          <t>com/wp-content/uploads/2021/10/Vendor-Registration-Form-1.pdf</t>
        </is>
      </c>
      <c r="F1859" t="inlineStr">
        <is>
          <t>Awarded</t>
        </is>
      </c>
      <c r="G1859" t="inlineStr">
        <is>
          <t>Gas-related / review</t>
        </is>
      </c>
      <c r="H1859" t="inlineStr">
        <is>
          <t>Vendor Registration Form</t>
        </is>
      </c>
      <c r="K1859" t="inlineStr">
        <is>
          <t>Not found</t>
        </is>
      </c>
      <c r="L1859" t="inlineStr">
        <is>
          <t>Unknown</t>
        </is>
      </c>
      <c r="T1859" t="inlineStr">
        <is>
          <t>https://ioagpl.com/wp-content/uploads/2021/10/Vendor-Registration-Form-1.pdf</t>
        </is>
      </c>
      <c r="U1859" t="inlineStr">
        <is>
          <t>No</t>
        </is>
      </c>
      <c r="V1859" t="inlineStr">
        <is>
          <t>Bot tarafindan tespit edildi (2026-07-01) | Bot enrich; date=2026-07-01; type=pdf; score=140; Bot tespit/zenginlestirme (2026-07-01); meta:score=;priority=Low;source_type=html_table;closing_date=;equipment=Gas-related / review;reasons=equipment:Gas-related / review,document source,access/action page</t>
        </is>
      </c>
    </row>
    <row r="1860">
      <c r="A1860" t="inlineStr">
        <is>
          <t>T-1664</t>
        </is>
      </c>
      <c r="B1860" t="inlineStr">
        <is>
          <t>Maharashtra Natural Gas (MNGL)</t>
        </is>
      </c>
      <c r="C1860" t="inlineStr">
        <is>
          <t>Maharashtra Natural Gas (MNGL)</t>
        </is>
      </c>
      <c r="F1860" t="inlineStr">
        <is>
          <t>New Lead</t>
        </is>
      </c>
      <c r="G1860" t="inlineStr">
        <is>
          <t>Unclassified</t>
        </is>
      </c>
      <c r="H1860" t="inlineStr">
        <is>
          <t>Career</t>
        </is>
      </c>
      <c r="K1860" t="inlineStr">
        <is>
          <t>Not found</t>
        </is>
      </c>
      <c r="L1860" t="inlineStr">
        <is>
          <t>Unknown</t>
        </is>
      </c>
      <c r="T1860" t="inlineStr">
        <is>
          <t>https://mngl.in/current-opportunities</t>
        </is>
      </c>
      <c r="U1860" t="inlineStr">
        <is>
          <t>No</t>
        </is>
      </c>
      <c r="V1860" t="inlineStr">
        <is>
          <t>Bot tarafindan tespit edildi (2026-07-01); Bot tespit/zenginlestirme (2026-07-01); meta:score=15;priority=Low;source_type=html_link;closing_date=;equipment=Unclassified;reasons=tender reference signal</t>
        </is>
      </c>
    </row>
    <row r="1861">
      <c r="A1861" t="inlineStr">
        <is>
          <t>T-1665</t>
        </is>
      </c>
      <c r="B1861" t="inlineStr">
        <is>
          <t>Maharashtra Natural Gas (MNGL)</t>
        </is>
      </c>
      <c r="C1861" t="inlineStr">
        <is>
          <t>Maharashtra Natural Gas (MNGL)</t>
        </is>
      </c>
      <c r="D1861" t="inlineStr">
        <is>
          <t>in/uploads/pdf/Terms</t>
        </is>
      </c>
      <c r="F1861" t="inlineStr">
        <is>
          <t>Awarded</t>
        </is>
      </c>
      <c r="G1861" t="inlineStr">
        <is>
          <t>RMS</t>
        </is>
      </c>
      <c r="H1861" t="inlineStr">
        <is>
          <t>Terms &amp; conditions of PNG Domestic connection</t>
        </is>
      </c>
      <c r="K1861" t="inlineStr">
        <is>
          <t>Not found</t>
        </is>
      </c>
      <c r="L1861" t="inlineStr">
        <is>
          <t>Unknown</t>
        </is>
      </c>
      <c r="T1861" t="inlineStr">
        <is>
          <t>https://mngl.in/uploads/pdf/Terms &amp; Conditions.pdf</t>
        </is>
      </c>
      <c r="U1861" t="inlineStr">
        <is>
          <t>No</t>
        </is>
      </c>
      <c r="V1861" t="inlineStr">
        <is>
          <t>Bot tarafindan tespit edildi (2026-07-01) | Bot enrich; date=2026-07-01; type=pdf; score=300</t>
        </is>
      </c>
    </row>
    <row r="1862">
      <c r="A1862" t="inlineStr">
        <is>
          <t>T-1666</t>
        </is>
      </c>
      <c r="B1862" t="inlineStr">
        <is>
          <t>Maharashtra Natural Gas (MNGL)</t>
        </is>
      </c>
      <c r="C1862" t="inlineStr">
        <is>
          <t>Maharashtra Natural Gas (MNGL)</t>
        </is>
      </c>
      <c r="F1862" t="inlineStr">
        <is>
          <t>New Lead</t>
        </is>
      </c>
      <c r="G1862" t="inlineStr">
        <is>
          <t>Unclassified</t>
        </is>
      </c>
      <c r="H1862" t="inlineStr">
        <is>
          <t>Instruction to Bidders</t>
        </is>
      </c>
      <c r="K1862" t="inlineStr">
        <is>
          <t>Not found</t>
        </is>
      </c>
      <c r="L1862" t="inlineStr">
        <is>
          <t>Unknown</t>
        </is>
      </c>
      <c r="T1862" t="inlineStr">
        <is>
          <t>https://mngl.in/vendor/instructions-to-bridders</t>
        </is>
      </c>
      <c r="U1862" t="inlineStr">
        <is>
          <t>No</t>
        </is>
      </c>
      <c r="V1862" t="inlineStr">
        <is>
          <t>Bot tarafindan tespit edildi (2026-07-01); Bot tespit/zenginlestirme (2026-07-01); meta:score=;priority=Low;source_type=html_link;closing_date=;equipment=Unclassified;reasons=</t>
        </is>
      </c>
    </row>
    <row r="1863">
      <c r="A1863" t="inlineStr">
        <is>
          <t>T-1667</t>
        </is>
      </c>
      <c r="B1863" t="inlineStr">
        <is>
          <t>Maharashtra Natural Gas (MNGL)</t>
        </is>
      </c>
      <c r="C1863" t="inlineStr">
        <is>
          <t>Maharashtra Natural Gas (MNGL)</t>
        </is>
      </c>
      <c r="F1863" t="inlineStr">
        <is>
          <t>New Lead</t>
        </is>
      </c>
      <c r="G1863" t="inlineStr">
        <is>
          <t>Unclassified</t>
        </is>
      </c>
      <c r="H1863" t="inlineStr">
        <is>
          <t>Active Tenders</t>
        </is>
      </c>
      <c r="K1863" t="inlineStr">
        <is>
          <t>Not found</t>
        </is>
      </c>
      <c r="L1863" t="inlineStr">
        <is>
          <t>Unknown</t>
        </is>
      </c>
      <c r="T1863" t="inlineStr">
        <is>
          <t>https://mngl.in/active-tenders</t>
        </is>
      </c>
      <c r="U1863" t="inlineStr">
        <is>
          <t>No</t>
        </is>
      </c>
      <c r="V1863" t="inlineStr">
        <is>
          <t>Bot tarafindan tespit edildi (2026-07-01); Bot tespit/zenginlestirme (2026-07-01); meta:score=;priority=Low;source_type=html_link;closing_date=;equipment=Unclassified;reasons=</t>
        </is>
      </c>
    </row>
    <row r="1864">
      <c r="A1864" t="inlineStr">
        <is>
          <t>T-1668</t>
        </is>
      </c>
      <c r="B1864" t="inlineStr">
        <is>
          <t>Maharashtra Natural Gas (MNGL)</t>
        </is>
      </c>
      <c r="C1864" t="inlineStr">
        <is>
          <t>Maharashtra Natural Gas (MNGL)</t>
        </is>
      </c>
      <c r="F1864" t="inlineStr">
        <is>
          <t>New Lead</t>
        </is>
      </c>
      <c r="G1864" t="inlineStr">
        <is>
          <t>Unclassified</t>
        </is>
      </c>
      <c r="H1864" t="inlineStr">
        <is>
          <t>NIT / EOI</t>
        </is>
      </c>
      <c r="K1864" t="inlineStr">
        <is>
          <t>Not found</t>
        </is>
      </c>
      <c r="L1864" t="inlineStr">
        <is>
          <t>Unknown</t>
        </is>
      </c>
      <c r="T1864" t="inlineStr">
        <is>
          <t>https://mngl.in/vendor/nit-eoi</t>
        </is>
      </c>
      <c r="U1864" t="inlineStr">
        <is>
          <t>No</t>
        </is>
      </c>
      <c r="V1864" t="inlineStr">
        <is>
          <t>Bot tarafindan tespit edildi (2026-07-01); Bot tespit/zenginlestirme (2026-07-01); meta:score=15;priority=Low;source_type=html_link;closing_date=;equipment=Unclassified;reasons=tender reference signal</t>
        </is>
      </c>
    </row>
    <row r="1865">
      <c r="A1865" t="inlineStr">
        <is>
          <t>T-1669</t>
        </is>
      </c>
      <c r="B1865" t="inlineStr">
        <is>
          <t>Maharashtra Natural Gas (MNGL)</t>
        </is>
      </c>
      <c r="C1865" t="inlineStr">
        <is>
          <t>Maharashtra Natural Gas (MNGL)</t>
        </is>
      </c>
      <c r="D1865" t="inlineStr">
        <is>
          <t>in/National-PNG/Kickstart</t>
        </is>
      </c>
      <c r="F1865" t="inlineStr">
        <is>
          <t>New Lead</t>
        </is>
      </c>
      <c r="G1865" t="inlineStr">
        <is>
          <t>Gas-related / review</t>
        </is>
      </c>
      <c r="H1865" t="inlineStr">
        <is>
          <t>Other major Initiatives</t>
        </is>
      </c>
      <c r="K1865" t="inlineStr">
        <is>
          <t>Not found</t>
        </is>
      </c>
      <c r="L1865" t="inlineStr">
        <is>
          <t>Unknown</t>
        </is>
      </c>
      <c r="T1865" t="inlineStr">
        <is>
          <t>https://mngl.in/National-PNG/Kickstart</t>
        </is>
      </c>
      <c r="U1865" t="inlineStr">
        <is>
          <t>No</t>
        </is>
      </c>
      <c r="V1865" t="inlineStr">
        <is>
          <t>Bot tarafindan tespit edildi (2026-07-01) | Bot enrich; date=2026-07-01; type=html; score=60; Bot tespit/zenginlestirme (2026-07-01); meta:score=30;priority=Low;source_type=html_link;closing_date=;equipment=Gas-related / review;reasons=equipment:Gas-related / review,tender reference signal; Bot clean extraction (2026-07-01); meta:score=28;priority=Low;source_type=html_link;closing_date=;equipment=Gas-related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1866">
      <c r="A1866" t="inlineStr">
        <is>
          <t>T-1670</t>
        </is>
      </c>
      <c r="B1866" t="inlineStr">
        <is>
          <t>Maharashtra Natural Gas (MNGL)</t>
        </is>
      </c>
      <c r="C1866" t="inlineStr">
        <is>
          <t>Maharashtra Natural Gas (MNGL)</t>
        </is>
      </c>
      <c r="D1866" t="inlineStr">
        <is>
          <t>gle/jVDsn2BwahBsfwN77</t>
        </is>
      </c>
      <c r="F1866" t="inlineStr">
        <is>
          <t>New Lead</t>
        </is>
      </c>
      <c r="G1866" t="inlineStr">
        <is>
          <t>RMS</t>
        </is>
      </c>
      <c r="H1866" t="inlineStr">
        <is>
          <t>Apply for PNG Gas – Hotels &amp; Restaurants</t>
        </is>
      </c>
      <c r="K1866" t="inlineStr">
        <is>
          <t>Not found</t>
        </is>
      </c>
      <c r="L1866" t="inlineStr">
        <is>
          <t>Unknown</t>
        </is>
      </c>
      <c r="T1866" t="inlineStr">
        <is>
          <t>https://forms.gle/jVDsn2BwahBsfwN77</t>
        </is>
      </c>
      <c r="U1866" t="inlineStr">
        <is>
          <t>No</t>
        </is>
      </c>
      <c r="V1866" t="inlineStr">
        <is>
          <t>Bot tarafindan tespit edildi (2026-07-01) | Bot enrich; date=2026-07-01; type=html; score=160;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67">
      <c r="A1867" t="inlineStr">
        <is>
          <t>T-1671</t>
        </is>
      </c>
      <c r="B1867" t="inlineStr">
        <is>
          <t>Maharashtra Natural Gas (MNGL)</t>
        </is>
      </c>
      <c r="C1867" t="inlineStr">
        <is>
          <t>Maharashtra Natural Gas (MNGL)</t>
        </is>
      </c>
      <c r="D1867" t="inlineStr">
        <is>
          <t>in/storage/170963/Tendernotice_1---2026-06-27T121607.775.pdf</t>
        </is>
      </c>
      <c r="F1867" t="inlineStr">
        <is>
          <t>New Lead</t>
        </is>
      </c>
      <c r="G1867" t="inlineStr">
        <is>
          <t>Unclassified</t>
        </is>
      </c>
      <c r="H1867" t="inlineStr">
        <is>
          <t>https://mngl.in/storage/170963/Tendernotice_1---2026-06-27T121607.775.pdf</t>
        </is>
      </c>
      <c r="K1867" t="inlineStr">
        <is>
          <t>Not found</t>
        </is>
      </c>
      <c r="L1867" t="inlineStr">
        <is>
          <t>Unknown</t>
        </is>
      </c>
      <c r="T1867" t="inlineStr">
        <is>
          <t>https://mngl.in/storage/170963/Tendernotice_1---2026-06-27T121607.775.pdf</t>
        </is>
      </c>
      <c r="U1867" t="inlineStr">
        <is>
          <t>No</t>
        </is>
      </c>
      <c r="V1867" t="inlineStr">
        <is>
          <t>Bot tarafindan tespit edildi (2026-07-01) | Bot enrich; date=2026-07-01; type=pdf; score=105; Bot tespit/zenginlestirme (2026-07-01); meta:score=35;priority=Low;source_type=html_table;closing_date=;equipment=Unclassified;reasons=document source,tender reference signal</t>
        </is>
      </c>
    </row>
    <row r="1868">
      <c r="A1868" t="inlineStr">
        <is>
          <t>T-1672</t>
        </is>
      </c>
      <c r="B1868" t="inlineStr">
        <is>
          <t>Maharashtra Natural Gas (MNGL)</t>
        </is>
      </c>
      <c r="C1868" t="inlineStr">
        <is>
          <t>Maharashtra Natural Gas (MNGL)</t>
        </is>
      </c>
      <c r="D1868" t="inlineStr">
        <is>
          <t>EOI Document</t>
        </is>
      </c>
      <c r="F1868" t="inlineStr">
        <is>
          <t>New Lead</t>
        </is>
      </c>
      <c r="G1868" t="inlineStr">
        <is>
          <t>Unclassified</t>
        </is>
      </c>
      <c r="H1868" t="inlineStr">
        <is>
          <t>https://mngl.in/storage/170196/EOI_Part1.pdf</t>
        </is>
      </c>
      <c r="K1868" t="inlineStr">
        <is>
          <t>Not found</t>
        </is>
      </c>
      <c r="L1868" t="inlineStr">
        <is>
          <t>Unknown</t>
        </is>
      </c>
      <c r="T1868" t="inlineStr">
        <is>
          <t>https://mngl.in/storage/170196/EOI_Part1.pdf</t>
        </is>
      </c>
      <c r="U1868" t="inlineStr">
        <is>
          <t>No</t>
        </is>
      </c>
      <c r="V1868" t="inlineStr">
        <is>
          <t>Bot tarafindan tespit edildi (2026-07-01) | Bot enrich; date=2026-07-01; type=pdf; score=125; Bot tespit/zenginlestirme (2026-07-01); meta:score=35;priority=Low;source_type=html_table;closing_date=;equipment=Unclassified;reasons=document source,tender reference signal</t>
        </is>
      </c>
    </row>
    <row r="1869">
      <c r="A1869" t="inlineStr">
        <is>
          <t>T-1673</t>
        </is>
      </c>
      <c r="B1869" t="inlineStr">
        <is>
          <t>Maharashtra Natural Gas (MNGL)</t>
        </is>
      </c>
      <c r="C1869" t="inlineStr">
        <is>
          <t>Maharashtra Natural Gas (MNGL)</t>
        </is>
      </c>
      <c r="D1869" t="inlineStr">
        <is>
          <t>EOI Document</t>
        </is>
      </c>
      <c r="F1869" t="inlineStr">
        <is>
          <t>New Lead</t>
        </is>
      </c>
      <c r="G1869" t="inlineStr">
        <is>
          <t>Unclassified</t>
        </is>
      </c>
      <c r="H1869" t="inlineStr">
        <is>
          <t>https://mngl.in/storage/170198/EOI_Part2.pdf</t>
        </is>
      </c>
      <c r="K1869" t="inlineStr">
        <is>
          <t>Not found</t>
        </is>
      </c>
      <c r="L1869" t="inlineStr">
        <is>
          <t>Unknown</t>
        </is>
      </c>
      <c r="T1869" t="inlineStr">
        <is>
          <t>https://mngl.in/storage/170198/EOI_Part2.pdf</t>
        </is>
      </c>
      <c r="U1869" t="inlineStr">
        <is>
          <t>No</t>
        </is>
      </c>
      <c r="V1869" t="inlineStr">
        <is>
          <t>Bot tarafindan tespit edildi (2026-07-01) | Bot enrich; date=2026-07-01; type=pdf; score=125; Bot tespit/zenginlestirme (2026-07-01); meta:score=35;priority=Low;source_type=html_table;closing_date=;equipment=Unclassified;reasons=document source,tender reference signal</t>
        </is>
      </c>
    </row>
    <row r="1870">
      <c r="A1870" t="inlineStr">
        <is>
          <t>T-1674</t>
        </is>
      </c>
      <c r="B1870" t="inlineStr">
        <is>
          <t>Maharashtra Natural Gas (MNGL)</t>
        </is>
      </c>
      <c r="C1870" t="inlineStr">
        <is>
          <t>Maharashtra Natural Gas (MNGL)</t>
        </is>
      </c>
      <c r="D1870" t="inlineStr">
        <is>
          <t>EOI Document</t>
        </is>
      </c>
      <c r="F1870" t="inlineStr">
        <is>
          <t>New Lead</t>
        </is>
      </c>
      <c r="G1870" t="inlineStr">
        <is>
          <t>Unclassified</t>
        </is>
      </c>
      <c r="H1870" t="inlineStr">
        <is>
          <t>https://mngl.in/storage/170200/EOI_Part3.pdf</t>
        </is>
      </c>
      <c r="K1870" t="inlineStr">
        <is>
          <t>Not found</t>
        </is>
      </c>
      <c r="L1870" t="inlineStr">
        <is>
          <t>Unknown</t>
        </is>
      </c>
      <c r="T1870" t="inlineStr">
        <is>
          <t>https://mngl.in/storage/170200/EOI_Part3.pdf</t>
        </is>
      </c>
      <c r="U1870" t="inlineStr">
        <is>
          <t>No</t>
        </is>
      </c>
      <c r="V1870" t="inlineStr">
        <is>
          <t>Bot tarafindan tespit edildi (2026-07-01) | Bot enrich; date=2026-07-01; type=pdf; score=125; Bot tespit/zenginlestirme (2026-07-01); meta:score=35;priority=Low;source_type=html_table;closing_date=;equipment=Unclassified;reasons=document source,tender reference signal</t>
        </is>
      </c>
    </row>
    <row r="1871">
      <c r="A1871" t="inlineStr">
        <is>
          <t>T-1675</t>
        </is>
      </c>
      <c r="B1871" t="inlineStr">
        <is>
          <t>Maharashtra Natural Gas (MNGL)</t>
        </is>
      </c>
      <c r="C1871" t="inlineStr">
        <is>
          <t>Maharashtra Natural Gas (MNGL)</t>
        </is>
      </c>
      <c r="D1871" t="inlineStr">
        <is>
          <t>EOI Document</t>
        </is>
      </c>
      <c r="E1871" t="inlineStr">
        <is>
          <t>2026-27/02</t>
        </is>
      </c>
      <c r="F1871" t="inlineStr">
        <is>
          <t>New Lead</t>
        </is>
      </c>
      <c r="G1871" t="inlineStr">
        <is>
          <t>Unclassified</t>
        </is>
      </c>
      <c r="H1871" t="inlineStr">
        <is>
          <t>https://mngl.in/storage/170201/BOQ.pdf</t>
        </is>
      </c>
      <c r="K1871" t="inlineStr">
        <is>
          <t>withinspecifiedschedule at no extra cost to MNGL. SupplyandinstallationofGIsleeve</t>
        </is>
      </c>
      <c r="L1871" t="inlineStr">
        <is>
          <t>Unknown</t>
        </is>
      </c>
      <c r="T1871" t="inlineStr">
        <is>
          <t>https://mngl.in/storage/170201/BOQ.pdf</t>
        </is>
      </c>
      <c r="U1871" t="inlineStr">
        <is>
          <t>No</t>
        </is>
      </c>
      <c r="V1871" t="inlineStr">
        <is>
          <t>Bot tarafindan tespit edildi (2026-07-01) | Bot enrich; date=2026-07-01; type=pdf; score=125; Bot tespit/zenginlestirme (2026-07-01); meta:score=55;priority=Medium;source_type=html_table;closing_date=;equipment=Unclassified;reasons=document source,commercial/price signal,tender reference signal</t>
        </is>
      </c>
    </row>
    <row r="1872">
      <c r="A1872" t="inlineStr">
        <is>
          <t>T-1676</t>
        </is>
      </c>
      <c r="B1872" t="inlineStr">
        <is>
          <t>Maharashtra Natural Gas (MNGL)</t>
        </is>
      </c>
      <c r="C1872" t="inlineStr">
        <is>
          <t>Maharashtra Natural Gas (MNGL)</t>
        </is>
      </c>
      <c r="D1872" t="inlineStr">
        <is>
          <t>EOI Document</t>
        </is>
      </c>
      <c r="F1872" t="inlineStr">
        <is>
          <t>New Lead</t>
        </is>
      </c>
      <c r="G1872" t="inlineStr">
        <is>
          <t>Unclassified</t>
        </is>
      </c>
      <c r="H1872" t="inlineStr">
        <is>
          <t>https://mngl.in/storage/170202/Drawings_EOI.pdf</t>
        </is>
      </c>
      <c r="K1872" t="inlineStr">
        <is>
          <t>Not found</t>
        </is>
      </c>
      <c r="L1872" t="inlineStr">
        <is>
          <t>Unknown</t>
        </is>
      </c>
      <c r="T1872" t="inlineStr">
        <is>
          <t>https://mngl.in/storage/170202/Drawings_EOI.pdf</t>
        </is>
      </c>
      <c r="U1872" t="inlineStr">
        <is>
          <t>No</t>
        </is>
      </c>
      <c r="V1872" t="inlineStr">
        <is>
          <t>Bot tarafindan tespit edildi (2026-07-01) | Bot enrich; date=2026-07-01; type=pdf; score=125; Bot tespit/zenginlestirme (2026-07-01); meta:score=35;priority=Low;source_type=html_table;closing_date=;equipment=Unclassified;reasons=document source,tender reference signal</t>
        </is>
      </c>
    </row>
    <row r="1873">
      <c r="A1873" t="inlineStr">
        <is>
          <t>T-1677</t>
        </is>
      </c>
      <c r="B1873" t="inlineStr">
        <is>
          <t>Maharashtra Natural Gas (MNGL)</t>
        </is>
      </c>
      <c r="C1873" t="inlineStr">
        <is>
          <t>Maharashtra Natural Gas (MNGL)</t>
        </is>
      </c>
      <c r="D1873" t="inlineStr">
        <is>
          <t>in/storage/170965/NIT_EOI_25062026.pdf</t>
        </is>
      </c>
      <c r="F1873" t="inlineStr">
        <is>
          <t>New Lead</t>
        </is>
      </c>
      <c r="G1873" t="inlineStr">
        <is>
          <t>Unclassified</t>
        </is>
      </c>
      <c r="H1873" t="inlineStr">
        <is>
          <t>https://mngl.in/storage/170965/NIT_EOI_25062026.pdf</t>
        </is>
      </c>
      <c r="K1873" t="inlineStr">
        <is>
          <t>Not found</t>
        </is>
      </c>
      <c r="L1873" t="inlineStr">
        <is>
          <t>Unknown</t>
        </is>
      </c>
      <c r="T1873" t="inlineStr">
        <is>
          <t>https://mngl.in/storage/170965/NIT_EOI_25062026.pdf</t>
        </is>
      </c>
      <c r="U1873" t="inlineStr">
        <is>
          <t>No</t>
        </is>
      </c>
      <c r="V1873" t="inlineStr">
        <is>
          <t>Bot tarafindan tespit edildi (2026-07-01) | Bot enrich; date=2026-07-01; type=pdf; score=105; Bot tespit/zenginlestirme (2026-07-01); meta:score=35;priority=Low;source_type=html_table;closing_date=;equipment=Unclassified;reasons=document source,tender reference signal</t>
        </is>
      </c>
    </row>
    <row r="1874">
      <c r="A1874" t="inlineStr">
        <is>
          <t>T-1678</t>
        </is>
      </c>
      <c r="B1874" t="inlineStr">
        <is>
          <t>Maharashtra Natural Gas (MNGL)</t>
        </is>
      </c>
      <c r="C1874" t="inlineStr">
        <is>
          <t>Maharashtra Natural Gas (MNGL)</t>
        </is>
      </c>
      <c r="D1874" t="inlineStr">
        <is>
          <t>in/storage/169918/Tendernotice_1---2026-06-23T212545.210.pdf</t>
        </is>
      </c>
      <c r="F1874" t="inlineStr">
        <is>
          <t>New Lead</t>
        </is>
      </c>
      <c r="G1874" t="inlineStr">
        <is>
          <t>Unclassified</t>
        </is>
      </c>
      <c r="H1874" t="inlineStr">
        <is>
          <t>https://mngl.in/storage/169918/Tendernotice_1---2026-06-23T212545.210.pdf</t>
        </is>
      </c>
      <c r="K1874" t="inlineStr">
        <is>
          <t>Not found</t>
        </is>
      </c>
      <c r="L1874" t="inlineStr">
        <is>
          <t>Unknown</t>
        </is>
      </c>
      <c r="T1874" t="inlineStr">
        <is>
          <t>https://mngl.in/storage/169918/Tendernotice_1---2026-06-23T212545.210.pdf</t>
        </is>
      </c>
      <c r="U1874" t="inlineStr">
        <is>
          <t>No</t>
        </is>
      </c>
      <c r="V1874" t="inlineStr">
        <is>
          <t>Bot tarafindan tespit edildi (2026-07-01) | Bot enrich; date=2026-07-01; type=pdf; score=105; Bot tespit/zenginlestirme (2026-07-01); meta:score=35;priority=Low;source_type=html_table;closing_date=;equipment=Unclassified;reasons=document source,tender reference signal</t>
        </is>
      </c>
    </row>
    <row r="1875">
      <c r="A1875" t="inlineStr">
        <is>
          <t>T-1679</t>
        </is>
      </c>
      <c r="B1875" t="inlineStr">
        <is>
          <t>Maharashtra Natural Gas (MNGL)</t>
        </is>
      </c>
      <c r="C1875" t="inlineStr">
        <is>
          <t>Maharashtra Natural Gas (MNGL)</t>
        </is>
      </c>
      <c r="D1875" t="inlineStr">
        <is>
          <t>in/storage/169917/Tendernotice_1---2026-06-23T212432.307.pdf</t>
        </is>
      </c>
      <c r="F1875" t="inlineStr">
        <is>
          <t>New Lead</t>
        </is>
      </c>
      <c r="G1875" t="inlineStr">
        <is>
          <t>Unclassified</t>
        </is>
      </c>
      <c r="H1875" t="inlineStr">
        <is>
          <t>https://mngl.in/storage/169917/Tendernotice_1---2026-06-23T212432.307.pdf</t>
        </is>
      </c>
      <c r="K1875" t="inlineStr">
        <is>
          <t>Not found</t>
        </is>
      </c>
      <c r="L1875" t="inlineStr">
        <is>
          <t>Unknown</t>
        </is>
      </c>
      <c r="T1875" t="inlineStr">
        <is>
          <t>https://mngl.in/storage/169917/Tendernotice_1---2026-06-23T212432.307.pdf</t>
        </is>
      </c>
      <c r="U1875" t="inlineStr">
        <is>
          <t>No</t>
        </is>
      </c>
      <c r="V1875" t="inlineStr">
        <is>
          <t>Bot tarafindan tespit edildi (2026-07-01) | Bot enrich; date=2026-07-01; type=pdf; score=105; Bot tespit/zenginlestirme (2026-07-01); meta:score=35;priority=Low;source_type=html_table;closing_date=;equipment=Unclassified;reasons=document source,tender reference signal</t>
        </is>
      </c>
    </row>
    <row r="1876">
      <c r="A1876" t="inlineStr">
        <is>
          <t>T-1680</t>
        </is>
      </c>
      <c r="B1876" t="inlineStr">
        <is>
          <t>Maharashtra Natural Gas (MNGL)</t>
        </is>
      </c>
      <c r="C1876" t="inlineStr">
        <is>
          <t>Maharashtra Natural Gas (MNGL)</t>
        </is>
      </c>
      <c r="D1876" t="inlineStr">
        <is>
          <t>in/storage/169915/Tendernotice_1---2026-06-23T212306.050.pdf</t>
        </is>
      </c>
      <c r="F1876" t="inlineStr">
        <is>
          <t>New Lead</t>
        </is>
      </c>
      <c r="G1876" t="inlineStr">
        <is>
          <t>Unclassified</t>
        </is>
      </c>
      <c r="H1876" t="inlineStr">
        <is>
          <t>https://mngl.in/storage/169915/Tendernotice_1---2026-06-23T212306.050.pdf</t>
        </is>
      </c>
      <c r="K1876" t="inlineStr">
        <is>
          <t>Not found</t>
        </is>
      </c>
      <c r="L1876" t="inlineStr">
        <is>
          <t>Unknown</t>
        </is>
      </c>
      <c r="T1876" t="inlineStr">
        <is>
          <t>https://mngl.in/storage/169915/Tendernotice_1---2026-06-23T212306.050.pdf</t>
        </is>
      </c>
      <c r="U1876" t="inlineStr">
        <is>
          <t>No</t>
        </is>
      </c>
      <c r="V1876" t="inlineStr">
        <is>
          <t>Bot tarafindan tespit edildi (2026-07-01) | Bot enrich; date=2026-07-01; type=pdf; score=105; Bot tespit/zenginlestirme (2026-07-01); meta:score=35;priority=Low;source_type=html_table;closing_date=;equipment=Unclassified;reasons=document source,tender reference signal</t>
        </is>
      </c>
    </row>
    <row r="1877">
      <c r="A1877" t="inlineStr">
        <is>
          <t>T-1681</t>
        </is>
      </c>
      <c r="B1877" t="inlineStr">
        <is>
          <t>Maharashtra Natural Gas (MNGL)</t>
        </is>
      </c>
      <c r="C1877" t="inlineStr">
        <is>
          <t>Maharashtra Natural Gas (MNGL)</t>
        </is>
      </c>
      <c r="D1877" t="inlineStr">
        <is>
          <t>in/storage/169910/Tendernotice_1---2026-06-23T211951.309.pdf</t>
        </is>
      </c>
      <c r="F1877" t="inlineStr">
        <is>
          <t>New Lead</t>
        </is>
      </c>
      <c r="G1877" t="inlineStr">
        <is>
          <t>Unclassified</t>
        </is>
      </c>
      <c r="H1877" t="inlineStr">
        <is>
          <t>https://mngl.in/storage/169910/Tendernotice_1---2026-06-23T211951.309.pdf</t>
        </is>
      </c>
      <c r="K1877" t="inlineStr">
        <is>
          <t>Not found</t>
        </is>
      </c>
      <c r="L1877" t="inlineStr">
        <is>
          <t>Unknown</t>
        </is>
      </c>
      <c r="T1877" t="inlineStr">
        <is>
          <t>https://mngl.in/storage/169910/Tendernotice_1---2026-06-23T211951.309.pdf</t>
        </is>
      </c>
      <c r="U1877" t="inlineStr">
        <is>
          <t>No</t>
        </is>
      </c>
      <c r="V1877" t="inlineStr">
        <is>
          <t>Bot tarafindan tespit edildi (2026-07-01) | Bot enrich; date=2026-07-01; type=pdf; score=105; Bot tespit/zenginlestirme (2026-07-01); meta:score=35;priority=Low;source_type=html_table;closing_date=;equipment=Unclassified;reasons=document source,tender reference signal</t>
        </is>
      </c>
    </row>
    <row r="1878">
      <c r="A1878" t="inlineStr">
        <is>
          <t>T-1682</t>
        </is>
      </c>
      <c r="B1878" t="inlineStr">
        <is>
          <t>Maharashtra Natural Gas (MNGL)</t>
        </is>
      </c>
      <c r="C1878" t="inlineStr">
        <is>
          <t>Maharashtra Natural Gas (MNGL)</t>
        </is>
      </c>
      <c r="D1878" t="inlineStr">
        <is>
          <t>in/storage/169907/Tendernotice_1---2026-06-23T211730.873.pdf</t>
        </is>
      </c>
      <c r="F1878" t="inlineStr">
        <is>
          <t>New Lead</t>
        </is>
      </c>
      <c r="G1878" t="inlineStr">
        <is>
          <t>Unclassified</t>
        </is>
      </c>
      <c r="H1878" t="inlineStr">
        <is>
          <t>https://mngl.in/storage/169907/Tendernotice_1---2026-06-23T211730.873.pdf</t>
        </is>
      </c>
      <c r="K1878" t="inlineStr">
        <is>
          <t>Not found</t>
        </is>
      </c>
      <c r="L1878" t="inlineStr">
        <is>
          <t>Unknown</t>
        </is>
      </c>
      <c r="T1878" t="inlineStr">
        <is>
          <t>https://mngl.in/storage/169907/Tendernotice_1---2026-06-23T211730.873.pdf</t>
        </is>
      </c>
      <c r="U1878" t="inlineStr">
        <is>
          <t>No</t>
        </is>
      </c>
      <c r="V1878" t="inlineStr">
        <is>
          <t>Bot tarafindan tespit edildi (2026-07-01) | Bot enrich; date=2026-07-01; type=pdf; score=105; Bot tespit/zenginlestirme (2026-07-01); meta:score=35;priority=Low;source_type=html_table;closing_date=;equipment=Unclassified;reasons=document source,tender reference signal</t>
        </is>
      </c>
    </row>
    <row r="1879">
      <c r="A1879" t="inlineStr">
        <is>
          <t>T-1683</t>
        </is>
      </c>
      <c r="B1879" t="inlineStr">
        <is>
          <t>Maharashtra Natural Gas (MNGL)</t>
        </is>
      </c>
      <c r="C1879" t="inlineStr">
        <is>
          <t>Maharashtra Natural Gas (MNGL)</t>
        </is>
      </c>
      <c r="D1879" t="inlineStr">
        <is>
          <t>in/storage/166938/Tendernotice_1---2026-06-13T195430.314.pdf</t>
        </is>
      </c>
      <c r="F1879" t="inlineStr">
        <is>
          <t>New Lead</t>
        </is>
      </c>
      <c r="G1879" t="inlineStr">
        <is>
          <t>Unclassified</t>
        </is>
      </c>
      <c r="H1879" t="inlineStr">
        <is>
          <t>https://mngl.in/storage/166938/Tendernotice_1---2026-06-13T195430.314.pdf</t>
        </is>
      </c>
      <c r="K1879" t="inlineStr">
        <is>
          <t>Not found</t>
        </is>
      </c>
      <c r="L1879" t="inlineStr">
        <is>
          <t>Unknown</t>
        </is>
      </c>
      <c r="T1879" t="inlineStr">
        <is>
          <t>https://mngl.in/storage/166938/Tendernotice_1---2026-06-13T195430.314.pdf</t>
        </is>
      </c>
      <c r="U1879" t="inlineStr">
        <is>
          <t>No</t>
        </is>
      </c>
      <c r="V1879" t="inlineStr">
        <is>
          <t>Bot tarafindan tespit edildi (2026-07-01) | Bot enrich; date=2026-07-01; type=pdf; score=105; Bot tespit/zenginlestirme (2026-07-01); meta:score=35;priority=Low;source_type=html_table;closing_date=;equipment=Unclassified;reasons=document source,tender reference signal</t>
        </is>
      </c>
    </row>
    <row r="1880">
      <c r="A1880" t="inlineStr">
        <is>
          <t>T-1684</t>
        </is>
      </c>
      <c r="B1880" t="inlineStr">
        <is>
          <t>Maharashtra Natural Gas (MNGL)</t>
        </is>
      </c>
      <c r="C1880" t="inlineStr">
        <is>
          <t>Maharashtra Natural Gas (MNGL)</t>
        </is>
      </c>
      <c r="D1880" t="inlineStr">
        <is>
          <t>in/storage/166936/Tendernotice_1---2026-06-13T195306.212.pdf</t>
        </is>
      </c>
      <c r="F1880" t="inlineStr">
        <is>
          <t>New Lead</t>
        </is>
      </c>
      <c r="G1880" t="inlineStr">
        <is>
          <t>Unclassified</t>
        </is>
      </c>
      <c r="H1880" t="inlineStr">
        <is>
          <t>https://mngl.in/storage/166936/Tendernotice_1---2026-06-13T195306.212.pdf</t>
        </is>
      </c>
      <c r="K1880" t="inlineStr">
        <is>
          <t>Not found</t>
        </is>
      </c>
      <c r="L1880" t="inlineStr">
        <is>
          <t>Unknown</t>
        </is>
      </c>
      <c r="T1880" t="inlineStr">
        <is>
          <t>https://mngl.in/storage/166936/Tendernotice_1---2026-06-13T195306.212.pdf</t>
        </is>
      </c>
      <c r="U1880" t="inlineStr">
        <is>
          <t>No</t>
        </is>
      </c>
      <c r="V1880" t="inlineStr">
        <is>
          <t>Bot tarafindan tespit edildi (2026-07-01) | Bot enrich; date=2026-07-01; type=pdf; score=105; Bot tespit/zenginlestirme (2026-07-01); meta:score=35;priority=Low;source_type=html_table;closing_date=;equipment=Unclassified;reasons=document source,tender reference signal</t>
        </is>
      </c>
    </row>
    <row r="1881">
      <c r="A1881" t="inlineStr">
        <is>
          <t>T-1685</t>
        </is>
      </c>
      <c r="B1881" t="inlineStr">
        <is>
          <t>Maharashtra Natural Gas (MNGL)</t>
        </is>
      </c>
      <c r="C1881" t="inlineStr">
        <is>
          <t>Maharashtra Natural Gas (MNGL)</t>
        </is>
      </c>
      <c r="D1881" t="inlineStr">
        <is>
          <t>in/storage/166933/Tendernotice_1_47.pdf</t>
        </is>
      </c>
      <c r="F1881" t="inlineStr">
        <is>
          <t>New Lead</t>
        </is>
      </c>
      <c r="G1881" t="inlineStr">
        <is>
          <t>Unclassified</t>
        </is>
      </c>
      <c r="H1881" t="inlineStr">
        <is>
          <t>https://mngl.in/storage/166933/Tendernotice_1_47.pdf</t>
        </is>
      </c>
      <c r="K1881" t="inlineStr">
        <is>
          <t>Not found</t>
        </is>
      </c>
      <c r="L1881" t="inlineStr">
        <is>
          <t>Unknown</t>
        </is>
      </c>
      <c r="T1881" t="inlineStr">
        <is>
          <t>https://mngl.in/storage/166933/Tendernotice_1_47.pdf</t>
        </is>
      </c>
      <c r="U1881" t="inlineStr">
        <is>
          <t>No</t>
        </is>
      </c>
      <c r="V1881" t="inlineStr">
        <is>
          <t>Bot tarafindan tespit edildi (2026-07-01) | Bot enrich; date=2026-07-01; type=pdf; score=105; Bot tespit/zenginlestirme (2026-07-01); meta:score=35;priority=Low;source_type=html_table;closing_date=;equipment=Unclassified;reasons=document source,tender reference signal</t>
        </is>
      </c>
    </row>
    <row r="1882">
      <c r="A1882" t="inlineStr">
        <is>
          <t>T-1686</t>
        </is>
      </c>
      <c r="B1882" t="inlineStr">
        <is>
          <t>Maharashtra Natural Gas (MNGL)</t>
        </is>
      </c>
      <c r="C1882" t="inlineStr">
        <is>
          <t>Maharashtra Natural Gas (MNGL)</t>
        </is>
      </c>
      <c r="D1882" t="inlineStr">
        <is>
          <t>in/storage/164607/Tendernotice_1---2026-06-05T095310.087.pdf</t>
        </is>
      </c>
      <c r="F1882" t="inlineStr">
        <is>
          <t>New Lead</t>
        </is>
      </c>
      <c r="G1882" t="inlineStr">
        <is>
          <t>Unclassified</t>
        </is>
      </c>
      <c r="H1882" t="inlineStr">
        <is>
          <t>https://mngl.in/storage/164607/Tendernotice_1---2026-06-05T095310.087.pdf</t>
        </is>
      </c>
      <c r="K1882" t="inlineStr">
        <is>
          <t>Not found</t>
        </is>
      </c>
      <c r="L1882" t="inlineStr">
        <is>
          <t>Unknown</t>
        </is>
      </c>
      <c r="T1882" t="inlineStr">
        <is>
          <t>https://mngl.in/storage/164607/Tendernotice_1---2026-06-05T095310.087.pdf</t>
        </is>
      </c>
      <c r="U1882" t="inlineStr">
        <is>
          <t>No</t>
        </is>
      </c>
      <c r="V1882" t="inlineStr">
        <is>
          <t>Bot tarafindan tespit edildi (2026-07-01) | Bot enrich; date=2026-07-01; type=pdf; score=105; Bot tespit/zenginlestirme (2026-07-01); meta:score=35;priority=Low;source_type=html_table;closing_date=;equipment=Unclassified;reasons=document source,tender reference signal</t>
        </is>
      </c>
    </row>
    <row r="1883">
      <c r="A1883" t="inlineStr">
        <is>
          <t>T-1687</t>
        </is>
      </c>
      <c r="B1883" t="inlineStr">
        <is>
          <t>Maharashtra Natural Gas (MNGL)</t>
        </is>
      </c>
      <c r="C1883" t="inlineStr">
        <is>
          <t>Maharashtra Natural Gas (MNGL)</t>
        </is>
      </c>
      <c r="D1883" t="inlineStr">
        <is>
          <t>in/storage/162981/Tendernotice_44.pdf</t>
        </is>
      </c>
      <c r="F1883" t="inlineStr">
        <is>
          <t>New Lead</t>
        </is>
      </c>
      <c r="G1883" t="inlineStr">
        <is>
          <t>Unclassified</t>
        </is>
      </c>
      <c r="H1883" t="inlineStr">
        <is>
          <t>https://mngl.in/storage/162981/Tendernotice_44.pdf</t>
        </is>
      </c>
      <c r="K1883" t="inlineStr">
        <is>
          <t>Not found</t>
        </is>
      </c>
      <c r="L1883" t="inlineStr">
        <is>
          <t>Unknown</t>
        </is>
      </c>
      <c r="T1883" t="inlineStr">
        <is>
          <t>https://mngl.in/storage/162981/Tendernotice_44.pdf</t>
        </is>
      </c>
      <c r="U1883" t="inlineStr">
        <is>
          <t>No</t>
        </is>
      </c>
      <c r="V1883" t="inlineStr">
        <is>
          <t>Bot tarafindan tespit edildi (2026-07-01) | Bot enrich; date=2026-07-01; type=pdf; score=105; Bot tespit/zenginlestirme (2026-07-01); meta:score=35;priority=Low;source_type=html_table;closing_date=;equipment=Unclassified;reasons=document source,tender reference signal</t>
        </is>
      </c>
    </row>
    <row r="1884">
      <c r="A1884" t="inlineStr">
        <is>
          <t>T-1688</t>
        </is>
      </c>
      <c r="B1884" t="inlineStr">
        <is>
          <t>Maharashtra Natural Gas (MNGL)</t>
        </is>
      </c>
      <c r="C1884" t="inlineStr">
        <is>
          <t>Maharashtra Natural Gas (MNGL)</t>
        </is>
      </c>
      <c r="D1884" t="inlineStr">
        <is>
          <t>in/storage/162650/Tendernotice_1---2026-05-28T141455.080.pdf</t>
        </is>
      </c>
      <c r="F1884" t="inlineStr">
        <is>
          <t>New Lead</t>
        </is>
      </c>
      <c r="G1884" t="inlineStr">
        <is>
          <t>Unclassified</t>
        </is>
      </c>
      <c r="H1884" t="inlineStr">
        <is>
          <t>https://mngl.in/storage/162650/Tendernotice_1---2026-05-28T141455.080.pdf</t>
        </is>
      </c>
      <c r="K1884" t="inlineStr">
        <is>
          <t>Not found</t>
        </is>
      </c>
      <c r="L1884" t="inlineStr">
        <is>
          <t>Unknown</t>
        </is>
      </c>
      <c r="T1884" t="inlineStr">
        <is>
          <t>https://mngl.in/storage/162650/Tendernotice_1---2026-05-28T141455.080.pdf</t>
        </is>
      </c>
      <c r="U1884" t="inlineStr">
        <is>
          <t>No</t>
        </is>
      </c>
      <c r="V1884" t="inlineStr">
        <is>
          <t>Bot tarafindan tespit edildi (2026-07-01) | Bot enrich; date=2026-07-01; type=pdf; score=105; Bot tespit/zenginlestirme (2026-07-01); meta:score=35;priority=Low;source_type=html_table;closing_date=;equipment=Unclassified;reasons=document source,tender reference signal</t>
        </is>
      </c>
    </row>
    <row r="1885">
      <c r="A1885" t="inlineStr">
        <is>
          <t>T-1689</t>
        </is>
      </c>
      <c r="B1885" t="inlineStr">
        <is>
          <t>Maharashtra Natural Gas (MNGL)</t>
        </is>
      </c>
      <c r="C1885" t="inlineStr">
        <is>
          <t>Maharashtra Natural Gas (MNGL)</t>
        </is>
      </c>
      <c r="D1885" t="inlineStr">
        <is>
          <t>in/storage/162648/Tendernotice_1---2026-05-28T141323.934.pdf</t>
        </is>
      </c>
      <c r="F1885" t="inlineStr">
        <is>
          <t>New Lead</t>
        </is>
      </c>
      <c r="G1885" t="inlineStr">
        <is>
          <t>Unclassified</t>
        </is>
      </c>
      <c r="H1885" t="inlineStr">
        <is>
          <t>https://mngl.in/storage/162648/Tendernotice_1---2026-05-28T141323.934.pdf</t>
        </is>
      </c>
      <c r="K1885" t="inlineStr">
        <is>
          <t>Not found</t>
        </is>
      </c>
      <c r="L1885" t="inlineStr">
        <is>
          <t>Unknown</t>
        </is>
      </c>
      <c r="T1885" t="inlineStr">
        <is>
          <t>https://mngl.in/storage/162648/Tendernotice_1---2026-05-28T141323.934.pdf</t>
        </is>
      </c>
      <c r="U1885" t="inlineStr">
        <is>
          <t>No</t>
        </is>
      </c>
      <c r="V1885" t="inlineStr">
        <is>
          <t>Bot tarafindan tespit edildi (2026-07-01) | Bot enrich; date=2026-07-01; type=pdf; score=105; Bot tespit/zenginlestirme (2026-07-01); meta:score=35;priority=Low;source_type=html_table;closing_date=;equipment=Unclassified;reasons=document source,tender reference signal</t>
        </is>
      </c>
    </row>
    <row r="1886">
      <c r="A1886" t="inlineStr">
        <is>
          <t>T-1690</t>
        </is>
      </c>
      <c r="B1886" t="inlineStr">
        <is>
          <t>Maharashtra Natural Gas (MNGL)</t>
        </is>
      </c>
      <c r="C1886" t="inlineStr">
        <is>
          <t>Maharashtra Natural Gas (MNGL)</t>
        </is>
      </c>
      <c r="D1886" t="inlineStr">
        <is>
          <t>in/storage/160297/Tendernotice_1---2026-05-18T115136.428.pdf</t>
        </is>
      </c>
      <c r="F1886" t="inlineStr">
        <is>
          <t>New Lead</t>
        </is>
      </c>
      <c r="G1886" t="inlineStr">
        <is>
          <t>Unclassified</t>
        </is>
      </c>
      <c r="H1886" t="inlineStr">
        <is>
          <t>https://mngl.in/storage/160297/Tendernotice_1---2026-05-18T115136.428.pdf</t>
        </is>
      </c>
      <c r="K1886" t="inlineStr">
        <is>
          <t>Not found</t>
        </is>
      </c>
      <c r="L1886" t="inlineStr">
        <is>
          <t>Unknown</t>
        </is>
      </c>
      <c r="T1886" t="inlineStr">
        <is>
          <t>https://mngl.in/storage/160297/Tendernotice_1---2026-05-18T115136.428.pdf</t>
        </is>
      </c>
      <c r="U1886" t="inlineStr">
        <is>
          <t>No</t>
        </is>
      </c>
      <c r="V1886" t="inlineStr">
        <is>
          <t>Bot tarafindan tespit edildi (2026-07-01) | Bot enrich; date=2026-07-01; type=pdf; score=105; Bot tespit/zenginlestirme (2026-07-01); meta:score=35;priority=Low;source_type=html_table;closing_date=;equipment=Unclassified;reasons=document source,tender reference signal</t>
        </is>
      </c>
    </row>
    <row r="1887">
      <c r="A1887" t="inlineStr">
        <is>
          <t>T-1691</t>
        </is>
      </c>
      <c r="B1887" t="inlineStr">
        <is>
          <t>Maharashtra Natural Gas (MNGL)</t>
        </is>
      </c>
      <c r="C1887" t="inlineStr">
        <is>
          <t>Maharashtra Natural Gas (MNGL)</t>
        </is>
      </c>
      <c r="D1887" t="inlineStr">
        <is>
          <t>in/storage/157178/Tendernotice_1---2026-05-01T105736.176.pdf</t>
        </is>
      </c>
      <c r="F1887" t="inlineStr">
        <is>
          <t>New Lead</t>
        </is>
      </c>
      <c r="G1887" t="inlineStr">
        <is>
          <t>Unclassified</t>
        </is>
      </c>
      <c r="H1887" t="inlineStr">
        <is>
          <t>https://mngl.in/storage/157178/Tendernotice_1---2026-05-01T105736.176.pdf</t>
        </is>
      </c>
      <c r="K1887" t="inlineStr">
        <is>
          <t>Not found</t>
        </is>
      </c>
      <c r="L1887" t="inlineStr">
        <is>
          <t>Unknown</t>
        </is>
      </c>
      <c r="T1887" t="inlineStr">
        <is>
          <t>https://mngl.in/storage/157178/Tendernotice_1---2026-05-01T105736.176.pdf</t>
        </is>
      </c>
      <c r="U1887" t="inlineStr">
        <is>
          <t>No</t>
        </is>
      </c>
      <c r="V1887" t="inlineStr">
        <is>
          <t>Bot tarafindan tespit edildi (2026-07-01) | Bot enrich; date=2026-07-01; type=pdf; score=105; Bot tespit/zenginlestirme (2026-07-01); meta:score=35;priority=Low;source_type=html_table;closing_date=;equipment=Unclassified;reasons=document source,tender reference signal</t>
        </is>
      </c>
    </row>
    <row r="1888">
      <c r="A1888" t="inlineStr">
        <is>
          <t>T-1692</t>
        </is>
      </c>
      <c r="B1888" t="inlineStr">
        <is>
          <t>Maharashtra Natural Gas (MNGL)</t>
        </is>
      </c>
      <c r="C1888" t="inlineStr">
        <is>
          <t>Maharashtra Natural Gas (MNGL)</t>
        </is>
      </c>
      <c r="D1888" t="inlineStr">
        <is>
          <t>in/storage/157106/Tendernotice_1---2026-04-30T210931.652.pdf</t>
        </is>
      </c>
      <c r="F1888" t="inlineStr">
        <is>
          <t>New Lead</t>
        </is>
      </c>
      <c r="G1888" t="inlineStr">
        <is>
          <t>Unclassified</t>
        </is>
      </c>
      <c r="H1888" t="inlineStr">
        <is>
          <t>https://mngl.in/storage/157106/Tendernotice_1---2026-04-30T210931.652.pdf</t>
        </is>
      </c>
      <c r="K1888" t="inlineStr">
        <is>
          <t>Not found</t>
        </is>
      </c>
      <c r="L1888" t="inlineStr">
        <is>
          <t>Unknown</t>
        </is>
      </c>
      <c r="T1888" t="inlineStr">
        <is>
          <t>https://mngl.in/storage/157106/Tendernotice_1---2026-04-30T210931.652.pdf</t>
        </is>
      </c>
      <c r="U1888" t="inlineStr">
        <is>
          <t>No</t>
        </is>
      </c>
      <c r="V1888" t="inlineStr">
        <is>
          <t>Bot tarafindan tespit edildi (2026-07-01) | Bot enrich; date=2026-07-01; type=pdf; score=105; Bot tespit/zenginlestirme (2026-07-01); meta:score=35;priority=Low;source_type=html_table;closing_date=;equipment=Unclassified;reasons=document source,tender reference signal</t>
        </is>
      </c>
    </row>
    <row r="1889">
      <c r="A1889" t="inlineStr">
        <is>
          <t>T-1693</t>
        </is>
      </c>
      <c r="B1889" t="inlineStr">
        <is>
          <t>Maharashtra Natural Gas (MNGL)</t>
        </is>
      </c>
      <c r="C1889" t="inlineStr">
        <is>
          <t>Maharashtra Natural Gas (MNGL)</t>
        </is>
      </c>
      <c r="D1889" t="inlineStr">
        <is>
          <t>in/storage/157101/Tendernotice_1---2026-04-30T210108.396.pdf</t>
        </is>
      </c>
      <c r="F1889" t="inlineStr">
        <is>
          <t>New Lead</t>
        </is>
      </c>
      <c r="G1889" t="inlineStr">
        <is>
          <t>Unclassified</t>
        </is>
      </c>
      <c r="H1889" t="inlineStr">
        <is>
          <t>https://mngl.in/storage/157101/Tendernotice_1---2026-04-30T210108.396.pdf</t>
        </is>
      </c>
      <c r="K1889" t="inlineStr">
        <is>
          <t>Not found</t>
        </is>
      </c>
      <c r="L1889" t="inlineStr">
        <is>
          <t>Unknown</t>
        </is>
      </c>
      <c r="T1889" t="inlineStr">
        <is>
          <t>https://mngl.in/storage/157101/Tendernotice_1---2026-04-30T210108.396.pdf</t>
        </is>
      </c>
      <c r="U1889" t="inlineStr">
        <is>
          <t>No</t>
        </is>
      </c>
      <c r="V1889" t="inlineStr">
        <is>
          <t>Bot tarafindan tespit edildi (2026-07-01) | Bot enrich; date=2026-07-01; type=pdf; score=105; Bot tespit/zenginlestirme (2026-07-01); meta:score=35;priority=Low;source_type=html_table;closing_date=;equipment=Unclassified;reasons=document source,tender reference signal</t>
        </is>
      </c>
    </row>
    <row r="1890">
      <c r="A1890" t="inlineStr">
        <is>
          <t>T-1694</t>
        </is>
      </c>
      <c r="B1890" t="inlineStr">
        <is>
          <t>Maharashtra Natural Gas (MNGL)</t>
        </is>
      </c>
      <c r="C1890" t="inlineStr">
        <is>
          <t>Maharashtra Natural Gas (MNGL)</t>
        </is>
      </c>
      <c r="D1890" t="inlineStr">
        <is>
          <t>in/storage/157100/Tendernotice_1---2026-04-30T205716.902.pdf</t>
        </is>
      </c>
      <c r="F1890" t="inlineStr">
        <is>
          <t>New Lead</t>
        </is>
      </c>
      <c r="G1890" t="inlineStr">
        <is>
          <t>Unclassified</t>
        </is>
      </c>
      <c r="H1890" t="inlineStr">
        <is>
          <t>https://mngl.in/storage/157100/Tendernotice_1---2026-04-30T205716.902.pdf</t>
        </is>
      </c>
      <c r="K1890" t="inlineStr">
        <is>
          <t>Not found</t>
        </is>
      </c>
      <c r="L1890" t="inlineStr">
        <is>
          <t>Unknown</t>
        </is>
      </c>
      <c r="T1890" t="inlineStr">
        <is>
          <t>https://mngl.in/storage/157100/Tendernotice_1---2026-04-30T205716.902.pdf</t>
        </is>
      </c>
      <c r="U1890" t="inlineStr">
        <is>
          <t>No</t>
        </is>
      </c>
      <c r="V1890" t="inlineStr">
        <is>
          <t>Bot tarafindan tespit edildi (2026-07-01) | Bot enrich; date=2026-07-01; type=pdf; score=105; Bot tespit/zenginlestirme (2026-07-01); meta:score=35;priority=Low;source_type=html_table;closing_date=;equipment=Unclassified;reasons=document source,tender reference signal</t>
        </is>
      </c>
    </row>
    <row r="1891">
      <c r="A1891" t="inlineStr">
        <is>
          <t>T-1695</t>
        </is>
      </c>
      <c r="B1891" t="inlineStr">
        <is>
          <t>Maharashtra Natural Gas (MNGL)</t>
        </is>
      </c>
      <c r="C1891" t="inlineStr">
        <is>
          <t>Maharashtra Natural Gas (MNGL)</t>
        </is>
      </c>
      <c r="D1891" t="inlineStr">
        <is>
          <t>in/storage/155755/Tendernotice_1---2026-04-24T124247.981.pdf</t>
        </is>
      </c>
      <c r="F1891" t="inlineStr">
        <is>
          <t>New Lead</t>
        </is>
      </c>
      <c r="G1891" t="inlineStr">
        <is>
          <t>Unclassified</t>
        </is>
      </c>
      <c r="H1891" t="inlineStr">
        <is>
          <t>https://mngl.in/storage/155755/Tendernotice_1---2026-04-24T124247.981.pdf</t>
        </is>
      </c>
      <c r="K1891" t="inlineStr">
        <is>
          <t>Not found</t>
        </is>
      </c>
      <c r="L1891" t="inlineStr">
        <is>
          <t>Unknown</t>
        </is>
      </c>
      <c r="T1891" t="inlineStr">
        <is>
          <t>https://mngl.in/storage/155755/Tendernotice_1---2026-04-24T124247.981.pdf</t>
        </is>
      </c>
      <c r="U1891" t="inlineStr">
        <is>
          <t>No</t>
        </is>
      </c>
      <c r="V1891" t="inlineStr">
        <is>
          <t>Bot tarafindan tespit edildi (2026-07-01) | Bot enrich; date=2026-07-01; type=pdf; score=105; Bot tespit/zenginlestirme (2026-07-01); meta:score=35;priority=Low;source_type=html_table;closing_date=;equipment=Unclassified;reasons=document source,tender reference signal</t>
        </is>
      </c>
    </row>
    <row r="1892">
      <c r="A1892" t="inlineStr">
        <is>
          <t>T-1696</t>
        </is>
      </c>
      <c r="B1892" t="inlineStr">
        <is>
          <t>Maharashtra Natural Gas (MNGL)</t>
        </is>
      </c>
      <c r="C1892" t="inlineStr">
        <is>
          <t>Maharashtra Natural Gas (MNGL)</t>
        </is>
      </c>
      <c r="D1892" t="inlineStr">
        <is>
          <t>in/storage/155276/Tendernotice_1---2026-04-22T083429.316.pdf</t>
        </is>
      </c>
      <c r="F1892" t="inlineStr">
        <is>
          <t>New Lead</t>
        </is>
      </c>
      <c r="G1892" t="inlineStr">
        <is>
          <t>Unclassified</t>
        </is>
      </c>
      <c r="H1892" t="inlineStr">
        <is>
          <t>https://mngl.in/storage/155276/Tendernotice_1---2026-04-22T083429.316.pdf</t>
        </is>
      </c>
      <c r="K1892" t="inlineStr">
        <is>
          <t>Not found</t>
        </is>
      </c>
      <c r="L1892" t="inlineStr">
        <is>
          <t>Unknown</t>
        </is>
      </c>
      <c r="T1892" t="inlineStr">
        <is>
          <t>https://mngl.in/storage/155276/Tendernotice_1---2026-04-22T083429.316.pdf</t>
        </is>
      </c>
      <c r="U1892" t="inlineStr">
        <is>
          <t>No</t>
        </is>
      </c>
      <c r="V1892" t="inlineStr">
        <is>
          <t>Bot tarafindan tespit edildi (2026-07-01) | Bot enrich; date=2026-07-01; type=pdf; score=105; Bot tespit/zenginlestirme (2026-07-01); meta:score=35;priority=Low;source_type=html_table;closing_date=;equipment=Unclassified;reasons=document source,tender reference signal</t>
        </is>
      </c>
    </row>
    <row r="1893">
      <c r="A1893" t="inlineStr">
        <is>
          <t>T-1697</t>
        </is>
      </c>
      <c r="B1893" t="inlineStr">
        <is>
          <t>Maharashtra Natural Gas (MNGL)</t>
        </is>
      </c>
      <c r="C1893" t="inlineStr">
        <is>
          <t>Maharashtra Natural Gas (MNGL)</t>
        </is>
      </c>
      <c r="D1893" t="inlineStr">
        <is>
          <t>in/storage/154668/Tendernotice_1---2026-04-19T111059.324.pdf</t>
        </is>
      </c>
      <c r="F1893" t="inlineStr">
        <is>
          <t>New Lead</t>
        </is>
      </c>
      <c r="G1893" t="inlineStr">
        <is>
          <t>Unclassified</t>
        </is>
      </c>
      <c r="H1893" t="inlineStr">
        <is>
          <t>https://mngl.in/storage/154668/Tendernotice_1---2026-04-19T111059.324.pdf</t>
        </is>
      </c>
      <c r="K1893" t="inlineStr">
        <is>
          <t>Not found</t>
        </is>
      </c>
      <c r="L1893" t="inlineStr">
        <is>
          <t>Unknown</t>
        </is>
      </c>
      <c r="T1893" t="inlineStr">
        <is>
          <t>https://mngl.in/storage/154668/Tendernotice_1---2026-04-19T111059.324.pdf</t>
        </is>
      </c>
      <c r="U1893" t="inlineStr">
        <is>
          <t>No</t>
        </is>
      </c>
      <c r="V1893" t="inlineStr">
        <is>
          <t>Bot tarafindan tespit edildi (2026-07-01) | Bot enrich; date=2026-07-01; type=pdf; score=105; Bot tespit/zenginlestirme (2026-07-01); meta:score=35;priority=Low;source_type=html_table;closing_date=;equipment=Unclassified;reasons=document source,tender reference signal</t>
        </is>
      </c>
    </row>
    <row r="1894">
      <c r="A1894" t="inlineStr">
        <is>
          <t>T-1698</t>
        </is>
      </c>
      <c r="B1894" t="inlineStr">
        <is>
          <t>Maharashtra Natural Gas (MNGL)</t>
        </is>
      </c>
      <c r="C1894" t="inlineStr">
        <is>
          <t>Maharashtra Natural Gas (MNGL)</t>
        </is>
      </c>
      <c r="D1894" t="inlineStr">
        <is>
          <t>in/storage/154196/Tendernotice_1---2026-04-16T225701.807.pdf</t>
        </is>
      </c>
      <c r="F1894" t="inlineStr">
        <is>
          <t>New Lead</t>
        </is>
      </c>
      <c r="G1894" t="inlineStr">
        <is>
          <t>Unclassified</t>
        </is>
      </c>
      <c r="H1894" t="inlineStr">
        <is>
          <t>https://mngl.in/storage/154196/Tendernotice_1---2026-04-16T225701.807.pdf</t>
        </is>
      </c>
      <c r="K1894" t="inlineStr">
        <is>
          <t>Not found</t>
        </is>
      </c>
      <c r="L1894" t="inlineStr">
        <is>
          <t>Unknown</t>
        </is>
      </c>
      <c r="T1894" t="inlineStr">
        <is>
          <t>https://mngl.in/storage/154196/Tendernotice_1---2026-04-16T225701.807.pdf</t>
        </is>
      </c>
      <c r="U1894" t="inlineStr">
        <is>
          <t>No</t>
        </is>
      </c>
      <c r="V1894" t="inlineStr">
        <is>
          <t>Bot tarafindan tespit edildi (2026-07-01) | Bot enrich; date=2026-07-01; type=pdf; score=105; Bot tespit/zenginlestirme (2026-07-01); meta:score=35;priority=Low;source_type=html_table;closing_date=;equipment=Unclassified;reasons=document source,tender reference signal</t>
        </is>
      </c>
    </row>
    <row r="1895">
      <c r="A1895" t="inlineStr">
        <is>
          <t>T-1699</t>
        </is>
      </c>
      <c r="B1895" t="inlineStr">
        <is>
          <t>Maharashtra Natural Gas (MNGL)</t>
        </is>
      </c>
      <c r="C1895" t="inlineStr">
        <is>
          <t>Maharashtra Natural Gas (MNGL)</t>
        </is>
      </c>
      <c r="D1895" t="inlineStr">
        <is>
          <t>in/storage/154194/Tendernotice_1---2026-04-16T225520.343.pdf</t>
        </is>
      </c>
      <c r="F1895" t="inlineStr">
        <is>
          <t>New Lead</t>
        </is>
      </c>
      <c r="G1895" t="inlineStr">
        <is>
          <t>Unclassified</t>
        </is>
      </c>
      <c r="H1895" t="inlineStr">
        <is>
          <t>https://mngl.in/storage/154194/Tendernotice_1---2026-04-16T225520.343.pdf</t>
        </is>
      </c>
      <c r="K1895" t="inlineStr">
        <is>
          <t>Not found</t>
        </is>
      </c>
      <c r="L1895" t="inlineStr">
        <is>
          <t>Unknown</t>
        </is>
      </c>
      <c r="T1895" t="inlineStr">
        <is>
          <t>https://mngl.in/storage/154194/Tendernotice_1---2026-04-16T225520.343.pdf</t>
        </is>
      </c>
      <c r="U1895" t="inlineStr">
        <is>
          <t>No</t>
        </is>
      </c>
      <c r="V1895" t="inlineStr">
        <is>
          <t>Bot tarafindan tespit edildi (2026-07-01) | Bot enrich; date=2026-07-01; type=pdf; score=105; Bot tespit/zenginlestirme (2026-07-01); meta:score=35;priority=Low;source_type=html_table;closing_date=;equipment=Unclassified;reasons=document source,tender reference signal</t>
        </is>
      </c>
    </row>
    <row r="1896">
      <c r="A1896" t="inlineStr">
        <is>
          <t>T-1700</t>
        </is>
      </c>
      <c r="B1896" t="inlineStr">
        <is>
          <t>Maharashtra Natural Gas (MNGL)</t>
        </is>
      </c>
      <c r="C1896" t="inlineStr">
        <is>
          <t>Maharashtra Natural Gas (MNGL)</t>
        </is>
      </c>
      <c r="D1896" t="inlineStr">
        <is>
          <t>in/storage/154190/Tendernotice_1---2026-04-16T225236.443.pdf</t>
        </is>
      </c>
      <c r="F1896" t="inlineStr">
        <is>
          <t>New Lead</t>
        </is>
      </c>
      <c r="G1896" t="inlineStr">
        <is>
          <t>Unclassified</t>
        </is>
      </c>
      <c r="H1896" t="inlineStr">
        <is>
          <t>https://mngl.in/storage/154190/Tendernotice_1---2026-04-16T225236.443.pdf</t>
        </is>
      </c>
      <c r="K1896" t="inlineStr">
        <is>
          <t>Not found</t>
        </is>
      </c>
      <c r="L1896" t="inlineStr">
        <is>
          <t>Unknown</t>
        </is>
      </c>
      <c r="T1896" t="inlineStr">
        <is>
          <t>https://mngl.in/storage/154190/Tendernotice_1---2026-04-16T225236.443.pdf</t>
        </is>
      </c>
      <c r="U1896" t="inlineStr">
        <is>
          <t>No</t>
        </is>
      </c>
      <c r="V1896" t="inlineStr">
        <is>
          <t>Bot tarafindan tespit edildi (2026-07-01) | Bot enrich; date=2026-07-01; type=pdf; score=105; Bot tespit/zenginlestirme (2026-07-01); meta:score=35;priority=Low;source_type=html_table;closing_date=;equipment=Unclassified;reasons=document source,tender reference signal</t>
        </is>
      </c>
    </row>
    <row r="1897">
      <c r="A1897" t="inlineStr">
        <is>
          <t>T-1701</t>
        </is>
      </c>
      <c r="B1897" t="inlineStr">
        <is>
          <t>Maharashtra Natural Gas (MNGL)</t>
        </is>
      </c>
      <c r="C1897" t="inlineStr">
        <is>
          <t>Maharashtra Natural Gas (MNGL)</t>
        </is>
      </c>
      <c r="D1897" t="inlineStr">
        <is>
          <t>in/storage/153483/Tendernotice_1---2026-04-14T103650.268.pdf</t>
        </is>
      </c>
      <c r="F1897" t="inlineStr">
        <is>
          <t>New Lead</t>
        </is>
      </c>
      <c r="G1897" t="inlineStr">
        <is>
          <t>Unclassified</t>
        </is>
      </c>
      <c r="H1897" t="inlineStr">
        <is>
          <t>https://mngl.in/storage/153483/Tendernotice_1---2026-04-14T103650.268.pdf</t>
        </is>
      </c>
      <c r="K1897" t="inlineStr">
        <is>
          <t>Not found</t>
        </is>
      </c>
      <c r="L1897" t="inlineStr">
        <is>
          <t>Unknown</t>
        </is>
      </c>
      <c r="T1897" t="inlineStr">
        <is>
          <t>https://mngl.in/storage/153483/Tendernotice_1---2026-04-14T103650.268.pdf</t>
        </is>
      </c>
      <c r="U1897" t="inlineStr">
        <is>
          <t>No</t>
        </is>
      </c>
      <c r="V1897" t="inlineStr">
        <is>
          <t>Bot tarafindan tespit edildi (2026-07-01) | Bot enrich; date=2026-07-01; type=pdf; score=105; Bot tespit/zenginlestirme (2026-07-01); meta:score=35;priority=Low;source_type=html_table;closing_date=;equipment=Unclassified;reasons=document source,tender reference signal</t>
        </is>
      </c>
    </row>
    <row r="1898">
      <c r="A1898" t="inlineStr">
        <is>
          <t>T-1702</t>
        </is>
      </c>
      <c r="B1898" t="inlineStr">
        <is>
          <t>Maharashtra Natural Gas (MNGL)</t>
        </is>
      </c>
      <c r="C1898" t="inlineStr">
        <is>
          <t>Maharashtra Natural Gas (MNGL)</t>
        </is>
      </c>
      <c r="D1898" t="inlineStr">
        <is>
          <t>in/storage/153481/Tendernotice_1---2026-04-14T103525.248.pdf</t>
        </is>
      </c>
      <c r="F1898" t="inlineStr">
        <is>
          <t>New Lead</t>
        </is>
      </c>
      <c r="G1898" t="inlineStr">
        <is>
          <t>Unclassified</t>
        </is>
      </c>
      <c r="H1898" t="inlineStr">
        <is>
          <t>https://mngl.in/storage/153481/Tendernotice_1---2026-04-14T103525.248.pdf</t>
        </is>
      </c>
      <c r="K1898" t="inlineStr">
        <is>
          <t>Not found</t>
        </is>
      </c>
      <c r="L1898" t="inlineStr">
        <is>
          <t>Unknown</t>
        </is>
      </c>
      <c r="T1898" t="inlineStr">
        <is>
          <t>https://mngl.in/storage/153481/Tendernotice_1---2026-04-14T103525.248.pdf</t>
        </is>
      </c>
      <c r="U1898" t="inlineStr">
        <is>
          <t>No</t>
        </is>
      </c>
      <c r="V1898" t="inlineStr">
        <is>
          <t>Bot tarafindan tespit edildi (2026-07-01) | Bot enrich; date=2026-07-01; type=pdf; score=105; Bot tespit/zenginlestirme (2026-07-01); meta:score=35;priority=Low;source_type=html_table;closing_date=;equipment=Unclassified;reasons=document source,tender reference signal</t>
        </is>
      </c>
    </row>
    <row r="1899">
      <c r="A1899" t="inlineStr">
        <is>
          <t>T-1703</t>
        </is>
      </c>
      <c r="B1899" t="inlineStr">
        <is>
          <t>Maharashtra Natural Gas (MNGL)</t>
        </is>
      </c>
      <c r="C1899" t="inlineStr">
        <is>
          <t>Maharashtra Natural Gas (MNGL)</t>
        </is>
      </c>
      <c r="D1899" t="inlineStr">
        <is>
          <t>in/storage/153473/Tendernotice_1---2026-04-14T103155.820.pdf</t>
        </is>
      </c>
      <c r="F1899" t="inlineStr">
        <is>
          <t>New Lead</t>
        </is>
      </c>
      <c r="G1899" t="inlineStr">
        <is>
          <t>Unclassified</t>
        </is>
      </c>
      <c r="H1899" t="inlineStr">
        <is>
          <t>https://mngl.in/storage/153473/Tendernotice_1---2026-04-14T103155.820.pdf</t>
        </is>
      </c>
      <c r="K1899" t="inlineStr">
        <is>
          <t>Not found</t>
        </is>
      </c>
      <c r="L1899" t="inlineStr">
        <is>
          <t>Unknown</t>
        </is>
      </c>
      <c r="T1899" t="inlineStr">
        <is>
          <t>https://mngl.in/storage/153473/Tendernotice_1---2026-04-14T103155.820.pdf</t>
        </is>
      </c>
      <c r="U1899" t="inlineStr">
        <is>
          <t>No</t>
        </is>
      </c>
      <c r="V1899" t="inlineStr">
        <is>
          <t>Bot tarafindan tespit edildi (2026-07-01) | Bot enrich; date=2026-07-01; type=pdf; score=105; Bot tespit/zenginlestirme (2026-07-01); meta:score=35;priority=Low;source_type=html_table;closing_date=;equipment=Unclassified;reasons=document source,tender reference signal</t>
        </is>
      </c>
    </row>
    <row r="1900">
      <c r="A1900" t="inlineStr">
        <is>
          <t>T-1704</t>
        </is>
      </c>
      <c r="B1900" t="inlineStr">
        <is>
          <t>Maharashtra Natural Gas (MNGL)</t>
        </is>
      </c>
      <c r="C1900" t="inlineStr">
        <is>
          <t>Maharashtra Natural Gas (MNGL)</t>
        </is>
      </c>
      <c r="D1900" t="inlineStr">
        <is>
          <t>in/storage/146883/Tendernotice_1---2026-04-01T123517.925.pdf</t>
        </is>
      </c>
      <c r="F1900" t="inlineStr">
        <is>
          <t>New Lead</t>
        </is>
      </c>
      <c r="G1900" t="inlineStr">
        <is>
          <t>Unclassified</t>
        </is>
      </c>
      <c r="H1900" t="inlineStr">
        <is>
          <t>https://mngl.in/storage/146883/Tendernotice_1---2026-04-01T123517.925.pdf</t>
        </is>
      </c>
      <c r="K1900" t="inlineStr">
        <is>
          <t>Not found</t>
        </is>
      </c>
      <c r="L1900" t="inlineStr">
        <is>
          <t>Unknown</t>
        </is>
      </c>
      <c r="T1900" t="inlineStr">
        <is>
          <t>https://mngl.in/storage/146883/Tendernotice_1---2026-04-01T123517.925.pdf</t>
        </is>
      </c>
      <c r="U1900" t="inlineStr">
        <is>
          <t>No</t>
        </is>
      </c>
      <c r="V1900" t="inlineStr">
        <is>
          <t>Bot tarafindan tespit edildi (2026-07-01) | Bot enrich; date=2026-07-01; type=pdf; score=105; Bot tespit/zenginlestirme (2026-07-01); meta:score=35;priority=Low;source_type=html_table;closing_date=;equipment=Unclassified;reasons=document source,tender reference signal</t>
        </is>
      </c>
    </row>
    <row r="1901">
      <c r="A1901" t="inlineStr">
        <is>
          <t>T-1705</t>
        </is>
      </c>
      <c r="B1901" t="inlineStr">
        <is>
          <t>Maharashtra Natural Gas (MNGL)</t>
        </is>
      </c>
      <c r="C1901" t="inlineStr">
        <is>
          <t>Maharashtra Natural Gas (MNGL)</t>
        </is>
      </c>
      <c r="D1901" t="inlineStr">
        <is>
          <t>in/storage/146820/Tendernotice_1---2026-04-01T115129.906.pdf</t>
        </is>
      </c>
      <c r="F1901" t="inlineStr">
        <is>
          <t>New Lead</t>
        </is>
      </c>
      <c r="G1901" t="inlineStr">
        <is>
          <t>Unclassified</t>
        </is>
      </c>
      <c r="H1901" t="inlineStr">
        <is>
          <t>https://mngl.in/storage/146820/Tendernotice_1---2026-04-01T115129.906.pdf</t>
        </is>
      </c>
      <c r="K1901" t="inlineStr">
        <is>
          <t>Not found</t>
        </is>
      </c>
      <c r="L1901" t="inlineStr">
        <is>
          <t>Unknown</t>
        </is>
      </c>
      <c r="T1901" t="inlineStr">
        <is>
          <t>https://mngl.in/storage/146820/Tendernotice_1---2026-04-01T115129.906.pdf</t>
        </is>
      </c>
      <c r="U1901" t="inlineStr">
        <is>
          <t>No</t>
        </is>
      </c>
      <c r="V1901" t="inlineStr">
        <is>
          <t>Bot tarafindan tespit edildi (2026-07-01) | Bot enrich; date=2026-07-01; type=pdf; score=105; Bot tespit/zenginlestirme (2026-07-01); meta:score=35;priority=Low;source_type=html_table;closing_date=;equipment=Unclassified;reasons=document source,tender reference signal</t>
        </is>
      </c>
    </row>
    <row r="1902">
      <c r="A1902" t="inlineStr">
        <is>
          <t>T-1706</t>
        </is>
      </c>
      <c r="B1902" t="inlineStr">
        <is>
          <t>Maharashtra Natural Gas (MNGL)</t>
        </is>
      </c>
      <c r="C1902" t="inlineStr">
        <is>
          <t>Maharashtra Natural Gas (MNGL)</t>
        </is>
      </c>
      <c r="D1902" t="inlineStr">
        <is>
          <t>in/storage/146780/Tendernotice_1---2026-04-01T112357.183.pdf</t>
        </is>
      </c>
      <c r="F1902" t="inlineStr">
        <is>
          <t>New Lead</t>
        </is>
      </c>
      <c r="G1902" t="inlineStr">
        <is>
          <t>Unclassified</t>
        </is>
      </c>
      <c r="H1902" t="inlineStr">
        <is>
          <t>https://mngl.in/storage/146780/Tendernotice_1---2026-04-01T112357.183.pdf</t>
        </is>
      </c>
      <c r="K1902" t="inlineStr">
        <is>
          <t>Not found</t>
        </is>
      </c>
      <c r="L1902" t="inlineStr">
        <is>
          <t>Unknown</t>
        </is>
      </c>
      <c r="T1902" t="inlineStr">
        <is>
          <t>https://mngl.in/storage/146780/Tendernotice_1---2026-04-01T112357.183.pdf</t>
        </is>
      </c>
      <c r="U1902" t="inlineStr">
        <is>
          <t>No</t>
        </is>
      </c>
      <c r="V1902" t="inlineStr">
        <is>
          <t>Bot tarafindan tespit edildi (2026-07-01) | Bot enrich; date=2026-07-01; type=pdf; score=105; Bot tespit/zenginlestirme (2026-07-01); meta:score=35;priority=Low;source_type=html_table;closing_date=;equipment=Unclassified;reasons=document source,tender reference signal</t>
        </is>
      </c>
    </row>
    <row r="1903">
      <c r="A1903" t="inlineStr">
        <is>
          <t>T-1707</t>
        </is>
      </c>
      <c r="B1903" t="inlineStr">
        <is>
          <t>Maharashtra Natural Gas (MNGL)</t>
        </is>
      </c>
      <c r="C1903" t="inlineStr">
        <is>
          <t>Maharashtra Natural Gas (MNGL)</t>
        </is>
      </c>
      <c r="D1903" t="inlineStr">
        <is>
          <t>in/storage/146764/Tendernotice_1---2026-04-01T111553.314.pdf</t>
        </is>
      </c>
      <c r="F1903" t="inlineStr">
        <is>
          <t>New Lead</t>
        </is>
      </c>
      <c r="G1903" t="inlineStr">
        <is>
          <t>Unclassified</t>
        </is>
      </c>
      <c r="H1903" t="inlineStr">
        <is>
          <t>https://mngl.in/storage/146764/Tendernotice_1---2026-04-01T111553.314.pdf</t>
        </is>
      </c>
      <c r="K1903" t="inlineStr">
        <is>
          <t>Not found</t>
        </is>
      </c>
      <c r="L1903" t="inlineStr">
        <is>
          <t>Unknown</t>
        </is>
      </c>
      <c r="T1903" t="inlineStr">
        <is>
          <t>https://mngl.in/storage/146764/Tendernotice_1---2026-04-01T111553.314.pdf</t>
        </is>
      </c>
      <c r="U1903" t="inlineStr">
        <is>
          <t>No</t>
        </is>
      </c>
      <c r="V1903" t="inlineStr">
        <is>
          <t>Bot tarafindan tespit edildi (2026-07-01) | Bot enrich; date=2026-07-01; type=pdf; score=105; Bot tespit/zenginlestirme (2026-07-01); meta:score=35;priority=Low;source_type=html_table;closing_date=;equipment=Unclassified;reasons=document source,tender reference signal</t>
        </is>
      </c>
    </row>
    <row r="1904">
      <c r="A1904" t="inlineStr">
        <is>
          <t>T-1708</t>
        </is>
      </c>
      <c r="B1904" t="inlineStr">
        <is>
          <t>Maharashtra Natural Gas (MNGL)</t>
        </is>
      </c>
      <c r="C1904" t="inlineStr">
        <is>
          <t>Maharashtra Natural Gas (MNGL)</t>
        </is>
      </c>
      <c r="D1904" t="inlineStr">
        <is>
          <t>in/storage/140582/Tendernotice_1_161.pdf</t>
        </is>
      </c>
      <c r="F1904" t="inlineStr">
        <is>
          <t>New Lead</t>
        </is>
      </c>
      <c r="G1904" t="inlineStr">
        <is>
          <t>Unclassified</t>
        </is>
      </c>
      <c r="H1904" t="inlineStr">
        <is>
          <t>https://mngl.in/storage/140582/Tendernotice_1_161.pdf</t>
        </is>
      </c>
      <c r="K1904" t="inlineStr">
        <is>
          <t>Not found</t>
        </is>
      </c>
      <c r="L1904" t="inlineStr">
        <is>
          <t>Unknown</t>
        </is>
      </c>
      <c r="T1904" t="inlineStr">
        <is>
          <t>https://mngl.in/storage/140582/Tendernotice_1_161.pdf</t>
        </is>
      </c>
      <c r="U1904" t="inlineStr">
        <is>
          <t>No</t>
        </is>
      </c>
      <c r="V1904" t="inlineStr">
        <is>
          <t>Bot tarafindan tespit edildi (2026-07-01) | Bot enrich; date=2026-07-01; type=pdf; score=105; Bot tespit/zenginlestirme (2026-07-01); meta:score=35;priority=Low;source_type=html_table;closing_date=;equipment=Unclassified;reasons=document source,tender reference signal</t>
        </is>
      </c>
    </row>
    <row r="1905">
      <c r="A1905" t="inlineStr">
        <is>
          <t>T-1709</t>
        </is>
      </c>
      <c r="B1905" t="inlineStr">
        <is>
          <t>Maharashtra Natural Gas (MNGL)</t>
        </is>
      </c>
      <c r="C1905" t="inlineStr">
        <is>
          <t>Maharashtra Natural Gas (MNGL)</t>
        </is>
      </c>
      <c r="D1905" t="inlineStr">
        <is>
          <t>in/storage/135803/Tendernotice_1---2026-03-19T130351.398.pdf</t>
        </is>
      </c>
      <c r="F1905" t="inlineStr">
        <is>
          <t>New Lead</t>
        </is>
      </c>
      <c r="G1905" t="inlineStr">
        <is>
          <t>Unclassified</t>
        </is>
      </c>
      <c r="H1905" t="inlineStr">
        <is>
          <t>https://mngl.in/storage/135803/Tendernotice_1---2026-03-19T130351.398.pdf</t>
        </is>
      </c>
      <c r="K1905" t="inlineStr">
        <is>
          <t>Not found</t>
        </is>
      </c>
      <c r="L1905" t="inlineStr">
        <is>
          <t>Unknown</t>
        </is>
      </c>
      <c r="T1905" t="inlineStr">
        <is>
          <t>https://mngl.in/storage/135803/Tendernotice_1---2026-03-19T130351.398.pdf</t>
        </is>
      </c>
      <c r="U1905" t="inlineStr">
        <is>
          <t>No</t>
        </is>
      </c>
      <c r="V1905" t="inlineStr">
        <is>
          <t>Bot tarafindan tespit edildi (2026-07-01) | Bot enrich; date=2026-07-01; type=pdf; score=105; Bot tespit/zenginlestirme (2026-07-01); meta:score=35;priority=Low;source_type=html_table;closing_date=;equipment=Unclassified;reasons=document source,tender reference signal</t>
        </is>
      </c>
    </row>
    <row r="1906">
      <c r="A1906" t="inlineStr">
        <is>
          <t>T-1710</t>
        </is>
      </c>
      <c r="B1906" t="inlineStr">
        <is>
          <t>Maharashtra Natural Gas (MNGL)</t>
        </is>
      </c>
      <c r="C1906" t="inlineStr">
        <is>
          <t>Maharashtra Natural Gas (MNGL)</t>
        </is>
      </c>
      <c r="D1906" t="inlineStr">
        <is>
          <t>Tender Document</t>
        </is>
      </c>
      <c r="F1906" t="inlineStr">
        <is>
          <t>New Lead</t>
        </is>
      </c>
      <c r="G1906" t="inlineStr">
        <is>
          <t>CGS</t>
        </is>
      </c>
      <c r="H1906" t="inlineStr">
        <is>
          <t>https://mngl.in/storage/121380/114_Tender-Document-for-CGS-Hadapsar.pdf</t>
        </is>
      </c>
      <c r="K1906" t="inlineStr">
        <is>
          <t>shall be measured through an authorized competent person and the payment shall be made by MNGL</t>
        </is>
      </c>
      <c r="L1906" t="inlineStr">
        <is>
          <t>Unknown</t>
        </is>
      </c>
      <c r="T1906" t="inlineStr">
        <is>
          <t>https://mngl.in/storage/121380/114_Tender-Document-for-CGS-Hadapsar.pdf</t>
        </is>
      </c>
      <c r="U1906" t="inlineStr">
        <is>
          <t>No</t>
        </is>
      </c>
      <c r="V1906" t="inlineStr">
        <is>
          <t>Bot tarafindan tespit edildi (2026-07-01) | Bot enrich; date=2026-07-01; type=pdf; score=205; Bot tespit/zenginlestirme (2026-07-01); meta:score=45;priority=Medium;source_type=html_table;closing_date=;equipment=Unclassified;reasons=station/skid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1907">
      <c r="A1907" t="inlineStr">
        <is>
          <t>T-1711</t>
        </is>
      </c>
      <c r="B1907" t="inlineStr">
        <is>
          <t>Maharashtra Natural Gas (MNGL)</t>
        </is>
      </c>
      <c r="C1907" t="inlineStr">
        <is>
          <t>Maharashtra Natural Gas (MNGL)</t>
        </is>
      </c>
      <c r="F1907" t="inlineStr">
        <is>
          <t>New Lead</t>
        </is>
      </c>
      <c r="H1907" t="inlineStr">
        <is>
          <t>https://mngl.in/storage/121379/113_Tender-Document-for-Pig-Launcher.pdf</t>
        </is>
      </c>
      <c r="K1907" t="inlineStr">
        <is>
          <t>Not found</t>
        </is>
      </c>
      <c r="L1907" t="inlineStr">
        <is>
          <t>Unknown</t>
        </is>
      </c>
      <c r="T1907" t="inlineStr">
        <is>
          <t>https://mngl.in/storage/121379/113_Tender-Document-for-Pig-Launcher.pdf</t>
        </is>
      </c>
      <c r="U1907" t="inlineStr">
        <is>
          <t>No</t>
        </is>
      </c>
      <c r="V1907" t="inlineStr">
        <is>
          <t>Bot tarafindan tespit edildi (2026-07-01)</t>
        </is>
      </c>
    </row>
    <row r="1908">
      <c r="A1908" t="inlineStr">
        <is>
          <t>T-1712</t>
        </is>
      </c>
      <c r="B1908" t="inlineStr">
        <is>
          <t>Maharashtra Natural Gas (MNGL)</t>
        </is>
      </c>
      <c r="C1908" t="inlineStr">
        <is>
          <t>Maharashtra Natural Gas (MNGL)</t>
        </is>
      </c>
      <c r="F1908" t="inlineStr">
        <is>
          <t>New Lead</t>
        </is>
      </c>
      <c r="H1908" t="inlineStr">
        <is>
          <t>https://mngl.in/storage/82123/126_Pig-Launcher-land-Tender.pdf</t>
        </is>
      </c>
      <c r="K1908" t="inlineStr">
        <is>
          <t>Not found</t>
        </is>
      </c>
      <c r="L1908" t="inlineStr">
        <is>
          <t>Unknown</t>
        </is>
      </c>
      <c r="T1908" t="inlineStr">
        <is>
          <t>https://mngl.in/storage/82123/126_Pig-Launcher-land-Tender.pdf</t>
        </is>
      </c>
      <c r="U1908" t="inlineStr">
        <is>
          <t>No</t>
        </is>
      </c>
      <c r="V1908" t="inlineStr">
        <is>
          <t>Bot tarafindan tespit edildi (2026-07-01)</t>
        </is>
      </c>
    </row>
    <row r="1909">
      <c r="A1909" t="inlineStr">
        <is>
          <t>T-1713</t>
        </is>
      </c>
      <c r="B1909" t="inlineStr">
        <is>
          <t>Maharashtra Natural Gas (MNGL)</t>
        </is>
      </c>
      <c r="C1909" t="inlineStr">
        <is>
          <t>Maharashtra Natural Gas (MNGL)</t>
        </is>
      </c>
      <c r="D1909" t="inlineStr">
        <is>
          <t>in/storage/80576/Tendernotice_1---2024-10-21T145611.910.pdf</t>
        </is>
      </c>
      <c r="F1909" t="inlineStr">
        <is>
          <t>New Lead</t>
        </is>
      </c>
      <c r="G1909" t="inlineStr">
        <is>
          <t>Unclassified</t>
        </is>
      </c>
      <c r="H1909" t="inlineStr">
        <is>
          <t>https://mngl.in/storage/80576/Tendernotice_1---2024-10-21T145611.910.pdf</t>
        </is>
      </c>
      <c r="K1909" t="inlineStr">
        <is>
          <t>Not found</t>
        </is>
      </c>
      <c r="L1909" t="inlineStr">
        <is>
          <t>Unknown</t>
        </is>
      </c>
      <c r="T1909" t="inlineStr">
        <is>
          <t>https://mngl.in/storage/80576/Tendernotice_1---2024-10-21T145611.910.pdf</t>
        </is>
      </c>
      <c r="U1909" t="inlineStr">
        <is>
          <t>No</t>
        </is>
      </c>
      <c r="V1909" t="inlineStr">
        <is>
          <t>Bot tarafindan tespit edildi (2026-07-01) | Bot enrich; date=2026-07-01; type=pdf; score=105; Bot tespit/zenginlestirme (2026-07-01); meta:score=35;priority=Low;source_type=html_table;closing_date=;equipment=Unclassified;reasons=document source,tender reference signal</t>
        </is>
      </c>
    </row>
    <row r="1910">
      <c r="A1910" t="inlineStr">
        <is>
          <t>T-1714</t>
        </is>
      </c>
      <c r="B1910" t="inlineStr">
        <is>
          <t>Maharashtra Natural Gas (MNGL)</t>
        </is>
      </c>
      <c r="C1910" t="inlineStr">
        <is>
          <t>Maharashtra Natural Gas (MNGL)</t>
        </is>
      </c>
      <c r="D1910" t="inlineStr">
        <is>
          <t>in/storage/72570/Tendernotice_1---2024-06-26T122904.924.pdf</t>
        </is>
      </c>
      <c r="F1910" t="inlineStr">
        <is>
          <t>New Lead</t>
        </is>
      </c>
      <c r="G1910" t="inlineStr">
        <is>
          <t>Unclassified</t>
        </is>
      </c>
      <c r="H1910" t="inlineStr">
        <is>
          <t>https://mngl.in/storage/72570/Tendernotice_1---2024-06-26T122904.924.pdf</t>
        </is>
      </c>
      <c r="K1910" t="inlineStr">
        <is>
          <t>Not found</t>
        </is>
      </c>
      <c r="L1910" t="inlineStr">
        <is>
          <t>Unknown</t>
        </is>
      </c>
      <c r="T1910" t="inlineStr">
        <is>
          <t>https://mngl.in/storage/72570/Tendernotice_1---2024-06-26T122904.924.pdf</t>
        </is>
      </c>
      <c r="U1910" t="inlineStr">
        <is>
          <t>No</t>
        </is>
      </c>
      <c r="V1910" t="inlineStr">
        <is>
          <t>Bot tarafindan tespit edildi (2026-07-01) | Bot enrich; date=2026-07-01; type=pdf; score=105; Bot tespit/zenginlestirme (2026-07-01); meta:score=35;priority=Low;source_type=html_table;closing_date=;equipment=Unclassified;reasons=document source,tender reference signal</t>
        </is>
      </c>
    </row>
    <row r="1911">
      <c r="A1911" t="inlineStr">
        <is>
          <t>T-1715</t>
        </is>
      </c>
      <c r="B1911" t="inlineStr">
        <is>
          <t>Maharashtra Natural Gas (MNGL)</t>
        </is>
      </c>
      <c r="C1911" t="inlineStr">
        <is>
          <t>Maharashtra Natural Gas (MNGL)</t>
        </is>
      </c>
      <c r="D1911" t="inlineStr">
        <is>
          <t>in/storage/71967/Tendernotice_1---2024-06-19T141819.152.pdf</t>
        </is>
      </c>
      <c r="F1911" t="inlineStr">
        <is>
          <t>New Lead</t>
        </is>
      </c>
      <c r="G1911" t="inlineStr">
        <is>
          <t>Unclassified</t>
        </is>
      </c>
      <c r="H1911" t="inlineStr">
        <is>
          <t>https://mngl.in/storage/71967/Tendernotice_1---2024-06-19T141819.152.pdf</t>
        </is>
      </c>
      <c r="K1911" t="inlineStr">
        <is>
          <t>Not found</t>
        </is>
      </c>
      <c r="L1911" t="inlineStr">
        <is>
          <t>Unknown</t>
        </is>
      </c>
      <c r="T1911" t="inlineStr">
        <is>
          <t>https://mngl.in/storage/71967/Tendernotice_1---2024-06-19T141819.152.pdf</t>
        </is>
      </c>
      <c r="U1911" t="inlineStr">
        <is>
          <t>No</t>
        </is>
      </c>
      <c r="V1911" t="inlineStr">
        <is>
          <t>Bot tarafindan tespit edildi (2026-07-01) | Bot enrich; date=2026-07-01; type=pdf; score=105; Bot tespit/zenginlestirme (2026-07-01); meta:score=35;priority=Low;source_type=html_table;closing_date=;equipment=Unclassified;reasons=document source,tender reference signal</t>
        </is>
      </c>
    </row>
    <row r="1912">
      <c r="A1912" t="inlineStr">
        <is>
          <t>T-1716</t>
        </is>
      </c>
      <c r="B1912" t="inlineStr">
        <is>
          <t>Maharashtra Natural Gas (MNGL)</t>
        </is>
      </c>
      <c r="C1912" t="inlineStr">
        <is>
          <t>Maharashtra Natural Gas (MNGL)</t>
        </is>
      </c>
      <c r="F1912" t="inlineStr">
        <is>
          <t>New Lead</t>
        </is>
      </c>
      <c r="H1912" t="inlineStr">
        <is>
          <t>MNGL Successfully Ignites Govinda's Kitchen, ISKCON, Camp Pune with Piped Natural Gas (PNG)Jun 17, 2026</t>
        </is>
      </c>
      <c r="K1912" t="inlineStr">
        <is>
          <t>Not found</t>
        </is>
      </c>
      <c r="L1912" t="inlineStr">
        <is>
          <t>Unknown</t>
        </is>
      </c>
      <c r="T1912" t="inlineStr">
        <is>
          <t>https://mngl.in/latest-news-detail/21</t>
        </is>
      </c>
      <c r="U1912" t="inlineStr">
        <is>
          <t>No</t>
        </is>
      </c>
      <c r="V1912" t="inlineStr">
        <is>
          <t>Bot tarafindan tespit edildi (2026-07-01)</t>
        </is>
      </c>
    </row>
    <row r="1913">
      <c r="A1913" t="inlineStr">
        <is>
          <t>T-1717</t>
        </is>
      </c>
      <c r="B1913" t="inlineStr">
        <is>
          <t>Gasonet Services</t>
        </is>
      </c>
      <c r="C1913" t="inlineStr">
        <is>
          <t>Gasonet Services</t>
        </is>
      </c>
      <c r="F1913" t="inlineStr">
        <is>
          <t>New Lead</t>
        </is>
      </c>
      <c r="H1913" t="inlineStr">
        <is>
          <t>Tenders</t>
        </is>
      </c>
      <c r="K1913" t="inlineStr">
        <is>
          <t>Not found</t>
        </is>
      </c>
      <c r="L1913" t="inlineStr">
        <is>
          <t>Unknown</t>
        </is>
      </c>
      <c r="T1913" t="inlineStr">
        <is>
          <t>https://www.gasonet.in/tenders.html</t>
        </is>
      </c>
      <c r="U1913" t="inlineStr">
        <is>
          <t>No</t>
        </is>
      </c>
      <c r="V1913" t="inlineStr">
        <is>
          <t>Bot tarafindan tespit edildi (2026-07-01)</t>
        </is>
      </c>
    </row>
    <row r="1914">
      <c r="A1914" t="inlineStr">
        <is>
          <t>T-1718</t>
        </is>
      </c>
      <c r="B1914" t="inlineStr">
        <is>
          <t>Gasonet Services</t>
        </is>
      </c>
      <c r="C1914" t="inlineStr">
        <is>
          <t>Gasonet Services</t>
        </is>
      </c>
      <c r="D1914" t="inlineStr">
        <is>
          <t>Bid Queries_Compressor</t>
        </is>
      </c>
      <c r="F1914" t="inlineStr">
        <is>
          <t>New Lead</t>
        </is>
      </c>
      <c r="G1914" t="inlineStr">
        <is>
          <t>Gas-related / review</t>
        </is>
      </c>
      <c r="H1914" t="inlineStr">
        <is>
          <t>Replies to Pre-Bid Queries_Compressor</t>
        </is>
      </c>
      <c r="K1914" t="inlineStr">
        <is>
          <t>Not found</t>
        </is>
      </c>
      <c r="L1914" t="inlineStr">
        <is>
          <t>Unknown</t>
        </is>
      </c>
      <c r="T1914" t="inlineStr">
        <is>
          <t>https://www.gasonet.in/files/Replies to Pre-Bid Queries_Compressor.pdf</t>
        </is>
      </c>
      <c r="U1914" t="inlineStr">
        <is>
          <t>No</t>
        </is>
      </c>
      <c r="V191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5">
      <c r="A1915" t="inlineStr">
        <is>
          <t>T-1719</t>
        </is>
      </c>
      <c r="B1915" t="inlineStr">
        <is>
          <t>Gasonet Services</t>
        </is>
      </c>
      <c r="C1915" t="inlineStr">
        <is>
          <t>Gasonet Services</t>
        </is>
      </c>
      <c r="D1915" t="inlineStr">
        <is>
          <t>Bid Queries_Compressor</t>
        </is>
      </c>
      <c r="F1915" t="inlineStr">
        <is>
          <t>New Lead</t>
        </is>
      </c>
      <c r="G1915" t="inlineStr">
        <is>
          <t>Gas-related / review</t>
        </is>
      </c>
      <c r="H1915" t="inlineStr">
        <is>
          <t>Corrigendum-01_Compressor</t>
        </is>
      </c>
      <c r="K1915" t="inlineStr">
        <is>
          <t>Not found</t>
        </is>
      </c>
      <c r="L1915" t="inlineStr">
        <is>
          <t>Unknown</t>
        </is>
      </c>
      <c r="T1915" t="inlineStr">
        <is>
          <t>https://www.gasonet.in/files/Corrigendum-01_Compressor.pdf</t>
        </is>
      </c>
      <c r="U1915" t="inlineStr">
        <is>
          <t>No</t>
        </is>
      </c>
      <c r="V1915"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6">
      <c r="A1916" t="inlineStr">
        <is>
          <t>T-1720</t>
        </is>
      </c>
      <c r="B1916" t="inlineStr">
        <is>
          <t>Gasonet Services</t>
        </is>
      </c>
      <c r="C1916" t="inlineStr">
        <is>
          <t>Gasonet Services</t>
        </is>
      </c>
      <c r="D1916" t="inlineStr">
        <is>
          <t>files/Replies</t>
        </is>
      </c>
      <c r="F1916" t="inlineStr">
        <is>
          <t>New Lead</t>
        </is>
      </c>
      <c r="G1916" t="inlineStr">
        <is>
          <t>Gas-related / review</t>
        </is>
      </c>
      <c r="H1916" t="inlineStr">
        <is>
          <t>Replies to Bidder's Queries_Cascade</t>
        </is>
      </c>
      <c r="K1916" t="inlineStr">
        <is>
          <t>Not found</t>
        </is>
      </c>
      <c r="L1916" t="inlineStr">
        <is>
          <t>Unknown</t>
        </is>
      </c>
      <c r="T1916" t="inlineStr">
        <is>
          <t>https://www.gasonet.in/files/Replies to Bidder's Queries_Cascade.pdf</t>
        </is>
      </c>
      <c r="U1916" t="inlineStr">
        <is>
          <t>No</t>
        </is>
      </c>
      <c r="V1916"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7">
      <c r="A1917" t="inlineStr">
        <is>
          <t>T-1721</t>
        </is>
      </c>
      <c r="B1917" t="inlineStr">
        <is>
          <t>Gasonet Services</t>
        </is>
      </c>
      <c r="C1917" t="inlineStr">
        <is>
          <t>Gasonet Services</t>
        </is>
      </c>
      <c r="D1917" t="inlineStr">
        <is>
          <t>files/Corrigendum-01</t>
        </is>
      </c>
      <c r="F1917" t="inlineStr">
        <is>
          <t>New Lead</t>
        </is>
      </c>
      <c r="G1917" t="inlineStr">
        <is>
          <t>Gas-related / review</t>
        </is>
      </c>
      <c r="H1917" t="inlineStr">
        <is>
          <t>Corrigendum-01 and Additional Replies to Bidder's Queries</t>
        </is>
      </c>
      <c r="K1917" t="inlineStr">
        <is>
          <t>Not found</t>
        </is>
      </c>
      <c r="L1917" t="inlineStr">
        <is>
          <t>Unknown</t>
        </is>
      </c>
      <c r="T1917" t="inlineStr">
        <is>
          <t>https://www.gasonet.in/files/Corrigendum-01 and Additional Replies to Bidder's Queries.pdf</t>
        </is>
      </c>
      <c r="U1917" t="inlineStr">
        <is>
          <t>No</t>
        </is>
      </c>
      <c r="V1917"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8">
      <c r="A1918" t="inlineStr">
        <is>
          <t>T-1722</t>
        </is>
      </c>
      <c r="B1918" t="inlineStr">
        <is>
          <t>Gasonet Services</t>
        </is>
      </c>
      <c r="C1918" t="inlineStr">
        <is>
          <t>Gasonet Services</t>
        </is>
      </c>
      <c r="D1918" t="inlineStr">
        <is>
          <t>files/Corrigendum-02_Cascade.pdf</t>
        </is>
      </c>
      <c r="F1918" t="inlineStr">
        <is>
          <t>New Lead</t>
        </is>
      </c>
      <c r="G1918" t="inlineStr">
        <is>
          <t>Gas-related / review</t>
        </is>
      </c>
      <c r="H1918" t="inlineStr">
        <is>
          <t>Corrigendum-02_Cascade</t>
        </is>
      </c>
      <c r="K1918" t="inlineStr">
        <is>
          <t>Not found</t>
        </is>
      </c>
      <c r="L1918" t="inlineStr">
        <is>
          <t>Unknown</t>
        </is>
      </c>
      <c r="T1918" t="inlineStr">
        <is>
          <t>https://www.gasonet.in/files/Corrigendum-02_Cascade.pdf</t>
        </is>
      </c>
      <c r="U1918" t="inlineStr">
        <is>
          <t>No</t>
        </is>
      </c>
      <c r="V1918"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9">
      <c r="A1919" t="inlineStr">
        <is>
          <t>T-1723</t>
        </is>
      </c>
      <c r="B1919" t="inlineStr">
        <is>
          <t>Gasonet Services</t>
        </is>
      </c>
      <c r="C1919" t="inlineStr">
        <is>
          <t>Gasonet Services</t>
        </is>
      </c>
      <c r="D1919" t="inlineStr">
        <is>
          <t>bid queries_Dispenser</t>
        </is>
      </c>
      <c r="F1919" t="inlineStr">
        <is>
          <t>New Lead</t>
        </is>
      </c>
      <c r="G1919" t="inlineStr">
        <is>
          <t>Gas-related / review</t>
        </is>
      </c>
      <c r="H1919" t="inlineStr">
        <is>
          <t>Corrigendum 01_Dispenser</t>
        </is>
      </c>
      <c r="K1919" t="inlineStr">
        <is>
          <t>Not found</t>
        </is>
      </c>
      <c r="L1919" t="inlineStr">
        <is>
          <t>Unknown</t>
        </is>
      </c>
      <c r="T1919" t="inlineStr">
        <is>
          <t>https://www.gasonet.in/files/Corrigendum 01_Dispenser.pdf</t>
        </is>
      </c>
      <c r="U1919" t="inlineStr">
        <is>
          <t>No</t>
        </is>
      </c>
      <c r="V1919"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0">
      <c r="A1920" t="inlineStr">
        <is>
          <t>T-1724</t>
        </is>
      </c>
      <c r="B1920" t="inlineStr">
        <is>
          <t>Gasonet Services</t>
        </is>
      </c>
      <c r="C1920" t="inlineStr">
        <is>
          <t>Gasonet Services</t>
        </is>
      </c>
      <c r="D1920" t="inlineStr">
        <is>
          <t>bid queries_Dispenser</t>
        </is>
      </c>
      <c r="F1920" t="inlineStr">
        <is>
          <t>New Lead</t>
        </is>
      </c>
      <c r="G1920" t="inlineStr">
        <is>
          <t>Gas-related / review</t>
        </is>
      </c>
      <c r="H1920" t="inlineStr">
        <is>
          <t>Replies on pre-bid queries_Dispenser</t>
        </is>
      </c>
      <c r="K1920" t="inlineStr">
        <is>
          <t>Not found</t>
        </is>
      </c>
      <c r="L1920" t="inlineStr">
        <is>
          <t>Unknown</t>
        </is>
      </c>
      <c r="T1920" t="inlineStr">
        <is>
          <t>https://www.gasonet.in/files/Replies on pre-bid queries_Dispenser.pdf</t>
        </is>
      </c>
      <c r="U1920" t="inlineStr">
        <is>
          <t>No</t>
        </is>
      </c>
      <c r="V1920"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1">
      <c r="A1921" t="inlineStr">
        <is>
          <t>T-1725</t>
        </is>
      </c>
      <c r="B1921" t="inlineStr">
        <is>
          <t>Gasonet Services</t>
        </is>
      </c>
      <c r="C1921" t="inlineStr">
        <is>
          <t>Gasonet Services</t>
        </is>
      </c>
      <c r="D1921" t="inlineStr">
        <is>
          <t>bid queries_Dispenser</t>
        </is>
      </c>
      <c r="F1921" t="inlineStr">
        <is>
          <t>New Lead</t>
        </is>
      </c>
      <c r="G1921" t="inlineStr">
        <is>
          <t>Gas-related / review</t>
        </is>
      </c>
      <c r="H1921" t="inlineStr">
        <is>
          <t>Corrigendum 02_Dispenser</t>
        </is>
      </c>
      <c r="K1921" t="inlineStr">
        <is>
          <t>Not found</t>
        </is>
      </c>
      <c r="L1921" t="inlineStr">
        <is>
          <t>Unknown</t>
        </is>
      </c>
      <c r="T1921" t="inlineStr">
        <is>
          <t>https://www.gasonet.in/files/Corrigendum 02_Dispenser.pdf</t>
        </is>
      </c>
      <c r="U1921" t="inlineStr">
        <is>
          <t>No</t>
        </is>
      </c>
      <c r="V1921"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2">
      <c r="A1922" t="inlineStr">
        <is>
          <t>T-1726</t>
        </is>
      </c>
      <c r="B1922" t="inlineStr">
        <is>
          <t>Gasonet Services</t>
        </is>
      </c>
      <c r="C1922" t="inlineStr">
        <is>
          <t>Gasonet Services</t>
        </is>
      </c>
      <c r="D1922" t="inlineStr">
        <is>
          <t>bid queries_Dispenser</t>
        </is>
      </c>
      <c r="F1922" t="inlineStr">
        <is>
          <t>New Lead</t>
        </is>
      </c>
      <c r="G1922" t="inlineStr">
        <is>
          <t>Gas-related / review</t>
        </is>
      </c>
      <c r="H1922" t="inlineStr">
        <is>
          <t>Corrigendum-3</t>
        </is>
      </c>
      <c r="K1922" t="inlineStr">
        <is>
          <t>Not found</t>
        </is>
      </c>
      <c r="L1922" t="inlineStr">
        <is>
          <t>Unknown</t>
        </is>
      </c>
      <c r="T1922" t="inlineStr">
        <is>
          <t>https://www.gasonet.in/files/Corrigendum-3.pdf</t>
        </is>
      </c>
      <c r="U1922" t="inlineStr">
        <is>
          <t>No</t>
        </is>
      </c>
      <c r="V1922"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3">
      <c r="A1923" t="inlineStr">
        <is>
          <t>T-1727</t>
        </is>
      </c>
      <c r="B1923" t="inlineStr">
        <is>
          <t>Gasonet Services</t>
        </is>
      </c>
      <c r="C1923" t="inlineStr">
        <is>
          <t>Gasonet Services</t>
        </is>
      </c>
      <c r="D1923" t="inlineStr">
        <is>
          <t>bid queries_Dispenser</t>
        </is>
      </c>
      <c r="F1923" t="inlineStr">
        <is>
          <t>New Lead</t>
        </is>
      </c>
      <c r="G1923" t="inlineStr">
        <is>
          <t>Gas-related / review</t>
        </is>
      </c>
      <c r="H1923" t="inlineStr">
        <is>
          <t>Additional Replies to pre-bid queries_Dispenser</t>
        </is>
      </c>
      <c r="K1923" t="inlineStr">
        <is>
          <t>Not found</t>
        </is>
      </c>
      <c r="L1923" t="inlineStr">
        <is>
          <t>Unknown</t>
        </is>
      </c>
      <c r="T1923" t="inlineStr">
        <is>
          <t>https://www.gasonet.in/files/Additional Replies to pre-bid queries_Dispenser.pdf</t>
        </is>
      </c>
      <c r="U1923" t="inlineStr">
        <is>
          <t>No</t>
        </is>
      </c>
      <c r="V1923"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4">
      <c r="A1924" t="inlineStr">
        <is>
          <t>T-1728</t>
        </is>
      </c>
      <c r="B1924" t="inlineStr">
        <is>
          <t>Gasonet Services</t>
        </is>
      </c>
      <c r="C1924" t="inlineStr">
        <is>
          <t>Gasonet Services</t>
        </is>
      </c>
      <c r="D1924" t="inlineStr">
        <is>
          <t>bid queries_Dispenser</t>
        </is>
      </c>
      <c r="F1924" t="inlineStr">
        <is>
          <t>New Lead</t>
        </is>
      </c>
      <c r="G1924" t="inlineStr">
        <is>
          <t>Gas-related / review</t>
        </is>
      </c>
      <c r="H1924" t="inlineStr">
        <is>
          <t>Corrigendum 04</t>
        </is>
      </c>
      <c r="K1924" t="inlineStr">
        <is>
          <t>Not found</t>
        </is>
      </c>
      <c r="L1924" t="inlineStr">
        <is>
          <t>Unknown</t>
        </is>
      </c>
      <c r="T1924" t="inlineStr">
        <is>
          <t>https://www.gasonet.in/files/Corrigendum 04.pdf</t>
        </is>
      </c>
      <c r="U1924" t="inlineStr">
        <is>
          <t>No</t>
        </is>
      </c>
      <c r="V192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5">
      <c r="A1925" t="inlineStr">
        <is>
          <t>T-1729</t>
        </is>
      </c>
      <c r="B1925" t="inlineStr">
        <is>
          <t>Gasonet Services</t>
        </is>
      </c>
      <c r="C1925" t="inlineStr">
        <is>
          <t>Gasonet Services</t>
        </is>
      </c>
      <c r="F1925" t="inlineStr">
        <is>
          <t>New Lead</t>
        </is>
      </c>
      <c r="H1925" t="inlineStr">
        <is>
          <t>Replies to Bidder Queries_CNG Works</t>
        </is>
      </c>
      <c r="K1925" t="inlineStr">
        <is>
          <t>Not found</t>
        </is>
      </c>
      <c r="L1925" t="inlineStr">
        <is>
          <t>Unknown</t>
        </is>
      </c>
      <c r="T1925" t="inlineStr">
        <is>
          <t>https://www.gasonet.in/files/Replies to Bidder Queries_CNG Works.pdf</t>
        </is>
      </c>
      <c r="U1925" t="inlineStr">
        <is>
          <t>No</t>
        </is>
      </c>
      <c r="V1925" t="inlineStr">
        <is>
          <t>Bot tarafindan tespit edildi (2026-07-01)</t>
        </is>
      </c>
    </row>
    <row r="1926">
      <c r="A1926" t="inlineStr">
        <is>
          <t>T-1730</t>
        </is>
      </c>
      <c r="B1926" t="inlineStr">
        <is>
          <t>Gasonet Services</t>
        </is>
      </c>
      <c r="C1926" t="inlineStr">
        <is>
          <t>Gasonet Services</t>
        </is>
      </c>
      <c r="D1926" t="inlineStr">
        <is>
          <t>TENDER DOCUMENT</t>
        </is>
      </c>
      <c r="F1926" t="inlineStr">
        <is>
          <t>New Lead</t>
        </is>
      </c>
      <c r="G1926" t="inlineStr">
        <is>
          <t>Gas-related / review</t>
        </is>
      </c>
      <c r="H1926" t="inlineStr">
        <is>
          <t>TENDER DOCUMENT HCV-MCV-LCV HIRING-Comments</t>
        </is>
      </c>
      <c r="K1926" t="inlineStr">
        <is>
          <t>Not found</t>
        </is>
      </c>
      <c r="L1926" t="inlineStr">
        <is>
          <t>Unknown</t>
        </is>
      </c>
      <c r="T1926" t="inlineStr">
        <is>
          <t>https://www.gasonet.in/files/TENDER DOCUMENT HCV-MCV-LCV HIRING-Comments.pdf</t>
        </is>
      </c>
      <c r="U1926" t="inlineStr">
        <is>
          <t>No</t>
        </is>
      </c>
      <c r="V1926"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7">
      <c r="A1927" t="inlineStr">
        <is>
          <t>T-1731</t>
        </is>
      </c>
      <c r="B1927" t="inlineStr">
        <is>
          <t>Gasonet Services</t>
        </is>
      </c>
      <c r="C1927" t="inlineStr">
        <is>
          <t>Gasonet Services</t>
        </is>
      </c>
      <c r="D1927" t="inlineStr">
        <is>
          <t>TENDER DOCUMENT</t>
        </is>
      </c>
      <c r="F1927" t="inlineStr">
        <is>
          <t>New Lead</t>
        </is>
      </c>
      <c r="G1927" t="inlineStr">
        <is>
          <t>Gas-related / review</t>
        </is>
      </c>
      <c r="H1927" t="inlineStr">
        <is>
          <t>Corrigendum-01</t>
        </is>
      </c>
      <c r="K1927" t="inlineStr">
        <is>
          <t>Not found</t>
        </is>
      </c>
      <c r="L1927" t="inlineStr">
        <is>
          <t>Unknown</t>
        </is>
      </c>
      <c r="T1927" t="inlineStr">
        <is>
          <t>https://www.gasonet.in/files/Corrigendum-01 (1).pdf</t>
        </is>
      </c>
      <c r="U1927" t="inlineStr">
        <is>
          <t>No</t>
        </is>
      </c>
      <c r="V1927"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8">
      <c r="A1928" t="inlineStr">
        <is>
          <t>T-1732</t>
        </is>
      </c>
      <c r="B1928" t="inlineStr">
        <is>
          <t>Gasonet Services</t>
        </is>
      </c>
      <c r="C1928" t="inlineStr">
        <is>
          <t>Gasonet Services</t>
        </is>
      </c>
      <c r="F1928" t="inlineStr">
        <is>
          <t>New Lead</t>
        </is>
      </c>
      <c r="G1928" t="inlineStr">
        <is>
          <t>Unclassified</t>
        </is>
      </c>
      <c r="H1928" t="inlineStr">
        <is>
          <t>Corrigendum-01</t>
        </is>
      </c>
      <c r="K1928" t="inlineStr">
        <is>
          <t>Not found</t>
        </is>
      </c>
      <c r="L1928" t="inlineStr">
        <is>
          <t>Unknown</t>
        </is>
      </c>
      <c r="T1928" t="inlineStr">
        <is>
          <t>https://www.gasonet.in/files/Corrigendum-01.pdf</t>
        </is>
      </c>
      <c r="U1928" t="inlineStr">
        <is>
          <t>No</t>
        </is>
      </c>
      <c r="V1928" t="inlineStr">
        <is>
          <t>Bot tarafindan tespit edildi (2026-07-01); Bot tespit/zenginlestirme (2026-07-01); meta:score=20;priority=Low;source_type=html_table;closing_date=;equipment=Unclassified;reasons=document source</t>
        </is>
      </c>
    </row>
    <row r="1929">
      <c r="A1929" t="inlineStr">
        <is>
          <t>T-1733</t>
        </is>
      </c>
      <c r="B1929" t="inlineStr">
        <is>
          <t>Gasonet Services</t>
        </is>
      </c>
      <c r="C1929" t="inlineStr">
        <is>
          <t>Gasonet Services</t>
        </is>
      </c>
      <c r="F1929" t="inlineStr">
        <is>
          <t>New Lead</t>
        </is>
      </c>
      <c r="G1929" t="inlineStr">
        <is>
          <t>Unclassified</t>
        </is>
      </c>
      <c r="H1929" t="inlineStr">
        <is>
          <t>Corrigendum-02</t>
        </is>
      </c>
      <c r="K1929" t="inlineStr">
        <is>
          <t>Not found</t>
        </is>
      </c>
      <c r="L1929" t="inlineStr">
        <is>
          <t>Unknown</t>
        </is>
      </c>
      <c r="T1929" t="inlineStr">
        <is>
          <t>https://www.gasonet.in/files/CORRIGENDUM-02 (2).pdf</t>
        </is>
      </c>
      <c r="U1929" t="inlineStr">
        <is>
          <t>No</t>
        </is>
      </c>
      <c r="V1929" t="inlineStr">
        <is>
          <t>Bot tarafindan tespit edildi (2026-07-01); Bot tespit/zenginlestirme (2026-07-01); meta:score=20;priority=Low;source_type=html_table;closing_date=;equipment=Unclassified;reasons=document source</t>
        </is>
      </c>
    </row>
    <row r="1930">
      <c r="A1930" t="inlineStr">
        <is>
          <t>T-1734</t>
        </is>
      </c>
      <c r="B1930" t="inlineStr">
        <is>
          <t>Gasonet Services</t>
        </is>
      </c>
      <c r="C1930" t="inlineStr">
        <is>
          <t>Gasonet Services</t>
        </is>
      </c>
      <c r="F1930" t="inlineStr">
        <is>
          <t>New Lead</t>
        </is>
      </c>
      <c r="G1930" t="inlineStr">
        <is>
          <t>Unclassified</t>
        </is>
      </c>
      <c r="H1930" t="inlineStr">
        <is>
          <t>Corrigendum-03</t>
        </is>
      </c>
      <c r="K1930" t="inlineStr">
        <is>
          <t>Not found</t>
        </is>
      </c>
      <c r="L1930" t="inlineStr">
        <is>
          <t>Unknown</t>
        </is>
      </c>
      <c r="T1930" t="inlineStr">
        <is>
          <t>https://www.gasonet.in/files/Corrigendum-03 Line Pipe.pdf</t>
        </is>
      </c>
      <c r="U1930" t="inlineStr">
        <is>
          <t>No</t>
        </is>
      </c>
      <c r="V1930" t="inlineStr">
        <is>
          <t>Bot tarafindan tespit edildi (2026-07-01); Bot tespit/zenginlestirme (2026-07-01); meta:score=20;priority=Low;source_type=html_table;closing_date=;equipment=Unclassified;reasons=document source</t>
        </is>
      </c>
    </row>
    <row r="1931">
      <c r="A1931" t="inlineStr">
        <is>
          <t>T-1735</t>
        </is>
      </c>
      <c r="B1931" t="inlineStr">
        <is>
          <t>Gasonet Services</t>
        </is>
      </c>
      <c r="C1931" t="inlineStr">
        <is>
          <t>Gasonet Services</t>
        </is>
      </c>
      <c r="D1931" t="inlineStr">
        <is>
          <t>GSL/REPL/011/LNG</t>
        </is>
      </c>
      <c r="E1931" t="inlineStr">
        <is>
          <t>19-06-2023</t>
        </is>
      </c>
      <c r="F1931" t="inlineStr">
        <is>
          <t>New Lead</t>
        </is>
      </c>
      <c r="G1931" t="inlineStr">
        <is>
          <t>Unclassified</t>
        </is>
      </c>
      <c r="H1931" t="inlineStr">
        <is>
          <t>Corrigendum-01</t>
        </is>
      </c>
      <c r="K1931" t="inlineStr">
        <is>
          <t>REMAINS LIABLE TO PAY COMPENSATION IF ACTION NOT TAKEN This clause is not accepta</t>
        </is>
      </c>
      <c r="L1931" t="inlineStr">
        <is>
          <t>Unknown</t>
        </is>
      </c>
      <c r="M1931" t="n">
        <v>1200000</v>
      </c>
      <c r="T1931" t="inlineStr">
        <is>
          <t>https://www.gasonet.in/files/Corrigendum-01-2023.pdf</t>
        </is>
      </c>
      <c r="U1931" t="inlineStr">
        <is>
          <t>No</t>
        </is>
      </c>
      <c r="V1931" t="inlineStr">
        <is>
          <t>Bot tarafindan tespit edildi (2026-07-01); Bot tespit/zenginlestirme (2026-07-01); meta:score=55;priority=Medium;source_type=html_table;closing_date=;equipment=Unclassified;reasons=document source,quantity signal,tender reference signal</t>
        </is>
      </c>
    </row>
    <row r="1932">
      <c r="A1932" t="inlineStr">
        <is>
          <t>T-1736</t>
        </is>
      </c>
      <c r="B1932" t="inlineStr">
        <is>
          <t>Gasonet Services</t>
        </is>
      </c>
      <c r="C1932" t="inlineStr">
        <is>
          <t>Gasonet Services</t>
        </is>
      </c>
      <c r="D1932" t="inlineStr">
        <is>
          <t>GSL/REPL/011/LNG</t>
        </is>
      </c>
      <c r="E1932" t="inlineStr">
        <is>
          <t>23-06-2023</t>
        </is>
      </c>
      <c r="F1932" t="inlineStr">
        <is>
          <t>New Lead</t>
        </is>
      </c>
      <c r="G1932" t="inlineStr">
        <is>
          <t>Unclassified</t>
        </is>
      </c>
      <c r="H1932" t="inlineStr">
        <is>
          <t>Corrigendum-02</t>
        </is>
      </c>
      <c r="K1932" t="inlineStr">
        <is>
          <t>partner having a vision of achieving Clause No. 77 of Special Condition of Contra</t>
        </is>
      </c>
      <c r="L1932" t="inlineStr">
        <is>
          <t>Unknown</t>
        </is>
      </c>
      <c r="T1932" t="inlineStr">
        <is>
          <t>https://www.gasonet.in/files/Corrigendum-02.pdf</t>
        </is>
      </c>
      <c r="U1932" t="inlineStr">
        <is>
          <t>No</t>
        </is>
      </c>
      <c r="V1932" t="inlineStr">
        <is>
          <t>Bot tarafindan tespit edildi (2026-07-01); Bot tespit/zenginlestirme (2026-07-01); meta:score=55;priority=Medium;source_type=html_table;closing_date=;equipment=Unclassified;reasons=document source,quantity signal,tender reference signal</t>
        </is>
      </c>
    </row>
    <row r="1933">
      <c r="A1933" t="inlineStr">
        <is>
          <t>T-1737</t>
        </is>
      </c>
      <c r="B1933" t="inlineStr">
        <is>
          <t>Gasonet Services</t>
        </is>
      </c>
      <c r="C1933" t="inlineStr">
        <is>
          <t>Gasonet Services</t>
        </is>
      </c>
      <c r="D1933" t="inlineStr">
        <is>
          <t>GSL/REPL/011/LNG</t>
        </is>
      </c>
      <c r="E1933" t="inlineStr">
        <is>
          <t>04-07-2023</t>
        </is>
      </c>
      <c r="F1933" t="inlineStr">
        <is>
          <t>New Lead</t>
        </is>
      </c>
      <c r="G1933" t="inlineStr">
        <is>
          <t>Unclassified</t>
        </is>
      </c>
      <c r="H1933" t="inlineStr">
        <is>
          <t>Corrigendum-03</t>
        </is>
      </c>
      <c r="K1933" t="inlineStr">
        <is>
          <t>Not found</t>
        </is>
      </c>
      <c r="L1933" t="inlineStr">
        <is>
          <t>Unknown</t>
        </is>
      </c>
      <c r="T1933" t="inlineStr">
        <is>
          <t>https://www.gasonet.in/files/Corrigendum-03.pdf</t>
        </is>
      </c>
      <c r="U1933" t="inlineStr">
        <is>
          <t>No</t>
        </is>
      </c>
      <c r="V1933" t="inlineStr">
        <is>
          <t>Bot tarafindan tespit edildi (2026-07-01); Bot tespit/zenginlestirme (2026-07-01); meta:score=55;priority=Medium;source_type=html_table;closing_date=;equipment=Unclassified;reasons=document source,quantity signal,tender reference signal</t>
        </is>
      </c>
    </row>
    <row r="1934">
      <c r="A1934" t="inlineStr">
        <is>
          <t>T-1738</t>
        </is>
      </c>
      <c r="B1934" t="inlineStr">
        <is>
          <t>Gasonet Services</t>
        </is>
      </c>
      <c r="C1934" t="inlineStr">
        <is>
          <t>Gasonet Services</t>
        </is>
      </c>
      <c r="F1934" t="inlineStr">
        <is>
          <t>New Lead</t>
        </is>
      </c>
      <c r="H1934" t="inlineStr">
        <is>
          <t>Tender Forecourt</t>
        </is>
      </c>
      <c r="K1934" t="inlineStr">
        <is>
          <t>Not found</t>
        </is>
      </c>
      <c r="L1934" t="inlineStr">
        <is>
          <t>Unknown</t>
        </is>
      </c>
      <c r="T1934" t="inlineStr">
        <is>
          <t>https://www.gasonet.in/files/Tender_Forecourt_Bhagirathi Filling Station (1).pdf</t>
        </is>
      </c>
      <c r="U1934" t="inlineStr">
        <is>
          <t>No</t>
        </is>
      </c>
      <c r="V1934" t="inlineStr">
        <is>
          <t>Bot tarafindan tespit edildi (2026-07-01)</t>
        </is>
      </c>
    </row>
    <row r="1935">
      <c r="A1935" t="inlineStr">
        <is>
          <t>T-1739</t>
        </is>
      </c>
      <c r="B1935" t="inlineStr">
        <is>
          <t>Gasonet Services</t>
        </is>
      </c>
      <c r="C1935" t="inlineStr">
        <is>
          <t>Gasonet Services</t>
        </is>
      </c>
      <c r="F1935" t="inlineStr">
        <is>
          <t>New Lead</t>
        </is>
      </c>
      <c r="H1935" t="inlineStr">
        <is>
          <t>Replies to Bidder's Queries Bhagirathi Filling Station</t>
        </is>
      </c>
      <c r="K1935" t="inlineStr">
        <is>
          <t>Not found</t>
        </is>
      </c>
      <c r="L1935" t="inlineStr">
        <is>
          <t>Unknown</t>
        </is>
      </c>
      <c r="T1935" t="inlineStr">
        <is>
          <t>https://www.gasonet.in/files/Replies to Bidder's Queries_Bhagirathi Filling Station.pdf</t>
        </is>
      </c>
      <c r="U1935" t="inlineStr">
        <is>
          <t>No</t>
        </is>
      </c>
      <c r="V1935" t="inlineStr">
        <is>
          <t>Bot tarafindan tespit edildi (2026-07-01)</t>
        </is>
      </c>
    </row>
    <row r="1936">
      <c r="A1936" t="inlineStr">
        <is>
          <t>T-1740</t>
        </is>
      </c>
      <c r="B1936" t="inlineStr">
        <is>
          <t>Gasonet Services</t>
        </is>
      </c>
      <c r="C1936" t="inlineStr">
        <is>
          <t>Gasonet Services</t>
        </is>
      </c>
      <c r="D1936" t="inlineStr">
        <is>
          <t>files/Corrigendum-01_GSLREPL018STPL.pdf</t>
        </is>
      </c>
      <c r="E1936" t="inlineStr">
        <is>
          <t>14/12/2023</t>
        </is>
      </c>
      <c r="F1936" t="inlineStr">
        <is>
          <t>New Lead</t>
        </is>
      </c>
      <c r="G1936" t="inlineStr">
        <is>
          <t>Unclassified</t>
        </is>
      </c>
      <c r="H1936" t="inlineStr">
        <is>
          <t>Corrigendum-01_GSLREPL018STPL</t>
        </is>
      </c>
      <c r="K1936" t="inlineStr">
        <is>
          <t>Not found</t>
        </is>
      </c>
      <c r="L1936" t="inlineStr">
        <is>
          <t>Unknown</t>
        </is>
      </c>
      <c r="T1936" t="inlineStr">
        <is>
          <t>https://www.gasonet.in/files/Corrigendum-01_GSLREPL018STPL.pdf</t>
        </is>
      </c>
      <c r="U1936" t="inlineStr">
        <is>
          <t>No</t>
        </is>
      </c>
      <c r="V1936" t="inlineStr">
        <is>
          <t>Bot tarafindan tespit edildi (2026-07-01) | Bot enrich; date=2026-07-01; type=pdf; score=125; Bot tespit/zenginlestirme (2026-07-01); meta:score=20;priority=Low;source_type=html_table;closing_date=;equipment=Unclassified;reasons=document source</t>
        </is>
      </c>
    </row>
    <row r="1937">
      <c r="A1937" t="inlineStr">
        <is>
          <t>T-1741</t>
        </is>
      </c>
      <c r="B1937" t="inlineStr">
        <is>
          <t>Gasonet Services</t>
        </is>
      </c>
      <c r="C1937" t="inlineStr">
        <is>
          <t>Gasonet Services</t>
        </is>
      </c>
      <c r="F1937" t="inlineStr">
        <is>
          <t>New Lead</t>
        </is>
      </c>
      <c r="H1937" t="inlineStr">
        <is>
          <t>Corrigendum#02_GSLREPL012STPL</t>
        </is>
      </c>
      <c r="K1937" t="inlineStr">
        <is>
          <t>Not found</t>
        </is>
      </c>
      <c r="L1937" t="inlineStr">
        <is>
          <t>Unknown</t>
        </is>
      </c>
      <c r="T1937" t="inlineStr">
        <is>
          <t>https://www.gasonet.in/files/Corrigendum#02_GSLREPL012STPL.pdf</t>
        </is>
      </c>
      <c r="U1937" t="inlineStr">
        <is>
          <t>No</t>
        </is>
      </c>
      <c r="V1937" t="inlineStr">
        <is>
          <t>Bot tarafindan tespit edildi (2026-07-01)</t>
        </is>
      </c>
    </row>
    <row r="1938">
      <c r="A1938" t="inlineStr">
        <is>
          <t>T-1742</t>
        </is>
      </c>
      <c r="B1938" t="inlineStr">
        <is>
          <t>Gasonet Services</t>
        </is>
      </c>
      <c r="C1938" t="inlineStr">
        <is>
          <t>Gasonet Services</t>
        </is>
      </c>
      <c r="D1938" t="inlineStr">
        <is>
          <t>files/Corrigendum-03_GSLREPL018STPL.pdf</t>
        </is>
      </c>
      <c r="E1938" t="inlineStr">
        <is>
          <t>14/12/2023</t>
        </is>
      </c>
      <c r="F1938" t="inlineStr">
        <is>
          <t>New Lead</t>
        </is>
      </c>
      <c r="G1938" t="inlineStr">
        <is>
          <t>Unclassified</t>
        </is>
      </c>
      <c r="H1938" t="inlineStr">
        <is>
          <t>Corrigendum-03_GSLREPL018STPL</t>
        </is>
      </c>
      <c r="K1938" t="inlineStr">
        <is>
          <t>Not found</t>
        </is>
      </c>
      <c r="L1938" t="inlineStr">
        <is>
          <t>Unknown</t>
        </is>
      </c>
      <c r="T1938" t="inlineStr">
        <is>
          <t>https://www.gasonet.in/files/Corrigendum-03_GSLREPL018STPL.pdf</t>
        </is>
      </c>
      <c r="U1938" t="inlineStr">
        <is>
          <t>No</t>
        </is>
      </c>
      <c r="V1938" t="inlineStr">
        <is>
          <t>Bot tarafindan tespit edildi (2026-07-01) | Bot enrich; date=2026-07-01; type=pdf; score=125; Bot tespit/zenginlestirme (2026-07-01); meta:score=20;priority=Low;source_type=html_table;closing_date=;equipment=Unclassified;reasons=document source</t>
        </is>
      </c>
    </row>
    <row r="1939">
      <c r="A1939" t="inlineStr">
        <is>
          <t>T-1743</t>
        </is>
      </c>
      <c r="B1939" t="inlineStr">
        <is>
          <t>Gasonet Services</t>
        </is>
      </c>
      <c r="C1939" t="inlineStr">
        <is>
          <t>Gasonet Services</t>
        </is>
      </c>
      <c r="D1939" t="inlineStr">
        <is>
          <t>TENDER No. BD202401P004</t>
        </is>
      </c>
      <c r="E1939" t="inlineStr">
        <is>
          <t>18/01/2024</t>
        </is>
      </c>
      <c r="F1939" t="inlineStr">
        <is>
          <t>New Lead</t>
        </is>
      </c>
      <c r="G1939" t="inlineStr">
        <is>
          <t>Irrelevant / non-target</t>
        </is>
      </c>
      <c r="H1939" t="inlineStr">
        <is>
          <t>TENDER No. BD202401P004 - CIVIL WORK</t>
        </is>
      </c>
      <c r="K1939" t="inlineStr">
        <is>
          <t>Not found</t>
        </is>
      </c>
      <c r="L1939" t="inlineStr">
        <is>
          <t>Unknown</t>
        </is>
      </c>
      <c r="T1939" t="inlineStr">
        <is>
          <t>https://www.gasonet.in/files/TENDER No. BD202401P004 - CIVIL WORK.pdf</t>
        </is>
      </c>
      <c r="U1939" t="inlineStr">
        <is>
          <t>No</t>
        </is>
      </c>
      <c r="V1939"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0">
      <c r="A1940" t="inlineStr">
        <is>
          <t>T-1744</t>
        </is>
      </c>
      <c r="B1940" t="inlineStr">
        <is>
          <t>Gasonet Services</t>
        </is>
      </c>
      <c r="C1940" t="inlineStr">
        <is>
          <t>Gasonet Services</t>
        </is>
      </c>
      <c r="D1940" t="inlineStr">
        <is>
          <t>TENDER No. BD202401P004</t>
        </is>
      </c>
      <c r="E1940" t="inlineStr">
        <is>
          <t>18/01/2024</t>
        </is>
      </c>
      <c r="F1940" t="inlineStr">
        <is>
          <t>New Lead</t>
        </is>
      </c>
      <c r="G1940" t="inlineStr">
        <is>
          <t>Irrelevant / non-target</t>
        </is>
      </c>
      <c r="H1940" t="inlineStr">
        <is>
          <t>Corrigendum 1_BD202401P004 - CIVIL WORK.pdf</t>
        </is>
      </c>
      <c r="K1940" t="inlineStr">
        <is>
          <t>Not found</t>
        </is>
      </c>
      <c r="L1940" t="inlineStr">
        <is>
          <t>Unknown</t>
        </is>
      </c>
      <c r="T1940" t="inlineStr">
        <is>
          <t>https://www.gasonet.in/files/Corrigendum 1_BD202401P004 - CIVIL WORK.pdf</t>
        </is>
      </c>
      <c r="U1940" t="inlineStr">
        <is>
          <t>No</t>
        </is>
      </c>
      <c r="V1940"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1">
      <c r="A1941" t="inlineStr">
        <is>
          <t>T-1745</t>
        </is>
      </c>
      <c r="B1941" t="inlineStr">
        <is>
          <t>Gasonet Services</t>
        </is>
      </c>
      <c r="C1941" t="inlineStr">
        <is>
          <t>Gasonet Services</t>
        </is>
      </c>
      <c r="F1941" t="inlineStr">
        <is>
          <t>New Lead</t>
        </is>
      </c>
      <c r="G1941" t="inlineStr">
        <is>
          <t>Irrelevant / non-target</t>
        </is>
      </c>
      <c r="H1941" t="inlineStr">
        <is>
          <t>Corrigendum 1_BD202401P004 - CIVIL WORK.pdf</t>
        </is>
      </c>
      <c r="K1941" t="inlineStr">
        <is>
          <t>Not found</t>
        </is>
      </c>
      <c r="L1941" t="inlineStr">
        <is>
          <t>Unknown</t>
        </is>
      </c>
      <c r="T1941" t="inlineStr">
        <is>
          <t>https://www.gasonet.in/files/Technical Volume II of II _GSPL_PE_08.02.2024.pdf</t>
        </is>
      </c>
      <c r="U1941" t="inlineStr">
        <is>
          <t>No</t>
        </is>
      </c>
      <c r="V1941" t="inlineStr">
        <is>
          <t>Bot tarafindan tespit edildi (2026-07-01); Bot tespit/zenginlestirme (2026-07-01); meta:score=;priority=Low;source_type=html_table;closing_date=;equipment=Irrelevant / non-target;reasons=irrelevant_equipment,document source</t>
        </is>
      </c>
    </row>
    <row r="1942">
      <c r="A1942" t="inlineStr">
        <is>
          <t>T-1746</t>
        </is>
      </c>
      <c r="B1942" t="inlineStr">
        <is>
          <t>Gasonet Services</t>
        </is>
      </c>
      <c r="C1942" t="inlineStr">
        <is>
          <t>Gasonet Services</t>
        </is>
      </c>
      <c r="F1942" t="inlineStr">
        <is>
          <t>New Lead</t>
        </is>
      </c>
      <c r="G1942" t="inlineStr">
        <is>
          <t>Irrelevant / non-target</t>
        </is>
      </c>
      <c r="H1942" t="inlineStr">
        <is>
          <t>Corrigendum-16.02.2023</t>
        </is>
      </c>
      <c r="K1942" t="inlineStr">
        <is>
          <t>Not found</t>
        </is>
      </c>
      <c r="L1942" t="inlineStr">
        <is>
          <t>Unknown</t>
        </is>
      </c>
      <c r="T1942" t="inlineStr">
        <is>
          <t>https://www.gasonet.in/files/Corrigendum-16.02.2023.pdf</t>
        </is>
      </c>
      <c r="U1942" t="inlineStr">
        <is>
          <t>No</t>
        </is>
      </c>
      <c r="V1942" t="inlineStr">
        <is>
          <t>Bot tarafindan tespit edildi (2026-07-01); Bot tespit/zenginlestirme (2026-07-01); meta:score=;priority=Low;source_type=html_table;closing_date=;equipment=Irrelevant / non-target;reasons=irrelevant_equipment,document source</t>
        </is>
      </c>
    </row>
    <row r="1943">
      <c r="A1943" t="inlineStr">
        <is>
          <t>T-1747</t>
        </is>
      </c>
      <c r="B1943" t="inlineStr">
        <is>
          <t>Gasonet Services</t>
        </is>
      </c>
      <c r="C1943" t="inlineStr">
        <is>
          <t>Gasonet Services</t>
        </is>
      </c>
      <c r="F1943" t="inlineStr">
        <is>
          <t>New Lead</t>
        </is>
      </c>
      <c r="G1943" t="inlineStr">
        <is>
          <t>Unclassified</t>
        </is>
      </c>
      <c r="H1943" t="inlineStr">
        <is>
          <t>NIT_LNG Liquefaction Plant</t>
        </is>
      </c>
      <c r="K1943" t="inlineStr">
        <is>
          <t>Not found</t>
        </is>
      </c>
      <c r="L1943" t="inlineStr">
        <is>
          <t>Unknown</t>
        </is>
      </c>
      <c r="T1943" t="inlineStr">
        <is>
          <t>https://www.gasonet.in/files/NIT_LNG Liquefaction Plant.pdf</t>
        </is>
      </c>
      <c r="U1943" t="inlineStr">
        <is>
          <t>No</t>
        </is>
      </c>
      <c r="V1943" t="inlineStr">
        <is>
          <t>Bot tarafindan tespit edildi (2026-07-01); Bot tespit/zenginlestirme (2026-07-01); meta:score=35;priority=Low;source_type=html_table;closing_date=;equipment=Unclassified;reasons=document source,tender reference signal</t>
        </is>
      </c>
    </row>
    <row r="1944">
      <c r="A1944" t="inlineStr">
        <is>
          <t>T-1748</t>
        </is>
      </c>
      <c r="B1944" t="inlineStr">
        <is>
          <t>Gasonet Services</t>
        </is>
      </c>
      <c r="C1944" t="inlineStr">
        <is>
          <t>Gasonet Services</t>
        </is>
      </c>
      <c r="F1944" t="inlineStr">
        <is>
          <t>New Lead</t>
        </is>
      </c>
      <c r="H1944" t="inlineStr">
        <is>
          <t>Tender- Domestic Diaphragm meter</t>
        </is>
      </c>
      <c r="K1944" t="inlineStr">
        <is>
          <t>Not found</t>
        </is>
      </c>
      <c r="L1944" t="inlineStr">
        <is>
          <t>Unknown</t>
        </is>
      </c>
      <c r="T1944" t="inlineStr">
        <is>
          <t>https://www.gasonet.in/files/Tender- Domestic Diaphragm meter.pdf</t>
        </is>
      </c>
      <c r="U1944" t="inlineStr">
        <is>
          <t>No</t>
        </is>
      </c>
      <c r="V1944" t="inlineStr">
        <is>
          <t>Bot tarafindan tespit edildi (2026-07-01)</t>
        </is>
      </c>
    </row>
    <row r="1945">
      <c r="A1945" t="inlineStr">
        <is>
          <t>T-1749</t>
        </is>
      </c>
      <c r="B1945" t="inlineStr">
        <is>
          <t>Gasonet Services</t>
        </is>
      </c>
      <c r="C1945" t="inlineStr">
        <is>
          <t>Gasonet Services</t>
        </is>
      </c>
      <c r="F1945" t="inlineStr">
        <is>
          <t>New Lead</t>
        </is>
      </c>
      <c r="H1945" t="inlineStr">
        <is>
          <t>Replies to Bidder's Queries Diaphragm Meter</t>
        </is>
      </c>
      <c r="K1945" t="inlineStr">
        <is>
          <t>Not found</t>
        </is>
      </c>
      <c r="L1945" t="inlineStr">
        <is>
          <t>Unknown</t>
        </is>
      </c>
      <c r="T1945" t="inlineStr">
        <is>
          <t>https://www.gasonet.in/files/Replies to Bidder's Queries _Diaphragm Meter.pdf</t>
        </is>
      </c>
      <c r="U1945" t="inlineStr">
        <is>
          <t>No</t>
        </is>
      </c>
      <c r="V1945" t="inlineStr">
        <is>
          <t>Bot tarafindan tespit edildi (2026-07-01)</t>
        </is>
      </c>
    </row>
    <row r="1946">
      <c r="A1946" t="inlineStr">
        <is>
          <t>T-1750</t>
        </is>
      </c>
      <c r="B1946" t="inlineStr">
        <is>
          <t>Gasonet Services</t>
        </is>
      </c>
      <c r="C1946" t="inlineStr">
        <is>
          <t>Gasonet Services</t>
        </is>
      </c>
      <c r="D1946" t="inlineStr">
        <is>
          <t>Tender- Domestic</t>
        </is>
      </c>
      <c r="E1946" t="inlineStr">
        <is>
          <t>22/02/2024</t>
        </is>
      </c>
      <c r="F1946" t="inlineStr">
        <is>
          <t>New Lead</t>
        </is>
      </c>
      <c r="G1946" t="inlineStr">
        <is>
          <t>service regulator</t>
        </is>
      </c>
      <c r="H1946" t="inlineStr">
        <is>
          <t>Tender- Domestic Service Regulator</t>
        </is>
      </c>
      <c r="K1946" t="inlineStr">
        <is>
          <t>will be expected to complete the scope of the Bid within the period stated in Spe</t>
        </is>
      </c>
      <c r="L1946" t="inlineStr">
        <is>
          <t>Unknown</t>
        </is>
      </c>
      <c r="M1946" t="n">
        <v>1000000000</v>
      </c>
      <c r="T1946" t="inlineStr">
        <is>
          <t>https://www.gasonet.in/files/Tender- Domestic Service Regulator.pdf</t>
        </is>
      </c>
      <c r="U1946" t="inlineStr">
        <is>
          <t>No</t>
        </is>
      </c>
      <c r="V1946" t="inlineStr">
        <is>
          <t>Bot tarafindan tespit edildi (2026-07-01) | Bot enrich; date=2026-07-01; type=pdf; score=205; Bot tespit/zenginlestirme (2026-07-01); meta:score=85;priority=High;source_type=html_table;closing_date=22/02/2024;equipment=Service regulator;reasons=equipment:Service regulator,target regulator keyword,document source; Bot clean extraction (2026-07-01); meta:score=90;priority=High;source_type=html_table;closing_date=22/02/2024;equipment=Domestic gas regulator;quality_status=market_target;market_relevance=High;document_type=award;unit_price_inr=;amount_label=currency_near_total;matched_terms=Domestic gas regulator,Service / pressure regulator;reject_reasons=employment/corporate;scope=market_intelligence_only;excluded_scope=no_bid_or_offer_submission_automation</t>
        </is>
      </c>
    </row>
    <row r="1947">
      <c r="A1947" t="inlineStr">
        <is>
          <t>T-1751</t>
        </is>
      </c>
      <c r="B1947" t="inlineStr">
        <is>
          <t>Gasonet Services</t>
        </is>
      </c>
      <c r="C1947" t="inlineStr">
        <is>
          <t>Gasonet Services</t>
        </is>
      </c>
      <c r="D1947" t="inlineStr">
        <is>
          <t>Tender- Domestic</t>
        </is>
      </c>
      <c r="F1947" t="inlineStr">
        <is>
          <t>New Lead</t>
        </is>
      </c>
      <c r="G1947" t="inlineStr">
        <is>
          <t>service regulator</t>
        </is>
      </c>
      <c r="H1947" t="inlineStr">
        <is>
          <t>Regulator Datasheet</t>
        </is>
      </c>
      <c r="K1947" t="inlineStr">
        <is>
          <t>shall submit the QAP after the placement of the order. The regulator shall be ind</t>
        </is>
      </c>
      <c r="L1947" t="inlineStr">
        <is>
          <t>Unknown</t>
        </is>
      </c>
      <c r="T1947" t="inlineStr">
        <is>
          <t>https://www.gasonet.in/files/Regulator Datasheet.pdf</t>
        </is>
      </c>
      <c r="U1947" t="inlineStr">
        <is>
          <t>No</t>
        </is>
      </c>
      <c r="V1947" t="inlineStr">
        <is>
          <t>Bot tarafindan tespit edildi (2026-07-01) | Bot enrich; date=2026-07-01; type=pdf; score=205;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regulator,Service / pressure regulator,Safety / shut-off equipment;reject_reasons=;scope=market_intelligence_only;excluded_scope=no_bid_or_offer_submission_automation</t>
        </is>
      </c>
    </row>
    <row r="1948">
      <c r="A1948" t="inlineStr">
        <is>
          <t>T-1752</t>
        </is>
      </c>
      <c r="B1948" t="inlineStr">
        <is>
          <t>Gasonet Services</t>
        </is>
      </c>
      <c r="C1948" t="inlineStr">
        <is>
          <t>Gasonet Services</t>
        </is>
      </c>
      <c r="F1948" t="inlineStr">
        <is>
          <t>New Lead</t>
        </is>
      </c>
      <c r="G1948" t="inlineStr">
        <is>
          <t>Unclassified</t>
        </is>
      </c>
      <c r="H1948" t="inlineStr">
        <is>
          <t>Tender- DCU</t>
        </is>
      </c>
      <c r="K1948" t="inlineStr">
        <is>
          <t>Not found</t>
        </is>
      </c>
      <c r="L1948" t="inlineStr">
        <is>
          <t>Unknown</t>
        </is>
      </c>
      <c r="T1948" t="inlineStr">
        <is>
          <t>https://www.gasonet.in/files/Tender- DCU .pdf</t>
        </is>
      </c>
      <c r="U1948" t="inlineStr">
        <is>
          <t>No</t>
        </is>
      </c>
      <c r="V1948" t="inlineStr">
        <is>
          <t>Bot tarafindan tespit edildi (2026-07-01); Bot tespit/zenginlestirme (2026-07-01); meta:score=35;priority=Low;source_type=html_table;closing_date=;equipment=Unclassified;reasons=document source,tender reference signal</t>
        </is>
      </c>
    </row>
    <row r="1949">
      <c r="A1949" t="inlineStr">
        <is>
          <t>T-1753</t>
        </is>
      </c>
      <c r="B1949" t="inlineStr">
        <is>
          <t>Gasonet Services</t>
        </is>
      </c>
      <c r="C1949" t="inlineStr">
        <is>
          <t>Gasonet Services</t>
        </is>
      </c>
      <c r="D1949" t="inlineStr">
        <is>
          <t>Tender No. : GSRJL/C</t>
        </is>
      </c>
      <c r="E1949" t="inlineStr">
        <is>
          <t>2024-25/01</t>
        </is>
      </c>
      <c r="F1949" t="inlineStr">
        <is>
          <t>New Lead</t>
        </is>
      </c>
      <c r="G1949" t="inlineStr">
        <is>
          <t>CGS</t>
        </is>
      </c>
      <c r="H1949" t="inlineStr">
        <is>
          <t>Tender - CGS</t>
        </is>
      </c>
      <c r="K1949" t="inlineStr">
        <is>
          <t>has developed a full City Gate Station, Civil execution certificate issued Construction including all</t>
        </is>
      </c>
      <c r="L1949" t="inlineStr">
        <is>
          <t>Unknown</t>
        </is>
      </c>
      <c r="M1949" t="n">
        <v>41000000</v>
      </c>
      <c r="T1949" t="inlineStr">
        <is>
          <t>https://www.gasonet.in/files/01. Tender - Composite Work for CGS cum Mother Station at Churu, Rajasthan_SEP.pdf</t>
        </is>
      </c>
      <c r="U1949" t="inlineStr">
        <is>
          <t>No</t>
        </is>
      </c>
      <c r="V1949"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meta:score=100;priority=High;source_type=html_table;closing_date=2024-25/01;equipment=Regulating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950">
      <c r="A1950" t="inlineStr">
        <is>
          <t>T-1754</t>
        </is>
      </c>
      <c r="B1950" t="inlineStr">
        <is>
          <t>Gasonet Services</t>
        </is>
      </c>
      <c r="C1950" t="inlineStr">
        <is>
          <t>Gasonet Services</t>
        </is>
      </c>
      <c r="D1950" t="inlineStr">
        <is>
          <t>Tender No. : GSRJL/C</t>
        </is>
      </c>
      <c r="E1950" t="inlineStr">
        <is>
          <t>2024-25/01</t>
        </is>
      </c>
      <c r="F1950" t="inlineStr">
        <is>
          <t>New Lead</t>
        </is>
      </c>
      <c r="G1950" t="inlineStr">
        <is>
          <t>CGS</t>
        </is>
      </c>
      <c r="H1950" t="inlineStr">
        <is>
          <t>SOR Composite Work</t>
        </is>
      </c>
      <c r="K1950" t="inlineStr">
        <is>
          <t>Not found</t>
        </is>
      </c>
      <c r="L1950" t="inlineStr">
        <is>
          <t>Unknown</t>
        </is>
      </c>
      <c r="T1950" t="inlineStr">
        <is>
          <t>https://www.gasonet.in/files/06. SOR - Composite Work_CGS_SEP.xlsx</t>
        </is>
      </c>
      <c r="U1950" t="inlineStr">
        <is>
          <t>No</t>
        </is>
      </c>
      <c r="V1950"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1">
      <c r="A1951" t="inlineStr">
        <is>
          <t>T-1755</t>
        </is>
      </c>
      <c r="B1951" t="inlineStr">
        <is>
          <t>Gasonet Services</t>
        </is>
      </c>
      <c r="C1951" t="inlineStr">
        <is>
          <t>Gasonet Services</t>
        </is>
      </c>
      <c r="D1951" t="inlineStr">
        <is>
          <t>Tender No. : GSRJL/C</t>
        </is>
      </c>
      <c r="E1951" t="inlineStr">
        <is>
          <t>2024-25/01</t>
        </is>
      </c>
      <c r="F1951" t="inlineStr">
        <is>
          <t>New Lead</t>
        </is>
      </c>
      <c r="G1951" t="inlineStr">
        <is>
          <t>CGS</t>
        </is>
      </c>
      <c r="H1951" t="inlineStr">
        <is>
          <t>Replies To Bidder</t>
        </is>
      </c>
      <c r="K1951" t="inlineStr">
        <is>
          <t>specializing in</t>
        </is>
      </c>
      <c r="L1951" t="inlineStr">
        <is>
          <t>Unknown</t>
        </is>
      </c>
      <c r="M1951" t="n">
        <v>160000000</v>
      </c>
      <c r="T1951" t="inlineStr">
        <is>
          <t>https://www.gasonet.in/files/Replies to Bidder Queries .pdf</t>
        </is>
      </c>
      <c r="U1951" t="inlineStr">
        <is>
          <t>No</t>
        </is>
      </c>
      <c r="V1951"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meta:score=100;priority=High;source_type=html_table;closing_date=26/09/2024;equipment=Regulating / metering station;quality_status=market_target;market_relevance=High;document_type=award;unit_price_inr=;amount_label=currency_near_total;matched_terms=Regulating / metering station;reject_reasons=employment/corporate,non-product service,retail/cng station noise;scope=market_intelligence_only;excluded_scope=no_bid_or_offer_submission_automation</t>
        </is>
      </c>
    </row>
    <row r="1952">
      <c r="A1952" t="inlineStr">
        <is>
          <t>T-1756</t>
        </is>
      </c>
      <c r="B1952" t="inlineStr">
        <is>
          <t>Gasonet Services</t>
        </is>
      </c>
      <c r="C1952" t="inlineStr">
        <is>
          <t>Gasonet Services</t>
        </is>
      </c>
      <c r="D1952" t="inlineStr">
        <is>
          <t>Tender No. : GSRJL/C</t>
        </is>
      </c>
      <c r="E1952" t="inlineStr">
        <is>
          <t>2024-25/01</t>
        </is>
      </c>
      <c r="F1952" t="inlineStr">
        <is>
          <t>New Lead</t>
        </is>
      </c>
      <c r="G1952" t="inlineStr">
        <is>
          <t>CGS</t>
        </is>
      </c>
      <c r="H1952" t="inlineStr">
        <is>
          <t>SOR- Composite Work_CGS Rev1</t>
        </is>
      </c>
      <c r="K1952" t="inlineStr">
        <is>
          <t>Not found</t>
        </is>
      </c>
      <c r="L1952" t="inlineStr">
        <is>
          <t>Unknown</t>
        </is>
      </c>
      <c r="T1952" t="inlineStr">
        <is>
          <t>https://www.gasonet.in/files/16 SOR - Composite Work_CGS Rev 1-check.xlsx</t>
        </is>
      </c>
      <c r="U1952" t="inlineStr">
        <is>
          <t>No</t>
        </is>
      </c>
      <c r="V1952"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3">
      <c r="A1953" t="inlineStr">
        <is>
          <t>T-1757</t>
        </is>
      </c>
      <c r="B1953" t="inlineStr">
        <is>
          <t>Gasonet Services</t>
        </is>
      </c>
      <c r="C1953" t="inlineStr">
        <is>
          <t>Gasonet Services</t>
        </is>
      </c>
      <c r="D1953" t="inlineStr">
        <is>
          <t>Tender No. : GSRJL/C</t>
        </is>
      </c>
      <c r="E1953" t="inlineStr">
        <is>
          <t>2025-26/01</t>
        </is>
      </c>
      <c r="F1953" t="inlineStr">
        <is>
          <t>New Lead</t>
        </is>
      </c>
      <c r="G1953" t="inlineStr">
        <is>
          <t>Gas-related / review</t>
        </is>
      </c>
      <c r="H1953" t="inlineStr">
        <is>
          <t>Tender Document</t>
        </is>
      </c>
      <c r="K1953" t="inlineStr">
        <is>
          <t>will be expected to complete the scope of the Bid within the period stated in Spe</t>
        </is>
      </c>
      <c r="L1953" t="inlineStr">
        <is>
          <t>Unknown</t>
        </is>
      </c>
      <c r="T1953" t="inlineStr">
        <is>
          <t>https://www.gasonet.in/files/Tender-for-Hiring-of-Agency-for-Construction-Management-Services-for-CGD-Project_pagenumber.pdf</t>
        </is>
      </c>
      <c r="U1953" t="inlineStr">
        <is>
          <t>No</t>
        </is>
      </c>
      <c r="V1953"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4">
      <c r="A1954" t="inlineStr">
        <is>
          <t>T-1758</t>
        </is>
      </c>
      <c r="B1954" t="inlineStr">
        <is>
          <t>Gasonet Services</t>
        </is>
      </c>
      <c r="C1954" t="inlineStr">
        <is>
          <t>Gasonet Services</t>
        </is>
      </c>
      <c r="D1954" t="inlineStr">
        <is>
          <t>Tender No. : GSRJL/C</t>
        </is>
      </c>
      <c r="E1954" t="inlineStr">
        <is>
          <t>2025-26/01</t>
        </is>
      </c>
      <c r="F1954" t="inlineStr">
        <is>
          <t>New Lead</t>
        </is>
      </c>
      <c r="G1954" t="inlineStr">
        <is>
          <t>Gas-related / review</t>
        </is>
      </c>
      <c r="H1954" t="inlineStr">
        <is>
          <t>Replies to Bidders Queries</t>
        </is>
      </c>
      <c r="K1954" t="inlineStr">
        <is>
          <t>Not found</t>
        </is>
      </c>
      <c r="L1954" t="inlineStr">
        <is>
          <t>Unknown</t>
        </is>
      </c>
      <c r="T1954" t="inlineStr">
        <is>
          <t>https://www.gasonet.in/files/Replies to Bidders Queries-4-6-25.pdf</t>
        </is>
      </c>
      <c r="U1954" t="inlineStr">
        <is>
          <t>No</t>
        </is>
      </c>
      <c r="V1954"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5">
      <c r="A1955" t="inlineStr">
        <is>
          <t>T-1759</t>
        </is>
      </c>
      <c r="B1955" t="inlineStr">
        <is>
          <t>Gasonet Services</t>
        </is>
      </c>
      <c r="C1955" t="inlineStr">
        <is>
          <t>Gasonet Services</t>
        </is>
      </c>
      <c r="D1955" t="inlineStr">
        <is>
          <t>Tender No. : GSL/RJ/CO/C</t>
        </is>
      </c>
      <c r="E1955" t="inlineStr">
        <is>
          <t>27-06-2025</t>
        </is>
      </c>
      <c r="F1955" t="inlineStr">
        <is>
          <t>New Lead</t>
        </is>
      </c>
      <c r="G1955" t="inlineStr">
        <is>
          <t>Gas-related / review</t>
        </is>
      </c>
      <c r="H1955" t="inlineStr">
        <is>
          <t>Tender Document</t>
        </is>
      </c>
      <c r="K1955" t="inlineStr">
        <is>
          <t>Not found</t>
        </is>
      </c>
      <c r="L1955" t="inlineStr">
        <is>
          <t>Unknown</t>
        </is>
      </c>
      <c r="T1955" t="inlineStr">
        <is>
          <t>https://www.gasonet.in/files/Tender_LNG Tanker.pdf</t>
        </is>
      </c>
      <c r="U1955" t="inlineStr">
        <is>
          <t>No</t>
        </is>
      </c>
      <c r="V1955"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6">
      <c r="A1956" t="inlineStr">
        <is>
          <t>T-1760</t>
        </is>
      </c>
      <c r="B1956" t="inlineStr">
        <is>
          <t>Gasonet Services</t>
        </is>
      </c>
      <c r="C1956" t="inlineStr">
        <is>
          <t>Gasonet Services</t>
        </is>
      </c>
      <c r="D1956" t="inlineStr">
        <is>
          <t>Tender No. : GSL/RJ/CO/C</t>
        </is>
      </c>
      <c r="E1956" t="inlineStr">
        <is>
          <t>27-06-2025</t>
        </is>
      </c>
      <c r="F1956" t="inlineStr">
        <is>
          <t>New Lead</t>
        </is>
      </c>
      <c r="G1956" t="inlineStr">
        <is>
          <t>Gas-related / review</t>
        </is>
      </c>
      <c r="H1956" t="inlineStr">
        <is>
          <t>Replies to Bidder Queries</t>
        </is>
      </c>
      <c r="K1956" t="inlineStr">
        <is>
          <t>Not found</t>
        </is>
      </c>
      <c r="L1956" t="inlineStr">
        <is>
          <t>Unknown</t>
        </is>
      </c>
      <c r="T1956" t="inlineStr">
        <is>
          <t>https://www.gasonet.in/files/Replies-to-Bidder-Queries-LNG.pdf</t>
        </is>
      </c>
      <c r="U1956" t="inlineStr">
        <is>
          <t>No</t>
        </is>
      </c>
      <c r="V1956"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7">
      <c r="A1957" t="inlineStr">
        <is>
          <t>T-1761</t>
        </is>
      </c>
      <c r="B1957" t="inlineStr">
        <is>
          <t>Gasonet Services</t>
        </is>
      </c>
      <c r="C1957" t="inlineStr">
        <is>
          <t>Gasonet Services</t>
        </is>
      </c>
      <c r="D1957" t="inlineStr">
        <is>
          <t>Tender No. : GSL/DD/C</t>
        </is>
      </c>
      <c r="E1957" t="inlineStr">
        <is>
          <t>25/07/2025</t>
        </is>
      </c>
      <c r="F1957" t="inlineStr">
        <is>
          <t>New Lead</t>
        </is>
      </c>
      <c r="G1957" t="inlineStr">
        <is>
          <t>DRS</t>
        </is>
      </c>
      <c r="H1957" t="inlineStr">
        <is>
          <t>Tender Document</t>
        </is>
      </c>
      <c r="K1957" t="inlineStr">
        <is>
          <t>will be expected to complete the scope of the Bid within the period stated in Spe</t>
        </is>
      </c>
      <c r="L1957" t="inlineStr">
        <is>
          <t>Unknown</t>
        </is>
      </c>
      <c r="M1957" t="n">
        <v>1000000000</v>
      </c>
      <c r="T1957" t="inlineStr">
        <is>
          <t>https://www.gasonet.in/files/DRS-Tender.pdf</t>
        </is>
      </c>
      <c r="U1957" t="inlineStr">
        <is>
          <t>No</t>
        </is>
      </c>
      <c r="V1957" t="inlineStr">
        <is>
          <t>Bot tarafindan tespit edildi (2026-07-01) | Bot enrich; date=2026-07-01; type=pdf; score=295; Bot tespit/zenginlestirme (2026-07-01); meta:score=95;priority=High;source_type=html_table;closing_date=25/07/2025;equipment=Regulating station;reasons=equipment:Regulating station,station/skid keyword,document source,tender reference signal; Bot clean extraction (2026-07-01); meta:score=100;priority=High;source_type=html_table;closing_date=25/07/2025;equipment=Industrial / commercial regulator;quality_status=market_target;market_relevance=High;document_type=award;unit_price_inr=;amount_label=currency_near_total;matched_terms=Industrial / commercial regulator,Regulating / metering station;reject_reasons=employment/corporate;scope=market_intelligence_only;excluded_scope=no_bid_or_offer_submission_automation</t>
        </is>
      </c>
    </row>
    <row r="1958">
      <c r="A1958" t="inlineStr">
        <is>
          <t>T-1762</t>
        </is>
      </c>
      <c r="B1958" t="inlineStr">
        <is>
          <t>Gasonet Services</t>
        </is>
      </c>
      <c r="C1958" t="inlineStr">
        <is>
          <t>Gasonet Services</t>
        </is>
      </c>
      <c r="D1958" t="inlineStr">
        <is>
          <t>Tender No. : GSL/DD/C</t>
        </is>
      </c>
      <c r="F1958" t="inlineStr">
        <is>
          <t>New Lead</t>
        </is>
      </c>
      <c r="G1958" t="inlineStr">
        <is>
          <t>DRS</t>
        </is>
      </c>
      <c r="H1958" t="inlineStr">
        <is>
          <t>Technical Document</t>
        </is>
      </c>
      <c r="K1958" t="inlineStr">
        <is>
          <t>will be required to supply the MRS in the quantity mentioned in the above table o</t>
        </is>
      </c>
      <c r="L1958" t="inlineStr">
        <is>
          <t>Unknown</t>
        </is>
      </c>
      <c r="M1958" t="n">
        <v>1000</v>
      </c>
      <c r="T1958" t="inlineStr">
        <is>
          <t>https://www.gasonet.in/files/DRS-Technical Document.pdf</t>
        </is>
      </c>
      <c r="U1958" t="inlineStr">
        <is>
          <t>No</t>
        </is>
      </c>
      <c r="V1958"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regulator;quality_status=market_target;market_relevance=High;document_type=award;unit_price_inr=;amount_label=currency_near_total;matched_terms=Domestic gas regulator,Service / pressure regulator,Regulating / metering station,Skid / gas train,Gas filter station / filter equipment,Safety / shut-off equipment;reject_reasons=employment/corporate,non-product service,civil/electrical only;scope=market_intelligence_only;excluded_scope=no_bid_or_offer_submission_automation</t>
        </is>
      </c>
    </row>
    <row r="1959">
      <c r="A1959" t="inlineStr">
        <is>
          <t>T-1763</t>
        </is>
      </c>
      <c r="B1959" t="inlineStr">
        <is>
          <t>Gasonet Services</t>
        </is>
      </c>
      <c r="C1959" t="inlineStr">
        <is>
          <t>Gasonet Services</t>
        </is>
      </c>
      <c r="D1959" t="inlineStr">
        <is>
          <t>Tender No. : GSL/DD/C</t>
        </is>
      </c>
      <c r="F1959" t="inlineStr">
        <is>
          <t>New Lead</t>
        </is>
      </c>
      <c r="G1959" t="inlineStr">
        <is>
          <t>DRS</t>
        </is>
      </c>
      <c r="H1959" t="inlineStr">
        <is>
          <t>SOR</t>
        </is>
      </c>
      <c r="I1959" t="inlineStr">
        <is>
          <t>01</t>
        </is>
      </c>
      <c r="J1959" t="inlineStr">
        <is>
          <t>No</t>
        </is>
      </c>
      <c r="K1959" t="inlineStr">
        <is>
          <t>will be required to supply the Commercial Smart Meter in the quantity as mentione</t>
        </is>
      </c>
      <c r="L1959" t="inlineStr">
        <is>
          <t>Unknown</t>
        </is>
      </c>
      <c r="T1959" t="inlineStr">
        <is>
          <t>https://www.gasonet.in/files/DRS-SOR.pdf</t>
        </is>
      </c>
      <c r="U1959" t="inlineStr">
        <is>
          <t>No</t>
        </is>
      </c>
      <c r="V1959"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regulator;quality_status=market_target;market_relevance=High;document_type=award;unit_price_inr=;amount_label=;matched_terms=Domestic gas regulator,Industrial / commercial regulator,Regulating / metering station,Skid / gas train;reject_reasons=employment/corporate,civil/electrical only;scope=market_intelligence_only;excluded_scope=no_bid_or_offer_submission_automation</t>
        </is>
      </c>
    </row>
    <row r="1960">
      <c r="A1960" t="inlineStr">
        <is>
          <t>T-1764</t>
        </is>
      </c>
      <c r="B1960" t="inlineStr">
        <is>
          <t>Gasonet Services</t>
        </is>
      </c>
      <c r="C1960" t="inlineStr">
        <is>
          <t>Gasonet Services</t>
        </is>
      </c>
      <c r="D1960" t="inlineStr">
        <is>
          <t>Tender No. : GSL/DD/C</t>
        </is>
      </c>
      <c r="F1960" t="inlineStr">
        <is>
          <t>New Lead</t>
        </is>
      </c>
      <c r="G1960" t="inlineStr">
        <is>
          <t>DRS</t>
        </is>
      </c>
      <c r="H1960" t="inlineStr">
        <is>
          <t>GCC</t>
        </is>
      </c>
      <c r="K1960" t="inlineStr">
        <is>
          <t>Not found</t>
        </is>
      </c>
      <c r="L1960" t="inlineStr">
        <is>
          <t>Unknown</t>
        </is>
      </c>
      <c r="T1960" t="inlineStr">
        <is>
          <t>https://www.gasonet.in/files/DRS-GCC.pdf</t>
        </is>
      </c>
      <c r="U1960" t="inlineStr">
        <is>
          <t>No</t>
        </is>
      </c>
      <c r="V1960"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1">
      <c r="A1961" t="inlineStr">
        <is>
          <t>T-1765</t>
        </is>
      </c>
      <c r="B1961" t="inlineStr">
        <is>
          <t>Gasonet Services</t>
        </is>
      </c>
      <c r="C1961" t="inlineStr">
        <is>
          <t>Gasonet Services</t>
        </is>
      </c>
      <c r="D1961" t="inlineStr">
        <is>
          <t>Tender No. : GSL/DD/C</t>
        </is>
      </c>
      <c r="F1961" t="inlineStr">
        <is>
          <t>New Lead</t>
        </is>
      </c>
      <c r="G1961" t="inlineStr">
        <is>
          <t>MRS</t>
        </is>
      </c>
      <c r="H1961" t="inlineStr">
        <is>
          <t>Corrigendum-1</t>
        </is>
      </c>
      <c r="I1961" t="inlineStr">
        <is>
          <t>2</t>
        </is>
      </c>
      <c r="J1961" t="inlineStr">
        <is>
          <t>set</t>
        </is>
      </c>
      <c r="K1961" t="inlineStr">
        <is>
          <t>s Pvt Ltd</t>
        </is>
      </c>
      <c r="L1961" t="inlineStr">
        <is>
          <t>Unknown</t>
        </is>
      </c>
      <c r="T1961" t="inlineStr">
        <is>
          <t>https://www.gasonet.in/files/Corrigendum-1.pdf</t>
        </is>
      </c>
      <c r="U1961" t="inlineStr">
        <is>
          <t>No</t>
        </is>
      </c>
      <c r="V1961"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2">
      <c r="A1962" t="inlineStr">
        <is>
          <t>T-1766</t>
        </is>
      </c>
      <c r="B1962" t="inlineStr">
        <is>
          <t>Gasonet Services</t>
        </is>
      </c>
      <c r="C1962" t="inlineStr">
        <is>
          <t>Gasonet Services</t>
        </is>
      </c>
      <c r="D1962" t="inlineStr">
        <is>
          <t>Tender No. : GSL/DD/C</t>
        </is>
      </c>
      <c r="F1962" t="inlineStr">
        <is>
          <t>New Lead</t>
        </is>
      </c>
      <c r="G1962" t="inlineStr">
        <is>
          <t>MRS</t>
        </is>
      </c>
      <c r="H1962" t="inlineStr">
        <is>
          <t>Replies to Bidder Queries</t>
        </is>
      </c>
      <c r="K1962" t="inlineStr">
        <is>
          <t>s. We request Gasonet to Kindly accept the same. We would like to inform you that</t>
        </is>
      </c>
      <c r="L1962" t="inlineStr">
        <is>
          <t>Unknown</t>
        </is>
      </c>
      <c r="M1962" t="n">
        <v>92</v>
      </c>
      <c r="T1962" t="inlineStr">
        <is>
          <t>https://www.gasonet.in/files/Replies to Bidder Queries - FInal.pdf</t>
        </is>
      </c>
      <c r="U1962" t="inlineStr">
        <is>
          <t>No</t>
        </is>
      </c>
      <c r="V1962"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meta:score=100;priority=High;source_type=html_table;closing_date=None;equipment=Service / pressure regulator;quality_status=market_target;market_relevance=High;document_type=award;unit_price_inr=;amount_label=;matched_terms=Service / pressure regulator,Industrial / commercial regulator,Regulating / metering station,Safety / shut-off equipment;reject_reasons=employment/corporate,civil/electrical only;scope=market_intelligence_only;excluded_scope=no_bid_or_offer_submission_automation</t>
        </is>
      </c>
    </row>
    <row r="1963">
      <c r="A1963" t="inlineStr">
        <is>
          <t>T-1767</t>
        </is>
      </c>
      <c r="B1963" t="inlineStr">
        <is>
          <t>Gasonet Services</t>
        </is>
      </c>
      <c r="C1963" t="inlineStr">
        <is>
          <t>Gasonet Services</t>
        </is>
      </c>
      <c r="D1963" t="inlineStr">
        <is>
          <t>Tender No. : GSRJL/C</t>
        </is>
      </c>
      <c r="E1963" t="inlineStr">
        <is>
          <t>2025-26/03</t>
        </is>
      </c>
      <c r="F1963" t="inlineStr">
        <is>
          <t>New Lead</t>
        </is>
      </c>
      <c r="G1963" t="inlineStr">
        <is>
          <t>CGS</t>
        </is>
      </c>
      <c r="H1963" t="inlineStr">
        <is>
          <t>Tender Document</t>
        </is>
      </c>
      <c r="K1963" t="inlineStr">
        <is>
          <t>SHALL BE DECIDED ON L-1 BASIS</t>
        </is>
      </c>
      <c r="L1963" t="inlineStr">
        <is>
          <t>Unknown</t>
        </is>
      </c>
      <c r="M1963" t="n">
        <v>1000000000</v>
      </c>
      <c r="T1963" t="inlineStr">
        <is>
          <t>https://www.gasonet.in/files/01-Tender.pdf</t>
        </is>
      </c>
      <c r="U1963" t="inlineStr">
        <is>
          <t>No</t>
        </is>
      </c>
      <c r="V1963"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meta:score=100;priority=High;source_type=html_table;closing_date=24/07/2025;equipment=Regulating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964">
      <c r="A1964" t="inlineStr">
        <is>
          <t>T-1768</t>
        </is>
      </c>
      <c r="B1964" t="inlineStr">
        <is>
          <t>Gasonet Services</t>
        </is>
      </c>
      <c r="C1964" t="inlineStr">
        <is>
          <t>Gasonet Services</t>
        </is>
      </c>
      <c r="D1964" t="inlineStr">
        <is>
          <t>Tender No. : GSRJL/C</t>
        </is>
      </c>
      <c r="E1964" t="inlineStr">
        <is>
          <t>2025-26/03</t>
        </is>
      </c>
      <c r="F1964" t="inlineStr">
        <is>
          <t>New Lead</t>
        </is>
      </c>
      <c r="G1964" t="inlineStr">
        <is>
          <t>CGS</t>
        </is>
      </c>
      <c r="H1964" t="inlineStr">
        <is>
          <t>SOR - AG Piping Work CGS Churu</t>
        </is>
      </c>
      <c r="K1964" t="inlineStr">
        <is>
          <t>Not found</t>
        </is>
      </c>
      <c r="L1964" t="inlineStr">
        <is>
          <t>Unknown</t>
        </is>
      </c>
      <c r="T1964" t="inlineStr">
        <is>
          <t>https://www.gasonet.in/files/07-SOR - AG Piping Work CGS Churu.xlsx</t>
        </is>
      </c>
      <c r="U1964" t="inlineStr">
        <is>
          <t>No</t>
        </is>
      </c>
      <c r="V1964"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65">
      <c r="A1965" t="inlineStr">
        <is>
          <t>T-1769</t>
        </is>
      </c>
      <c r="B1965" t="inlineStr">
        <is>
          <t>Gasonet Services</t>
        </is>
      </c>
      <c r="C1965" t="inlineStr">
        <is>
          <t>Gasonet Services</t>
        </is>
      </c>
      <c r="D1965" t="inlineStr">
        <is>
          <t>Tender No. : GSL/C</t>
        </is>
      </c>
      <c r="F1965" t="inlineStr">
        <is>
          <t>New Lead</t>
        </is>
      </c>
      <c r="G1965" t="inlineStr">
        <is>
          <t>Unclassified</t>
        </is>
      </c>
      <c r="H1965" t="inlineStr">
        <is>
          <t>Tender Document</t>
        </is>
      </c>
      <c r="K1965" t="inlineStr">
        <is>
          <t>Not found</t>
        </is>
      </c>
      <c r="L1965" t="inlineStr">
        <is>
          <t>Unknown</t>
        </is>
      </c>
      <c r="T1965" t="inlineStr">
        <is>
          <t>https://www.gasonet.in/files/Tender Document - Ball and Globe Valves.pdf</t>
        </is>
      </c>
      <c r="U1965" t="inlineStr">
        <is>
          <t>No</t>
        </is>
      </c>
      <c r="V1965" t="inlineStr">
        <is>
          <t>Bot tarafindan tespit edildi (2026-07-01) | Bot enrich; date=2026-07-01; type=pdf; score=125; Bot tespit/zenginlestirme (2026-07-01); meta:score=35;priority=Low;source_type=html_table;closing_date=;equipment=Unclassified;reasons=document source,tender reference signal</t>
        </is>
      </c>
    </row>
    <row r="1966">
      <c r="A1966" t="inlineStr">
        <is>
          <t>T-1770</t>
        </is>
      </c>
      <c r="B1966" t="inlineStr">
        <is>
          <t>Gasonet Services</t>
        </is>
      </c>
      <c r="C1966" t="inlineStr">
        <is>
          <t>Gasonet Services</t>
        </is>
      </c>
      <c r="D1966" t="inlineStr">
        <is>
          <t>Tender No. : GSL/C</t>
        </is>
      </c>
      <c r="F1966" t="inlineStr">
        <is>
          <t>New Lead</t>
        </is>
      </c>
      <c r="G1966" t="inlineStr">
        <is>
          <t>Unclassified</t>
        </is>
      </c>
      <c r="H1966" t="inlineStr">
        <is>
          <t>Replies to Bidders Queries</t>
        </is>
      </c>
      <c r="K1966" t="inlineStr">
        <is>
          <t>Not found</t>
        </is>
      </c>
      <c r="L1966" t="inlineStr">
        <is>
          <t>Unknown</t>
        </is>
      </c>
      <c r="T1966" t="inlineStr">
        <is>
          <t>https://www.gasonet.in/files/Replies_to_Bidders_Queries_Ball_Glove_Valve.pdf</t>
        </is>
      </c>
      <c r="U1966" t="inlineStr">
        <is>
          <t>No</t>
        </is>
      </c>
      <c r="V1966" t="inlineStr">
        <is>
          <t>Bot tarafindan tespit edildi (2026-07-01) | Bot enrich; date=2026-07-01; type=pdf; score=125; Bot tespit/zenginlestirme (2026-07-01); meta:score=35;priority=Low;source_type=html_table;closing_date=;equipment=Unclassified;reasons=document source,tender reference signal</t>
        </is>
      </c>
    </row>
    <row r="1967">
      <c r="A1967" t="inlineStr">
        <is>
          <t>T-1771</t>
        </is>
      </c>
      <c r="B1967" t="inlineStr">
        <is>
          <t>Gasonet Services</t>
        </is>
      </c>
      <c r="C1967" t="inlineStr">
        <is>
          <t>Gasonet Services</t>
        </is>
      </c>
      <c r="D1967" t="inlineStr">
        <is>
          <t>Tender No. : GSL/RJ/ODORIZER/2025-26/004</t>
        </is>
      </c>
      <c r="F1967" t="inlineStr">
        <is>
          <t>New Lead</t>
        </is>
      </c>
      <c r="G1967" t="inlineStr">
        <is>
          <t>Unclassified</t>
        </is>
      </c>
      <c r="H1967" t="inlineStr">
        <is>
          <t>Tender Document</t>
        </is>
      </c>
      <c r="K1967" t="inlineStr">
        <is>
          <t>Not found</t>
        </is>
      </c>
      <c r="L1967" t="inlineStr">
        <is>
          <t>Unknown</t>
        </is>
      </c>
      <c r="T1967" t="inlineStr">
        <is>
          <t>https://www.gasonet.in/files/22-Tender-Purchase-of-Odorizer-Unit.pdf</t>
        </is>
      </c>
      <c r="U1967" t="inlineStr">
        <is>
          <t>No</t>
        </is>
      </c>
      <c r="V1967" t="inlineStr">
        <is>
          <t>Bot tarafindan tespit edildi (2026-07-01) | Bot enrich; date=2026-07-01; type=pdf; score=125; Bot tespit/zenginlestirme (2026-07-01); meta:score=35;priority=Low;source_type=html_table;closing_date=;equipment=Unclassified;reasons=document source,tender reference signal</t>
        </is>
      </c>
    </row>
    <row r="1968">
      <c r="A1968" t="inlineStr">
        <is>
          <t>T-1772</t>
        </is>
      </c>
      <c r="B1968" t="inlineStr">
        <is>
          <t>Gasonet Services</t>
        </is>
      </c>
      <c r="C1968" t="inlineStr">
        <is>
          <t>Gasonet Services</t>
        </is>
      </c>
      <c r="D1968" t="inlineStr">
        <is>
          <t>Tender No. : GSL/RJ/ODORIZER/2025-26/004</t>
        </is>
      </c>
      <c r="F1968" t="inlineStr">
        <is>
          <t>New Lead</t>
        </is>
      </c>
      <c r="G1968" t="inlineStr">
        <is>
          <t>Unclassified</t>
        </is>
      </c>
      <c r="H1968" t="inlineStr">
        <is>
          <t>Replies to Bidders Queries</t>
        </is>
      </c>
      <c r="K1968" t="inlineStr">
        <is>
          <t>Not found</t>
        </is>
      </c>
      <c r="L1968" t="inlineStr">
        <is>
          <t>Unknown</t>
        </is>
      </c>
      <c r="T1968" t="inlineStr">
        <is>
          <t>https://www.gasonet.in/files/22-Odorizer_TQCQ Replies to Bidders Query.pdf</t>
        </is>
      </c>
      <c r="U1968" t="inlineStr">
        <is>
          <t>No</t>
        </is>
      </c>
      <c r="V1968" t="inlineStr">
        <is>
          <t>Bot tarafindan tespit edildi (2026-07-01) | Bot enrich; date=2026-07-01; type=pdf; score=125; Bot tespit/zenginlestirme (2026-07-01); meta:score=35;priority=Low;source_type=html_table;closing_date=;equipment=Unclassified;reasons=document source,tender reference signal</t>
        </is>
      </c>
    </row>
    <row r="1969">
      <c r="A1969" t="inlineStr">
        <is>
          <t>T-1773</t>
        </is>
      </c>
      <c r="B1969" t="inlineStr">
        <is>
          <t>Gasonet Services</t>
        </is>
      </c>
      <c r="C1969" t="inlineStr">
        <is>
          <t>Gasonet Services</t>
        </is>
      </c>
      <c r="D1969" t="inlineStr">
        <is>
          <t>Tender No. : GSL/PE-BALL</t>
        </is>
      </c>
      <c r="E1969" t="inlineStr">
        <is>
          <t>2025-26/07</t>
        </is>
      </c>
      <c r="F1969" t="inlineStr">
        <is>
          <t>New Lead</t>
        </is>
      </c>
      <c r="G1969" t="inlineStr">
        <is>
          <t>Unclassified</t>
        </is>
      </c>
      <c r="H1969" t="inlineStr">
        <is>
          <t>Tender Document</t>
        </is>
      </c>
      <c r="K1969" t="inlineStr">
        <is>
          <t>Not found</t>
        </is>
      </c>
      <c r="L1969" t="inlineStr">
        <is>
          <t>Unknown</t>
        </is>
      </c>
      <c r="T1969" t="inlineStr">
        <is>
          <t>https://www.gasonet.in/files/23-TENDER.pdf</t>
        </is>
      </c>
      <c r="U1969" t="inlineStr">
        <is>
          <t>No</t>
        </is>
      </c>
      <c r="V1969" t="inlineStr">
        <is>
          <t>Bot tarafindan tespit edildi (2026-07-01) | Bot enrich; date=2026-07-01; type=pdf; score=135; Bot tespit/zenginlestirme (2026-07-01); meta:score=35;priority=Low;source_type=html_table;closing_date=;equipment=Unclassified;reasons=document source,tender reference signal</t>
        </is>
      </c>
    </row>
    <row r="1970">
      <c r="A1970" t="inlineStr">
        <is>
          <t>T-1774</t>
        </is>
      </c>
      <c r="B1970" t="inlineStr">
        <is>
          <t>Gasonet Services</t>
        </is>
      </c>
      <c r="C1970" t="inlineStr">
        <is>
          <t>Gasonet Services</t>
        </is>
      </c>
      <c r="D1970" t="inlineStr">
        <is>
          <t>Tender No. : GSL/PE-BALL</t>
        </is>
      </c>
      <c r="E1970" t="inlineStr">
        <is>
          <t>2025-26/07</t>
        </is>
      </c>
      <c r="F1970" t="inlineStr">
        <is>
          <t>New Lead</t>
        </is>
      </c>
      <c r="G1970" t="inlineStr">
        <is>
          <t>Unclassified</t>
        </is>
      </c>
      <c r="H1970" t="inlineStr">
        <is>
          <t>Additional Replies to Bidders' Queries</t>
        </is>
      </c>
      <c r="K1970" t="inlineStr">
        <is>
          <t>Not found</t>
        </is>
      </c>
      <c r="L1970" t="inlineStr">
        <is>
          <t>Unknown</t>
        </is>
      </c>
      <c r="T1970" t="inlineStr">
        <is>
          <t>https://www.gasonet.in/files/Additional Replies to Bidders' Queries.pdf</t>
        </is>
      </c>
      <c r="U1970" t="inlineStr">
        <is>
          <t>No</t>
        </is>
      </c>
      <c r="V1970" t="inlineStr">
        <is>
          <t>Bot tarafindan tespit edildi (2026-07-01) | Bot enrich; date=2026-07-01; type=pdf; score=135; Bot tespit/zenginlestirme (2026-07-01); meta:score=35;priority=Low;source_type=html_table;closing_date=;equipment=Unclassified;reasons=document source,tender reference signal</t>
        </is>
      </c>
    </row>
    <row r="1971">
      <c r="A1971" t="inlineStr">
        <is>
          <t>T-1775</t>
        </is>
      </c>
      <c r="B1971" t="inlineStr">
        <is>
          <t>Gasonet Services</t>
        </is>
      </c>
      <c r="C1971" t="inlineStr">
        <is>
          <t>Gasonet Services</t>
        </is>
      </c>
      <c r="D1971" t="inlineStr">
        <is>
          <t>Tender No. : GSL/PE-FITTING</t>
        </is>
      </c>
      <c r="E1971" t="inlineStr">
        <is>
          <t>2025-26/08</t>
        </is>
      </c>
      <c r="F1971" t="inlineStr">
        <is>
          <t>New Lead</t>
        </is>
      </c>
      <c r="G1971" t="inlineStr">
        <is>
          <t>Unclassified</t>
        </is>
      </c>
      <c r="H1971" t="inlineStr">
        <is>
          <t>Tender Document</t>
        </is>
      </c>
      <c r="K1971" t="inlineStr">
        <is>
          <t>Not found</t>
        </is>
      </c>
      <c r="L1971" t="inlineStr">
        <is>
          <t>Unknown</t>
        </is>
      </c>
      <c r="T1971" t="inlineStr">
        <is>
          <t>https://www.gasonet.in/files/TENDER_PE FITTING.pdf</t>
        </is>
      </c>
      <c r="U1971" t="inlineStr">
        <is>
          <t>No</t>
        </is>
      </c>
      <c r="V1971" t="inlineStr">
        <is>
          <t>Bot tarafindan tespit edildi (2026-07-01) | Bot enrich; date=2026-07-01; type=pdf; score=135; Bot tespit/zenginlestirme (2026-07-01); meta:score=35;priority=Low;source_type=html_table;closing_date=;equipment=Unclassified;reasons=document source,tender reference signal</t>
        </is>
      </c>
    </row>
    <row r="1972">
      <c r="A1972" t="inlineStr">
        <is>
          <t>T-1776</t>
        </is>
      </c>
      <c r="B1972" t="inlineStr">
        <is>
          <t>Gasonet Services</t>
        </is>
      </c>
      <c r="C1972" t="inlineStr">
        <is>
          <t>Gasonet Services</t>
        </is>
      </c>
      <c r="D1972" t="inlineStr">
        <is>
          <t>Tender No. : GSL/CIVIL</t>
        </is>
      </c>
      <c r="F1972" t="inlineStr">
        <is>
          <t>New Lead</t>
        </is>
      </c>
      <c r="G1972" t="inlineStr">
        <is>
          <t>Unclassified</t>
        </is>
      </c>
      <c r="H1972" t="inlineStr">
        <is>
          <t>Tender Document</t>
        </is>
      </c>
      <c r="K1972" t="inlineStr">
        <is>
          <t>Not found</t>
        </is>
      </c>
      <c r="L1972" t="inlineStr">
        <is>
          <t>Unknown</t>
        </is>
      </c>
      <c r="T1972" t="inlineStr">
        <is>
          <t>https://www.gasonet.in/files/25-CIVIL_TENDER.pdf</t>
        </is>
      </c>
      <c r="U1972" t="inlineStr">
        <is>
          <t>No</t>
        </is>
      </c>
      <c r="V1972" t="inlineStr">
        <is>
          <t>Bot tarafindan tespit edildi (2026-07-01) | Bot enrich; date=2026-07-01; type=pdf; score=125; Bot tespit/zenginlestirme (2026-07-01); meta:score=;priority=Low;source_type=html_table;closing_date=;equipment=Unclassified;reasons=document source,tender reference signal,access/action page</t>
        </is>
      </c>
    </row>
    <row r="1973">
      <c r="A1973" t="inlineStr">
        <is>
          <t>T-1777</t>
        </is>
      </c>
      <c r="B1973" t="inlineStr">
        <is>
          <t>Gasonet Services</t>
        </is>
      </c>
      <c r="C1973" t="inlineStr">
        <is>
          <t>Gasonet Services</t>
        </is>
      </c>
      <c r="D1973" t="inlineStr">
        <is>
          <t>Tender No. : GASONET/C</t>
        </is>
      </c>
      <c r="F1973" t="inlineStr">
        <is>
          <t>New Lead</t>
        </is>
      </c>
      <c r="G1973" t="inlineStr">
        <is>
          <t>Gas-related / review</t>
        </is>
      </c>
      <c r="H1973" t="inlineStr">
        <is>
          <t>Tender Document</t>
        </is>
      </c>
      <c r="K1973" t="inlineStr">
        <is>
          <t>Not found</t>
        </is>
      </c>
      <c r="L1973" t="inlineStr">
        <is>
          <t>Unknown</t>
        </is>
      </c>
      <c r="T1973" t="inlineStr">
        <is>
          <t>https://www.gasonet.in/files/26-TENDER-MLC-PIPE.pdf</t>
        </is>
      </c>
      <c r="U1973" t="inlineStr">
        <is>
          <t>No</t>
        </is>
      </c>
      <c r="V1973"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4">
      <c r="A1974" t="inlineStr">
        <is>
          <t>T-1778</t>
        </is>
      </c>
      <c r="B1974" t="inlineStr">
        <is>
          <t>Gasonet Services</t>
        </is>
      </c>
      <c r="C1974" t="inlineStr">
        <is>
          <t>Gasonet Services</t>
        </is>
      </c>
      <c r="D1974" t="inlineStr">
        <is>
          <t>Tender No. : GASONET/C</t>
        </is>
      </c>
      <c r="F1974" t="inlineStr">
        <is>
          <t>New Lead</t>
        </is>
      </c>
      <c r="G1974" t="inlineStr">
        <is>
          <t>Gas-related / review</t>
        </is>
      </c>
      <c r="H1974" t="inlineStr">
        <is>
          <t>Tender Document</t>
        </is>
      </c>
      <c r="K1974" t="inlineStr">
        <is>
          <t>Not found</t>
        </is>
      </c>
      <c r="L1974" t="inlineStr">
        <is>
          <t>Unknown</t>
        </is>
      </c>
      <c r="T1974" t="inlineStr">
        <is>
          <t>https://www.gasonet.in/files/27-TENDER_GI-PIPE.pdf</t>
        </is>
      </c>
      <c r="U1974" t="inlineStr">
        <is>
          <t>No</t>
        </is>
      </c>
      <c r="V1974"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5">
      <c r="A1975" t="inlineStr">
        <is>
          <t>T-1779</t>
        </is>
      </c>
      <c r="B1975" t="inlineStr">
        <is>
          <t>Gasonet Services</t>
        </is>
      </c>
      <c r="C1975" t="inlineStr">
        <is>
          <t>Gasonet Services</t>
        </is>
      </c>
      <c r="D1975" t="inlineStr">
        <is>
          <t>GASONET/C</t>
        </is>
      </c>
      <c r="F1975" t="inlineStr">
        <is>
          <t>New Lead</t>
        </is>
      </c>
      <c r="G1975" t="inlineStr">
        <is>
          <t>Unclassified</t>
        </is>
      </c>
      <c r="H1975" t="inlineStr">
        <is>
          <t>Tender Document</t>
        </is>
      </c>
      <c r="K1975" t="inlineStr">
        <is>
          <t>Not found</t>
        </is>
      </c>
      <c r="L1975" t="inlineStr">
        <is>
          <t>Unknown</t>
        </is>
      </c>
      <c r="T1975" t="inlineStr">
        <is>
          <t>https://www.gasonet.in/files/28-Tender.pdf</t>
        </is>
      </c>
      <c r="U1975" t="inlineStr">
        <is>
          <t>No</t>
        </is>
      </c>
      <c r="V1975" t="inlineStr">
        <is>
          <t>Bot tarafindan tespit edildi (2026-07-01); Bot tespit/zenginlestirme (2026-07-01); meta:score=;priority=Low;source_type=html_table;closing_date=;equipment=Unclassified;reasons=document source,tender reference signal,access/action page</t>
        </is>
      </c>
    </row>
    <row r="1976">
      <c r="A1976" t="inlineStr">
        <is>
          <t>T-1780</t>
        </is>
      </c>
      <c r="B1976" t="inlineStr">
        <is>
          <t>Avantika Gas</t>
        </is>
      </c>
      <c r="C1976" t="inlineStr">
        <is>
          <t>Avantika Gas</t>
        </is>
      </c>
      <c r="D1976" t="inlineStr">
        <is>
          <t>iatives</t>
        </is>
      </c>
      <c r="F1976" t="inlineStr">
        <is>
          <t>New Lead</t>
        </is>
      </c>
      <c r="G1976" t="inlineStr">
        <is>
          <t>Irrelevant / non-target</t>
        </is>
      </c>
      <c r="H1976" t="inlineStr">
        <is>
          <t>CSR Initiatives</t>
        </is>
      </c>
      <c r="K1976" t="inlineStr">
        <is>
          <t>Not found</t>
        </is>
      </c>
      <c r="L1976" t="inlineStr">
        <is>
          <t>Unknown</t>
        </is>
      </c>
      <c r="T1976" t="inlineStr">
        <is>
          <t>https://www.aglonline.net/csr/csr-initiatives/</t>
        </is>
      </c>
      <c r="U1976" t="inlineStr">
        <is>
          <t>No</t>
        </is>
      </c>
      <c r="V1976" t="inlineStr">
        <is>
          <t>Bot tarafindan tespit edildi (2026-07-01); Bot tespit/zenginlestirme (2026-07-01); meta:score=;priority=Low;source_type=html_link;closing_date=;equipment=Irrelevant / non-target;reasons=irrelevant_equipment,tender reference signal,website noise</t>
        </is>
      </c>
    </row>
    <row r="1977">
      <c r="A1977" t="inlineStr">
        <is>
          <t>T-1781</t>
        </is>
      </c>
      <c r="B1977" t="inlineStr">
        <is>
          <t>Avantika Gas</t>
        </is>
      </c>
      <c r="C1977" t="inlineStr">
        <is>
          <t>Avantika Gas</t>
        </is>
      </c>
      <c r="D1977" t="inlineStr">
        <is>
          <t>net/businesses/png-domestic/terms-and-conditions</t>
        </is>
      </c>
      <c r="F1977" t="inlineStr">
        <is>
          <t>New Lead</t>
        </is>
      </c>
      <c r="G1977" t="inlineStr">
        <is>
          <t>RMS</t>
        </is>
      </c>
      <c r="H1977" t="inlineStr">
        <is>
          <t>Terms and Conditions</t>
        </is>
      </c>
      <c r="K1977" t="inlineStr">
        <is>
          <t>Not found</t>
        </is>
      </c>
      <c r="L1977" t="inlineStr">
        <is>
          <t>Unknown</t>
        </is>
      </c>
      <c r="T1977" t="inlineStr">
        <is>
          <t>https://www.aglonline.net/businesses/png-domestic/terms-and-conditions/</t>
        </is>
      </c>
      <c r="U1977" t="inlineStr">
        <is>
          <t>No</t>
        </is>
      </c>
      <c r="V1977" t="inlineStr">
        <is>
          <t>Bot tarafindan tespit edildi (2026-07-01) | Bot enrich; date=2026-07-01; type=html; score=160</t>
        </is>
      </c>
    </row>
    <row r="1978">
      <c r="A1978" t="inlineStr">
        <is>
          <t>T-1782</t>
        </is>
      </c>
      <c r="B1978" t="inlineStr">
        <is>
          <t>Avantika Gas</t>
        </is>
      </c>
      <c r="C1978" t="inlineStr">
        <is>
          <t>Avantika Gas</t>
        </is>
      </c>
      <c r="F1978" t="inlineStr">
        <is>
          <t>New Lead</t>
        </is>
      </c>
      <c r="H1978" t="inlineStr">
        <is>
          <t>Tender</t>
        </is>
      </c>
      <c r="K1978" t="inlineStr">
        <is>
          <t>Not found</t>
        </is>
      </c>
      <c r="L1978" t="inlineStr">
        <is>
          <t>Unknown</t>
        </is>
      </c>
      <c r="T1978" t="inlineStr">
        <is>
          <t>https://www.aglonline.net/tender/</t>
        </is>
      </c>
      <c r="U1978" t="inlineStr">
        <is>
          <t>No</t>
        </is>
      </c>
      <c r="V1978" t="inlineStr">
        <is>
          <t>Bot tarafindan tespit edildi (2026-07-01)</t>
        </is>
      </c>
    </row>
    <row r="1979">
      <c r="A1979" t="inlineStr">
        <is>
          <t>T-1783</t>
        </is>
      </c>
      <c r="B1979" t="inlineStr">
        <is>
          <t>Avantika Gas</t>
        </is>
      </c>
      <c r="C1979" t="inlineStr">
        <is>
          <t>Avantika Gas</t>
        </is>
      </c>
      <c r="F1979" t="inlineStr">
        <is>
          <t>New Lead</t>
        </is>
      </c>
      <c r="H1979" t="inlineStr">
        <is>
          <t>Active Tenders</t>
        </is>
      </c>
      <c r="K1979" t="inlineStr">
        <is>
          <t>Not found</t>
        </is>
      </c>
      <c r="L1979" t="inlineStr">
        <is>
          <t>Unknown</t>
        </is>
      </c>
      <c r="T1979" t="inlineStr">
        <is>
          <t>https://www.aglonline.net/active-tenders/</t>
        </is>
      </c>
      <c r="U1979" t="inlineStr">
        <is>
          <t>No</t>
        </is>
      </c>
      <c r="V1979" t="inlineStr">
        <is>
          <t>Bot tarafindan tespit edildi (2026-07-01)</t>
        </is>
      </c>
    </row>
    <row r="1980">
      <c r="A1980" t="inlineStr">
        <is>
          <t>T-1784</t>
        </is>
      </c>
      <c r="B1980" t="inlineStr">
        <is>
          <t>Avantika Gas</t>
        </is>
      </c>
      <c r="C1980" t="inlineStr">
        <is>
          <t>Avantika Gas</t>
        </is>
      </c>
      <c r="F1980" t="inlineStr">
        <is>
          <t>New Lead</t>
        </is>
      </c>
      <c r="H1980" t="inlineStr">
        <is>
          <t>E-Tender</t>
        </is>
      </c>
      <c r="K1980" t="inlineStr">
        <is>
          <t>Not found</t>
        </is>
      </c>
      <c r="L1980" t="inlineStr">
        <is>
          <t>Unknown</t>
        </is>
      </c>
      <c r="T1980" t="inlineStr">
        <is>
          <t>https://www.aglonline.net/e-tender/</t>
        </is>
      </c>
      <c r="U1980" t="inlineStr">
        <is>
          <t>No</t>
        </is>
      </c>
      <c r="V1980" t="inlineStr">
        <is>
          <t>Bot tarafindan tespit edildi (2026-07-01)</t>
        </is>
      </c>
    </row>
    <row r="1981">
      <c r="A1981" t="inlineStr">
        <is>
          <t>T-1785</t>
        </is>
      </c>
      <c r="B1981" t="inlineStr">
        <is>
          <t>Avantika Gas</t>
        </is>
      </c>
      <c r="C1981" t="inlineStr">
        <is>
          <t>Avantika Gas</t>
        </is>
      </c>
      <c r="F1981" t="inlineStr">
        <is>
          <t>New Lead</t>
        </is>
      </c>
      <c r="H1981" t="inlineStr">
        <is>
          <t>Manual Tenders List</t>
        </is>
      </c>
      <c r="K1981" t="inlineStr">
        <is>
          <t>Not found</t>
        </is>
      </c>
      <c r="L1981" t="inlineStr">
        <is>
          <t>Unknown</t>
        </is>
      </c>
      <c r="T1981" t="inlineStr">
        <is>
          <t>https://www.aglonline.net/manual-tenders-list/</t>
        </is>
      </c>
      <c r="U1981" t="inlineStr">
        <is>
          <t>No</t>
        </is>
      </c>
      <c r="V1981" t="inlineStr">
        <is>
          <t>Bot tarafindan tespit edildi (2026-07-01)</t>
        </is>
      </c>
    </row>
    <row r="1982">
      <c r="A1982" t="inlineStr">
        <is>
          <t>T-1786</t>
        </is>
      </c>
      <c r="B1982" t="inlineStr">
        <is>
          <t>Avantika Gas</t>
        </is>
      </c>
      <c r="C1982" t="inlineStr">
        <is>
          <t>Avantika Gas</t>
        </is>
      </c>
      <c r="F1982" t="inlineStr">
        <is>
          <t>New Lead</t>
        </is>
      </c>
      <c r="H1982" t="inlineStr">
        <is>
          <t>Disposals E-Auction</t>
        </is>
      </c>
      <c r="K1982" t="inlineStr">
        <is>
          <t>Not found</t>
        </is>
      </c>
      <c r="L1982" t="inlineStr">
        <is>
          <t>Unknown</t>
        </is>
      </c>
      <c r="T1982" t="inlineStr">
        <is>
          <t>https://www.aglonline.net/tender/disposals-e-auction/</t>
        </is>
      </c>
      <c r="U1982" t="inlineStr">
        <is>
          <t>No</t>
        </is>
      </c>
      <c r="V1982" t="inlineStr">
        <is>
          <t>Bot tarafindan tespit edildi (2026-07-01)</t>
        </is>
      </c>
    </row>
    <row r="1983">
      <c r="A1983" t="inlineStr">
        <is>
          <t>T-1787</t>
        </is>
      </c>
      <c r="B1983" t="inlineStr">
        <is>
          <t>Avantika Gas</t>
        </is>
      </c>
      <c r="C1983" t="inlineStr">
        <is>
          <t>Avantika Gas</t>
        </is>
      </c>
      <c r="F1983" t="inlineStr">
        <is>
          <t>New Lead</t>
        </is>
      </c>
      <c r="H1983" t="inlineStr">
        <is>
          <t>EOI</t>
        </is>
      </c>
      <c r="K1983" t="inlineStr">
        <is>
          <t>Not found</t>
        </is>
      </c>
      <c r="L1983" t="inlineStr">
        <is>
          <t>Unknown</t>
        </is>
      </c>
      <c r="T1983" t="inlineStr">
        <is>
          <t>https://www.aglonline.net/tender/eoi/</t>
        </is>
      </c>
      <c r="U1983" t="inlineStr">
        <is>
          <t>No</t>
        </is>
      </c>
      <c r="V1983" t="inlineStr">
        <is>
          <t>Bot tarafindan tespit edildi (2026-07-01)</t>
        </is>
      </c>
    </row>
    <row r="1984">
      <c r="A1984" t="inlineStr">
        <is>
          <t>T-1788</t>
        </is>
      </c>
      <c r="B1984" t="inlineStr">
        <is>
          <t>Avantika Gas</t>
        </is>
      </c>
      <c r="C1984" t="inlineStr">
        <is>
          <t>Avantika Gas</t>
        </is>
      </c>
      <c r="F1984" t="inlineStr">
        <is>
          <t>New Lead</t>
        </is>
      </c>
      <c r="H1984" t="inlineStr">
        <is>
          <t>Archive/Old Tenders</t>
        </is>
      </c>
      <c r="K1984" t="inlineStr">
        <is>
          <t>Not found</t>
        </is>
      </c>
      <c r="L1984" t="inlineStr">
        <is>
          <t>Unknown</t>
        </is>
      </c>
      <c r="T1984" t="inlineStr">
        <is>
          <t>https://www.aglonline.net/tenders-list-archive/</t>
        </is>
      </c>
      <c r="U1984" t="inlineStr">
        <is>
          <t>No</t>
        </is>
      </c>
      <c r="V1984" t="inlineStr">
        <is>
          <t>Bot tarafindan tespit edildi (2026-07-01)</t>
        </is>
      </c>
    </row>
    <row r="1985">
      <c r="A1985" t="inlineStr">
        <is>
          <t>T-1789</t>
        </is>
      </c>
      <c r="B1985" t="inlineStr">
        <is>
          <t>Avantika Gas</t>
        </is>
      </c>
      <c r="C1985" t="inlineStr">
        <is>
          <t>Avantika Gas</t>
        </is>
      </c>
      <c r="F1985" t="inlineStr">
        <is>
          <t>New Lead</t>
        </is>
      </c>
      <c r="H1985" t="inlineStr">
        <is>
          <t>NOMINATION ORDERS</t>
        </is>
      </c>
      <c r="K1985" t="inlineStr">
        <is>
          <t>Not found</t>
        </is>
      </c>
      <c r="L1985" t="inlineStr">
        <is>
          <t>Unknown</t>
        </is>
      </c>
      <c r="T1985" t="inlineStr">
        <is>
          <t>https://www.aglonline.net/tender/nomination-orders/</t>
        </is>
      </c>
      <c r="U1985" t="inlineStr">
        <is>
          <t>No</t>
        </is>
      </c>
      <c r="V1985" t="inlineStr">
        <is>
          <t>Bot tarafindan tespit edildi (2026-07-01)</t>
        </is>
      </c>
    </row>
    <row r="1986">
      <c r="A1986" t="inlineStr">
        <is>
          <t>T-1790</t>
        </is>
      </c>
      <c r="B1986" t="inlineStr">
        <is>
          <t>Avantika Gas</t>
        </is>
      </c>
      <c r="C1986" t="inlineStr">
        <is>
          <t>Avantika Gas</t>
        </is>
      </c>
      <c r="F1986" t="inlineStr">
        <is>
          <t>New Lead</t>
        </is>
      </c>
      <c r="H1986" t="inlineStr">
        <is>
          <t>FY2025-26</t>
        </is>
      </c>
      <c r="K1986" t="inlineStr">
        <is>
          <t>Not found</t>
        </is>
      </c>
      <c r="L1986" t="inlineStr">
        <is>
          <t>Unknown</t>
        </is>
      </c>
      <c r="T1986" t="inlineStr">
        <is>
          <t>https://www.aglonline.net/tender/nomination-orders/fy-25-26/</t>
        </is>
      </c>
      <c r="U1986" t="inlineStr">
        <is>
          <t>No</t>
        </is>
      </c>
      <c r="V1986" t="inlineStr">
        <is>
          <t>Bot tarafindan tespit edildi (2026-07-01)</t>
        </is>
      </c>
    </row>
    <row r="1987">
      <c r="A1987" t="inlineStr">
        <is>
          <t>T-1791</t>
        </is>
      </c>
      <c r="B1987" t="inlineStr">
        <is>
          <t>Avantika Gas</t>
        </is>
      </c>
      <c r="C1987" t="inlineStr">
        <is>
          <t>Avantika Gas</t>
        </is>
      </c>
      <c r="F1987" t="inlineStr">
        <is>
          <t>New Lead</t>
        </is>
      </c>
      <c r="H1987" t="inlineStr">
        <is>
          <t>FY2024-25</t>
        </is>
      </c>
      <c r="K1987" t="inlineStr">
        <is>
          <t>Not found</t>
        </is>
      </c>
      <c r="L1987" t="inlineStr">
        <is>
          <t>Unknown</t>
        </is>
      </c>
      <c r="T1987" t="inlineStr">
        <is>
          <t>https://www.aglonline.net/tender/nomination-orders/fy2023-24-3/</t>
        </is>
      </c>
      <c r="U1987" t="inlineStr">
        <is>
          <t>No</t>
        </is>
      </c>
      <c r="V1987" t="inlineStr">
        <is>
          <t>Bot tarafindan tespit edildi (2026-07-01)</t>
        </is>
      </c>
    </row>
    <row r="1988">
      <c r="A1988" t="inlineStr">
        <is>
          <t>T-1792</t>
        </is>
      </c>
      <c r="B1988" t="inlineStr">
        <is>
          <t>Avantika Gas</t>
        </is>
      </c>
      <c r="C1988" t="inlineStr">
        <is>
          <t>Avantika Gas</t>
        </is>
      </c>
      <c r="F1988" t="inlineStr">
        <is>
          <t>New Lead</t>
        </is>
      </c>
      <c r="H1988" t="inlineStr">
        <is>
          <t>FY2023-24</t>
        </is>
      </c>
      <c r="K1988" t="inlineStr">
        <is>
          <t>Not found</t>
        </is>
      </c>
      <c r="L1988" t="inlineStr">
        <is>
          <t>Unknown</t>
        </is>
      </c>
      <c r="T1988" t="inlineStr">
        <is>
          <t>https://www.aglonline.net/tender/nomination-orders/fy2023-24/</t>
        </is>
      </c>
      <c r="U1988" t="inlineStr">
        <is>
          <t>No</t>
        </is>
      </c>
      <c r="V1988" t="inlineStr">
        <is>
          <t>Bot tarafindan tespit edildi (2026-07-01)</t>
        </is>
      </c>
    </row>
    <row r="1989">
      <c r="A1989" t="inlineStr">
        <is>
          <t>T-1793</t>
        </is>
      </c>
      <c r="B1989" t="inlineStr">
        <is>
          <t>Avantika Gas</t>
        </is>
      </c>
      <c r="C1989" t="inlineStr">
        <is>
          <t>Avantika Gas</t>
        </is>
      </c>
      <c r="F1989" t="inlineStr">
        <is>
          <t>New Lead</t>
        </is>
      </c>
      <c r="H1989" t="inlineStr">
        <is>
          <t>FY2022-23</t>
        </is>
      </c>
      <c r="K1989" t="inlineStr">
        <is>
          <t>Not found</t>
        </is>
      </c>
      <c r="L1989" t="inlineStr">
        <is>
          <t>Unknown</t>
        </is>
      </c>
      <c r="T1989" t="inlineStr">
        <is>
          <t>https://www.aglonline.net/tender/nomination-orders/fy2021-22-2/</t>
        </is>
      </c>
      <c r="U1989" t="inlineStr">
        <is>
          <t>No</t>
        </is>
      </c>
      <c r="V1989" t="inlineStr">
        <is>
          <t>Bot tarafindan tespit edildi (2026-07-01)</t>
        </is>
      </c>
    </row>
    <row r="1990">
      <c r="A1990" t="inlineStr">
        <is>
          <t>T-1794</t>
        </is>
      </c>
      <c r="B1990" t="inlineStr">
        <is>
          <t>Avantika Gas</t>
        </is>
      </c>
      <c r="C1990" t="inlineStr">
        <is>
          <t>Avantika Gas</t>
        </is>
      </c>
      <c r="F1990" t="inlineStr">
        <is>
          <t>New Lead</t>
        </is>
      </c>
      <c r="H1990" t="inlineStr">
        <is>
          <t>FY2021-22</t>
        </is>
      </c>
      <c r="K1990" t="inlineStr">
        <is>
          <t>Not found</t>
        </is>
      </c>
      <c r="L1990" t="inlineStr">
        <is>
          <t>Unknown</t>
        </is>
      </c>
      <c r="T1990" t="inlineStr">
        <is>
          <t>https://www.aglonline.net/tender/nomination-orders/fy2021-22/</t>
        </is>
      </c>
      <c r="U1990" t="inlineStr">
        <is>
          <t>No</t>
        </is>
      </c>
      <c r="V1990" t="inlineStr">
        <is>
          <t>Bot tarafindan tespit edildi (2026-07-01)</t>
        </is>
      </c>
    </row>
    <row r="1991">
      <c r="A1991" t="inlineStr">
        <is>
          <t>T-1795</t>
        </is>
      </c>
      <c r="B1991" t="inlineStr">
        <is>
          <t>Avantika Gas</t>
        </is>
      </c>
      <c r="C1991" t="inlineStr">
        <is>
          <t>Avantika Gas</t>
        </is>
      </c>
      <c r="F1991" t="inlineStr">
        <is>
          <t>New Lead</t>
        </is>
      </c>
      <c r="H1991" t="inlineStr">
        <is>
          <t>WATCH/HOLIDAY/BLACK-LISTING</t>
        </is>
      </c>
      <c r="K1991" t="inlineStr">
        <is>
          <t>Not found</t>
        </is>
      </c>
      <c r="L1991" t="inlineStr">
        <is>
          <t>Unknown</t>
        </is>
      </c>
      <c r="T1991" t="inlineStr">
        <is>
          <t>https://www.aglonline.net/tender/holiday-listing/</t>
        </is>
      </c>
      <c r="U1991" t="inlineStr">
        <is>
          <t>No</t>
        </is>
      </c>
      <c r="V1991" t="inlineStr">
        <is>
          <t>Bot tarafindan tespit edildi (2026-07-01)</t>
        </is>
      </c>
    </row>
    <row r="1992">
      <c r="A1992" t="inlineStr">
        <is>
          <t>T-1796</t>
        </is>
      </c>
      <c r="B1992" t="inlineStr">
        <is>
          <t>Avantika Gas</t>
        </is>
      </c>
      <c r="C1992" t="inlineStr">
        <is>
          <t>Avantika Gas</t>
        </is>
      </c>
      <c r="F1992" t="inlineStr">
        <is>
          <t>New Lead</t>
        </is>
      </c>
      <c r="H1992" t="inlineStr">
        <is>
          <t>IEM</t>
        </is>
      </c>
      <c r="K1992" t="inlineStr">
        <is>
          <t>Not found</t>
        </is>
      </c>
      <c r="L1992" t="inlineStr">
        <is>
          <t>Unknown</t>
        </is>
      </c>
      <c r="T1992" t="inlineStr">
        <is>
          <t>https://www.aglonline.net/tender/iem/</t>
        </is>
      </c>
      <c r="U1992" t="inlineStr">
        <is>
          <t>No</t>
        </is>
      </c>
      <c r="V1992" t="inlineStr">
        <is>
          <t>Bot tarafindan tespit edildi (2026-07-01)</t>
        </is>
      </c>
    </row>
    <row r="1993">
      <c r="A1993" t="inlineStr">
        <is>
          <t>T-1797</t>
        </is>
      </c>
      <c r="B1993" t="inlineStr">
        <is>
          <t>Avantika Gas</t>
        </is>
      </c>
      <c r="C1993" t="inlineStr">
        <is>
          <t>Avantika Gas</t>
        </is>
      </c>
      <c r="F1993" t="inlineStr">
        <is>
          <t>New Lead</t>
        </is>
      </c>
      <c r="H1993" t="inlineStr">
        <is>
          <t>E-Tender</t>
        </is>
      </c>
      <c r="K1993" t="inlineStr">
        <is>
          <t>Not found</t>
        </is>
      </c>
      <c r="L1993" t="inlineStr">
        <is>
          <t>Unknown</t>
        </is>
      </c>
      <c r="T1993" t="inlineStr">
        <is>
          <t>http://www.aglonline.net/e-tender/</t>
        </is>
      </c>
      <c r="U1993" t="inlineStr">
        <is>
          <t>No</t>
        </is>
      </c>
      <c r="V1993" t="inlineStr">
        <is>
          <t>Bot tarafindan tespit edildi (2026-07-01)</t>
        </is>
      </c>
    </row>
    <row r="1994">
      <c r="A1994" t="inlineStr">
        <is>
          <t>T-1798</t>
        </is>
      </c>
      <c r="B1994" t="inlineStr">
        <is>
          <t>Avantika Gas</t>
        </is>
      </c>
      <c r="C1994" t="inlineStr">
        <is>
          <t>Avantika Gas</t>
        </is>
      </c>
      <c r="F1994" t="inlineStr">
        <is>
          <t>New Lead</t>
        </is>
      </c>
      <c r="H1994" t="inlineStr">
        <is>
          <t>Manual Tender</t>
        </is>
      </c>
      <c r="K1994" t="inlineStr">
        <is>
          <t>Not found</t>
        </is>
      </c>
      <c r="L1994" t="inlineStr">
        <is>
          <t>Unknown</t>
        </is>
      </c>
      <c r="T1994" t="inlineStr">
        <is>
          <t>http://www.aglonline.net/e-tender/manual-tenders/</t>
        </is>
      </c>
      <c r="U1994" t="inlineStr">
        <is>
          <t>No</t>
        </is>
      </c>
      <c r="V1994" t="inlineStr">
        <is>
          <t>Bot tarafindan tespit edildi (2026-07-01)</t>
        </is>
      </c>
    </row>
    <row r="1995">
      <c r="A1995" t="inlineStr">
        <is>
          <t>T-1799</t>
        </is>
      </c>
      <c r="B1995" t="inlineStr">
        <is>
          <t>Avantika Gas</t>
        </is>
      </c>
      <c r="C1995" t="inlineStr">
        <is>
          <t>Avantika Gas</t>
        </is>
      </c>
      <c r="F1995" t="inlineStr">
        <is>
          <t>New Lead</t>
        </is>
      </c>
      <c r="H1995" t="inlineStr">
        <is>
          <t>Disposals E-Auction</t>
        </is>
      </c>
      <c r="K1995" t="inlineStr">
        <is>
          <t>Not found</t>
        </is>
      </c>
      <c r="L1995" t="inlineStr">
        <is>
          <t>Unknown</t>
        </is>
      </c>
      <c r="T1995" t="inlineStr">
        <is>
          <t>http://www.aglonline.net/tender/disposals-e-auction/</t>
        </is>
      </c>
      <c r="U1995" t="inlineStr">
        <is>
          <t>No</t>
        </is>
      </c>
      <c r="V1995" t="inlineStr">
        <is>
          <t>Bot tarafindan tespit edildi (2026-07-01)</t>
        </is>
      </c>
    </row>
    <row r="1996">
      <c r="A1996" t="inlineStr">
        <is>
          <t>T-1800</t>
        </is>
      </c>
      <c r="B1996" t="inlineStr">
        <is>
          <t>Avantika Gas</t>
        </is>
      </c>
      <c r="C1996" t="inlineStr">
        <is>
          <t>Avantika Gas</t>
        </is>
      </c>
      <c r="F1996" t="inlineStr">
        <is>
          <t>New Lead</t>
        </is>
      </c>
      <c r="H1996" t="inlineStr">
        <is>
          <t>EOI</t>
        </is>
      </c>
      <c r="K1996" t="inlineStr">
        <is>
          <t>Not found</t>
        </is>
      </c>
      <c r="L1996" t="inlineStr">
        <is>
          <t>Unknown</t>
        </is>
      </c>
      <c r="T1996" t="inlineStr">
        <is>
          <t>http://www.aglonline.net/tender/eoi/</t>
        </is>
      </c>
      <c r="U1996" t="inlineStr">
        <is>
          <t>No</t>
        </is>
      </c>
      <c r="V1996" t="inlineStr">
        <is>
          <t>Bot tarafindan tespit edildi (2026-07-01)</t>
        </is>
      </c>
    </row>
    <row r="1997">
      <c r="A1997" t="inlineStr">
        <is>
          <t>T-1801</t>
        </is>
      </c>
      <c r="B1997" t="inlineStr">
        <is>
          <t>Avantika Gas</t>
        </is>
      </c>
      <c r="C1997" t="inlineStr">
        <is>
          <t>Avantika Gas</t>
        </is>
      </c>
      <c r="D1997" t="inlineStr">
        <is>
          <t>net/tender/eoilmc</t>
        </is>
      </c>
      <c r="F1997" t="inlineStr">
        <is>
          <t>New Lead</t>
        </is>
      </c>
      <c r="H1997" t="inlineStr">
        <is>
          <t>EOI for CNG STATION DEALERSHIP</t>
        </is>
      </c>
      <c r="K1997" t="inlineStr">
        <is>
          <t>Not found</t>
        </is>
      </c>
      <c r="L1997" t="inlineStr">
        <is>
          <t>Unknown</t>
        </is>
      </c>
      <c r="T1997" t="inlineStr">
        <is>
          <t>http://www.aglonline.net/tender/eoilmc/</t>
        </is>
      </c>
      <c r="U1997" t="inlineStr">
        <is>
          <t>No</t>
        </is>
      </c>
      <c r="V1997" t="inlineStr">
        <is>
          <t>Bot tarafindan tespit edildi (2026-07-01) | Bot enrich; date=2026-07-01; type=html; score=60</t>
        </is>
      </c>
    </row>
    <row r="1998">
      <c r="A1998" t="inlineStr">
        <is>
          <t>T-1802</t>
        </is>
      </c>
      <c r="B1998" t="inlineStr">
        <is>
          <t>Avantika Gas</t>
        </is>
      </c>
      <c r="C1998" t="inlineStr">
        <is>
          <t>Avantika Gas</t>
        </is>
      </c>
      <c r="F1998" t="inlineStr">
        <is>
          <t>New Lead</t>
        </is>
      </c>
      <c r="H1998" t="inlineStr">
        <is>
          <t>Archive/OldTenders</t>
        </is>
      </c>
      <c r="K1998" t="inlineStr">
        <is>
          <t>Not found</t>
        </is>
      </c>
      <c r="L1998" t="inlineStr">
        <is>
          <t>Unknown</t>
        </is>
      </c>
      <c r="T1998" t="inlineStr">
        <is>
          <t>https://aavantikagasindia-my.sharepoint.com/personal/info_aglonline_net/_layouts/15/onedrive.aspx?id=%2Fpersonal%2Finfo%5Faglonline%5Fnet%2FDocuments%2FAGL%20TENDERS&amp;ga=1</t>
        </is>
      </c>
      <c r="U1998" t="inlineStr">
        <is>
          <t>No</t>
        </is>
      </c>
      <c r="V1998" t="inlineStr">
        <is>
          <t>Bot tarafindan tespit edildi (2026-07-01)</t>
        </is>
      </c>
    </row>
    <row r="1999">
      <c r="A1999" t="inlineStr">
        <is>
          <t>T-1803</t>
        </is>
      </c>
      <c r="B1999" t="inlineStr">
        <is>
          <t>Avantika Gas</t>
        </is>
      </c>
      <c r="C1999" t="inlineStr">
        <is>
          <t>Avantika Gas</t>
        </is>
      </c>
      <c r="D1999" t="inlineStr">
        <is>
          <t>net/tender/eoi/eoi-for-hiring-of-direct-sales-associates-2-2</t>
        </is>
      </c>
      <c r="F1999" t="inlineStr">
        <is>
          <t>New Lead</t>
        </is>
      </c>
      <c r="H1999" t="inlineStr">
        <is>
          <t>EOI for LNG/LCNG STATION DEALERSHIP</t>
        </is>
      </c>
      <c r="K1999" t="inlineStr">
        <is>
          <t>Not found</t>
        </is>
      </c>
      <c r="L1999" t="inlineStr">
        <is>
          <t>Unknown</t>
        </is>
      </c>
      <c r="T1999" t="inlineStr">
        <is>
          <t>https://www.aglonline.net/tender/eoi/eoi-for-hiring-of-direct-sales-associates-2-2/</t>
        </is>
      </c>
      <c r="U1999" t="inlineStr">
        <is>
          <t>No</t>
        </is>
      </c>
      <c r="V1999" t="inlineStr">
        <is>
          <t>Bot tarafindan tespit edildi (2026-07-01) | Bot enrich; date=2026-07-01; type=html; score=60</t>
        </is>
      </c>
    </row>
    <row r="2000">
      <c r="A2000" t="inlineStr">
        <is>
          <t>T-1804</t>
        </is>
      </c>
      <c r="B2000" t="inlineStr">
        <is>
          <t>Avantika Gas</t>
        </is>
      </c>
      <c r="C2000" t="inlineStr">
        <is>
          <t>Avantika Gas</t>
        </is>
      </c>
      <c r="F2000" t="inlineStr">
        <is>
          <t>New Lead</t>
        </is>
      </c>
      <c r="H2000" t="inlineStr">
        <is>
          <t>Download</t>
        </is>
      </c>
      <c r="K2000" t="inlineStr">
        <is>
          <t>Not found</t>
        </is>
      </c>
      <c r="L2000" t="inlineStr">
        <is>
          <t>Unknown</t>
        </is>
      </c>
      <c r="T2000" t="inlineStr">
        <is>
          <t>https://www.aglonline.net/quick-links/download/</t>
        </is>
      </c>
      <c r="U2000" t="inlineStr">
        <is>
          <t>No</t>
        </is>
      </c>
      <c r="V2000" t="inlineStr">
        <is>
          <t>Bot tarafindan tespit edildi (2026-07-01)</t>
        </is>
      </c>
    </row>
    <row r="2001">
      <c r="A2001" t="inlineStr">
        <is>
          <t>T-1805</t>
        </is>
      </c>
      <c r="B2001" t="inlineStr">
        <is>
          <t>Avantika Gas</t>
        </is>
      </c>
      <c r="C2001" t="inlineStr">
        <is>
          <t>Avantika Gas</t>
        </is>
      </c>
      <c r="F2001" t="inlineStr">
        <is>
          <t>New Lead</t>
        </is>
      </c>
      <c r="H2001" t="inlineStr">
        <is>
          <t>Download App Link</t>
        </is>
      </c>
      <c r="K2001" t="inlineStr">
        <is>
          <t>Not found</t>
        </is>
      </c>
      <c r="L2001" t="inlineStr">
        <is>
          <t>Unknown</t>
        </is>
      </c>
      <c r="T2001" t="inlineStr">
        <is>
          <t>https://play.google.com/store/apps/details?id=com.avantikagaslimited</t>
        </is>
      </c>
      <c r="U2001" t="inlineStr">
        <is>
          <t>No</t>
        </is>
      </c>
      <c r="V2001" t="inlineStr">
        <is>
          <t>Bot tarafindan tespit edildi (2026-07-01)</t>
        </is>
      </c>
    </row>
    <row r="2002">
      <c r="A2002" t="inlineStr">
        <is>
          <t>T-1806</t>
        </is>
      </c>
      <c r="B2002" t="inlineStr">
        <is>
          <t>Avantika Gas</t>
        </is>
      </c>
      <c r="C2002" t="inlineStr">
        <is>
          <t>Avantika Gas</t>
        </is>
      </c>
      <c r="D2002" t="inlineStr">
        <is>
          <t>net/terms-condition</t>
        </is>
      </c>
      <c r="F2002" t="inlineStr">
        <is>
          <t>New Lead</t>
        </is>
      </c>
      <c r="G2002" t="inlineStr">
        <is>
          <t>RMS</t>
        </is>
      </c>
      <c r="H2002" t="inlineStr">
        <is>
          <t>Terms &amp; Condition</t>
        </is>
      </c>
      <c r="K2002" t="inlineStr">
        <is>
          <t>Not found</t>
        </is>
      </c>
      <c r="L2002" t="inlineStr">
        <is>
          <t>Unknown</t>
        </is>
      </c>
      <c r="T2002" t="inlineStr">
        <is>
          <t>https://www.aglonline.net/terms-condition/</t>
        </is>
      </c>
      <c r="U2002" t="inlineStr">
        <is>
          <t>No</t>
        </is>
      </c>
      <c r="V2002" t="inlineStr">
        <is>
          <t>Bot tarafindan tespit edildi (2026-07-01) | Bot enrich; date=2026-07-01; type=html; score=160</t>
        </is>
      </c>
    </row>
    <row r="2003">
      <c r="A2003" t="inlineStr">
        <is>
          <t>T-1807</t>
        </is>
      </c>
      <c r="B2003" t="inlineStr">
        <is>
          <t>Vadodara Gas Limited</t>
        </is>
      </c>
      <c r="C2003" t="inlineStr">
        <is>
          <t>Vadodara Gas Limited</t>
        </is>
      </c>
      <c r="F2003" t="inlineStr">
        <is>
          <t>New Lead</t>
        </is>
      </c>
      <c r="H2003" t="inlineStr">
        <is>
          <t>List of Full DoDo LOA Recipients</t>
        </is>
      </c>
      <c r="K2003" t="inlineStr">
        <is>
          <t>Not found</t>
        </is>
      </c>
      <c r="L2003" t="inlineStr">
        <is>
          <t>Unknown</t>
        </is>
      </c>
      <c r="T2003" t="inlineStr">
        <is>
          <t>https://www.vgl.co.in/list-of-full-dodo-loa-recipients/</t>
        </is>
      </c>
      <c r="U2003" t="inlineStr">
        <is>
          <t>No</t>
        </is>
      </c>
      <c r="V2003" t="inlineStr">
        <is>
          <t>Bot tarafindan tespit edildi (2026-07-01)</t>
        </is>
      </c>
    </row>
    <row r="2004">
      <c r="A2004" t="inlineStr">
        <is>
          <t>T-1808</t>
        </is>
      </c>
      <c r="B2004" t="inlineStr">
        <is>
          <t>Vadodara Gas Limited</t>
        </is>
      </c>
      <c r="C2004" t="inlineStr">
        <is>
          <t>Vadodara Gas Limited</t>
        </is>
      </c>
      <c r="D2004" t="inlineStr">
        <is>
          <t>iatives</t>
        </is>
      </c>
      <c r="F2004" t="inlineStr">
        <is>
          <t>New Lead</t>
        </is>
      </c>
      <c r="G2004" t="inlineStr">
        <is>
          <t>Irrelevant / non-target</t>
        </is>
      </c>
      <c r="H2004" t="inlineStr">
        <is>
          <t>Our CSR Initiatives</t>
        </is>
      </c>
      <c r="K2004" t="inlineStr">
        <is>
          <t>Not found</t>
        </is>
      </c>
      <c r="L2004" t="inlineStr">
        <is>
          <t>Unknown</t>
        </is>
      </c>
      <c r="T2004" t="inlineStr">
        <is>
          <t>https://www.vgl.co.in/csr/our-csr-initiatives/</t>
        </is>
      </c>
      <c r="U2004" t="inlineStr">
        <is>
          <t>No</t>
        </is>
      </c>
      <c r="V2004" t="inlineStr">
        <is>
          <t>Bot tarafindan tespit edildi (2026-07-01); Bot tespit/zenginlestirme (2026-07-01); meta:score=;priority=Low;source_type=html_link;closing_date=;equipment=Irrelevant / non-target;reasons=irrelevant_equipment,tender reference signal,website noise</t>
        </is>
      </c>
    </row>
    <row r="2005">
      <c r="A2005" t="inlineStr">
        <is>
          <t>T-1809</t>
        </is>
      </c>
      <c r="B2005" t="inlineStr">
        <is>
          <t>Vadodara Gas Limited</t>
        </is>
      </c>
      <c r="C2005" t="inlineStr">
        <is>
          <t>Vadodara Gas Limited</t>
        </is>
      </c>
      <c r="F2005" t="inlineStr">
        <is>
          <t>New Lead</t>
        </is>
      </c>
      <c r="G2005" t="inlineStr">
        <is>
          <t>Gas-related / review</t>
        </is>
      </c>
      <c r="H2005" t="inlineStr">
        <is>
          <t>PNG Rules &amp; Regu.</t>
        </is>
      </c>
      <c r="K2005" t="inlineStr">
        <is>
          <t>Not found</t>
        </is>
      </c>
      <c r="L2005" t="inlineStr">
        <is>
          <t>Unknown</t>
        </is>
      </c>
      <c r="T2005" t="inlineStr">
        <is>
          <t>https://www.vgl.co.in/wp-content/uploads/2025/08/Revised-PNG-Rules-And-Regulations-2025.pdf</t>
        </is>
      </c>
      <c r="U2005" t="inlineStr">
        <is>
          <t>No</t>
        </is>
      </c>
      <c r="V2005" t="inlineStr">
        <is>
          <t>Bot tarafindan tespit edildi (2026-07-01); Bot tespit/zenginlestirme (2026-07-01); meta:score=35;priority=Low;source_type=html_table;closing_date=;equipment=Gas-related / review;reasons=equipment:Gas-related / review,document source</t>
        </is>
      </c>
    </row>
    <row r="2006">
      <c r="A2006" t="inlineStr">
        <is>
          <t>T-1810</t>
        </is>
      </c>
      <c r="B2006" t="inlineStr">
        <is>
          <t>Vadodara Gas Limited</t>
        </is>
      </c>
      <c r="C2006" t="inlineStr">
        <is>
          <t>Vadodara Gas Limited</t>
        </is>
      </c>
      <c r="F2006" t="inlineStr">
        <is>
          <t>New Lead</t>
        </is>
      </c>
      <c r="H2006" t="inlineStr">
        <is>
          <t>EOI</t>
        </is>
      </c>
      <c r="K2006" t="inlineStr">
        <is>
          <t>Not found</t>
        </is>
      </c>
      <c r="L2006" t="inlineStr">
        <is>
          <t>Unknown</t>
        </is>
      </c>
      <c r="T2006" t="inlineStr">
        <is>
          <t>https://www.vgl.co.in/eoi/</t>
        </is>
      </c>
      <c r="U2006" t="inlineStr">
        <is>
          <t>No</t>
        </is>
      </c>
      <c r="V2006" t="inlineStr">
        <is>
          <t>Bot tarafindan tespit edildi (2026-07-01)</t>
        </is>
      </c>
    </row>
    <row r="2007">
      <c r="A2007" t="inlineStr">
        <is>
          <t>T-1811</t>
        </is>
      </c>
      <c r="B2007" t="inlineStr">
        <is>
          <t>Vadodara Gas Limited</t>
        </is>
      </c>
      <c r="C2007" t="inlineStr">
        <is>
          <t>Vadodara Gas Limited</t>
        </is>
      </c>
      <c r="F2007" t="inlineStr">
        <is>
          <t>New Lead</t>
        </is>
      </c>
      <c r="H2007" t="inlineStr">
        <is>
          <t>Contracts &amp; Procurement</t>
        </is>
      </c>
      <c r="K2007" t="inlineStr">
        <is>
          <t>Not found</t>
        </is>
      </c>
      <c r="L2007" t="inlineStr">
        <is>
          <t>Unknown</t>
        </is>
      </c>
      <c r="T2007" t="inlineStr">
        <is>
          <t>https://www.vgl.co.in/contracts-and-procurement/</t>
        </is>
      </c>
      <c r="U2007" t="inlineStr">
        <is>
          <t>No</t>
        </is>
      </c>
      <c r="V2007" t="inlineStr">
        <is>
          <t>Bot tarafindan tespit edildi (2026-07-01)</t>
        </is>
      </c>
    </row>
    <row r="2008">
      <c r="A2008" t="inlineStr">
        <is>
          <t>T-1812</t>
        </is>
      </c>
      <c r="B2008" t="inlineStr">
        <is>
          <t>Vadodara Gas Limited</t>
        </is>
      </c>
      <c r="C2008" t="inlineStr">
        <is>
          <t>Vadodara Gas Limited</t>
        </is>
      </c>
      <c r="F2008" t="inlineStr">
        <is>
          <t>New Lead</t>
        </is>
      </c>
      <c r="H2008" t="inlineStr">
        <is>
          <t>Notice Inviting Tenders</t>
        </is>
      </c>
      <c r="K2008" t="inlineStr">
        <is>
          <t>Not found</t>
        </is>
      </c>
      <c r="L2008" t="inlineStr">
        <is>
          <t>Unknown</t>
        </is>
      </c>
      <c r="T2008" t="inlineStr">
        <is>
          <t>https://www.vgl.co.in/contracts-and-procurement/notice-inviting-tenders/</t>
        </is>
      </c>
      <c r="U2008" t="inlineStr">
        <is>
          <t>No</t>
        </is>
      </c>
      <c r="V2008" t="inlineStr">
        <is>
          <t>Bot tarafindan tespit edildi (2026-07-01)</t>
        </is>
      </c>
    </row>
    <row r="2009">
      <c r="A2009" t="inlineStr">
        <is>
          <t>T-1813</t>
        </is>
      </c>
      <c r="B2009" t="inlineStr">
        <is>
          <t>Vadodara Gas Limited</t>
        </is>
      </c>
      <c r="C2009" t="inlineStr">
        <is>
          <t>Vadodara Gas Limited</t>
        </is>
      </c>
      <c r="F2009" t="inlineStr">
        <is>
          <t>New Lead</t>
        </is>
      </c>
      <c r="H2009" t="inlineStr">
        <is>
          <t>Holiday List</t>
        </is>
      </c>
      <c r="K2009" t="inlineStr">
        <is>
          <t>Not found</t>
        </is>
      </c>
      <c r="L2009" t="inlineStr">
        <is>
          <t>Unknown</t>
        </is>
      </c>
      <c r="T2009" t="inlineStr">
        <is>
          <t>https://www.vgl.co.in/contracts-and-procurement/holiday-list/</t>
        </is>
      </c>
      <c r="U2009" t="inlineStr">
        <is>
          <t>No</t>
        </is>
      </c>
      <c r="V2009" t="inlineStr">
        <is>
          <t>Bot tarafindan tespit edildi (2026-07-01)</t>
        </is>
      </c>
    </row>
    <row r="2010">
      <c r="A2010" t="inlineStr">
        <is>
          <t>T-1814</t>
        </is>
      </c>
      <c r="B2010" t="inlineStr">
        <is>
          <t>Vadodara Gas Limited</t>
        </is>
      </c>
      <c r="C2010" t="inlineStr">
        <is>
          <t>Vadodara Gas Limited</t>
        </is>
      </c>
      <c r="D2010" t="inlineStr">
        <is>
          <t>Tender No.: VGL/CO/C</t>
        </is>
      </c>
      <c r="E2010" t="inlineStr">
        <is>
          <t>01/02/2025</t>
        </is>
      </c>
      <c r="F2010" t="inlineStr">
        <is>
          <t>Awarded</t>
        </is>
      </c>
      <c r="G2010" t="inlineStr">
        <is>
          <t>Gas-related / review</t>
        </is>
      </c>
      <c r="H2010" t="inlineStr">
        <is>
          <t>Procurement of 1,00,000
                Nos. of 06mm Gas Tap on ARC Basis for a Period of 02 Years vide Tender No.:
                VGL/CO/C&amp;P-PNG/BD202412P185_RI Dated 01/02/2025 and Tender ID: 152914</t>
        </is>
      </c>
      <c r="K2010" t="inlineStr">
        <is>
          <t>s for the Tender of</t>
        </is>
      </c>
      <c r="L2010" t="inlineStr">
        <is>
          <t>Unknown</t>
        </is>
      </c>
      <c r="M2010" t="n">
        <v>3540000</v>
      </c>
      <c r="T2010" t="inlineStr">
        <is>
          <t>https://www.vgl.co.in/wp-content/uploads/2025/pdf/NIT-Gas-Tap-P185-RI.pdf</t>
        </is>
      </c>
      <c r="U2010" t="inlineStr">
        <is>
          <t>No</t>
        </is>
      </c>
      <c r="V2010" t="inlineStr">
        <is>
          <t>Bot tarafindan tespit edildi (2026-07-01) | Bot enrich; date=2026-07-01; type=pdf; score=230; Bot tespit/zenginlestirme (2026-07-01); meta:score=70;priority=High;source_type=html_link;closing_date=11/02/2025;equipment=Gas-related / review;reasons=equipment:Gas-related / review,document source,quantity signal,tender reference signal; Bot clean extraction (2026-07-01); meta:score=43;priority=Medium;source_type=html_link;closing_date=11/02/2025;equipment=Gas-related / review;quality_status=needs_review;market_relevance=Medium;document_type=award;unit_price_inr=;amount_label=currency_near_total;matched_terms=gas_context;reject_reasons=;scope=market_intelligence_only;excluded_scope=no_bid_or_offer_submission_automation</t>
        </is>
      </c>
    </row>
    <row r="2011">
      <c r="A2011" t="inlineStr">
        <is>
          <t>T-1815</t>
        </is>
      </c>
      <c r="B2011" t="inlineStr">
        <is>
          <t>Vadodara Gas Limited</t>
        </is>
      </c>
      <c r="C2011" t="inlineStr">
        <is>
          <t>Vadodara Gas Limited</t>
        </is>
      </c>
      <c r="D2011" t="inlineStr">
        <is>
          <t>Bidders</t>
        </is>
      </c>
      <c r="E2011" t="inlineStr">
        <is>
          <t>25/01/2025</t>
        </is>
      </c>
      <c r="F2011" t="inlineStr">
        <is>
          <t>Awarded</t>
        </is>
      </c>
      <c r="G2011" t="inlineStr">
        <is>
          <t>MRS</t>
        </is>
      </c>
      <c r="H2011" t="inlineStr">
        <is>
          <t>Replies to Bidders Queries - Additional for the Tender of Supply, Installation, Testing,
                Commissioning &amp; Comprehensive Annual Maintenance of Check Metering &amp; Filtration Skids with
                Turbine Flow Meter in Vadodara (GA) on ARC Basis vide Tender No.:
                VGL/CO/C&amp;P-CNG/REPL/MRS/BD202409P167/001/2024_RI Dated 25/01/2025 and Tender ID: 150669</t>
        </is>
      </c>
      <c r="K2011" t="inlineStr">
        <is>
          <t>of list Vendor list - REV 02 cartridge filter to CGDs like GAIL, HPCL, IGL, Adani</t>
        </is>
      </c>
      <c r="L2011" t="inlineStr">
        <is>
          <t>Unknown</t>
        </is>
      </c>
      <c r="T2011" t="inlineStr">
        <is>
          <t>https://www.vgl.co.in/wp-content/uploads/2025/pdf/Replies-to-Bidders-Queries-Additional-Metering-Filtration-Skid-P167.pdf</t>
        </is>
      </c>
      <c r="U2011" t="inlineStr">
        <is>
          <t>No</t>
        </is>
      </c>
      <c r="V2011"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station;quality_status=market_target;market_relevance=High;document_type=corrigendum;unit_price_inr=;amount_label=;matched_terms=Regulating / metering station,Skid / gas train;reject_reasons=;scope=market_intelligence_only;excluded_scope=no_bid_or_offer_submission_automation</t>
        </is>
      </c>
    </row>
    <row r="2012">
      <c r="A2012" t="inlineStr">
        <is>
          <t>T-1816</t>
        </is>
      </c>
      <c r="B2012" t="inlineStr">
        <is>
          <t>Vadodara Gas Limited</t>
        </is>
      </c>
      <c r="C2012" t="inlineStr">
        <is>
          <t>Vadodara Gas Limited</t>
        </is>
      </c>
      <c r="D2012" t="inlineStr">
        <is>
          <t>Tender No.: VGL/CO/C</t>
        </is>
      </c>
      <c r="E2012" t="inlineStr">
        <is>
          <t>29/01/2025</t>
        </is>
      </c>
      <c r="F2012" t="inlineStr">
        <is>
          <t>Awarded</t>
        </is>
      </c>
      <c r="G2012" t="inlineStr">
        <is>
          <t>domestic regulator</t>
        </is>
      </c>
      <c r="H2012" t="inlineStr">
        <is>
          <t>Notice Inviting
                Tender for the “Procurement of 75,000 Nos. of Domestic Regulator on ARC Basis for a Period of 02
                Years vide Tender No.: VGL/CO/C&amp;P-PNG/BD202501P194 Dated 29/01/2025 and Tender ID: 151363</t>
        </is>
      </c>
      <c r="K2012" t="inlineStr">
        <is>
          <t>s for the Tender of</t>
        </is>
      </c>
      <c r="L2012" t="inlineStr">
        <is>
          <t>Unknown</t>
        </is>
      </c>
      <c r="M2012" t="n">
        <v>9712875</v>
      </c>
      <c r="T2012" t="inlineStr">
        <is>
          <t>https://www.vgl.co.in/wp-content/uploads/2025/pdf/NIT-Domestic-Regulators-P194.pdf</t>
        </is>
      </c>
      <c r="U2012" t="inlineStr">
        <is>
          <t>No</t>
        </is>
      </c>
      <c r="V2012" t="inlineStr">
        <is>
          <t>Bot tarafindan tespit edildi (2026-07-01) | Bot enrich; date=2026-07-01; type=pdf; score=330; Bot tespit/zenginlestirme (2026-07-01); meta:score=100;priority=High;source_type=html_link;closing_date=11/02/2025;equipment=Domestic regulator;reasons=equipment:Domestic regulator,target regulator keyword,document source,quantity signal,tender reference signal; Bot clean extraction (2026-07-01); meta:score=100;priority=High;source_type=html_link;closing_date=11/02/2025;equipment=Domestic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013">
      <c r="A2013" t="inlineStr">
        <is>
          <t>T-1817</t>
        </is>
      </c>
      <c r="B2013" t="inlineStr">
        <is>
          <t>Vadodara Gas Limited</t>
        </is>
      </c>
      <c r="C2013" t="inlineStr">
        <is>
          <t>Vadodara Gas Limited</t>
        </is>
      </c>
      <c r="D2013" t="inlineStr">
        <is>
          <t>Tender No.: VGL/CO/C</t>
        </is>
      </c>
      <c r="E2013" t="inlineStr">
        <is>
          <t>29/01/2025</t>
        </is>
      </c>
      <c r="F2013" t="inlineStr">
        <is>
          <t>Awarded</t>
        </is>
      </c>
      <c r="G2013" t="inlineStr">
        <is>
          <t>Gas-related / review</t>
        </is>
      </c>
      <c r="H2013" t="inlineStr">
        <is>
          <t>Notice Inviting Tender
                for the “Procurement of 20mm MDPE Pipe on ARC Basis for a Period of 02 Years vide Tender No.:
                VGL/CO/C&amp;P-PNG/BD202501P195 Dated 29/01/2025 and Tender ID: 151355</t>
        </is>
      </c>
      <c r="K2013" t="inlineStr">
        <is>
          <t>Not found</t>
        </is>
      </c>
      <c r="L2013" t="inlineStr">
        <is>
          <t>Unknown</t>
        </is>
      </c>
      <c r="T2013" t="inlineStr">
        <is>
          <t>https://www.vgl.co.in/wp-content/uploads/2025/pdf/NIT-20mm-MDPE-Pipe-P195.pdf</t>
        </is>
      </c>
      <c r="U2013" t="inlineStr">
        <is>
          <t>No</t>
        </is>
      </c>
      <c r="V20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14">
      <c r="A2014" t="inlineStr">
        <is>
          <t>T-1818</t>
        </is>
      </c>
      <c r="B2014" t="inlineStr">
        <is>
          <t>Vadodara Gas Limited</t>
        </is>
      </c>
      <c r="C2014" t="inlineStr">
        <is>
          <t>Vadodara Gas Limited</t>
        </is>
      </c>
      <c r="D2014" t="inlineStr">
        <is>
          <t>VGL/CO/C</t>
        </is>
      </c>
      <c r="E2014" t="inlineStr">
        <is>
          <t>29/01/2025</t>
        </is>
      </c>
      <c r="F2014" t="inlineStr">
        <is>
          <t>New Lead</t>
        </is>
      </c>
      <c r="G2014" t="inlineStr">
        <is>
          <t>Unclassified</t>
        </is>
      </c>
      <c r="H2014" t="inlineStr">
        <is>
          <t>Notice Inviting
                Tender for the “Purchase of Laptop &amp; Desktop vide Tender No.:
                VGL/CO/C&amp;P-IT/BD202411P180_RI Dated 29/01/2025 and Tender ID: 151352</t>
        </is>
      </c>
      <c r="K2014" t="inlineStr">
        <is>
          <t>Not found</t>
        </is>
      </c>
      <c r="L2014" t="inlineStr">
        <is>
          <t>Unknown</t>
        </is>
      </c>
      <c r="T2014" t="inlineStr">
        <is>
          <t>https://www.vgl.co.in/wp-content/uploads/2025/pdf/NI-Desktop-Laptop-P180-RI.pdf</t>
        </is>
      </c>
      <c r="U2014" t="inlineStr">
        <is>
          <t>No</t>
        </is>
      </c>
      <c r="V2014" t="inlineStr">
        <is>
          <t>Bot tarafindan tespit edildi (2026-07-01); Bot tespit/zenginlestirme (2026-07-01); meta:score=35;priority=Low;source_type=html_link;closing_date=;equipment=Unclassified;reasons=document source,tender reference signal</t>
        </is>
      </c>
    </row>
    <row r="2015">
      <c r="A2015" t="inlineStr">
        <is>
          <t>T-1819</t>
        </is>
      </c>
      <c r="B2015" t="inlineStr">
        <is>
          <t>Vadodara Gas Limited</t>
        </is>
      </c>
      <c r="C2015" t="inlineStr">
        <is>
          <t>Vadodara Gas Limited</t>
        </is>
      </c>
      <c r="D2015" t="inlineStr">
        <is>
          <t>Tender No.: VGL/CO/C</t>
        </is>
      </c>
      <c r="E2015" t="inlineStr">
        <is>
          <t>21/01/2025</t>
        </is>
      </c>
      <c r="F2015" t="inlineStr">
        <is>
          <t>Awarded</t>
        </is>
      </c>
      <c r="G2015" t="inlineStr">
        <is>
          <t>Gas-related / review</t>
        </is>
      </c>
      <c r="H2015" t="inlineStr">
        <is>
          <t>Notice
                Inviting Tender for the “Procurement of 02 Nos. of 1200 SCMH Motor Driven Compressor Package with
                60 Months Comprehensive Annual Maintenance Contract (AMC) on ARC Basis for a Period of 01 Year under
                Buy-Back Model vide Tender No.: VGL/CO/C&amp;P-CNG/BD202410P164_RI Dated 21/01/2025 and Tender ID:
                149034</t>
        </is>
      </c>
      <c r="K2015" t="inlineStr">
        <is>
          <t>s for the Tender of</t>
        </is>
      </c>
      <c r="L2015" t="inlineStr">
        <is>
          <t>Unknown</t>
        </is>
      </c>
      <c r="T2015" t="inlineStr">
        <is>
          <t>https://www.vgl.co.in/wp-content/uploads/2025/pdf/NIT-1200-SCMH-Compreesor-Buy-Back.pdf</t>
        </is>
      </c>
      <c r="U2015" t="inlineStr">
        <is>
          <t>No</t>
        </is>
      </c>
      <c r="V2015" t="inlineStr">
        <is>
          <t>Bot tarafindan tespit edildi (2026-07-01) | Bot enrich; date=2026-07-01; type=pdf; score=230; Bot tespit/zenginlestirme (2026-07-01); meta:score=70;priority=High;source_type=html_link;closing_date=30/01/2025;equipment=Gas-related / review;reasons=equipment:Gas-related / review,document source,quantity signal,tender reference signal</t>
        </is>
      </c>
    </row>
    <row r="2016">
      <c r="A2016" t="inlineStr">
        <is>
          <t>T-1820</t>
        </is>
      </c>
      <c r="B2016" t="inlineStr">
        <is>
          <t>Vadodara Gas Limited</t>
        </is>
      </c>
      <c r="C2016" t="inlineStr">
        <is>
          <t>Vadodara Gas Limited</t>
        </is>
      </c>
      <c r="D2016" t="inlineStr">
        <is>
          <t>Bidders</t>
        </is>
      </c>
      <c r="E2016" t="inlineStr">
        <is>
          <t>28/12/2024</t>
        </is>
      </c>
      <c r="F2016" t="inlineStr">
        <is>
          <t>Awarded</t>
        </is>
      </c>
      <c r="G2016" t="inlineStr">
        <is>
          <t>MRS</t>
        </is>
      </c>
      <c r="H2016" t="inlineStr">
        <is>
          <t>Replies to Bidders Queries for the Tender of Supply, Installation, Testing,
                Commissioning &amp; Comprehensive Annual Maintenance of Check Metering &amp; Filtration Skids with
                Turbine Flow Meter in Vadodara (GA) on ARC Basis vide Tender No.:
                VGL/CO/C&amp;P-CNG/REPL/MRS/BD202409P167/001/2024 Dated 28/12/2024 and Tender ID: 141873</t>
        </is>
      </c>
      <c r="K2016" t="inlineStr">
        <is>
          <t>SPA (Itealy) 10 Faudi Filter Systems GMBH (Germany) 11 Axsia Howmar Ltd (UK) 12 P</t>
        </is>
      </c>
      <c r="L2016" t="inlineStr">
        <is>
          <t>Unknown</t>
        </is>
      </c>
      <c r="M2016" t="n">
        <v>1</v>
      </c>
      <c r="T2016" t="inlineStr">
        <is>
          <t>https://www.vgl.co.in/wp-content/uploads/2025/pdf/Replies-Bidders-Queries-Metering-Filtration-Skid-P167.pdf</t>
        </is>
      </c>
      <c r="U2016" t="inlineStr">
        <is>
          <t>No</t>
        </is>
      </c>
      <c r="V201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station;quality_status=market_target;market_relevance=High;document_type=loa;unit_price_inr=;amount_label=;matched_terms=Regulating / metering station,Skid / gas train,Gas filter station / filter equipment,Safety / shut-off equipment;reject_reasons=civil/electrical only;scope=market_intelligence_only;excluded_scope=no_bid_or_offer_submission_automation</t>
        </is>
      </c>
    </row>
    <row r="2017">
      <c r="A2017" t="inlineStr">
        <is>
          <t>T-1821</t>
        </is>
      </c>
      <c r="B2017" t="inlineStr">
        <is>
          <t>Vadodara Gas Limited</t>
        </is>
      </c>
      <c r="C2017" t="inlineStr">
        <is>
          <t>Vadodara Gas Limited</t>
        </is>
      </c>
      <c r="D2017" t="inlineStr">
        <is>
          <t>VGL/CO/C</t>
        </is>
      </c>
      <c r="E2017" t="inlineStr">
        <is>
          <t>08/01/2025</t>
        </is>
      </c>
      <c r="F2017" t="inlineStr">
        <is>
          <t>New Lead</t>
        </is>
      </c>
      <c r="G2017" t="inlineStr">
        <is>
          <t>Unclassified</t>
        </is>
      </c>
      <c r="H2017" t="inlineStr">
        <is>
          <t>Notice Inviting Tender
                for the “Purchase of Laptop &amp; Desktop vide Tender No.: VGL/CO/C&amp;P-IT/BD202411P180 Dated
                08/01/2025 and Tender ID: 145063</t>
        </is>
      </c>
      <c r="K2017" t="inlineStr">
        <is>
          <t>Not found</t>
        </is>
      </c>
      <c r="L2017" t="inlineStr">
        <is>
          <t>Unknown</t>
        </is>
      </c>
      <c r="T2017" t="inlineStr">
        <is>
          <t>https://www.vgl.co.in/wp-content/uploads/2025/pdf/NIT-Desktop-Laptop-P180.pdf</t>
        </is>
      </c>
      <c r="U2017" t="inlineStr">
        <is>
          <t>No</t>
        </is>
      </c>
      <c r="V2017" t="inlineStr">
        <is>
          <t>Bot tarafindan tespit edildi (2026-07-01); Bot tespit/zenginlestirme (2026-07-01); meta:score=35;priority=Low;source_type=html_link;closing_date=;equipment=Unclassified;reasons=document source,tender reference signal</t>
        </is>
      </c>
    </row>
    <row r="2018">
      <c r="A2018" t="inlineStr">
        <is>
          <t>T-1822</t>
        </is>
      </c>
      <c r="B2018" t="inlineStr">
        <is>
          <t>Vadodara Gas Limited</t>
        </is>
      </c>
      <c r="C2018" t="inlineStr">
        <is>
          <t>Vadodara Gas Limited</t>
        </is>
      </c>
      <c r="D2018" t="inlineStr">
        <is>
          <t>Bid Submission</t>
        </is>
      </c>
      <c r="E2018" t="inlineStr">
        <is>
          <t>25/12/2024</t>
        </is>
      </c>
      <c r="F2018" t="inlineStr">
        <is>
          <t>Awarded</t>
        </is>
      </c>
      <c r="G2018" t="inlineStr">
        <is>
          <t>Gas-related / review</t>
        </is>
      </c>
      <c r="H2018" t="inlineStr">
        <is>
          <t>Extension of Bid Submission Date for the Tender of “Procurement of 02 Nos. of 1200
                SCMH Motor Driven Compressor Package with 60 Months Comprehensive Annual Maintenance Contract (AMC) on
                ARC Basis for a Period of 01 Year under Buy-Back Model vide Tender No.: VGL/CO/C&amp;P-CNG/BD202410P164
                Dated 25/12/2024 and Tender ID: 141280</t>
        </is>
      </c>
      <c r="K2018" t="inlineStr">
        <is>
          <t>Not found</t>
        </is>
      </c>
      <c r="L2018" t="inlineStr">
        <is>
          <t>Unknown</t>
        </is>
      </c>
      <c r="M2018" t="n">
        <v>15</v>
      </c>
      <c r="T2018" t="inlineStr">
        <is>
          <t>https://www.vgl.co.in/wp-content/uploads/2025/pdf/Extension-NIT-SCMH-Compreesor-Buy-Back.pdf</t>
        </is>
      </c>
      <c r="U2018" t="inlineStr">
        <is>
          <t>No</t>
        </is>
      </c>
      <c r="V2018" t="inlineStr">
        <is>
          <t>Bot tarafindan tespit edildi (2026-07-01) | Bot enrich; date=2026-07-01; type=pdf; score=230; Bot tespit/zenginlestirme (2026-07-01); meta:score=80;priority=High;source_type=html_link;closing_date=None;equipment=Gas-related / review;reasons=equipment:Gas-related / review,document source,quantity signal,tender reference signal,closing date signal</t>
        </is>
      </c>
    </row>
    <row r="2019">
      <c r="A2019" t="inlineStr">
        <is>
          <t>T-1823</t>
        </is>
      </c>
      <c r="B2019" t="inlineStr">
        <is>
          <t>Vadodara Gas Limited</t>
        </is>
      </c>
      <c r="C2019" t="inlineStr">
        <is>
          <t>Vadodara Gas Limited</t>
        </is>
      </c>
      <c r="D2019" t="inlineStr">
        <is>
          <t>Bidders</t>
        </is>
      </c>
      <c r="E2019" t="inlineStr">
        <is>
          <t>25/12/2024</t>
        </is>
      </c>
      <c r="F2019" t="inlineStr">
        <is>
          <t>Awarded</t>
        </is>
      </c>
      <c r="G2019" t="inlineStr">
        <is>
          <t>Gas-related / review</t>
        </is>
      </c>
      <c r="H2019" t="inlineStr">
        <is>
          <t>Replies to Bidders Queries for the Tender of Procurement of 02 Nos. of 1200 SCMH Motor
                Driven Compressor Package with 60 Months Comprehensive Annual Maintenance Contract (AMC) on ARC Basis
                for a Period of 01 Year under Buy-Back Model Vide Tender No.: VGL/CO/C&amp;P-CNG/BD202410P164 Dated
                25/12/2024 &amp; Tender ID: 141280</t>
        </is>
      </c>
      <c r="K2019" t="inlineStr">
        <is>
          <t>ON OFF BALL</t>
        </is>
      </c>
      <c r="L2019" t="inlineStr">
        <is>
          <t>Unknown</t>
        </is>
      </c>
      <c r="T2019" t="inlineStr">
        <is>
          <t>https://www.vgl.co.in/wp-content/uploads/2025/pdf/Replies-Bidders-Queries-SCMH-Compreesor-Buy-Back.pdf</t>
        </is>
      </c>
      <c r="U2019" t="inlineStr">
        <is>
          <t>No</t>
        </is>
      </c>
      <c r="V2019"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20">
      <c r="A2020" t="inlineStr">
        <is>
          <t>T-1824</t>
        </is>
      </c>
      <c r="B2020" t="inlineStr">
        <is>
          <t>Vadodara Gas Limited</t>
        </is>
      </c>
      <c r="C2020" t="inlineStr">
        <is>
          <t>Vadodara Gas Limited</t>
        </is>
      </c>
      <c r="D2020" t="inlineStr">
        <is>
          <t>Tender No.: VGL/CO/C</t>
        </is>
      </c>
      <c r="E2020" t="inlineStr">
        <is>
          <t>05/01/2025</t>
        </is>
      </c>
      <c r="F2020" t="inlineStr">
        <is>
          <t>Awarded</t>
        </is>
      </c>
      <c r="G2020" t="inlineStr">
        <is>
          <t>Gas-related / review</t>
        </is>
      </c>
      <c r="H2020" t="inlineStr">
        <is>
          <t>Notice Inviting Tender for
                the “Procurement of 1,00,000 Nos. of 06mm Gas Tap on ARC Basis for a Period of 02 Years vide
                Tender No.: VGL/CO/C&amp;P-PNG/BD202412P185 Dated 05/01/2025 and Tender ID: 144059</t>
        </is>
      </c>
      <c r="K2020" t="inlineStr">
        <is>
          <t>s for the Tender of</t>
        </is>
      </c>
      <c r="L2020" t="inlineStr">
        <is>
          <t>Unknown</t>
        </is>
      </c>
      <c r="M2020" t="n">
        <v>3540000</v>
      </c>
      <c r="T2020" t="inlineStr">
        <is>
          <t>https://www.vgl.co.in/wp-content/uploads/2025/pdf/NIT-Gas-Tap-P185.pdf</t>
        </is>
      </c>
      <c r="U2020" t="inlineStr">
        <is>
          <t>No</t>
        </is>
      </c>
      <c r="V2020" t="inlineStr">
        <is>
          <t>Bot tarafindan tespit edildi (2026-07-01) | Bot enrich; date=2026-07-01; type=pdf; score=230; Bot tespit/zenginlestirme (2026-07-01); meta:score=70;priority=High;source_type=html_link;closing_date=27/01/2025;equipment=Gas-related / review;reasons=equipment:Gas-related / review,document source,quantity signal,tender reference signal; Bot clean extraction (2026-07-01); meta:score=43;priority=Medium;source_type=html_link;closing_date=27/01/2025;equipment=Gas-related / review;quality_status=needs_review;market_relevance=Medium;document_type=award;unit_price_inr=;amount_label=currency_near_total;matched_terms=gas_context;reject_reasons=;scope=market_intelligence_only;excluded_scope=no_bid_or_offer_submission_automation</t>
        </is>
      </c>
    </row>
    <row r="2021">
      <c r="A2021" t="inlineStr">
        <is>
          <t>T-1825</t>
        </is>
      </c>
      <c r="B2021" t="inlineStr">
        <is>
          <t>Vadodara Gas Limited</t>
        </is>
      </c>
      <c r="C2021" t="inlineStr">
        <is>
          <t>Vadodara Gas Limited</t>
        </is>
      </c>
      <c r="D2021" t="inlineStr">
        <is>
          <t>Tender No.: VGL/CO/C</t>
        </is>
      </c>
      <c r="E2021" t="inlineStr">
        <is>
          <t>04/01/2025</t>
        </is>
      </c>
      <c r="F2021" t="inlineStr">
        <is>
          <t>Awarded</t>
        </is>
      </c>
      <c r="G2021" t="inlineStr">
        <is>
          <t>Gas-related / review</t>
        </is>
      </c>
      <c r="H2021" t="inlineStr">
        <is>
          <t>Notice Inviting Tender
                for the “Transportation of Natural Gas in the Compressed Form for VGL CNG Mother Stations to
                Daughter Booster Stations through 8500 WL or Above Capacity Mobile Cascades for the Period of 36 Months
                on ARC Basis vide Tender No.: VGL/CO/C&amp;P-CNG/BD202412S189 Dated 04/01/2025 and Tender ID: 143890</t>
        </is>
      </c>
      <c r="K2021" t="inlineStr">
        <is>
          <t>Not found</t>
        </is>
      </c>
      <c r="L2021" t="inlineStr">
        <is>
          <t>Unknown</t>
        </is>
      </c>
      <c r="T2021" t="inlineStr">
        <is>
          <t>https://www.vgl.co.in/wp-content/uploads/2025/pdf/NIT-8500-WL-LCV-S189.pdf</t>
        </is>
      </c>
      <c r="U2021" t="inlineStr">
        <is>
          <t>No</t>
        </is>
      </c>
      <c r="V20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2">
      <c r="A2022" t="inlineStr">
        <is>
          <t>T-1826</t>
        </is>
      </c>
      <c r="B2022" t="inlineStr">
        <is>
          <t>Vadodara Gas Limited</t>
        </is>
      </c>
      <c r="C2022" t="inlineStr">
        <is>
          <t>Vadodara Gas Limited</t>
        </is>
      </c>
      <c r="D2022" t="inlineStr">
        <is>
          <t>Tender No.: VGL/CO/C</t>
        </is>
      </c>
      <c r="E2022" t="inlineStr">
        <is>
          <t>28/12/2024</t>
        </is>
      </c>
      <c r="F2022" t="inlineStr">
        <is>
          <t>Awarded</t>
        </is>
      </c>
      <c r="G2022" t="inlineStr">
        <is>
          <t>Gas-related / review</t>
        </is>
      </c>
      <c r="H2022" t="inlineStr">
        <is>
          <t>Notice Inviting Tender for
                the “Hiring of Services for Operation &amp; Maintenance of Steel Pipeline on ARC Basis for a
                Period of 02 Years vide Tender No.: VGL/CO/C&amp;P-PNG/BD202411S177 Dated 28/12/2024 and Tender ID:
                141947</t>
        </is>
      </c>
      <c r="K2022" t="inlineStr">
        <is>
          <t>Not found</t>
        </is>
      </c>
      <c r="L2022" t="inlineStr">
        <is>
          <t>Unknown</t>
        </is>
      </c>
      <c r="T2022" t="inlineStr">
        <is>
          <t>https://www.vgl.co.in/wp-content/uploads/2025/pdf/NIT-Steel-M-S177.pdf</t>
        </is>
      </c>
      <c r="U2022" t="inlineStr">
        <is>
          <t>No</t>
        </is>
      </c>
      <c r="V20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3">
      <c r="A2023" t="inlineStr">
        <is>
          <t>T-1827</t>
        </is>
      </c>
      <c r="B2023" t="inlineStr">
        <is>
          <t>Vadodara Gas Limited</t>
        </is>
      </c>
      <c r="C2023" t="inlineStr">
        <is>
          <t>Vadodara Gas Limited</t>
        </is>
      </c>
      <c r="D2023" t="inlineStr">
        <is>
          <t>Tender No.: VGL/CO/C</t>
        </is>
      </c>
      <c r="E2023" t="inlineStr">
        <is>
          <t>28/12/2024</t>
        </is>
      </c>
      <c r="F2023" t="inlineStr">
        <is>
          <t>Awarded</t>
        </is>
      </c>
      <c r="G2023" t="inlineStr">
        <is>
          <t>MRS</t>
        </is>
      </c>
      <c r="H2023" t="inlineStr">
        <is>
          <t>Notice
                Inviting Tender for the “Supply, Installation, Testing, Commissioning &amp; Comprehensive Annual
                Maintenance of Check Metering &amp; Filtration Skids with Turbine Flow Meter in Vadodara (GA) vide
                Tender No.: VGL/CO/C&amp;P-CNG/REPL/MRS/BD202409P167/001/2024 Dated 28/12/2024 and Tender ID: 141373</t>
        </is>
      </c>
      <c r="I2023" t="inlineStr">
        <is>
          <t>1</t>
        </is>
      </c>
      <c r="J2023" t="inlineStr">
        <is>
          <t>no</t>
        </is>
      </c>
      <c r="K2023" t="inlineStr">
        <is>
          <t>s for the Tender of</t>
        </is>
      </c>
      <c r="L2023" t="inlineStr">
        <is>
          <t>Unknown</t>
        </is>
      </c>
      <c r="M2023" t="n">
        <v>2.2</v>
      </c>
      <c r="R2023" t="n">
        <v>5104552</v>
      </c>
      <c r="S2023" t="n">
        <v>5104552</v>
      </c>
      <c r="T2023" t="inlineStr">
        <is>
          <t>https://www.vgl.co.in/wp-content/uploads/2025/pdf/NIT-Metering-Filtration-Skid-P167.pdf</t>
        </is>
      </c>
      <c r="U2023" t="inlineStr">
        <is>
          <t>No</t>
        </is>
      </c>
      <c r="V2023" t="inlineStr">
        <is>
          <t>Bot tarafindan tespit edildi (2026-07-01) | Bot enrich; date=2026-07-01; type=pdf; score=330; Bot tespit/zenginlestirme (2026-07-01); meta:score=95;priority=High;source_type=html_link;closing_date=17/01/2025;equipment=Regulating station;reasons=equipment:Regulating station,station/skid keyword,document source,tender reference signal; Bot clean extraction (2026-07-01); meta:score=100;priority=High;source_type=html_link;closing_date=17/01/2025;equipment=Regulating / metering station;quality_status=market_target;market_relevance=High;document_type=po_work_order;unit_price_inr=5104552.0;amount_label=currency_near_total;matched_terms=Regulating / metering station;reject_reasons=;scope=market_intelligence_only;excluded_scope=no_bid_or_offer_submission_automation</t>
        </is>
      </c>
    </row>
    <row r="2024">
      <c r="A2024" t="inlineStr">
        <is>
          <t>T-1828</t>
        </is>
      </c>
      <c r="B2024" t="inlineStr">
        <is>
          <t>Vadodara Gas Limited</t>
        </is>
      </c>
      <c r="C2024" t="inlineStr">
        <is>
          <t>Vadodara Gas Limited</t>
        </is>
      </c>
      <c r="D2024" t="inlineStr">
        <is>
          <t>Tender No.: VGL/CO/C</t>
        </is>
      </c>
      <c r="E2024" t="inlineStr">
        <is>
          <t>25/12/2024</t>
        </is>
      </c>
      <c r="F2024" t="inlineStr">
        <is>
          <t>Awarded</t>
        </is>
      </c>
      <c r="G2024" t="inlineStr">
        <is>
          <t>Gas-related / review</t>
        </is>
      </c>
      <c r="H2024" t="inlineStr">
        <is>
          <t>Notice Inviting Tender for
                the “Procurement of 02 Nos. of 1200 SCMH Motor Driven Compressor Package with 60 Months
                Comprehensive Annual Maintenance Contract (AMC) on ARC Basis for a Period of 01 Year under Buy-Back
                Model vide Tender No.: VGL/CO/C&amp;P-CNG/BD202410P164 Dated 25/12/2024 and Tender ID: 141280</t>
        </is>
      </c>
      <c r="K2024" t="inlineStr">
        <is>
          <t>s for the Tender of</t>
        </is>
      </c>
      <c r="L2024" t="inlineStr">
        <is>
          <t>Unknown</t>
        </is>
      </c>
      <c r="T2024" t="inlineStr">
        <is>
          <t>https://www.vgl.co.in/wp-content/uploads/2025/pdf/NIT-SCM-Buy-Back.pdf</t>
        </is>
      </c>
      <c r="U2024" t="inlineStr">
        <is>
          <t>No</t>
        </is>
      </c>
      <c r="V2024" t="inlineStr">
        <is>
          <t>Bot tarafindan tespit edildi (2026-07-01) | Bot enrich; date=2026-07-01; type=pdf; score=230; Bot tespit/zenginlestirme (2026-07-01); meta:score=70;priority=High;source_type=html_link;closing_date=07/01/2025;equipment=Gas-related / review;reasons=equipment:Gas-related / review,document source,quantity signal,tender reference signal</t>
        </is>
      </c>
    </row>
    <row r="2025">
      <c r="A2025" t="inlineStr">
        <is>
          <t>T-1829</t>
        </is>
      </c>
      <c r="B2025" t="inlineStr">
        <is>
          <t>Vadodara Gas Limited</t>
        </is>
      </c>
      <c r="C2025" t="inlineStr">
        <is>
          <t>Vadodara Gas Limited</t>
        </is>
      </c>
      <c r="D2025" t="inlineStr">
        <is>
          <t>Tender No.: VGL/CO/C</t>
        </is>
      </c>
      <c r="E2025" t="inlineStr">
        <is>
          <t>25/12/2024</t>
        </is>
      </c>
      <c r="F2025" t="inlineStr">
        <is>
          <t>Awarded</t>
        </is>
      </c>
      <c r="G2025" t="inlineStr">
        <is>
          <t>Gas-related / review</t>
        </is>
      </c>
      <c r="H2025" t="inlineStr">
        <is>
          <t>Notice Inviting Tender for the
                “Hiring of Services for Operation &amp; Maintenance of Steel Pipeline on ARC Basis for a Period of
                02 Years vide Tender No.: VGL/CO/C&amp;P-PNG/BD202411S177 Dated 25/12/2024 and Tender ID: 141205</t>
        </is>
      </c>
      <c r="K2025" t="inlineStr">
        <is>
          <t>Not found</t>
        </is>
      </c>
      <c r="L2025" t="inlineStr">
        <is>
          <t>Unknown</t>
        </is>
      </c>
      <c r="T2025" t="inlineStr">
        <is>
          <t>https://www.vgl.co.in/wp-content/uploads/2025/pdf/NIT-Steel-S177.pdf</t>
        </is>
      </c>
      <c r="U2025" t="inlineStr">
        <is>
          <t>No</t>
        </is>
      </c>
      <c r="V202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6">
      <c r="A2026" t="inlineStr">
        <is>
          <t>T-1830</t>
        </is>
      </c>
      <c r="B2026" t="inlineStr">
        <is>
          <t>Vadodara Gas Limited</t>
        </is>
      </c>
      <c r="C2026" t="inlineStr">
        <is>
          <t>Vadodara Gas Limited</t>
        </is>
      </c>
      <c r="D2026" t="inlineStr">
        <is>
          <t>Tender No.: VGL/CO/C</t>
        </is>
      </c>
      <c r="E2026" t="inlineStr">
        <is>
          <t>19/12/2024</t>
        </is>
      </c>
      <c r="F2026" t="inlineStr">
        <is>
          <t>Awarded</t>
        </is>
      </c>
      <c r="G2026" t="inlineStr">
        <is>
          <t>Gas-related / review</t>
        </is>
      </c>
      <c r="H2026"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139380”</t>
        </is>
      </c>
      <c r="K2026" t="inlineStr">
        <is>
          <t>Not found</t>
        </is>
      </c>
      <c r="L2026" t="inlineStr">
        <is>
          <t>Unknown</t>
        </is>
      </c>
      <c r="T2026" t="inlineStr">
        <is>
          <t>https://www.vgl.co.in/wp-content/uploads/2025/pdf/Non-Comprehensive-Booster-Compressor-S181.pdf</t>
        </is>
      </c>
      <c r="U2026" t="inlineStr">
        <is>
          <t>No</t>
        </is>
      </c>
      <c r="V202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7">
      <c r="A2027" t="inlineStr">
        <is>
          <t>T-1831</t>
        </is>
      </c>
      <c r="B2027" t="inlineStr">
        <is>
          <t>Vadodara Gas Limited</t>
        </is>
      </c>
      <c r="C2027" t="inlineStr">
        <is>
          <t>Vadodara Gas Limited</t>
        </is>
      </c>
      <c r="D2027" t="inlineStr">
        <is>
          <t>Tender No.: VGL/CO/C</t>
        </is>
      </c>
      <c r="E2027" t="inlineStr">
        <is>
          <t>19/12/2024</t>
        </is>
      </c>
      <c r="F2027" t="inlineStr">
        <is>
          <t>Awarded</t>
        </is>
      </c>
      <c r="G2027" t="inlineStr">
        <is>
          <t>Gas-related / review</t>
        </is>
      </c>
      <c r="H2027"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138996”</t>
        </is>
      </c>
      <c r="K2027" t="inlineStr">
        <is>
          <t>Not found</t>
        </is>
      </c>
      <c r="L2027" t="inlineStr">
        <is>
          <t>Unknown</t>
        </is>
      </c>
      <c r="T2027" t="inlineStr">
        <is>
          <t>https://www.vgl.co.in/wp-content/uploads/2025/pdf/Services-for-Non-Comprehensive-1396.pdf</t>
        </is>
      </c>
      <c r="U2027" t="inlineStr">
        <is>
          <t>No</t>
        </is>
      </c>
      <c r="V202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8">
      <c r="A2028" t="inlineStr">
        <is>
          <t>T-1832</t>
        </is>
      </c>
      <c r="B2028" t="inlineStr">
        <is>
          <t>Vadodara Gas Limited</t>
        </is>
      </c>
      <c r="C2028" t="inlineStr">
        <is>
          <t>Vadodara Gas Limited</t>
        </is>
      </c>
      <c r="D2028" t="inlineStr">
        <is>
          <t>Bidders</t>
        </is>
      </c>
      <c r="E2028" t="inlineStr">
        <is>
          <t>21/11/2024</t>
        </is>
      </c>
      <c r="F2028" t="inlineStr">
        <is>
          <t>Awarded</t>
        </is>
      </c>
      <c r="G2028" t="inlineStr">
        <is>
          <t>Gas-related / review</t>
        </is>
      </c>
      <c r="H2028" t="inlineStr">
        <is>
          <t>Replies to
                Bidders Queries for the Tender of Hiring the Services for Annual Maintenance of Existing D-PNG
                Connection for AMC Project Under Old Gas Infra Revamping Project of VGL GA on ARC Basis for a Period of
                01 Year Vide Tender No.: VGL/CO/C&amp;P-PNG/BD202410S171 Dated 21/11/2024 &amp; Tender ID: 129788</t>
        </is>
      </c>
      <c r="K2028" t="inlineStr">
        <is>
          <t>Not found</t>
        </is>
      </c>
      <c r="L2028" t="inlineStr">
        <is>
          <t>Unknown</t>
        </is>
      </c>
      <c r="T2028" t="inlineStr">
        <is>
          <t>https://www.vgl.co.in/wp-content/uploads/2025/pdf/Replies-to-Bidders-AMC-D-PNG-S171.pdf</t>
        </is>
      </c>
      <c r="U2028" t="inlineStr">
        <is>
          <t>No</t>
        </is>
      </c>
      <c r="V202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9">
      <c r="A2029" t="inlineStr">
        <is>
          <t>T-1833</t>
        </is>
      </c>
      <c r="B2029" t="inlineStr">
        <is>
          <t>Vadodara Gas Limited</t>
        </is>
      </c>
      <c r="C2029" t="inlineStr">
        <is>
          <t>Vadodara Gas Limited</t>
        </is>
      </c>
      <c r="D2029" t="inlineStr">
        <is>
          <t>Tender No.: VGL/CO/C</t>
        </is>
      </c>
      <c r="E2029" t="inlineStr">
        <is>
          <t>21/11/2024</t>
        </is>
      </c>
      <c r="F2029" t="inlineStr">
        <is>
          <t>Awarded</t>
        </is>
      </c>
      <c r="G2029" t="inlineStr">
        <is>
          <t>Gas-related / review</t>
        </is>
      </c>
      <c r="H2029" t="inlineStr">
        <is>
          <t>Notice Inviting Tender for
                the “Hiring the Service for Departmental Works at VGL for a Period of One Year vide Tender No.:
                VGL/CO/C&amp;P-PNG/BD202409P169 Dated 21/11/2024 and Tender ID: 129778</t>
        </is>
      </c>
      <c r="K2029" t="inlineStr">
        <is>
          <t>Not found</t>
        </is>
      </c>
      <c r="L2029" t="inlineStr">
        <is>
          <t>Unknown</t>
        </is>
      </c>
      <c r="T2029" t="inlineStr">
        <is>
          <t>https://www.vgl.co.in/wp-content/uploads/2025/pdf/NIT-Dept-Works-S169.pdf</t>
        </is>
      </c>
      <c r="U2029" t="inlineStr">
        <is>
          <t>No</t>
        </is>
      </c>
      <c r="V202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0">
      <c r="A2030" t="inlineStr">
        <is>
          <t>T-1834</t>
        </is>
      </c>
      <c r="B2030" t="inlineStr">
        <is>
          <t>Vadodara Gas Limited</t>
        </is>
      </c>
      <c r="C2030" t="inlineStr">
        <is>
          <t>Vadodara Gas Limited</t>
        </is>
      </c>
      <c r="D2030" t="inlineStr">
        <is>
          <t>Tender No.: VGL/CO/C</t>
        </is>
      </c>
      <c r="E2030" t="inlineStr">
        <is>
          <t>21/11/2024</t>
        </is>
      </c>
      <c r="F2030" t="inlineStr">
        <is>
          <t>Awarded</t>
        </is>
      </c>
      <c r="G2030" t="inlineStr">
        <is>
          <t>Gas-related / review</t>
        </is>
      </c>
      <c r="H2030" t="inlineStr">
        <is>
          <t>Notice Inviting Tender for
                the “Hiring the Services for Annual Maintenance of Existing D-PNG Connection for AMC Project Under
                Old Gas Infra Revamping Project of VGL GA on ARC Basis for a Period of 01 Year vide Tender No.:
                VGL/CO/C&amp;P-PNG/BD202410S171 Dated 21/11/2024 and Tender ID: 129788</t>
        </is>
      </c>
      <c r="K2030" t="inlineStr">
        <is>
          <t>Not found</t>
        </is>
      </c>
      <c r="L2030" t="inlineStr">
        <is>
          <t>Unknown</t>
        </is>
      </c>
      <c r="T2030" t="inlineStr">
        <is>
          <t>https://www.vgl.co.in/wp-content/uploads/2025/pdf/NIT-AMC-D-PNG-S171.pdf</t>
        </is>
      </c>
      <c r="U2030" t="inlineStr">
        <is>
          <t>No</t>
        </is>
      </c>
      <c r="V203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1">
      <c r="A2031" t="inlineStr">
        <is>
          <t>T-1835</t>
        </is>
      </c>
      <c r="B2031" t="inlineStr">
        <is>
          <t>Vadodara Gas Limited</t>
        </is>
      </c>
      <c r="C2031" t="inlineStr">
        <is>
          <t>Vadodara Gas Limited</t>
        </is>
      </c>
      <c r="D2031" t="inlineStr">
        <is>
          <t>Tender No.: VVGL/CO/C</t>
        </is>
      </c>
      <c r="E2031" t="inlineStr">
        <is>
          <t>07/11/2024</t>
        </is>
      </c>
      <c r="F2031" t="inlineStr">
        <is>
          <t>Awarded</t>
        </is>
      </c>
      <c r="G2031" t="inlineStr">
        <is>
          <t>Gas-related / review</t>
        </is>
      </c>
      <c r="H2031" t="inlineStr">
        <is>
          <t>Corrigendum
                – 1 for the Tender of “Hiring the Services for Annual Maintenance Services for PE Laying
                Work of AMC Project Under Old Gas Infra Revamping Project of VGL GA on ARC Basis for a Period of 01 Year
                vide Tender No.: VVGL/CO/C&amp;P-PNG/ BD202410S172 Dated 07/11/2024 and Tender ID: 124710</t>
        </is>
      </c>
      <c r="K2031" t="inlineStr">
        <is>
          <t>Not found</t>
        </is>
      </c>
      <c r="L2031" t="inlineStr">
        <is>
          <t>Unknown</t>
        </is>
      </c>
      <c r="T2031" t="inlineStr">
        <is>
          <t>https://www.vgl.co.in/wp-content/uploads/2025/pdf/Corrigendum-1-AMC-PE-Laying-S172.pdf</t>
        </is>
      </c>
      <c r="U2031" t="inlineStr">
        <is>
          <t>No</t>
        </is>
      </c>
      <c r="V203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32">
      <c r="A2032" t="inlineStr">
        <is>
          <t>T-1836</t>
        </is>
      </c>
      <c r="B2032" t="inlineStr">
        <is>
          <t>Vadodara Gas Limited</t>
        </is>
      </c>
      <c r="C2032" t="inlineStr">
        <is>
          <t>Vadodara Gas Limited</t>
        </is>
      </c>
      <c r="D2032" t="inlineStr">
        <is>
          <t>Bidders</t>
        </is>
      </c>
      <c r="E2032" t="inlineStr">
        <is>
          <t>05/11/2024</t>
        </is>
      </c>
      <c r="F2032" t="inlineStr">
        <is>
          <t>Awarded</t>
        </is>
      </c>
      <c r="G2032" t="inlineStr">
        <is>
          <t>Gas-related / review</t>
        </is>
      </c>
      <c r="H2032" t="inlineStr">
        <is>
          <t>Corrigendum – 1 &amp; Replies to Bidders Queries for the Tender of
                “Procurement of 02 nos. 10000 SCMH and 01 no. 5000 SCMH Automatic Odorization System with 24
                Months after Warranty Comprehensive AMC for Vadodara Gas Limited, Vadodara vide Tender No.:
                VGL/CO/C&amp;P-CNG/BD202410P166 Dated 05/11/2024 and Tender ID: 123457</t>
        </is>
      </c>
      <c r="K2032" t="inlineStr">
        <is>
          <t>Not found</t>
        </is>
      </c>
      <c r="L2032" t="inlineStr">
        <is>
          <t>Unknown</t>
        </is>
      </c>
      <c r="M2032" t="n">
        <v>485</v>
      </c>
      <c r="T2032" t="inlineStr">
        <is>
          <t>https://www.vgl.co.in/wp-content/uploads/2025/pdf/Corrigendum-1-and-Replies-to-Bidders-Queries-P166.pdf</t>
        </is>
      </c>
      <c r="U2032" t="inlineStr">
        <is>
          <t>No</t>
        </is>
      </c>
      <c r="V2032"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033">
      <c r="A2033" t="inlineStr">
        <is>
          <t>T-1837</t>
        </is>
      </c>
      <c r="B2033" t="inlineStr">
        <is>
          <t>Vadodara Gas Limited</t>
        </is>
      </c>
      <c r="C2033" t="inlineStr">
        <is>
          <t>Vadodara Gas Limited</t>
        </is>
      </c>
      <c r="D2033" t="inlineStr">
        <is>
          <t>Bid Submission</t>
        </is>
      </c>
      <c r="E2033" t="inlineStr">
        <is>
          <t>07/11/2024</t>
        </is>
      </c>
      <c r="F2033" t="inlineStr">
        <is>
          <t>Awarded</t>
        </is>
      </c>
      <c r="G2033" t="inlineStr">
        <is>
          <t>Gas-related / review</t>
        </is>
      </c>
      <c r="H2033" t="inlineStr">
        <is>
          <t>Extension of Bid
                Submission Date for the Tender of “Hiring the Services for Above Ground GI Installation Including
                Last Mile Connectivity at Consumer End for New D-PNG Connections vide Tender No.:
                VGL/CO/C&amp;P-PNG/BD202409P168 Dated 07/11/2024 and Tender ID: 124698</t>
        </is>
      </c>
      <c r="K2033" t="inlineStr">
        <is>
          <t>Not found</t>
        </is>
      </c>
      <c r="L2033" t="inlineStr">
        <is>
          <t>Unknown</t>
        </is>
      </c>
      <c r="M2033" t="n">
        <v>22</v>
      </c>
      <c r="T2033" t="inlineStr">
        <is>
          <t>https://www.vgl.co.in/wp-content/uploads/2025/pdf/Extension-NIT-D-PNG-S168.pdf</t>
        </is>
      </c>
      <c r="U2033" t="inlineStr">
        <is>
          <t>No</t>
        </is>
      </c>
      <c r="V2033" t="inlineStr">
        <is>
          <t>Bot tarafindan tespit edildi (2026-07-01) | Bot enrich; date=2026-07-01; type=pdf; score=230; Bot tespit/zenginlestirme (2026-07-01); meta:score=60;priority=Medium;source_type=html_link;closing_date=None;equipment=Gas-related / review;reasons=equipment:Gas-related / review,document source,tender reference signal,closing date signal</t>
        </is>
      </c>
    </row>
    <row r="2034">
      <c r="A2034" t="inlineStr">
        <is>
          <t>T-1838</t>
        </is>
      </c>
      <c r="B2034" t="inlineStr">
        <is>
          <t>Vadodara Gas Limited</t>
        </is>
      </c>
      <c r="C2034" t="inlineStr">
        <is>
          <t>Vadodara Gas Limited</t>
        </is>
      </c>
      <c r="D2034" t="inlineStr">
        <is>
          <t>Bid Submission</t>
        </is>
      </c>
      <c r="E2034" t="inlineStr">
        <is>
          <t>07/11/2024</t>
        </is>
      </c>
      <c r="F2034" t="inlineStr">
        <is>
          <t>Awarded</t>
        </is>
      </c>
      <c r="G2034" t="inlineStr">
        <is>
          <t>Gas-related / review</t>
        </is>
      </c>
      <c r="H2034" t="inlineStr">
        <is>
          <t>Extension of
                Bid Submission Date for the Tender of “Hiring the Services for Annual Maintenance Services for PE
                Laying Work of AMC Project Under Old Gas Infra Revamping Project of VGL GA on ARC Basis for a Period of
                01 Year vide Tender No.: VGL/CO/C&amp;P-PNG/BD202410S172 Dated 07/11/2024 and Tender ID: 124710</t>
        </is>
      </c>
      <c r="K2034" t="inlineStr">
        <is>
          <t>Not found</t>
        </is>
      </c>
      <c r="L2034" t="inlineStr">
        <is>
          <t>Unknown</t>
        </is>
      </c>
      <c r="M2034" t="n">
        <v>22</v>
      </c>
      <c r="T2034" t="inlineStr">
        <is>
          <t>https://www.vgl.co.in/wp-content/uploads/2025/pdf/Extension-NIT-AMC-PE-Laying-S172.pdf</t>
        </is>
      </c>
      <c r="U2034" t="inlineStr">
        <is>
          <t>No</t>
        </is>
      </c>
      <c r="V2034" t="inlineStr">
        <is>
          <t>Bot tarafindan tespit edildi (2026-07-01) | Bot enrich; date=2026-07-01; type=pdf; score=230; Bot tespit/zenginlestirme (2026-07-01); meta:score=60;priority=Medium;source_type=html_table;closing_date=None;equipment=Gas-related / review;reasons=equipment:Gas-related / review,document source,tender reference signal,closing date signal</t>
        </is>
      </c>
    </row>
    <row r="2035">
      <c r="A2035" t="inlineStr">
        <is>
          <t>T-1839</t>
        </is>
      </c>
      <c r="B2035" t="inlineStr">
        <is>
          <t>Vadodara Gas Limited</t>
        </is>
      </c>
      <c r="C2035" t="inlineStr">
        <is>
          <t>Vadodara Gas Limited</t>
        </is>
      </c>
      <c r="D2035" t="inlineStr">
        <is>
          <t>Bid Submission</t>
        </is>
      </c>
      <c r="E2035" t="inlineStr">
        <is>
          <t>07/11/2024</t>
        </is>
      </c>
      <c r="F2035" t="inlineStr">
        <is>
          <t>Awarded</t>
        </is>
      </c>
      <c r="G2035" t="inlineStr">
        <is>
          <t>Gas-related / review</t>
        </is>
      </c>
      <c r="H2035" t="inlineStr">
        <is>
          <t>Notice Inviting
                Tender for the “Procurement of Various Size of Poly Ethylene (PE) Ball Valve on ARC Basis for a
                Period of 02 Year vide Tender No.: VGL/CO/C&amp;P-PNG/BD202405P147_RI Dated 16/11/2024 and Tender ID:
                128195</t>
        </is>
      </c>
      <c r="K2035" t="inlineStr">
        <is>
          <t>s for the Tender of</t>
        </is>
      </c>
      <c r="L2035" t="inlineStr">
        <is>
          <t>Unknown</t>
        </is>
      </c>
      <c r="T2035" t="inlineStr">
        <is>
          <t>https://www.vgl.co.in/wp-content/uploads/2025/pdf/NIT-PE-Ball-Valve-P147-RI.pdf</t>
        </is>
      </c>
      <c r="U2035" t="inlineStr">
        <is>
          <t>No</t>
        </is>
      </c>
      <c r="V2035" t="inlineStr">
        <is>
          <t>Bot tarafindan tespit edildi (2026-07-01) | Bot enrich; date=2026-07-01; type=pdf; score=230; Bot tespit/zenginlestirme (2026-07-01); meta:score=60;priority=Medium;source_type=html_table;closing_date=26/11/2024;equipment=Gas-related / review;reasons=equipment:Gas-related / review,document source,tender reference signal,closing date signal</t>
        </is>
      </c>
    </row>
    <row r="2036">
      <c r="A2036" t="inlineStr">
        <is>
          <t>T-1840</t>
        </is>
      </c>
      <c r="B2036" t="inlineStr">
        <is>
          <t>Vadodara Gas Limited</t>
        </is>
      </c>
      <c r="C2036" t="inlineStr">
        <is>
          <t>Vadodara Gas Limited</t>
        </is>
      </c>
      <c r="D2036" t="inlineStr">
        <is>
          <t>Tender No.: VGL/CO/C</t>
        </is>
      </c>
      <c r="E2036" t="inlineStr">
        <is>
          <t>07/11/2024</t>
        </is>
      </c>
      <c r="F2036" t="inlineStr">
        <is>
          <t>Awarded</t>
        </is>
      </c>
      <c r="G2036" t="inlineStr">
        <is>
          <t>Gas-related / review</t>
        </is>
      </c>
      <c r="H2036" t="inlineStr">
        <is>
          <t>Notice Inviting Tender
                for the “Hiring the Services for Annual Maintenance Services for PE Laying Work of AMC Project
                Under Old Gas Infra Revamping Project of VGL GA on ARC Basis for a Period of 01 Year vide Tender No.:
                VGL/CO/C&amp;P-PNG/BD202410S172 Dated 07/11/2024 and Tender ID: 124710</t>
        </is>
      </c>
      <c r="K2036" t="inlineStr">
        <is>
          <t>Not found</t>
        </is>
      </c>
      <c r="L2036" t="inlineStr">
        <is>
          <t>Unknown</t>
        </is>
      </c>
      <c r="T2036" t="inlineStr">
        <is>
          <t>https://www.vgl.co.in/wp-content/uploads/2025/pdf/NIT-AMC-PE-Laying-S172.pdf</t>
        </is>
      </c>
      <c r="U2036" t="inlineStr">
        <is>
          <t>No</t>
        </is>
      </c>
      <c r="V2036"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7">
      <c r="A2037" t="inlineStr">
        <is>
          <t>T-1841</t>
        </is>
      </c>
      <c r="B2037" t="inlineStr">
        <is>
          <t>Vadodara Gas Limited</t>
        </is>
      </c>
      <c r="C2037" t="inlineStr">
        <is>
          <t>Vadodara Gas Limited</t>
        </is>
      </c>
      <c r="D2037" t="inlineStr">
        <is>
          <t>Tender No.: VGL/CO/C</t>
        </is>
      </c>
      <c r="E2037" t="inlineStr">
        <is>
          <t>07/11/2024</t>
        </is>
      </c>
      <c r="F2037" t="inlineStr">
        <is>
          <t>Awarded</t>
        </is>
      </c>
      <c r="G2037" t="inlineStr">
        <is>
          <t>Gas-related / review</t>
        </is>
      </c>
      <c r="H2037" t="inlineStr">
        <is>
          <t>Notice Inviting Tender for the
                “Hiring the Services for Above Ground GI Installation Including Last Mile Connectivity at Consumer
                End for New D-PNG Connections vide Tender No.: VGL/CO/C&amp;P-PNG/BD202409P168 Dated 07/11/2024 and
                Tender ID: 124698</t>
        </is>
      </c>
      <c r="K2037" t="inlineStr">
        <is>
          <t>Not found</t>
        </is>
      </c>
      <c r="L2037" t="inlineStr">
        <is>
          <t>Unknown</t>
        </is>
      </c>
      <c r="T2037" t="inlineStr">
        <is>
          <t>https://www.vgl.co.in/wp-content/uploads/2025/pdf/NIT-D-PNG-S168.pdf</t>
        </is>
      </c>
      <c r="U2037" t="inlineStr">
        <is>
          <t>No</t>
        </is>
      </c>
      <c r="V2037"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8">
      <c r="A2038" t="inlineStr">
        <is>
          <t>T-1842</t>
        </is>
      </c>
      <c r="B2038" t="inlineStr">
        <is>
          <t>Vadodara Gas Limited</t>
        </is>
      </c>
      <c r="C2038" t="inlineStr">
        <is>
          <t>Vadodara Gas Limited</t>
        </is>
      </c>
      <c r="D2038" t="inlineStr">
        <is>
          <t>Tender No.: VGL/CO/C</t>
        </is>
      </c>
      <c r="E2038" t="inlineStr">
        <is>
          <t>06/11/2024</t>
        </is>
      </c>
      <c r="F2038" t="inlineStr">
        <is>
          <t>Awarded</t>
        </is>
      </c>
      <c r="G2038" t="inlineStr">
        <is>
          <t>Gas-related / review</t>
        </is>
      </c>
      <c r="H2038" t="inlineStr">
        <is>
          <t>Notice Inviting Tender for
                the “Hiring of Services for Vehicles at VGL for a Period of 03 Years vide Tender No.:
                VGL/CO/C&amp;P-CNG/BD202410S174 Dated 06/11/2024 and Tender ID: 124625</t>
        </is>
      </c>
      <c r="K2038" t="inlineStr">
        <is>
          <t>Not found</t>
        </is>
      </c>
      <c r="L2038" t="inlineStr">
        <is>
          <t>Unknown</t>
        </is>
      </c>
      <c r="T2038" t="inlineStr">
        <is>
          <t>https://www.vgl.co.in/wp-content/uploads/2025/pdf/NIT-Vehicles-S174.pdf</t>
        </is>
      </c>
      <c r="U2038" t="inlineStr">
        <is>
          <t>No</t>
        </is>
      </c>
      <c r="V203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9">
      <c r="A2039" t="inlineStr">
        <is>
          <t>T-1843</t>
        </is>
      </c>
      <c r="B2039" t="inlineStr">
        <is>
          <t>Vadodara Gas Limited</t>
        </is>
      </c>
      <c r="C2039" t="inlineStr">
        <is>
          <t>Vadodara Gas Limited</t>
        </is>
      </c>
      <c r="D2039" t="inlineStr">
        <is>
          <t>Tender No.: VGL/CO/C</t>
        </is>
      </c>
      <c r="E2039" t="inlineStr">
        <is>
          <t>05/11/2024</t>
        </is>
      </c>
      <c r="F2039" t="inlineStr">
        <is>
          <t>Awarded</t>
        </is>
      </c>
      <c r="G2039" t="inlineStr">
        <is>
          <t>Gas-related / review</t>
        </is>
      </c>
      <c r="H2039" t="inlineStr">
        <is>
          <t>Notice Inviting
                Tender for the Procurement of 02 Nos. 10000 SCMH and 01 No. 5000 SCMH Automatic Odorization System with
                24 Months after Warranty Comprehensive AMC for Vadodara Gas Limited, Vadodara vide Tender No.:
                VGL/CO/C&amp;P-CNG/BD202410P166 Dated 05/11/2024 and Tender ID: 123457.</t>
        </is>
      </c>
      <c r="K2039" t="inlineStr">
        <is>
          <t>s for the Tender of</t>
        </is>
      </c>
      <c r="L2039" t="inlineStr">
        <is>
          <t>Unknown</t>
        </is>
      </c>
      <c r="M2039" t="n">
        <v>3542920</v>
      </c>
      <c r="T2039" t="inlineStr">
        <is>
          <t>https://www.vgl.co.in/wp-content/uploads/2025/pdf/NIT__Odorization_System_P166.pdf</t>
        </is>
      </c>
      <c r="U2039" t="inlineStr">
        <is>
          <t>No</t>
        </is>
      </c>
      <c r="V2039" t="inlineStr">
        <is>
          <t>Bot tarafindan tespit edildi (2026-07-01) | Bot enrich; date=2026-07-01; type=pdf; score=230; Bot tespit/zenginlestirme (2026-07-01); meta:score=70;priority=High;source_type=html_link;closing_date=26/11/2024;equipment=Gas-related / review;reasons=equipment:Gas-related / review,document source,quantity signal,tender reference signal; Bot clean extraction (2026-07-01); meta:score=43;priority=Medium;source_type=html_link;closing_date=26/11/2024;equipment=Gas-related / review;quality_status=needs_review;market_relevance=Medium;document_type=po_work_order;unit_price_inr=;amount_label=currency_near_total;matched_terms=gas_context;reject_reasons=;scope=market_intelligence_only;excluded_scope=no_bid_or_offer_submission_automation</t>
        </is>
      </c>
    </row>
    <row r="2040">
      <c r="A2040" t="inlineStr">
        <is>
          <t>T-1844</t>
        </is>
      </c>
      <c r="B2040" t="inlineStr">
        <is>
          <t>Vadodara Gas Limited</t>
        </is>
      </c>
      <c r="C2040" t="inlineStr">
        <is>
          <t>Vadodara Gas Limited</t>
        </is>
      </c>
      <c r="F2040" t="inlineStr">
        <is>
          <t>New Lead</t>
        </is>
      </c>
      <c r="G2040" t="inlineStr">
        <is>
          <t>Gas-related / review</t>
        </is>
      </c>
      <c r="H2040" t="inlineStr">
        <is>
          <t>NIT for the “Selling of
                CNG-PNG Scrap Lying at Different Locations of VGL</t>
        </is>
      </c>
      <c r="K2040" t="inlineStr">
        <is>
          <t>Not found</t>
        </is>
      </c>
      <c r="L2040" t="inlineStr">
        <is>
          <t>Unknown</t>
        </is>
      </c>
      <c r="T2040" t="inlineStr">
        <is>
          <t>https://www.vgl.co.in/wp-content/uploads/2025/pdf/NIT-Scrap.pdf</t>
        </is>
      </c>
      <c r="U2040" t="inlineStr">
        <is>
          <t>No</t>
        </is>
      </c>
      <c r="V2040" t="inlineStr">
        <is>
          <t>Bot tarafindan tespit edildi (2026-07-01); Bot tespit/zenginlestirme (2026-07-01); meta:score=50;priority=Medium;source_type=html_link;closing_date=;equipment=Gas-related / review;reasons=equipment:Gas-related / review,document source,tender reference signal</t>
        </is>
      </c>
    </row>
    <row r="2041">
      <c r="A2041" t="inlineStr">
        <is>
          <t>T-1845</t>
        </is>
      </c>
      <c r="B2041" t="inlineStr">
        <is>
          <t>Vadodara Gas Limited</t>
        </is>
      </c>
      <c r="C2041" t="inlineStr">
        <is>
          <t>Vadodara Gas Limited</t>
        </is>
      </c>
      <c r="D2041" t="inlineStr">
        <is>
          <t>Tender No.: VGL/CO/C</t>
        </is>
      </c>
      <c r="E2041" t="inlineStr">
        <is>
          <t>30/09/2024</t>
        </is>
      </c>
      <c r="F2041" t="inlineStr">
        <is>
          <t>Awarded</t>
        </is>
      </c>
      <c r="G2041" t="inlineStr">
        <is>
          <t>Gas-related / review</t>
        </is>
      </c>
      <c r="H2041"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1" t="inlineStr">
        <is>
          <t>Not found</t>
        </is>
      </c>
      <c r="L2041" t="inlineStr">
        <is>
          <t>Unknown</t>
        </is>
      </c>
      <c r="T2041" t="inlineStr">
        <is>
          <t>https://www.vgl.co.in/wp-content/uploads/2025/pdf/NIT-COMP-AMD-2024.pdf</t>
        </is>
      </c>
      <c r="U2041" t="inlineStr">
        <is>
          <t>No</t>
        </is>
      </c>
      <c r="V204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2">
      <c r="A2042" t="inlineStr">
        <is>
          <t>T-1846</t>
        </is>
      </c>
      <c r="B2042" t="inlineStr">
        <is>
          <t>Vadodara Gas Limited</t>
        </is>
      </c>
      <c r="C2042" t="inlineStr">
        <is>
          <t>Vadodara Gas Limited</t>
        </is>
      </c>
      <c r="D2042" t="inlineStr">
        <is>
          <t>Bidders</t>
        </is>
      </c>
      <c r="E2042" t="inlineStr">
        <is>
          <t>30/09/2024</t>
        </is>
      </c>
      <c r="F2042" t="inlineStr">
        <is>
          <t>Awarded</t>
        </is>
      </c>
      <c r="G2042" t="inlineStr">
        <is>
          <t>Gas-related / review</t>
        </is>
      </c>
      <c r="H2042" t="inlineStr">
        <is>
          <t>Replies to Bidders Queries for the Tender of Procurement of 01 No. 450 SCMH Booster
                Compressor Package with 60 Months Comprehensive Annual Maintenance Contract (AMC) for Upgradation &amp;
                Amendment of Dumad DBSVide Tender No.: VGL/CO/C&amp;P-CNG/BD202409P162 Dated 30/09/2024 &amp; Tender ID:
                113734</t>
        </is>
      </c>
      <c r="K2042" t="inlineStr">
        <is>
          <t>Not found</t>
        </is>
      </c>
      <c r="L2042" t="inlineStr">
        <is>
          <t>Unknown</t>
        </is>
      </c>
      <c r="T2042" t="inlineStr">
        <is>
          <t>https://www.vgl.co.in/wp-content/uploads/2025/pdf/Replies-Bidders-Query-450-SCMH-Compressor.pdf</t>
        </is>
      </c>
      <c r="U2042" t="inlineStr">
        <is>
          <t>No</t>
        </is>
      </c>
      <c r="V2042"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3">
      <c r="A2043" t="inlineStr">
        <is>
          <t>T-1847</t>
        </is>
      </c>
      <c r="B2043" t="inlineStr">
        <is>
          <t>Vadodara Gas Limited</t>
        </is>
      </c>
      <c r="C2043" t="inlineStr">
        <is>
          <t>Vadodara Gas Limited</t>
        </is>
      </c>
      <c r="D2043" t="inlineStr">
        <is>
          <t>Tender No.: VGL/CO/C</t>
        </is>
      </c>
      <c r="E2043" t="inlineStr">
        <is>
          <t>09/10/2024</t>
        </is>
      </c>
      <c r="F2043" t="inlineStr">
        <is>
          <t>Awarded</t>
        </is>
      </c>
      <c r="G2043" t="inlineStr">
        <is>
          <t>DRS</t>
        </is>
      </c>
      <c r="H2043" t="inlineStr">
        <is>
          <t>Notice Inviting Tender for the
                “Procurement of District Regulating Skid (DRS) on ARC Basis for Period of Two (02) Years for
                Vadodara Gas Limited (GA) vide Tender No.: VGL/CO/C&amp;P-PNG/BD202405P141_RI Dated 09/10/2024 and
                Tender ID: 116579</t>
        </is>
      </c>
      <c r="K2043" t="inlineStr">
        <is>
          <t>s for the Tender of</t>
        </is>
      </c>
      <c r="L2043" t="inlineStr">
        <is>
          <t>Unknown</t>
        </is>
      </c>
      <c r="M2043" t="n">
        <v>11716515</v>
      </c>
      <c r="T2043" t="inlineStr">
        <is>
          <t>https://www.vgl.co.in/wp-content/uploads/2025/pdf/NIT-DRS-P141-RI.pdf</t>
        </is>
      </c>
      <c r="U2043" t="inlineStr">
        <is>
          <t>No</t>
        </is>
      </c>
      <c r="V2043" t="inlineStr">
        <is>
          <t>Bot tarafindan tespit edildi (2026-07-01) | Bot enrich; date=2026-07-01; type=pdf; score=330; Bot tespit/zenginlestirme (2026-07-01); meta:score=95;priority=High;source_type=html_link;closing_date=19/10/2024;equipment=Regulating station;reasons=equipment:Regulating station,station/skid keyword,document source,tender reference signal; Bot clean extraction (2026-07-01); meta:score=100;priority=High;source_type=html_link;closing_date=19/10/2024;equipment=Regulating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44">
      <c r="A2044" t="inlineStr">
        <is>
          <t>T-1848</t>
        </is>
      </c>
      <c r="B2044" t="inlineStr">
        <is>
          <t>Vadodara Gas Limited</t>
        </is>
      </c>
      <c r="C2044" t="inlineStr">
        <is>
          <t>Vadodara Gas Limited</t>
        </is>
      </c>
      <c r="D2044" t="inlineStr">
        <is>
          <t>VGL/CO/C</t>
        </is>
      </c>
      <c r="E2044" t="inlineStr">
        <is>
          <t>08/10/2024</t>
        </is>
      </c>
      <c r="F2044" t="inlineStr">
        <is>
          <t>New Lead</t>
        </is>
      </c>
      <c r="G2044" t="inlineStr">
        <is>
          <t>Irrelevant / non-target</t>
        </is>
      </c>
      <c r="H2044" t="inlineStr">
        <is>
          <t>Notice
                Inviting Tender for the “Hiring of Manpower through Third Party for Peripheral and Support
                Services at VGL vide Tender No.: VGL/CO/C&amp;P-HR/BD202406S155_RI-II Dated 08/10/2024 and Tender ID:
                116283</t>
        </is>
      </c>
      <c r="K2044" t="inlineStr">
        <is>
          <t>Not found</t>
        </is>
      </c>
      <c r="L2044" t="inlineStr">
        <is>
          <t>Unknown</t>
        </is>
      </c>
      <c r="T2044" t="inlineStr">
        <is>
          <t>https://www.vgl.co.in/wp-content/uploads/2025/pdf/NIT-Peripheral-Services-S155-RI-II.pdf</t>
        </is>
      </c>
      <c r="U2044" t="inlineStr">
        <is>
          <t>No</t>
        </is>
      </c>
      <c r="V2044" t="inlineStr">
        <is>
          <t>Bot tarafindan tespit edildi (2026-07-01); Bot tespit/zenginlestirme (2026-07-01); meta:score=;priority=Low;source_type=html_link;closing_date=;equipment=Irrelevant / non-target;reasons=irrelevant_equipment,document source,tender reference signal,non-target service</t>
        </is>
      </c>
    </row>
    <row r="2045">
      <c r="A2045" t="inlineStr">
        <is>
          <t>T-1849</t>
        </is>
      </c>
      <c r="B2045" t="inlineStr">
        <is>
          <t>Vadodara Gas Limited</t>
        </is>
      </c>
      <c r="C2045" t="inlineStr">
        <is>
          <t>Vadodara Gas Limited</t>
        </is>
      </c>
      <c r="D2045" t="inlineStr">
        <is>
          <t>Tender No.: VGL/CO/C</t>
        </is>
      </c>
      <c r="E2045" t="inlineStr">
        <is>
          <t>30/09/2024</t>
        </is>
      </c>
      <c r="F2045" t="inlineStr">
        <is>
          <t>Awarded</t>
        </is>
      </c>
      <c r="G2045" t="inlineStr">
        <is>
          <t>Gas-related / review</t>
        </is>
      </c>
      <c r="H2045"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5" t="inlineStr">
        <is>
          <t>Not found</t>
        </is>
      </c>
      <c r="L2045" t="inlineStr">
        <is>
          <t>Unknown</t>
        </is>
      </c>
      <c r="T2045" t="inlineStr">
        <is>
          <t>https://www.vgl.co.in/wp-content/uploads/2025/pdf/NIT-450-SCMH-Compressor.pdf</t>
        </is>
      </c>
      <c r="U2045" t="inlineStr">
        <is>
          <t>No</t>
        </is>
      </c>
      <c r="V204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6">
      <c r="A2046" t="inlineStr">
        <is>
          <t>T-1850</t>
        </is>
      </c>
      <c r="B2046" t="inlineStr">
        <is>
          <t>Vadodara Gas Limited</t>
        </is>
      </c>
      <c r="C2046" t="inlineStr">
        <is>
          <t>Vadodara Gas Limited</t>
        </is>
      </c>
      <c r="D2046" t="inlineStr">
        <is>
          <t>Tender No.: VGL/CO/C</t>
        </is>
      </c>
      <c r="E2046" t="inlineStr">
        <is>
          <t>30/09/2024</t>
        </is>
      </c>
      <c r="F2046" t="inlineStr">
        <is>
          <t>Awarded</t>
        </is>
      </c>
      <c r="G2046" t="inlineStr">
        <is>
          <t>Gas-related / review</t>
        </is>
      </c>
      <c r="H2046" t="inlineStr">
        <is>
          <t>Notice Inviting Tender for the “Composite – Electrical &amp; Mechanical
                Works Contract for Upcoming New CNG Station and Upgrading of Existing CNG Station at VGL, Vadodara vide
                Tender No.: VGL/CO/C&amp;P-CNG/BD202409P163 Dated 30/09/2024 and Tender ID: 113676</t>
        </is>
      </c>
      <c r="K2046" t="inlineStr">
        <is>
          <t>Not found</t>
        </is>
      </c>
      <c r="L2046" t="inlineStr">
        <is>
          <t>Unknown</t>
        </is>
      </c>
      <c r="T2046" t="inlineStr">
        <is>
          <t>https://www.vgl.co.in/wp-content/uploads/2025/pdf/NIT-Composite-Electrical-Mechanical-S163.pdf</t>
        </is>
      </c>
      <c r="U2046" t="inlineStr">
        <is>
          <t>No</t>
        </is>
      </c>
      <c r="V204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47">
      <c r="A2047" t="inlineStr">
        <is>
          <t>T-1851</t>
        </is>
      </c>
      <c r="B2047" t="inlineStr">
        <is>
          <t>Vadodara Gas Limited</t>
        </is>
      </c>
      <c r="C2047" t="inlineStr">
        <is>
          <t>Vadodara Gas Limited</t>
        </is>
      </c>
      <c r="D2047" t="inlineStr">
        <is>
          <t>VGL/CO/C</t>
        </is>
      </c>
      <c r="E2047" t="inlineStr">
        <is>
          <t>03/10/2024</t>
        </is>
      </c>
      <c r="F2047" t="inlineStr">
        <is>
          <t>New Lead</t>
        </is>
      </c>
      <c r="G2047" t="inlineStr">
        <is>
          <t>Irrelevant / non-target</t>
        </is>
      </c>
      <c r="H2047" t="inlineStr">
        <is>
          <t>Notice Inviting
                Tender for the “Hiring of Manpower through Third Party for Peripheral and Support Services at VGL
                vide Tender No.: VGL/CO/C&amp;P-HR/BD202406S155_RI Dated 03/10/2024 and Tender ID: 109974</t>
        </is>
      </c>
      <c r="K2047" t="inlineStr">
        <is>
          <t>Not found</t>
        </is>
      </c>
      <c r="L2047" t="inlineStr">
        <is>
          <t>Unknown</t>
        </is>
      </c>
      <c r="T2047" t="inlineStr">
        <is>
          <t>https://www.vgl.co.in/wp-content/uploads/2025/pdf/NIT-Peripheral-Services-1099.pdf</t>
        </is>
      </c>
      <c r="U2047" t="inlineStr">
        <is>
          <t>No</t>
        </is>
      </c>
      <c r="V2047" t="inlineStr">
        <is>
          <t>Bot tarafindan tespit edildi (2026-07-01); Bot tespit/zenginlestirme (2026-07-01); meta:score=;priority=Low;source_type=html_link;closing_date=;equipment=Irrelevant / non-target;reasons=irrelevant_equipment,document source,tender reference signal,non-target service</t>
        </is>
      </c>
    </row>
    <row r="2048">
      <c r="A2048" t="inlineStr">
        <is>
          <t>T-1852</t>
        </is>
      </c>
      <c r="B2048" t="inlineStr">
        <is>
          <t>Vadodara Gas Limited</t>
        </is>
      </c>
      <c r="C2048" t="inlineStr">
        <is>
          <t>Vadodara Gas Limited</t>
        </is>
      </c>
      <c r="D2048" t="inlineStr">
        <is>
          <t>Tender No.: VGL/CO/C</t>
        </is>
      </c>
      <c r="E2048" t="inlineStr">
        <is>
          <t>12/09/2024</t>
        </is>
      </c>
      <c r="F2048" t="inlineStr">
        <is>
          <t>Awarded</t>
        </is>
      </c>
      <c r="G2048" t="inlineStr">
        <is>
          <t>Irrelevant / non-target</t>
        </is>
      </c>
      <c r="H2048" t="inlineStr">
        <is>
          <t>Notice Inviting Tender for
                the “Procurement of Various Size of Poly Ethylene (PE) Ball Valve on ARC Basis for a Period of 02
                Year vide Tender No.: VGL/CO/C&amp;P-PNG/BD202405P147_RI Dated 12/09/2024 and Tender ID: 107094</t>
        </is>
      </c>
      <c r="K2048" t="inlineStr">
        <is>
          <t>Not found</t>
        </is>
      </c>
      <c r="L2048" t="inlineStr">
        <is>
          <t>Unknown</t>
        </is>
      </c>
      <c r="T2048" t="inlineStr">
        <is>
          <t>https://www.vgl.co.in/wp-content/uploads/2025/pdf/NIT-Ball-Valve-P147.pdf</t>
        </is>
      </c>
      <c r="U2048" t="inlineStr">
        <is>
          <t>No</t>
        </is>
      </c>
      <c r="V2048"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49">
      <c r="A2049" t="inlineStr">
        <is>
          <t>T-1853</t>
        </is>
      </c>
      <c r="B2049" t="inlineStr">
        <is>
          <t>Vadodara Gas Limited</t>
        </is>
      </c>
      <c r="C2049" t="inlineStr">
        <is>
          <t>Vadodara Gas Limited</t>
        </is>
      </c>
      <c r="D2049" t="inlineStr">
        <is>
          <t>Tender No.: VGL/CO/C</t>
        </is>
      </c>
      <c r="E2049" t="inlineStr">
        <is>
          <t>12/09/2024</t>
        </is>
      </c>
      <c r="F2049" t="inlineStr">
        <is>
          <t>Awarded</t>
        </is>
      </c>
      <c r="G2049" t="inlineStr">
        <is>
          <t>Irrelevant / non-target</t>
        </is>
      </c>
      <c r="H2049" t="inlineStr">
        <is>
          <t>Notice Inviting
                Tender for the “Hiring of Manpower through Third Party for Peripheral and Support Services at VGL
                vide Tender No.: VGL/CO/C&amp;P-HR/BD202406S155 Dated 24/08/2024 and Tender ID: 100758</t>
        </is>
      </c>
      <c r="K2049" t="inlineStr">
        <is>
          <t>Not found</t>
        </is>
      </c>
      <c r="L2049" t="inlineStr">
        <is>
          <t>Unknown</t>
        </is>
      </c>
      <c r="T2049" t="inlineStr">
        <is>
          <t>https://www.vgl.co.in/wp-content/uploads/2025/pdf/NIT-Peripheral-Services-S155.pdf</t>
        </is>
      </c>
      <c r="U2049" t="inlineStr">
        <is>
          <t>No</t>
        </is>
      </c>
      <c r="V2049"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50">
      <c r="A2050" t="inlineStr">
        <is>
          <t>T-1854</t>
        </is>
      </c>
      <c r="B2050" t="inlineStr">
        <is>
          <t>Vadodara Gas Limited</t>
        </is>
      </c>
      <c r="C2050" t="inlineStr">
        <is>
          <t>Vadodara Gas Limited</t>
        </is>
      </c>
      <c r="D2050" t="inlineStr">
        <is>
          <t>VGL/CO/C</t>
        </is>
      </c>
      <c r="E2050" t="inlineStr">
        <is>
          <t>23/08/2024</t>
        </is>
      </c>
      <c r="F2050" t="inlineStr">
        <is>
          <t>New Lead</t>
        </is>
      </c>
      <c r="G2050" t="inlineStr">
        <is>
          <t>Irrelevant / non-target</t>
        </is>
      </c>
      <c r="H2050" t="inlineStr">
        <is>
          <t>Notice Inviting
                Tender for the “Hiring of Manpower through Third Party for Peripheral and Support Services at VGL
                vide Tender No.: VGL/CO/C&amp;P-HR/BD202406S155 Dated 23/08/2024 and Tender ID: 100588</t>
        </is>
      </c>
      <c r="K2050" t="inlineStr">
        <is>
          <t>Not found</t>
        </is>
      </c>
      <c r="L2050" t="inlineStr">
        <is>
          <t>Unknown</t>
        </is>
      </c>
      <c r="T2050" t="inlineStr">
        <is>
          <t>https://www.vgl.co.in/wp-content/uploads/2025/pdf/NIT-Peripheral-Service-155.pdf</t>
        </is>
      </c>
      <c r="U2050" t="inlineStr">
        <is>
          <t>No</t>
        </is>
      </c>
      <c r="V2050" t="inlineStr">
        <is>
          <t>Bot tarafindan tespit edildi (2026-07-01); Bot tespit/zenginlestirme (2026-07-01); meta:score=;priority=Low;source_type=html_link;closing_date=;equipment=Irrelevant / non-target;reasons=irrelevant_equipment,document source,tender reference signal,non-target service</t>
        </is>
      </c>
    </row>
    <row r="2051">
      <c r="A2051" t="inlineStr">
        <is>
          <t>T-1855</t>
        </is>
      </c>
      <c r="B2051" t="inlineStr">
        <is>
          <t>Vadodara Gas Limited</t>
        </is>
      </c>
      <c r="C2051" t="inlineStr">
        <is>
          <t>Vadodara Gas Limited</t>
        </is>
      </c>
      <c r="D2051" t="inlineStr">
        <is>
          <t>Tender No.: VGL/CO/C</t>
        </is>
      </c>
      <c r="E2051" t="inlineStr">
        <is>
          <t>16/08/2024</t>
        </is>
      </c>
      <c r="F2051" t="inlineStr">
        <is>
          <t>Awarded</t>
        </is>
      </c>
      <c r="G2051" t="inlineStr">
        <is>
          <t>Gas-related / review</t>
        </is>
      </c>
      <c r="H2051" t="inlineStr">
        <is>
          <t>Notice Inviting Tender for
                the “Procurement of ½” Ball Valve on ARC Basis for a Period of One Yearvide Tender
                No.: VGL/CO/C&amp;P-PNG/BD202407P159 Dated 16/08/2024 and Tender ID: 98234</t>
        </is>
      </c>
      <c r="K2051" t="inlineStr">
        <is>
          <t>Not found</t>
        </is>
      </c>
      <c r="L2051" t="inlineStr">
        <is>
          <t>Unknown</t>
        </is>
      </c>
      <c r="T2051" t="inlineStr">
        <is>
          <t>https://www.vgl.co.in/wp-content/uploads/2025/pdf/NIT-Bal-Valve-159.pdf</t>
        </is>
      </c>
      <c r="U2051" t="inlineStr">
        <is>
          <t>No</t>
        </is>
      </c>
      <c r="V205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2">
      <c r="A2052" t="inlineStr">
        <is>
          <t>T-1856</t>
        </is>
      </c>
      <c r="B2052" t="inlineStr">
        <is>
          <t>Vadodara Gas Limited</t>
        </is>
      </c>
      <c r="C2052" t="inlineStr">
        <is>
          <t>Vadodara Gas Limited</t>
        </is>
      </c>
      <c r="D2052" t="inlineStr">
        <is>
          <t>Bidders</t>
        </is>
      </c>
      <c r="E2052" t="inlineStr">
        <is>
          <t>17/06/2024</t>
        </is>
      </c>
      <c r="F2052" t="inlineStr">
        <is>
          <t>Awarded</t>
        </is>
      </c>
      <c r="G2052" t="inlineStr">
        <is>
          <t>Irrelevant / non-target</t>
        </is>
      </c>
      <c r="H2052" t="inlineStr">
        <is>
          <t>Replies to Bidders
                Queries for the Tender of Services for Hiring of Manpower for Billing, Bill &amp; Notice Distribution
                and Cash Collection of VGL’S PNG Customers at Dandiya Bazar Gas Office and Ward Office, Vadodara
                for a Period of 24 Months Vide Tender No.: VGL/CO/C&amp;P-BILLING/BD202405S146 Dated 17/06/2024 &amp;
                Tender ID: 76702</t>
        </is>
      </c>
      <c r="K2052" t="inlineStr">
        <is>
          <t>Not found</t>
        </is>
      </c>
      <c r="L2052" t="inlineStr">
        <is>
          <t>Unknown</t>
        </is>
      </c>
      <c r="T2052" t="inlineStr">
        <is>
          <t>https://www.vgl.co.in/wp-content/uploads/2025/pdf/Replies-to-Biders-146.pdf</t>
        </is>
      </c>
      <c r="U2052" t="inlineStr">
        <is>
          <t>No</t>
        </is>
      </c>
      <c r="V2052"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53">
      <c r="A2053" t="inlineStr">
        <is>
          <t>T-1857</t>
        </is>
      </c>
      <c r="B2053" t="inlineStr">
        <is>
          <t>Vadodara Gas Limited</t>
        </is>
      </c>
      <c r="C2053" t="inlineStr">
        <is>
          <t>Vadodara Gas Limited</t>
        </is>
      </c>
      <c r="F2053" t="inlineStr">
        <is>
          <t>New Lead</t>
        </is>
      </c>
      <c r="G2053" t="inlineStr">
        <is>
          <t>Unclassified</t>
        </is>
      </c>
      <c r="H2053" t="inlineStr">
        <is>
          <t>Pre-Tender Meeting
                Inquiry for the “Purchase of 1200 SCMH Motor Driven Compressor with AMC under Buy-Back Model</t>
        </is>
      </c>
      <c r="K2053" t="inlineStr">
        <is>
          <t>Not found</t>
        </is>
      </c>
      <c r="L2053" t="inlineStr">
        <is>
          <t>Unknown</t>
        </is>
      </c>
      <c r="T2053" t="inlineStr">
        <is>
          <t>https://www.vgl.co.in/wp-content/uploads/2025/pdf/Pre-Tender-Meetting-200.pdf</t>
        </is>
      </c>
      <c r="U2053" t="inlineStr">
        <is>
          <t>No</t>
        </is>
      </c>
      <c r="V2053" t="inlineStr">
        <is>
          <t>Bot tarafindan tespit edildi (2026-07-01); Bot tespit/zenginlestirme (2026-07-01); meta:score=20;priority=Low;source_type=html_link;closing_date=;equipment=Unclassified;reasons=document source</t>
        </is>
      </c>
    </row>
    <row r="2054">
      <c r="A2054" t="inlineStr">
        <is>
          <t>T-1858</t>
        </is>
      </c>
      <c r="B2054" t="inlineStr">
        <is>
          <t>Vadodara Gas Limited</t>
        </is>
      </c>
      <c r="C2054" t="inlineStr">
        <is>
          <t>Vadodara Gas Limited</t>
        </is>
      </c>
      <c r="F2054" t="inlineStr">
        <is>
          <t>New Lead</t>
        </is>
      </c>
      <c r="G2054" t="inlineStr">
        <is>
          <t>Unclassified</t>
        </is>
      </c>
      <c r="H2054" t="inlineStr">
        <is>
          <t>Pre-Tender Meeting Inquiry
                for the “Purchase of 1200 SCMH Motor Driven Compressor with AMC under Buy-Back Model</t>
        </is>
      </c>
      <c r="K2054" t="inlineStr">
        <is>
          <t>Not found</t>
        </is>
      </c>
      <c r="L2054" t="inlineStr">
        <is>
          <t>Unknown</t>
        </is>
      </c>
      <c r="T2054" t="inlineStr">
        <is>
          <t>https://www.vgl.co.in/wp-content/uploads/2025/pdf/Pre-Tender-Meeting.pdf</t>
        </is>
      </c>
      <c r="U2054" t="inlineStr">
        <is>
          <t>No</t>
        </is>
      </c>
      <c r="V2054" t="inlineStr">
        <is>
          <t>Bot tarafindan tespit edildi (2026-07-01); Bot tespit/zenginlestirme (2026-07-01); meta:score=20;priority=Low;source_type=html_link;closing_date=;equipment=Unclassified;reasons=document source</t>
        </is>
      </c>
    </row>
    <row r="2055">
      <c r="A2055" t="inlineStr">
        <is>
          <t>T-1859</t>
        </is>
      </c>
      <c r="B2055" t="inlineStr">
        <is>
          <t>Vadodara Gas Limited</t>
        </is>
      </c>
      <c r="C2055" t="inlineStr">
        <is>
          <t>Vadodara Gas Limited</t>
        </is>
      </c>
      <c r="D2055" t="inlineStr">
        <is>
          <t>Bidders</t>
        </is>
      </c>
      <c r="E2055" t="inlineStr">
        <is>
          <t>07/06/2024</t>
        </is>
      </c>
      <c r="F2055" t="inlineStr">
        <is>
          <t>Awarded</t>
        </is>
      </c>
      <c r="G2055" t="inlineStr">
        <is>
          <t>Gas-related / review</t>
        </is>
      </c>
      <c r="H2055" t="inlineStr">
        <is>
          <t>Replies to
                Bidders Queries - Additional - 2 for the Tender of Procurement of 50,000 Nos. of Domestic Meter on ARC
                basis for a Period of 01 Year Vide Tender No.: VGL/CO/C&amp;P-PNG/BD202405P145 Dated 07/06/2024 &amp;
                Tender ID: 72549</t>
        </is>
      </c>
      <c r="K2055" t="inlineStr">
        <is>
          <t>Not found</t>
        </is>
      </c>
      <c r="L2055" t="inlineStr">
        <is>
          <t>Unknown</t>
        </is>
      </c>
      <c r="T2055" t="inlineStr">
        <is>
          <t>https://www.vgl.co.in/wp-content/uploads/2025/pdf/Replies-Bidders-Query-Domestic-2.pdf</t>
        </is>
      </c>
      <c r="U2055" t="inlineStr">
        <is>
          <t>No</t>
        </is>
      </c>
      <c r="V2055"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6">
      <c r="A2056" t="inlineStr">
        <is>
          <t>T-1860</t>
        </is>
      </c>
      <c r="B2056" t="inlineStr">
        <is>
          <t>Vadodara Gas Limited</t>
        </is>
      </c>
      <c r="C2056" t="inlineStr">
        <is>
          <t>Vadodara Gas Limited</t>
        </is>
      </c>
      <c r="D2056" t="inlineStr">
        <is>
          <t>Bidders</t>
        </is>
      </c>
      <c r="E2056" t="inlineStr">
        <is>
          <t>07/06/2024</t>
        </is>
      </c>
      <c r="F2056" t="inlineStr">
        <is>
          <t>Awarded</t>
        </is>
      </c>
      <c r="G2056" t="inlineStr">
        <is>
          <t>Gas-related / review</t>
        </is>
      </c>
      <c r="H2056" t="inlineStr">
        <is>
          <t>Replies to Bidders
                Queries - Additional for the Tender of Procurement of 50,000 Nos. of Domestic Meter on ARC basis for a
                Period of 01 Year Vide Tender No.: VGL/CO/C&amp;P-PNG/BD202405P145 Dated 07/06/2024 &amp; Tender ID:
                72549</t>
        </is>
      </c>
      <c r="K2056" t="inlineStr">
        <is>
          <t>shall provide a As per the standard and industry practice the calibration certificate and Inspection</t>
        </is>
      </c>
      <c r="L2056" t="inlineStr">
        <is>
          <t>Unknown</t>
        </is>
      </c>
      <c r="T2056" t="inlineStr">
        <is>
          <t>https://www.vgl.co.in/wp-content/uploads/2025/pdf/Replies-to-Bidder-Query-p.pdf</t>
        </is>
      </c>
      <c r="U2056" t="inlineStr">
        <is>
          <t>No</t>
        </is>
      </c>
      <c r="V205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7">
      <c r="A2057" t="inlineStr">
        <is>
          <t>T-1861</t>
        </is>
      </c>
      <c r="B2057" t="inlineStr">
        <is>
          <t>Vadodara Gas Limited</t>
        </is>
      </c>
      <c r="C2057" t="inlineStr">
        <is>
          <t>Vadodara Gas Limited</t>
        </is>
      </c>
      <c r="D2057" t="inlineStr">
        <is>
          <t>Bidders</t>
        </is>
      </c>
      <c r="E2057" t="inlineStr">
        <is>
          <t>07/06/2024</t>
        </is>
      </c>
      <c r="F2057" t="inlineStr">
        <is>
          <t>Awarded</t>
        </is>
      </c>
      <c r="G2057" t="inlineStr">
        <is>
          <t>Regulating station</t>
        </is>
      </c>
      <c r="H2057" t="inlineStr">
        <is>
          <t>Replies to Bidders Queries for
                the Tender of Procurement of 50,000 Nos. of Domestic Meter on ARC basis for a Period of 01 Year Vide
                Tender No.: VGL/CO/C&amp;P-PNG/BD202405P145 Dated 07/06/2024 &amp; Tender ID: 72549</t>
        </is>
      </c>
      <c r="K2057" t="inlineStr">
        <is>
          <t>shall provide a error curve changes from</t>
        </is>
      </c>
      <c r="L2057" t="inlineStr">
        <is>
          <t>Unknown</t>
        </is>
      </c>
      <c r="M2057" t="n">
        <v>2</v>
      </c>
      <c r="T2057" t="inlineStr">
        <is>
          <t>https://www.vgl.co.in/wp-content/uploads/2025/pdf/Replies-to-P145.pdf</t>
        </is>
      </c>
      <c r="U2057" t="inlineStr">
        <is>
          <t>No</t>
        </is>
      </c>
      <c r="V205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58">
      <c r="A2058" t="inlineStr">
        <is>
          <t>T-1862</t>
        </is>
      </c>
      <c r="B2058" t="inlineStr">
        <is>
          <t>Vadodara Gas Limited</t>
        </is>
      </c>
      <c r="C2058" t="inlineStr">
        <is>
          <t>Vadodara Gas Limited</t>
        </is>
      </c>
      <c r="D2058" t="inlineStr">
        <is>
          <t>Bidders</t>
        </is>
      </c>
      <c r="E2058" t="inlineStr">
        <is>
          <t>07/06/2024</t>
        </is>
      </c>
      <c r="F2058" t="inlineStr">
        <is>
          <t>Awarded</t>
        </is>
      </c>
      <c r="G2058" t="inlineStr">
        <is>
          <t>Gas-related / review</t>
        </is>
      </c>
      <c r="H2058" t="inlineStr">
        <is>
          <t>Replies to Bidders Queries for
                the Tender of Procurement of Various Size of Poly Ethylen (PE) Ball Valve on ARC Basis for a Period of
                02 Year Vide Tender No.: VGL/CO/C&amp;P-PNG/BD202405P147 Dated 07/06/2024 &amp; Tender ID:
                72718”</t>
        </is>
      </c>
      <c r="K2058" t="inlineStr">
        <is>
          <t>Not found</t>
        </is>
      </c>
      <c r="L2058" t="inlineStr">
        <is>
          <t>Unknown</t>
        </is>
      </c>
      <c r="T2058" t="inlineStr">
        <is>
          <t>https://www.vgl.co.in/wp-content/uploads/2025/pdf/Replies-P147.pdf</t>
        </is>
      </c>
      <c r="U2058" t="inlineStr">
        <is>
          <t>No</t>
        </is>
      </c>
      <c r="V205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9">
      <c r="A2059" t="inlineStr">
        <is>
          <t>T-1863</t>
        </is>
      </c>
      <c r="B2059" t="inlineStr">
        <is>
          <t>Vadodara Gas Limited</t>
        </is>
      </c>
      <c r="C2059" t="inlineStr">
        <is>
          <t>Vadodara Gas Limited</t>
        </is>
      </c>
      <c r="D2059" t="inlineStr">
        <is>
          <t>Tender No.: VGL/CO/C</t>
        </is>
      </c>
      <c r="E2059" t="inlineStr">
        <is>
          <t>17/06/2024</t>
        </is>
      </c>
      <c r="F2059" t="inlineStr">
        <is>
          <t>Awarded</t>
        </is>
      </c>
      <c r="G2059" t="inlineStr">
        <is>
          <t>Irrelevant / non-target</t>
        </is>
      </c>
      <c r="H2059" t="inlineStr">
        <is>
          <t>Notice Inviting Tender for
                the “Services for Hiring of Manpower for Billing, Bill &amp; Notice Distribution and Cash
                Collection of VGL’S PNG Customers at Dandiya Bazar Gas Office and Ward Office, Vadodara for a
                Period of 24 Months vide Tender No.: VGL/CO/C&amp;P-BILLING/BD202405S146 Dated 17/06/2024 and Tender ID:
                76702</t>
        </is>
      </c>
      <c r="K2059" t="inlineStr">
        <is>
          <t>Not found</t>
        </is>
      </c>
      <c r="L2059" t="inlineStr">
        <is>
          <t>Unknown</t>
        </is>
      </c>
      <c r="T2059" t="inlineStr">
        <is>
          <t>https://www.vgl.co.in/wp-content/uploads/2025/pdf/NIT-Billing-S146.pdf</t>
        </is>
      </c>
      <c r="U2059" t="inlineStr">
        <is>
          <t>No</t>
        </is>
      </c>
      <c r="V2059"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60">
      <c r="A2060" t="inlineStr">
        <is>
          <t>T-1864</t>
        </is>
      </c>
      <c r="B2060" t="inlineStr">
        <is>
          <t>Vadodara Gas Limited</t>
        </is>
      </c>
      <c r="C2060" t="inlineStr">
        <is>
          <t>Vadodara Gas Limited</t>
        </is>
      </c>
      <c r="D2060" t="inlineStr">
        <is>
          <t>Tender No.: VGL/CO/C</t>
        </is>
      </c>
      <c r="E2060" t="inlineStr">
        <is>
          <t>15/06/2024</t>
        </is>
      </c>
      <c r="F2060" t="inlineStr">
        <is>
          <t>Awarded</t>
        </is>
      </c>
      <c r="G2060" t="inlineStr">
        <is>
          <t>Gas-related / review</t>
        </is>
      </c>
      <c r="H2060" t="inlineStr">
        <is>
          <t>Notice Inviting
                Tender for the “Hiring the Services for Construction of New PE Valve Chamber, Levelling/
                Maintenance of Existing Valve Chamber and Other Misc. Restoration Work in Vadodara GA under VGL for the
                Period of 02 Years vide Tender No.: VGL/CO/C&amp;P-PNG/BD202405S150 Dated 15/06/2024 and Tender ID:
                76436</t>
        </is>
      </c>
      <c r="K2060" t="inlineStr">
        <is>
          <t>Not found</t>
        </is>
      </c>
      <c r="L2060" t="inlineStr">
        <is>
          <t>Unknown</t>
        </is>
      </c>
      <c r="T2060" t="inlineStr">
        <is>
          <t>https://www.vgl.co.in/wp-content/uploads/2025/pdf/NIT-PE-Valve-Chamber-S150.pdf</t>
        </is>
      </c>
      <c r="U2060" t="inlineStr">
        <is>
          <t>No</t>
        </is>
      </c>
      <c r="V206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1">
      <c r="A2061" t="inlineStr">
        <is>
          <t>T-1865</t>
        </is>
      </c>
      <c r="B2061" t="inlineStr">
        <is>
          <t>Vadodara Gas Limited</t>
        </is>
      </c>
      <c r="C2061" t="inlineStr">
        <is>
          <t>Vadodara Gas Limited</t>
        </is>
      </c>
      <c r="D2061" t="inlineStr">
        <is>
          <t>Tender No.: VGL/CO/C</t>
        </is>
      </c>
      <c r="E2061" t="inlineStr">
        <is>
          <t>15/06/2024</t>
        </is>
      </c>
      <c r="F2061" t="inlineStr">
        <is>
          <t>Awarded</t>
        </is>
      </c>
      <c r="G2061" t="inlineStr">
        <is>
          <t>Gas-related / review</t>
        </is>
      </c>
      <c r="H2061" t="inlineStr">
        <is>
          <t>Notice Inviting Tender
                for the “Hiring the Services for Laying of Underground MDPE Pipeline for New D-PNG/ Commercial/
                Industrial Connection in Vadodara GA on ARC basis for a Period of 01 Year vide Tender No.:
                VGL/CO/C&amp;P-PNG/BD202405S144 Dated 15/06/2024 and Tender ID: 76408</t>
        </is>
      </c>
      <c r="K2061" t="inlineStr">
        <is>
          <t>Not found</t>
        </is>
      </c>
      <c r="L2061" t="inlineStr">
        <is>
          <t>Unknown</t>
        </is>
      </c>
      <c r="T2061" t="inlineStr">
        <is>
          <t>https://www.vgl.co.in/wp-content/uploads/2025/pdf/NIT-MDPE-Laying-S144.pdf</t>
        </is>
      </c>
      <c r="U2061" t="inlineStr">
        <is>
          <t>No</t>
        </is>
      </c>
      <c r="V206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2">
      <c r="A2062" t="inlineStr">
        <is>
          <t>T-1866</t>
        </is>
      </c>
      <c r="B2062" t="inlineStr">
        <is>
          <t>Vadodara Gas Limited</t>
        </is>
      </c>
      <c r="C2062" t="inlineStr">
        <is>
          <t>Vadodara Gas Limited</t>
        </is>
      </c>
      <c r="D2062" t="inlineStr">
        <is>
          <t>Bidders</t>
        </is>
      </c>
      <c r="E2062" t="inlineStr">
        <is>
          <t>24/05/2024</t>
        </is>
      </c>
      <c r="F2062" t="inlineStr">
        <is>
          <t>Awarded</t>
        </is>
      </c>
      <c r="G2062" t="inlineStr">
        <is>
          <t>Gas-related / review</t>
        </is>
      </c>
      <c r="H2062" t="inlineStr">
        <is>
          <t>Replies to
                Bidders Queries - Additional for the Tender of Purchase of 02 Nos. Variable Inlet Pressure (VIP) 600
                SCMH Motor Driven Compressor Package with 05 Year AMC Vide Tender No.: VGL/CO/C&amp;P-CNG/BD202404P127
                Dated 24/05/2024 &amp; Tender ID: 71557</t>
        </is>
      </c>
      <c r="K2062" t="inlineStr">
        <is>
          <t>Not found</t>
        </is>
      </c>
      <c r="L2062" t="inlineStr">
        <is>
          <t>Unknown</t>
        </is>
      </c>
      <c r="T2062" t="inlineStr">
        <is>
          <t>https://www.vgl.co.in/wp-content/uploads/2025/pdf/Replies-to-Bidders-Additional.pdf</t>
        </is>
      </c>
      <c r="U2062" t="inlineStr">
        <is>
          <t>No</t>
        </is>
      </c>
      <c r="V2062"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3">
      <c r="A2063" t="inlineStr">
        <is>
          <t>T-1867</t>
        </is>
      </c>
      <c r="B2063" t="inlineStr">
        <is>
          <t>Vadodara Gas Limited</t>
        </is>
      </c>
      <c r="C2063" t="inlineStr">
        <is>
          <t>Vadodara Gas Limited</t>
        </is>
      </c>
      <c r="D2063" t="inlineStr">
        <is>
          <t>Tender No.: VGL/CO/C</t>
        </is>
      </c>
      <c r="E2063" t="inlineStr">
        <is>
          <t>07/06/2024</t>
        </is>
      </c>
      <c r="F2063" t="inlineStr">
        <is>
          <t>Awarded</t>
        </is>
      </c>
      <c r="G2063" t="inlineStr">
        <is>
          <t>Gas-related / review</t>
        </is>
      </c>
      <c r="H2063" t="inlineStr">
        <is>
          <t>Procurement of 50,000
                Nos. of Domestic Meter on ARC basis for a Period of 01 Year vide Tender No.:
                VGL/CO/C&amp;P-PNG/BD202405P145 Dated 07/06/2024 and Tender ID: 72549</t>
        </is>
      </c>
      <c r="K2063" t="inlineStr">
        <is>
          <t>Not found</t>
        </is>
      </c>
      <c r="L2063" t="inlineStr">
        <is>
          <t>Unknown</t>
        </is>
      </c>
      <c r="T2063" t="inlineStr">
        <is>
          <t>https://www.vgl.co.in/wp-content/uploads/2025/pdf/NIT-Domestic-Meter-49.pdf</t>
        </is>
      </c>
      <c r="U2063" t="inlineStr">
        <is>
          <t>No</t>
        </is>
      </c>
      <c r="V2063"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4">
      <c r="A2064" t="inlineStr">
        <is>
          <t>T-1868</t>
        </is>
      </c>
      <c r="B2064" t="inlineStr">
        <is>
          <t>Vadodara Gas Limited</t>
        </is>
      </c>
      <c r="C2064" t="inlineStr">
        <is>
          <t>Vadodara Gas Limited</t>
        </is>
      </c>
      <c r="D2064" t="inlineStr">
        <is>
          <t>Tender No.: VGL/CO/C</t>
        </is>
      </c>
      <c r="E2064" t="inlineStr">
        <is>
          <t>07/06/2024</t>
        </is>
      </c>
      <c r="F2064" t="inlineStr">
        <is>
          <t>Awarded</t>
        </is>
      </c>
      <c r="G2064" t="inlineStr">
        <is>
          <t>Gas-related / review</t>
        </is>
      </c>
      <c r="H2064" t="inlineStr">
        <is>
          <t>Notice Inviting Tender
                for the “Procurement of Various Size of Poly Ethylene (PE) Ball Valve on ARC Basis for a Period of
                02 Year vide Tender No.: VGL/CO/C&amp;P-PNG/BD202405P147 Dated 07/06/2024 and Tender ID: 72718</t>
        </is>
      </c>
      <c r="K2064" t="inlineStr">
        <is>
          <t>Not found</t>
        </is>
      </c>
      <c r="L2064" t="inlineStr">
        <is>
          <t>Unknown</t>
        </is>
      </c>
      <c r="T2064" t="inlineStr">
        <is>
          <t>https://www.vgl.co.in/wp-content/uploads/2025/pdf/NIT-PE-Ball-Valve-18.pdf</t>
        </is>
      </c>
      <c r="U2064" t="inlineStr">
        <is>
          <t>No</t>
        </is>
      </c>
      <c r="V206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5">
      <c r="A2065" t="inlineStr">
        <is>
          <t>T-1869</t>
        </is>
      </c>
      <c r="B2065" t="inlineStr">
        <is>
          <t>Vadodara Gas Limited</t>
        </is>
      </c>
      <c r="C2065" t="inlineStr">
        <is>
          <t>Vadodara Gas Limited</t>
        </is>
      </c>
      <c r="D2065" t="inlineStr">
        <is>
          <t>Bid Submission</t>
        </is>
      </c>
      <c r="E2065" t="inlineStr">
        <is>
          <t>24/05/2024</t>
        </is>
      </c>
      <c r="F2065" t="inlineStr">
        <is>
          <t>Awarded</t>
        </is>
      </c>
      <c r="G2065" t="inlineStr">
        <is>
          <t>DRS</t>
        </is>
      </c>
      <c r="H2065" t="inlineStr">
        <is>
          <t>Bid Submission Due Date
                for the Tender of Procurement of District Regulating Skid (DRS) on ARC Basis for Period of Two (02)
                Years for Vadodara Gas Limited (GA) Vide Tender No.: VGL/CO/C&amp;P-PNG/BD202405P141 Dated 24/05/2024
                &amp; Tender ID: 71492</t>
        </is>
      </c>
      <c r="K2065" t="inlineStr">
        <is>
          <t>Not found</t>
        </is>
      </c>
      <c r="L2065" t="inlineStr">
        <is>
          <t>Unknown</t>
        </is>
      </c>
      <c r="M2065" t="n">
        <v>11</v>
      </c>
      <c r="T2065" t="inlineStr">
        <is>
          <t>https://www.vgl.co.in/wp-content/uploads/2025/pdf/Extension-DRS-P141.pdf</t>
        </is>
      </c>
      <c r="U2065" t="inlineStr">
        <is>
          <t>No</t>
        </is>
      </c>
      <c r="V2065" t="inlineStr">
        <is>
          <t>Bot tarafindan tespit edildi (2026-07-01) | Bot enrich; date=2026-07-01; type=pdf; score=330; Bot tespit/zenginlestirme (2026-07-01); meta:score=100;priority=High;source_type=html_link;closing_date=24/05/2024;equipment=Regulating station;reasons=equipment:Regulating station,station/skid keyword,document source,tender reference signal,closing date signal; Bot clean extraction (2026-07-01); meta:score=100;priority=High;source_type=html_link;closing_date=24/05/2024;equipment=Regulating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66">
      <c r="A2066" t="inlineStr">
        <is>
          <t>T-1870</t>
        </is>
      </c>
      <c r="B2066" t="inlineStr">
        <is>
          <t>Vadodara Gas Limited</t>
        </is>
      </c>
      <c r="C2066" t="inlineStr">
        <is>
          <t>Vadodara Gas Limited</t>
        </is>
      </c>
      <c r="D2066" t="inlineStr">
        <is>
          <t>Bidders</t>
        </is>
      </c>
      <c r="E2066" t="inlineStr">
        <is>
          <t>24/05/2024</t>
        </is>
      </c>
      <c r="F2066" t="inlineStr">
        <is>
          <t>Awarded</t>
        </is>
      </c>
      <c r="G2066" t="inlineStr">
        <is>
          <t>DRS</t>
        </is>
      </c>
      <c r="H2066" t="inlineStr">
        <is>
          <t>Replies to
                Bidders Queries for the Tender of Procurement of District Regulating Skid (DRS) on ARC Basis for Period
                of Two (02) Years for Vadodara Gas Limited (GA) Vide Tender No.: VGL/CO/C&amp;P-PNG/BD202405P141 Dated
                24/05/2024 &amp; Tender ID: 71492</t>
        </is>
      </c>
      <c r="K2066" t="inlineStr">
        <is>
          <t>to almost all CGD companies across India. Tender specifies requirement of G-1000</t>
        </is>
      </c>
      <c r="L2066" t="inlineStr">
        <is>
          <t>Unknown</t>
        </is>
      </c>
      <c r="T2066" t="inlineStr">
        <is>
          <t>https://www.vgl.co.in/wp-content/uploads/2025/pdf/Replie-to-Bidders-Query-DRS-P141.pdf</t>
        </is>
      </c>
      <c r="U2066" t="inlineStr">
        <is>
          <t>No</t>
        </is>
      </c>
      <c r="V206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meta:score=100;priority=High;source_type=html_link;closing_date=None;equipment=Service / pressure regulator;quality_status=market_target;market_relevance=High;document_type=unknown;unit_price_inr=;amount_label=;matched_terms=Service / pressure regulator,Regulating / metering station,Safety / shut-off equipment;reject_reasons=civil/electrical only;scope=market_intelligence_only;excluded_scope=no_bid_or_offer_submission_automation</t>
        </is>
      </c>
    </row>
    <row r="2067">
      <c r="A2067" t="inlineStr">
        <is>
          <t>T-1871</t>
        </is>
      </c>
      <c r="B2067" t="inlineStr">
        <is>
          <t>Vadodara Gas Limited</t>
        </is>
      </c>
      <c r="C2067" t="inlineStr">
        <is>
          <t>Vadodara Gas Limited</t>
        </is>
      </c>
      <c r="D2067" t="inlineStr">
        <is>
          <t>Bidders</t>
        </is>
      </c>
      <c r="E2067" t="inlineStr">
        <is>
          <t>23/05/2024</t>
        </is>
      </c>
      <c r="F2067" t="inlineStr">
        <is>
          <t>Awarded</t>
        </is>
      </c>
      <c r="G2067" t="inlineStr">
        <is>
          <t>Gas-related / review</t>
        </is>
      </c>
      <c r="H2067" t="inlineStr">
        <is>
          <t>Replies to Bidders
                Queries for the Tender of Procurement of 125mm MDPE Pipe on ARC Basis for Period of 02 Years Vide Tender
                No.: VGL/CO/C&amp;P-PNG/BD202405P142 Dated 23/05/2024 &amp; Tender ID: 71443</t>
        </is>
      </c>
      <c r="K2067" t="inlineStr">
        <is>
          <t>Not found</t>
        </is>
      </c>
      <c r="L2067" t="inlineStr">
        <is>
          <t>Unknown</t>
        </is>
      </c>
      <c r="T2067" t="inlineStr">
        <is>
          <t>https://www.vgl.co.in/wp-content/uploads/2025/pdf/Repli-Bidders-Query-43.pdf</t>
        </is>
      </c>
      <c r="U2067" t="inlineStr">
        <is>
          <t>No</t>
        </is>
      </c>
      <c r="V206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8">
      <c r="A2068" t="inlineStr">
        <is>
          <t>T-1872</t>
        </is>
      </c>
      <c r="B2068" t="inlineStr">
        <is>
          <t>Vadodara Gas Limited</t>
        </is>
      </c>
      <c r="C2068" t="inlineStr">
        <is>
          <t>Vadodara Gas Limited</t>
        </is>
      </c>
      <c r="D2068" t="inlineStr">
        <is>
          <t>Bidders</t>
        </is>
      </c>
      <c r="E2068" t="inlineStr">
        <is>
          <t>23/05/2024</t>
        </is>
      </c>
      <c r="F2068" t="inlineStr">
        <is>
          <t>Awarded</t>
        </is>
      </c>
      <c r="G2068" t="inlineStr">
        <is>
          <t>Gas-related / review</t>
        </is>
      </c>
      <c r="H2068" t="inlineStr">
        <is>
          <t>Replies to
                Bidders Queries for the Tender of Procurement of 90 mm MDPE Pipe on ARC Basis for Period of 02 Years
                Vide Tender No.: VGL/CO/C&amp;P-PNG/BD202405P143 Dated 23/05/2024 &amp; Tender ID: 71440</t>
        </is>
      </c>
      <c r="K2068" t="inlineStr">
        <is>
          <t>Not found</t>
        </is>
      </c>
      <c r="L2068" t="inlineStr">
        <is>
          <t>Unknown</t>
        </is>
      </c>
      <c r="T2068" t="inlineStr">
        <is>
          <t>https://www.vgl.co.in/wp-content/uploads/2025/pdf/Replies-to-Bidders-Query40.pdf</t>
        </is>
      </c>
      <c r="U2068" t="inlineStr">
        <is>
          <t>No</t>
        </is>
      </c>
      <c r="V206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9">
      <c r="A2069" t="inlineStr">
        <is>
          <t>T-1873</t>
        </is>
      </c>
      <c r="B2069" t="inlineStr">
        <is>
          <t>Vadodara Gas Limited</t>
        </is>
      </c>
      <c r="C2069" t="inlineStr">
        <is>
          <t>Vadodara Gas Limited</t>
        </is>
      </c>
      <c r="D2069" t="inlineStr">
        <is>
          <t>Tender No.: VGL/CO/C</t>
        </is>
      </c>
      <c r="E2069" t="inlineStr">
        <is>
          <t>24/05/2024</t>
        </is>
      </c>
      <c r="F2069" t="inlineStr">
        <is>
          <t>Awarded</t>
        </is>
      </c>
      <c r="G2069" t="inlineStr">
        <is>
          <t>Gas-related / review</t>
        </is>
      </c>
      <c r="H2069" t="inlineStr">
        <is>
          <t>Notice Inviting Tender for the
                “Purchase of 02 Nos. Variable Inlet Pressure (VIP) 600 SCMH Motor Driven Compressor Package with
                05 Year AMC vide Tender No.: VGL/CO/C&amp;P-CNG/BD202404P127 Dated 24/05/2024 and Tender ID: 71557</t>
        </is>
      </c>
      <c r="K2069" t="inlineStr">
        <is>
          <t>s for the Tender of</t>
        </is>
      </c>
      <c r="L2069" t="inlineStr">
        <is>
          <t>Unknown</t>
        </is>
      </c>
      <c r="T2069" t="inlineStr">
        <is>
          <t>https://www.vgl.co.in/wp-content/uploads/2025/pdf/NIH-P127.pdf</t>
        </is>
      </c>
      <c r="U2069" t="inlineStr">
        <is>
          <t>No</t>
        </is>
      </c>
      <c r="V2069" t="inlineStr">
        <is>
          <t>Bot tarafindan tespit edildi (2026-07-01) | Bot enrich; date=2026-07-01; type=pdf; score=230; Bot tespit/zenginlestirme (2026-07-01); meta:score=70;priority=High;source_type=html_link;closing_date=14/06/2024;equipment=Gas-related / review;reasons=equipment:Gas-related / review,document source,quantity signal,tender reference signal</t>
        </is>
      </c>
    </row>
    <row r="2070">
      <c r="A2070" t="inlineStr">
        <is>
          <t>T-1874</t>
        </is>
      </c>
      <c r="B2070" t="inlineStr">
        <is>
          <t>Vadodara Gas Limited</t>
        </is>
      </c>
      <c r="C2070" t="inlineStr">
        <is>
          <t>Vadodara Gas Limited</t>
        </is>
      </c>
      <c r="D2070" t="inlineStr">
        <is>
          <t>Tender No.: VGL/CO/C</t>
        </is>
      </c>
      <c r="E2070" t="inlineStr">
        <is>
          <t>24/05/2024</t>
        </is>
      </c>
      <c r="F2070" t="inlineStr">
        <is>
          <t>Awarded</t>
        </is>
      </c>
      <c r="G2070" t="inlineStr">
        <is>
          <t>DRS</t>
        </is>
      </c>
      <c r="H2070" t="inlineStr">
        <is>
          <t>Notice Inviting Tender for the “Procurement of District Regulating Skid (DRS) on
                ARC Basis for Period of Two (02) Years for Vadodara Gas Limited (GA) vide Tender No.:
                VGL/CO/C&amp;P-PNG/BD202405P141 Dated 24/05/2024 and Tender ID: 71492</t>
        </is>
      </c>
      <c r="K2070" t="inlineStr">
        <is>
          <t>s for the Tender of</t>
        </is>
      </c>
      <c r="L2070" t="inlineStr">
        <is>
          <t>Unknown</t>
        </is>
      </c>
      <c r="M2070" t="n">
        <v>11716515</v>
      </c>
      <c r="T2070" t="inlineStr">
        <is>
          <t>https://www.vgl.co.in/wp-content/uploads/2025/pdf/NIT-DRS.pdf</t>
        </is>
      </c>
      <c r="U2070" t="inlineStr">
        <is>
          <t>No</t>
        </is>
      </c>
      <c r="V2070" t="inlineStr">
        <is>
          <t>Bot tarafindan tespit edildi (2026-07-01) | Bot enrich; date=2026-07-01; type=pdf; score=330; Bot tespit/zenginlestirme (2026-07-01); meta:score=95;priority=High;source_type=html_link;closing_date=06/05/2024;equipment=Regulating station;reasons=equipment:Regulating station,station/skid keyword,document source,tender reference signal; Bot clean extraction (2026-07-01); meta:score=100;priority=High;source_type=html_link;closing_date=06/05/2024;equipment=Regulating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71">
      <c r="A2071" t="inlineStr">
        <is>
          <t>T-1875</t>
        </is>
      </c>
      <c r="B2071" t="inlineStr">
        <is>
          <t>Vadodara Gas Limited</t>
        </is>
      </c>
      <c r="C2071" t="inlineStr">
        <is>
          <t>Vadodara Gas Limited</t>
        </is>
      </c>
      <c r="D2071" t="inlineStr">
        <is>
          <t>Tender No.: VGL/CO/C</t>
        </is>
      </c>
      <c r="E2071" t="inlineStr">
        <is>
          <t>23/05/2024</t>
        </is>
      </c>
      <c r="F2071" t="inlineStr">
        <is>
          <t>Awarded</t>
        </is>
      </c>
      <c r="G2071" t="inlineStr">
        <is>
          <t>Gas-related / review</t>
        </is>
      </c>
      <c r="H2071" t="inlineStr">
        <is>
          <t>Notice Inviting Tender for the
                “Procurement of 125 Mm MDPE Pipe on ARC Basis for Period of 02 Years vide Tender No.:
                VGL/CO/C&amp;P-PNG/BD202405P142 Dated 23/05/2024 and Tender ID: 71443</t>
        </is>
      </c>
      <c r="K2071" t="inlineStr">
        <is>
          <t>Not found</t>
        </is>
      </c>
      <c r="L2071" t="inlineStr">
        <is>
          <t>Unknown</t>
        </is>
      </c>
      <c r="T2071" t="inlineStr">
        <is>
          <t>https://www.vgl.co.in/wp-content/uploads/2025/pdf/NIT-MDPE-P142.pdf</t>
        </is>
      </c>
      <c r="U2071" t="inlineStr">
        <is>
          <t>No</t>
        </is>
      </c>
      <c r="V207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2">
      <c r="A2072" t="inlineStr">
        <is>
          <t>T-1876</t>
        </is>
      </c>
      <c r="B2072" t="inlineStr">
        <is>
          <t>Vadodara Gas Limited</t>
        </is>
      </c>
      <c r="C2072" t="inlineStr">
        <is>
          <t>Vadodara Gas Limited</t>
        </is>
      </c>
      <c r="D2072" t="inlineStr">
        <is>
          <t>Tender No.: VGL/CO/C</t>
        </is>
      </c>
      <c r="E2072" t="inlineStr">
        <is>
          <t>23/05/2024</t>
        </is>
      </c>
      <c r="F2072" t="inlineStr">
        <is>
          <t>Awarded</t>
        </is>
      </c>
      <c r="G2072" t="inlineStr">
        <is>
          <t>Gas-related / review</t>
        </is>
      </c>
      <c r="H2072" t="inlineStr">
        <is>
          <t>Notice Inviting Tender for the
                “Procurement of 90 Mm MDPE Pipe on ARC Basis for Period of 02 Years vide Tender No.:
                VGL/CO/C&amp;P-PNG/BD202405P143 Dated 23/05/2024 and Tender ID: 71440</t>
        </is>
      </c>
      <c r="K2072" t="inlineStr">
        <is>
          <t>Not found</t>
        </is>
      </c>
      <c r="L2072" t="inlineStr">
        <is>
          <t>Unknown</t>
        </is>
      </c>
      <c r="T2072" t="inlineStr">
        <is>
          <t>https://www.vgl.co.in/wp-content/uploads/2025/pdf/NIT-90mm.pdf</t>
        </is>
      </c>
      <c r="U2072" t="inlineStr">
        <is>
          <t>No</t>
        </is>
      </c>
      <c r="V207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3">
      <c r="A2073" t="inlineStr">
        <is>
          <t>T-1877</t>
        </is>
      </c>
      <c r="B2073" t="inlineStr">
        <is>
          <t>Vadodara Gas Limited</t>
        </is>
      </c>
      <c r="C2073" t="inlineStr">
        <is>
          <t>Vadodara Gas Limited</t>
        </is>
      </c>
      <c r="D2073" t="inlineStr">
        <is>
          <t>Tender No.: VGL/CO/C</t>
        </is>
      </c>
      <c r="E2073" t="inlineStr">
        <is>
          <t>18/05/2024</t>
        </is>
      </c>
      <c r="F2073" t="inlineStr">
        <is>
          <t>Awarded</t>
        </is>
      </c>
      <c r="G2073" t="inlineStr">
        <is>
          <t>Gas-related / review</t>
        </is>
      </c>
      <c r="H2073" t="inlineStr">
        <is>
          <t>Notice Inviting Tender for
                the “Procurement of Rubber Hose for D-PNG Connection on ARC for a Period of 01 Year vide Tender
                No.: VGL/CO/C&amp;P-PNG/BD202402P110_RI-IV Dated 18/05/2024 and Tender ID: 71035</t>
        </is>
      </c>
      <c r="K2073" t="inlineStr">
        <is>
          <t>Not found</t>
        </is>
      </c>
      <c r="L2073" t="inlineStr">
        <is>
          <t>Unknown</t>
        </is>
      </c>
      <c r="T2073" t="inlineStr">
        <is>
          <t>https://www.vgl.co.in/wp-content/uploads/2025/pdf/Tender-ID-71035.pdf</t>
        </is>
      </c>
      <c r="U2073" t="inlineStr">
        <is>
          <t>No</t>
        </is>
      </c>
      <c r="V207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4">
      <c r="A2074" t="inlineStr">
        <is>
          <t>T-1878</t>
        </is>
      </c>
      <c r="B2074" t="inlineStr">
        <is>
          <t>Vadodara Gas Limited</t>
        </is>
      </c>
      <c r="C2074" t="inlineStr">
        <is>
          <t>Vadodara Gas Limited</t>
        </is>
      </c>
      <c r="D2074" t="inlineStr">
        <is>
          <t>Bidders</t>
        </is>
      </c>
      <c r="E2074" t="inlineStr">
        <is>
          <t>04/05/2024</t>
        </is>
      </c>
      <c r="F2074" t="inlineStr">
        <is>
          <t>Awarded</t>
        </is>
      </c>
      <c r="G2074" t="inlineStr">
        <is>
          <t>Gas-related / review</t>
        </is>
      </c>
      <c r="H2074" t="inlineStr">
        <is>
          <t>Replies to Bidders
                Queries for the Tender of Hiring of Services for Laying MDPE Pipeline Network at Manjusar GIDC Vide
                Tender No.: VGL/CO/C&amp;P-PNG/BD2023010S080_RI Dated 04/05/2024 &amp; Tender ID: 70212</t>
        </is>
      </c>
      <c r="K2074" t="inlineStr">
        <is>
          <t>Not found</t>
        </is>
      </c>
      <c r="L2074" t="inlineStr">
        <is>
          <t>Unknown</t>
        </is>
      </c>
      <c r="T2074" t="inlineStr">
        <is>
          <t>https://www.vgl.co.in/wp-content/uploads/2025/pdf/Replies-to-Bidders-12.pdf</t>
        </is>
      </c>
      <c r="U2074" t="inlineStr">
        <is>
          <t>No</t>
        </is>
      </c>
      <c r="V207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5">
      <c r="A2075" t="inlineStr">
        <is>
          <t>T-1879</t>
        </is>
      </c>
      <c r="B2075" t="inlineStr">
        <is>
          <t>Vadodara Gas Limited</t>
        </is>
      </c>
      <c r="C2075" t="inlineStr">
        <is>
          <t>Vadodara Gas Limited</t>
        </is>
      </c>
      <c r="D2075" t="inlineStr">
        <is>
          <t>Bidders</t>
        </is>
      </c>
      <c r="E2075" t="inlineStr">
        <is>
          <t>04/05/2024</t>
        </is>
      </c>
      <c r="F2075" t="inlineStr">
        <is>
          <t>Awarded</t>
        </is>
      </c>
      <c r="G2075" t="inlineStr">
        <is>
          <t>Gas-related / review</t>
        </is>
      </c>
      <c r="H2075" t="inlineStr">
        <is>
          <t>Replies to Bidders
                Queries for the Tender of Hiring of Services for Laying MDPE Pipeline Network at Nandesari GIDC Vide
                Tender No.: VGL/CO/C&amp;P-PNG/BD2023010S081_RI Dated 04/05/2024 &amp; Tender ID: 70207</t>
        </is>
      </c>
      <c r="K2075" t="inlineStr">
        <is>
          <t>Not found</t>
        </is>
      </c>
      <c r="L2075" t="inlineStr">
        <is>
          <t>Unknown</t>
        </is>
      </c>
      <c r="T2075" t="inlineStr">
        <is>
          <t>https://www.vgl.co.in/wp-content/uploads/2025/pdf/Replies-to-Bidders-7.pdf</t>
        </is>
      </c>
      <c r="U2075" t="inlineStr">
        <is>
          <t>No</t>
        </is>
      </c>
      <c r="V207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6">
      <c r="A2076" t="inlineStr">
        <is>
          <t>T-1880</t>
        </is>
      </c>
      <c r="B2076" t="inlineStr">
        <is>
          <t>Vadodara Gas Limited</t>
        </is>
      </c>
      <c r="C2076" t="inlineStr">
        <is>
          <t>Vadodara Gas Limited</t>
        </is>
      </c>
      <c r="D2076" t="inlineStr">
        <is>
          <t>Bidders</t>
        </is>
      </c>
      <c r="E2076" t="inlineStr">
        <is>
          <t>27/04/2024</t>
        </is>
      </c>
      <c r="F2076" t="inlineStr">
        <is>
          <t>Awarded</t>
        </is>
      </c>
      <c r="G2076" t="inlineStr">
        <is>
          <t>Gas-related / review</t>
        </is>
      </c>
      <c r="H2076" t="inlineStr">
        <is>
          <t>Replies to Bidders Queries for
                the Tender of Procurement of 32mm &amp; 63mm MDPE Pipe on ARC Basis for a Period of 02 Years Vide Tender
                No.: VGL/CO/C&amp;P-PNG/BD202404P135 Dated 27/04/2024 &amp; Tender ID: 69631</t>
        </is>
      </c>
      <c r="K2076" t="inlineStr">
        <is>
          <t>Not found</t>
        </is>
      </c>
      <c r="L2076" t="inlineStr">
        <is>
          <t>Unknown</t>
        </is>
      </c>
      <c r="T2076" t="inlineStr">
        <is>
          <t>https://www.vgl.co.in/wp-content/uploads/2025/pdf/Replies-P135.pdf</t>
        </is>
      </c>
      <c r="U2076" t="inlineStr">
        <is>
          <t>No</t>
        </is>
      </c>
      <c r="V207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7">
      <c r="A2077" t="inlineStr">
        <is>
          <t>T-1881</t>
        </is>
      </c>
      <c r="B2077" t="inlineStr">
        <is>
          <t>Vadodara Gas Limited</t>
        </is>
      </c>
      <c r="C2077" t="inlineStr">
        <is>
          <t>Vadodara Gas Limited</t>
        </is>
      </c>
      <c r="D2077" t="inlineStr">
        <is>
          <t>Tender No.: VGL/CO/C</t>
        </is>
      </c>
      <c r="E2077" t="inlineStr">
        <is>
          <t>08/05/2024</t>
        </is>
      </c>
      <c r="F2077" t="inlineStr">
        <is>
          <t>Awarded</t>
        </is>
      </c>
      <c r="G2077" t="inlineStr">
        <is>
          <t>Gas-related / review</t>
        </is>
      </c>
      <c r="H2077" t="inlineStr">
        <is>
          <t>Notice Inviting Tender for the
                “Transportation of Natural Gas in Compressed form for VGL CNG Mother Station to Daughter Booster
                Station through 8500 WL or above Capacity Mobile Cascades for a Period of 36 Months vide Tender No.:
                VGL/CO/C&amp;P-CNG/BD202405S139 Dated 08/05/2024 and Tender ID: 70332</t>
        </is>
      </c>
      <c r="K2077" t="inlineStr">
        <is>
          <t>Not found</t>
        </is>
      </c>
      <c r="L2077" t="inlineStr">
        <is>
          <t>Unknown</t>
        </is>
      </c>
      <c r="T2077" t="inlineStr">
        <is>
          <t>https://www.vgl.co.in/wp-content/uploads/2025/pdf/NIT-8500-WL.pdf</t>
        </is>
      </c>
      <c r="U2077" t="inlineStr">
        <is>
          <t>No</t>
        </is>
      </c>
      <c r="V207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8">
      <c r="A2078" t="inlineStr">
        <is>
          <t>T-1882</t>
        </is>
      </c>
      <c r="B2078" t="inlineStr">
        <is>
          <t>Vadodara Gas Limited</t>
        </is>
      </c>
      <c r="C2078" t="inlineStr">
        <is>
          <t>Vadodara Gas Limited</t>
        </is>
      </c>
      <c r="D2078" t="inlineStr">
        <is>
          <t>Tender No.: VGL/CO/C</t>
        </is>
      </c>
      <c r="E2078" t="inlineStr">
        <is>
          <t>08/05/2024</t>
        </is>
      </c>
      <c r="F2078" t="inlineStr">
        <is>
          <t>Awarded</t>
        </is>
      </c>
      <c r="G2078" t="inlineStr">
        <is>
          <t>Gas-related / review</t>
        </is>
      </c>
      <c r="H2078" t="inlineStr">
        <is>
          <t>Notice Inviting Tender for the
                “Composite Electrical Works (Supply, Laying, Installation, Testing, Termination and Commissioning,
                Etc.) at VGL’s Dashrath CNG Mother Station, Vadodara vide Tender No.:
                VGL/CO/C&amp;P-CNG/BD202404S138 Dated 08/05/2024 and Tender ID: 70313</t>
        </is>
      </c>
      <c r="K2078" t="inlineStr">
        <is>
          <t>Not found</t>
        </is>
      </c>
      <c r="L2078" t="inlineStr">
        <is>
          <t>Unknown</t>
        </is>
      </c>
      <c r="T2078" t="inlineStr">
        <is>
          <t>https://www.vgl.co.in/wp-content/uploads/2025/pdf/NIT-Composite.pdf</t>
        </is>
      </c>
      <c r="U2078" t="inlineStr">
        <is>
          <t>No</t>
        </is>
      </c>
      <c r="V207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9">
      <c r="A2079" t="inlineStr">
        <is>
          <t>T-1883</t>
        </is>
      </c>
      <c r="B2079" t="inlineStr">
        <is>
          <t>Vadodara Gas Limited</t>
        </is>
      </c>
      <c r="C2079" t="inlineStr">
        <is>
          <t>Vadodara Gas Limited</t>
        </is>
      </c>
      <c r="D2079" t="inlineStr">
        <is>
          <t>Tender No.: VGL/CO/C</t>
        </is>
      </c>
      <c r="E2079" t="inlineStr">
        <is>
          <t>04/05/2024</t>
        </is>
      </c>
      <c r="F2079" t="inlineStr">
        <is>
          <t>Awarded</t>
        </is>
      </c>
      <c r="G2079" t="inlineStr">
        <is>
          <t>Gas-related / review</t>
        </is>
      </c>
      <c r="H2079" t="inlineStr">
        <is>
          <t>Notice
                Inviting Tender for the “Hiring of Services for Laying MDPE Pipeline Network at Manjusar GIDC vide
                Tender No.: VGL/CO/C&amp;P-PNG/BD2023010S080_RI Dated 04/05/2024 and Tender ID: 70212</t>
        </is>
      </c>
      <c r="K2079" t="inlineStr">
        <is>
          <t>Not found</t>
        </is>
      </c>
      <c r="L2079" t="inlineStr">
        <is>
          <t>Unknown</t>
        </is>
      </c>
      <c r="T2079" t="inlineStr">
        <is>
          <t>https://www.vgl.co.in/wp-content/uploads/2025/pdf/NIT-MDPE-Laying-Manjusar-S080-RI.pdf</t>
        </is>
      </c>
      <c r="U2079" t="inlineStr">
        <is>
          <t>No</t>
        </is>
      </c>
      <c r="V207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0">
      <c r="A2080" t="inlineStr">
        <is>
          <t>T-1884</t>
        </is>
      </c>
      <c r="B2080" t="inlineStr">
        <is>
          <t>Vadodara Gas Limited</t>
        </is>
      </c>
      <c r="C2080" t="inlineStr">
        <is>
          <t>Vadodara Gas Limited</t>
        </is>
      </c>
      <c r="D2080" t="inlineStr">
        <is>
          <t>Tender No.: VGL/CO/C</t>
        </is>
      </c>
      <c r="E2080" t="inlineStr">
        <is>
          <t>04/05/2024</t>
        </is>
      </c>
      <c r="F2080" t="inlineStr">
        <is>
          <t>Awarded</t>
        </is>
      </c>
      <c r="G2080" t="inlineStr">
        <is>
          <t>Gas-related / review</t>
        </is>
      </c>
      <c r="H2080" t="inlineStr">
        <is>
          <t>Notice
                Inviting Tender for the “Hiring of Services for Laying MDPE Pipeline Network at Nandesari GIDC
                vide Tender No.: VGL/CO/C&amp;P-PNG/BD2023010S081_RI Dated 04/05/2024 and Tender ID: 70207</t>
        </is>
      </c>
      <c r="K2080" t="inlineStr">
        <is>
          <t>Not found</t>
        </is>
      </c>
      <c r="L2080" t="inlineStr">
        <is>
          <t>Unknown</t>
        </is>
      </c>
      <c r="T2080" t="inlineStr">
        <is>
          <t>https://www.vgl.co.in/wp-content/uploads/2025/pdf/NIT-MDPE-Laying-Nandesari-S081-RI.pdf</t>
        </is>
      </c>
      <c r="U2080" t="inlineStr">
        <is>
          <t>No</t>
        </is>
      </c>
      <c r="V208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1">
      <c r="A2081" t="inlineStr">
        <is>
          <t>T-1885</t>
        </is>
      </c>
      <c r="B2081" t="inlineStr">
        <is>
          <t>Vadodara Gas Limited</t>
        </is>
      </c>
      <c r="C2081" t="inlineStr">
        <is>
          <t>Vadodara Gas Limited</t>
        </is>
      </c>
      <c r="D2081" t="inlineStr">
        <is>
          <t>Tender No.: VGL/CO/C</t>
        </is>
      </c>
      <c r="E2081" t="inlineStr">
        <is>
          <t>27/04/2024</t>
        </is>
      </c>
      <c r="F2081" t="inlineStr">
        <is>
          <t>Awarded</t>
        </is>
      </c>
      <c r="G2081" t="inlineStr">
        <is>
          <t>Gas-related / review</t>
        </is>
      </c>
      <c r="H2081" t="inlineStr">
        <is>
          <t>Notice Inviting Tender
                for the “Procurement of 32mm &amp; 63mm MDPE Pipe on ARC Basis for a Period of 02 Years vide
                Tender No.: VGL/CO/C&amp;P-PNG/BD202404P135 Dated 27/04/2024 and Tender ID: 69631</t>
        </is>
      </c>
      <c r="K2081" t="inlineStr">
        <is>
          <t>Not found</t>
        </is>
      </c>
      <c r="L2081" t="inlineStr">
        <is>
          <t>Unknown</t>
        </is>
      </c>
      <c r="T2081" t="inlineStr">
        <is>
          <t>https://www.vgl.co.in/wp-content/uploads/2025/pdf/NIT-MDPE-Pipe-P135.pdf</t>
        </is>
      </c>
      <c r="U2081" t="inlineStr">
        <is>
          <t>No</t>
        </is>
      </c>
      <c r="V208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2">
      <c r="A2082" t="inlineStr">
        <is>
          <t>T-1886</t>
        </is>
      </c>
      <c r="B2082" t="inlineStr">
        <is>
          <t>Vadodara Gas Limited</t>
        </is>
      </c>
      <c r="C2082" t="inlineStr">
        <is>
          <t>Vadodara Gas Limited</t>
        </is>
      </c>
      <c r="D2082" t="inlineStr">
        <is>
          <t>Tender No.: VGL/CO/C</t>
        </is>
      </c>
      <c r="E2082" t="inlineStr">
        <is>
          <t>27/04/2024</t>
        </is>
      </c>
      <c r="F2082" t="inlineStr">
        <is>
          <t>Awarded</t>
        </is>
      </c>
      <c r="G2082" t="inlineStr">
        <is>
          <t>Gas-related / review</t>
        </is>
      </c>
      <c r="H2082" t="inlineStr">
        <is>
          <t>Notice Inviting Tender
                for the “Procurement of Rubber Hose for D-PNG Connection on ARC for a Period of 01 Year vide
                Tender No.: VGL/CO/C&amp;P-PNG/BD202402P110_RI-II Dated 27/04/2024 and Tender ID: 69630</t>
        </is>
      </c>
      <c r="K2082" t="inlineStr">
        <is>
          <t>Not found</t>
        </is>
      </c>
      <c r="L2082" t="inlineStr">
        <is>
          <t>Unknown</t>
        </is>
      </c>
      <c r="T2082" t="inlineStr">
        <is>
          <t>https://www.vgl.co.in/wp-content/uploads/2025/pdf/NIT-Rubber-Hose-P110.pdf</t>
        </is>
      </c>
      <c r="U2082" t="inlineStr">
        <is>
          <t>No</t>
        </is>
      </c>
      <c r="V208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3">
      <c r="A2083" t="inlineStr">
        <is>
          <t>T-1887</t>
        </is>
      </c>
      <c r="B2083" t="inlineStr">
        <is>
          <t>Vadodara Gas Limited</t>
        </is>
      </c>
      <c r="C2083" t="inlineStr">
        <is>
          <t>Vadodara Gas Limited</t>
        </is>
      </c>
      <c r="D2083" t="inlineStr">
        <is>
          <t>Tender No.: VGL/CO/C</t>
        </is>
      </c>
      <c r="E2083" t="inlineStr">
        <is>
          <t>18/04/2024</t>
        </is>
      </c>
      <c r="F2083" t="inlineStr">
        <is>
          <t>Awarded</t>
        </is>
      </c>
      <c r="G2083" t="inlineStr">
        <is>
          <t>Gas-related / review</t>
        </is>
      </c>
      <c r="H2083" t="inlineStr">
        <is>
          <t>Notice Inviting
                Tender for the “Purchase of 13 Nos. Emerson Make Coriolis Mass Flow Meters for VGL CNG Stations
                vide Tender No.: VGL/CO/C&amp;P-CNG/BD202312P096_RI_V Dated 18/04/2024 and Tender ID: 68595</t>
        </is>
      </c>
      <c r="K2083" t="inlineStr">
        <is>
          <t>s for the Tender of</t>
        </is>
      </c>
      <c r="L2083" t="inlineStr">
        <is>
          <t>Unknown</t>
        </is>
      </c>
      <c r="T2083" t="inlineStr">
        <is>
          <t>https://www.vgl.co.in/wp-content/uploads/2025/pdf/NIT_Mass_Flow_Meter_RI_V.pdf</t>
        </is>
      </c>
      <c r="U2083" t="inlineStr">
        <is>
          <t>No</t>
        </is>
      </c>
      <c r="V2083" t="inlineStr">
        <is>
          <t>Bot tarafindan tespit edildi (2026-07-01) | Bot enrich; date=2026-07-01; type=pdf; score=230; Bot tespit/zenginlestirme (2026-07-01); meta:score=70;priority=High;source_type=html_link;closing_date=02/05/2024;equipment=Gas-related / review;reasons=equipment:Gas-related / review,document source,quantity signal,tender reference signal; Bot clean extraction (2026-07-01); meta:score=43;priority=Medium;source_type=html_link;closing_date=02/05/2024;equipment=Gas-related / review;quality_status=needs_review;market_relevance=Medium;document_type=loa;unit_price_inr=;amount_label=;matched_terms=gas_context;reject_reasons=;scope=market_intelligence_only;excluded_scope=no_bid_or_offer_submission_automation</t>
        </is>
      </c>
    </row>
    <row r="2084">
      <c r="A2084" t="inlineStr">
        <is>
          <t>T-1888</t>
        </is>
      </c>
      <c r="B2084" t="inlineStr">
        <is>
          <t>Vadodara Gas Limited</t>
        </is>
      </c>
      <c r="C2084" t="inlineStr">
        <is>
          <t>Vadodara Gas Limited</t>
        </is>
      </c>
      <c r="D2084" t="inlineStr">
        <is>
          <t>Tender No.: VGL/CO/C</t>
        </is>
      </c>
      <c r="E2084" t="inlineStr">
        <is>
          <t>08/04/2024</t>
        </is>
      </c>
      <c r="F2084" t="inlineStr">
        <is>
          <t>Awarded</t>
        </is>
      </c>
      <c r="G2084" t="inlineStr">
        <is>
          <t>Gas-related / review</t>
        </is>
      </c>
      <c r="H2084" t="inlineStr">
        <is>
          <t>Notice Inviting Tender
                for the “Hiring of Services for AMC of Fire Fighting Equipment with Consumables Spares at VGL,
                Vadodara for a Period of 36 Months vide Tender No.: VGL/CO/C&amp;P-CNG/BD202403S117_RI Dated 08/04/2024
                and Tender ID: 66805</t>
        </is>
      </c>
      <c r="K2084" t="inlineStr">
        <is>
          <t>Not found</t>
        </is>
      </c>
      <c r="L2084" t="inlineStr">
        <is>
          <t>Unknown</t>
        </is>
      </c>
      <c r="T2084" t="inlineStr">
        <is>
          <t>https://www.vgl.co.in/wp-content/uploads/2025/pdf/NIT_Fire_AMC_S117_RI.pdf</t>
        </is>
      </c>
      <c r="U2084" t="inlineStr">
        <is>
          <t>No</t>
        </is>
      </c>
      <c r="V208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5">
      <c r="A2085" t="inlineStr">
        <is>
          <t>T-1889</t>
        </is>
      </c>
      <c r="B2085" t="inlineStr">
        <is>
          <t>Vadodara Gas Limited</t>
        </is>
      </c>
      <c r="C2085" t="inlineStr">
        <is>
          <t>Vadodara Gas Limited</t>
        </is>
      </c>
      <c r="D2085" t="inlineStr">
        <is>
          <t>Bidders</t>
        </is>
      </c>
      <c r="E2085" t="inlineStr">
        <is>
          <t>18/01/2024</t>
        </is>
      </c>
      <c r="F2085" t="inlineStr">
        <is>
          <t>Awarded</t>
        </is>
      </c>
      <c r="G2085" t="inlineStr">
        <is>
          <t>Gas-related / review</t>
        </is>
      </c>
      <c r="H2085" t="inlineStr">
        <is>
          <t>Replies
                to Bidders Queries for the Tender of VGL/CO/C&amp;P-CNG/BD202401P102 Dated 18/01/2024 and Tender ID:
                616381</t>
        </is>
      </c>
      <c r="K2085" t="inlineStr">
        <is>
          <t>Not found</t>
        </is>
      </c>
      <c r="L2085" t="inlineStr">
        <is>
          <t>Unknown</t>
        </is>
      </c>
      <c r="T2085" t="inlineStr">
        <is>
          <t>https://www.vgl.co.in/wp-content/uploads/2025/pdf/Replies-to-Bidders-Query-Meter-Skid.pdf</t>
        </is>
      </c>
      <c r="U2085" t="inlineStr">
        <is>
          <t>No</t>
        </is>
      </c>
      <c r="V2085" t="inlineStr">
        <is>
          <t>Bot tarafindan tespit edildi (2026-07-01) | Bot enrich; date=2026-07-01; type=pdf; score=230; Bot tespit/zenginlestirme (2026-07-01); meta:score=35;priority=Low;source_type=html_link;closing_date=;equipment=Gas-related / review;reasons=equipment:Gas-related / review,document source</t>
        </is>
      </c>
    </row>
    <row r="2086">
      <c r="A2086" t="inlineStr">
        <is>
          <t>T-1890</t>
        </is>
      </c>
      <c r="B2086" t="inlineStr">
        <is>
          <t>Vadodara Gas Limited</t>
        </is>
      </c>
      <c r="C2086" t="inlineStr">
        <is>
          <t>Vadodara Gas Limited</t>
        </is>
      </c>
      <c r="D2086" t="inlineStr">
        <is>
          <t>Tender No.: VGL/CO/C</t>
        </is>
      </c>
      <c r="E2086" t="inlineStr">
        <is>
          <t>18/01/2024</t>
        </is>
      </c>
      <c r="F2086" t="inlineStr">
        <is>
          <t>Awarded</t>
        </is>
      </c>
      <c r="G2086" t="inlineStr">
        <is>
          <t>Gas-related / review</t>
        </is>
      </c>
      <c r="H2086" t="inlineStr">
        <is>
          <t>Notice Inviting Tender for
                the “Purchase of 04 Nos. Dual Filtration Along With Meter Skid for VGL CNG Online Stations under
                Full Dodo Model vide Tender No.: VGL/CO/C&amp;P-CNG/BD202401P102 Dated 18/01/2024 and Tender ID:
                616381</t>
        </is>
      </c>
      <c r="K2086" t="inlineStr">
        <is>
          <t>s for the Tender of</t>
        </is>
      </c>
      <c r="L2086" t="inlineStr">
        <is>
          <t>Unknown</t>
        </is>
      </c>
      <c r="T2086" t="inlineStr">
        <is>
          <t>https://www.vgl.co.in/wp-content/uploads/2025/pdf/NIT-Meter-Skid.pdf</t>
        </is>
      </c>
      <c r="U2086" t="inlineStr">
        <is>
          <t>No</t>
        </is>
      </c>
      <c r="V2086" t="inlineStr">
        <is>
          <t>Bot tarafindan tespit edildi (2026-07-01) | Bot enrich; date=2026-07-01; type=pdf; score=230; Bot tespit/zenginlestirme (2026-07-01); meta:score=70;priority=High;source_type=html_link;closing_date=03/02/2024;equipment=Gas-related / review;reasons=equipment:Gas-related / review,document source,quantity signal,tender reference signal; Bot clean extraction (2026-07-01); meta:score=43;priority=Medium;source_type=html_link;closing_date=03/02/2024;equipment=Gas-related / review;quality_status=needs_review;market_relevance=Medium;document_type=loa;unit_price_inr=;amount_label=;matched_terms=gas_context;reject_reasons=;scope=market_intelligence_only;excluded_scope=no_bid_or_offer_submission_automation</t>
        </is>
      </c>
    </row>
    <row r="2087">
      <c r="A2087" t="inlineStr">
        <is>
          <t>T-1891</t>
        </is>
      </c>
      <c r="B2087" t="inlineStr">
        <is>
          <t>Vadodara Gas Limited</t>
        </is>
      </c>
      <c r="C2087" t="inlineStr">
        <is>
          <t>Vadodara Gas Limited</t>
        </is>
      </c>
      <c r="D2087" t="inlineStr">
        <is>
          <t>Bidders</t>
        </is>
      </c>
      <c r="E2087" t="inlineStr">
        <is>
          <t>01/01/2024</t>
        </is>
      </c>
      <c r="F2087" t="inlineStr">
        <is>
          <t>Awarded</t>
        </is>
      </c>
      <c r="G2087" t="inlineStr">
        <is>
          <t>Gas-related / review</t>
        </is>
      </c>
      <c r="H2087" t="inlineStr">
        <is>
          <t>Replies to Bidders' Queries for PURCHASE OF CCTV SYSTEM FOR VGL CNG MOTHER STATIONS.
                Vide Tender No.: VGL/CO/C&amp;P-CNG/BD202312P097 Dated 01/01/2024 &amp; Tender ID: 616103</t>
        </is>
      </c>
      <c r="K2087" t="inlineStr">
        <is>
          <t>Not found</t>
        </is>
      </c>
      <c r="L2087" t="inlineStr">
        <is>
          <t>Unknown</t>
        </is>
      </c>
      <c r="T2087" t="inlineStr">
        <is>
          <t>https://www.vgl.co.in/wp-content/uploads/2025/pdf/Replies-to-Bidders-Queries-for-PURCHASE-OF-CCTV-SYSTEM-FOR-VGL-CNG-MOTHER-STATIONS.pdf</t>
        </is>
      </c>
      <c r="U2087" t="inlineStr">
        <is>
          <t>No</t>
        </is>
      </c>
      <c r="V208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8">
      <c r="A2088" t="inlineStr">
        <is>
          <t>T-1892</t>
        </is>
      </c>
      <c r="B2088" t="inlineStr">
        <is>
          <t>Vadodara Gas Limited</t>
        </is>
      </c>
      <c r="C2088" t="inlineStr">
        <is>
          <t>Vadodara Gas Limited</t>
        </is>
      </c>
      <c r="D2088" t="inlineStr">
        <is>
          <t>Bidders</t>
        </is>
      </c>
      <c r="E2088" t="inlineStr">
        <is>
          <t>07/12/2023</t>
        </is>
      </c>
      <c r="F2088" t="inlineStr">
        <is>
          <t>Awarded</t>
        </is>
      </c>
      <c r="G2088" t="inlineStr">
        <is>
          <t>Gas-related / review</t>
        </is>
      </c>
      <c r="H2088" t="inlineStr">
        <is>
          <t>Replies to Bidders' Queries for Hiring Of Services for Laying MDPE Pipeline Network At
                Nandesari GIDC Vide Tender No.: VGL/CO/C&amp;P-PNG/BD2023010S081 Dated 07/12/2023 &amp; Tender ID:
                615563</t>
        </is>
      </c>
      <c r="K2088" t="inlineStr">
        <is>
          <t>Not found</t>
        </is>
      </c>
      <c r="L2088" t="inlineStr">
        <is>
          <t>Unknown</t>
        </is>
      </c>
      <c r="T2088" t="inlineStr">
        <is>
          <t>https://www.vgl.co.in/wp-content/uploads/2025/pdf/Replies-to-Bidders-Queries-for-Hiring-Of-Services-for-Laying-MDPE-Pipeline-Network-At-Nandesari-GIDC.pdf</t>
        </is>
      </c>
      <c r="U2088" t="inlineStr">
        <is>
          <t>No</t>
        </is>
      </c>
      <c r="V208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9">
      <c r="A2089" t="inlineStr">
        <is>
          <t>T-1893</t>
        </is>
      </c>
      <c r="B2089" t="inlineStr">
        <is>
          <t>Vadodara Gas Limited</t>
        </is>
      </c>
      <c r="C2089" t="inlineStr">
        <is>
          <t>Vadodara Gas Limited</t>
        </is>
      </c>
      <c r="D2089" t="inlineStr">
        <is>
          <t>Bidders</t>
        </is>
      </c>
      <c r="E2089" t="inlineStr">
        <is>
          <t>19/12/2023</t>
        </is>
      </c>
      <c r="F2089" t="inlineStr">
        <is>
          <t>Awarded</t>
        </is>
      </c>
      <c r="G2089" t="inlineStr">
        <is>
          <t>Gas-related / review</t>
        </is>
      </c>
      <c r="H2089" t="inlineStr">
        <is>
          <t>Replies to Bidders' Queries for Hiring Of Services for Laying MDPE Pipeline Network At
                Manjusar GIDC Vide Tender No.: VGL/CO/C&amp;P-PNG/BD2023010S080 Dated 19/12/2023 &amp; Tender ID:
                615899.</t>
        </is>
      </c>
      <c r="K2089" t="inlineStr">
        <is>
          <t>Not found</t>
        </is>
      </c>
      <c r="L2089" t="inlineStr">
        <is>
          <t>Unknown</t>
        </is>
      </c>
      <c r="T2089" t="inlineStr">
        <is>
          <t>https://www.vgl.co.in/wp-content/uploads/2025/pdf/Replies-to-Bidders-Queries-for-Hiring-Of-Services-for-Laying-MDPE-Pipeline-Network-At-Manjusar-GIDC.pdf</t>
        </is>
      </c>
      <c r="U2089" t="inlineStr">
        <is>
          <t>No</t>
        </is>
      </c>
      <c r="V208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0">
      <c r="A2090" t="inlineStr">
        <is>
          <t>T-1894</t>
        </is>
      </c>
      <c r="B2090" t="inlineStr">
        <is>
          <t>Vadodara Gas Limited</t>
        </is>
      </c>
      <c r="C2090" t="inlineStr">
        <is>
          <t>Vadodara Gas Limited</t>
        </is>
      </c>
      <c r="D2090" t="inlineStr">
        <is>
          <t>Bidders</t>
        </is>
      </c>
      <c r="E2090" t="inlineStr">
        <is>
          <t>19/12/2023</t>
        </is>
      </c>
      <c r="F2090" t="inlineStr">
        <is>
          <t>Awarded</t>
        </is>
      </c>
      <c r="G2090" t="inlineStr">
        <is>
          <t>Gas-related / review</t>
        </is>
      </c>
      <c r="H2090" t="inlineStr">
        <is>
          <t>Replies to Bidders Queries - Final for the Purchase of 01 No. 1700 SCMH Motor Driven
                Compressor Package with 05 Year AMC for Upgradation of VGL CNG Mother Stations Vide Tender No.:
                VGL/CO/C&amp;P-CNG/BD202312P094 Dated 19/12/2023” and Tender No.: 615895</t>
        </is>
      </c>
      <c r="K2090" t="inlineStr">
        <is>
          <t>Not found</t>
        </is>
      </c>
      <c r="L2090" t="inlineStr">
        <is>
          <t>Unknown</t>
        </is>
      </c>
      <c r="T2090" t="inlineStr">
        <is>
          <t>https://www.vgl.co.in/wp-content/uploads/2025/pdf/Replies-to-Bidders-1700-SCMH-COMPRESSOR-MOTER-DRIVEN-Final.pdf</t>
        </is>
      </c>
      <c r="U2090" t="inlineStr">
        <is>
          <t>No</t>
        </is>
      </c>
      <c r="V209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1">
      <c r="A2091" t="inlineStr">
        <is>
          <t>T-1895</t>
        </is>
      </c>
      <c r="B2091" t="inlineStr">
        <is>
          <t>Vadodara Gas Limited</t>
        </is>
      </c>
      <c r="C2091" t="inlineStr">
        <is>
          <t>Vadodara Gas Limited</t>
        </is>
      </c>
      <c r="D2091" t="inlineStr">
        <is>
          <t>Bidders</t>
        </is>
      </c>
      <c r="E2091" t="inlineStr">
        <is>
          <t>02/01/2024</t>
        </is>
      </c>
      <c r="F2091" t="inlineStr">
        <is>
          <t>Awarded</t>
        </is>
      </c>
      <c r="G2091" t="inlineStr">
        <is>
          <t>Gas-related / review</t>
        </is>
      </c>
      <c r="H2091" t="inlineStr">
        <is>
          <t>Replies to Bidders Queries for the Purchase of 16 Nos. Dual ARM Car/ Auto Dispenser with
                05 year AMC For New CNG Station, Upgradation of Existing CNG Station ARC Basis vide Tender No.:
                VGL/CO/C&amp;P-CNG/BD202312P095 Dated 02/01/2024 and Tender ID: 616119</t>
        </is>
      </c>
      <c r="K2091" t="inlineStr">
        <is>
          <t>Not found</t>
        </is>
      </c>
      <c r="L2091" t="inlineStr">
        <is>
          <t>Unknown</t>
        </is>
      </c>
      <c r="T2091" t="inlineStr">
        <is>
          <t>https://www.vgl.co.in/wp-content/uploads/2025/pdf/Replies-to-Bidders-16-NOS-DUAL-ARM-CARAUTO-DISPENSER.pdf</t>
        </is>
      </c>
      <c r="U2091" t="inlineStr">
        <is>
          <t>No</t>
        </is>
      </c>
      <c r="V209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2">
      <c r="A2092" t="inlineStr">
        <is>
          <t>T-1896</t>
        </is>
      </c>
      <c r="B2092" t="inlineStr">
        <is>
          <t>Vadodara Gas Limited</t>
        </is>
      </c>
      <c r="C2092" t="inlineStr">
        <is>
          <t>Vadodara Gas Limited</t>
        </is>
      </c>
      <c r="D2092" t="inlineStr">
        <is>
          <t>Tender No.: VGL/CO/C</t>
        </is>
      </c>
      <c r="E2092" t="inlineStr">
        <is>
          <t>02/01/2024</t>
        </is>
      </c>
      <c r="F2092" t="inlineStr">
        <is>
          <t>Awarded</t>
        </is>
      </c>
      <c r="G2092" t="inlineStr">
        <is>
          <t>Gas-related / review</t>
        </is>
      </c>
      <c r="H2092" t="inlineStr">
        <is>
          <t>Notice Inviting Tender
                for the “Purchase of 16 Nos. Dual ARM Car/ Auto Dispenser with 05 year AMC For New CNG Station,
                Upgradation of Existing CNG Station ARC Basis vide Tender No.: VGL/CO/C&amp;P-CNG/BD202312P095 Dated
                02/01/2024 and Tender ID: 616119</t>
        </is>
      </c>
      <c r="K2092" t="inlineStr">
        <is>
          <t>s for the Tender of</t>
        </is>
      </c>
      <c r="L2092" t="inlineStr">
        <is>
          <t>Unknown</t>
        </is>
      </c>
      <c r="T2092" t="inlineStr">
        <is>
          <t>https://www.vgl.co.in/wp-content/uploads/2025/pdf/NIT-16-Nos-Dispenser.pdf</t>
        </is>
      </c>
      <c r="U2092" t="inlineStr">
        <is>
          <t>No</t>
        </is>
      </c>
      <c r="V2092" t="inlineStr">
        <is>
          <t>Bot tarafindan tespit edildi (2026-07-01) | Bot enrich; date=2026-07-01; type=pdf; score=230; Bot tespit/zenginlestirme (2026-07-01); meta:score=70;priority=High;source_type=html_link;closing_date=09/01/2024;equipment=Gas-related / review;reasons=equipment:Gas-related / review,document source,quantity signal,tender reference signal</t>
        </is>
      </c>
    </row>
    <row r="2093">
      <c r="A2093" t="inlineStr">
        <is>
          <t>T-1897</t>
        </is>
      </c>
      <c r="B2093" t="inlineStr">
        <is>
          <t>Vadodara Gas Limited</t>
        </is>
      </c>
      <c r="C2093" t="inlineStr">
        <is>
          <t>Vadodara Gas Limited</t>
        </is>
      </c>
      <c r="D2093" t="inlineStr">
        <is>
          <t>Tender No.: VGL/CO/C</t>
        </is>
      </c>
      <c r="E2093" t="inlineStr">
        <is>
          <t>02/01/2024</t>
        </is>
      </c>
      <c r="F2093" t="inlineStr">
        <is>
          <t>Awarded</t>
        </is>
      </c>
      <c r="G2093" t="inlineStr">
        <is>
          <t>Gas-related / review</t>
        </is>
      </c>
      <c r="H2093" t="inlineStr">
        <is>
          <t>Notice Inviting Tender
                for the “Purchase of 13 Nos. Emerson Make Coriolis Mass Flow Meters for VGL CNG Mother Stations
                vide Tender No.: VGL/CO/C&amp;P-CNG/BD202312P096 Dated 02/01/2024 and Tender ID: 616117</t>
        </is>
      </c>
      <c r="K2093" t="inlineStr">
        <is>
          <t>s for the Tender of</t>
        </is>
      </c>
      <c r="L2093" t="inlineStr">
        <is>
          <t>Unknown</t>
        </is>
      </c>
      <c r="T2093" t="inlineStr">
        <is>
          <t>https://www.vgl.co.in/wp-content/uploads/2025/pdf/NIT-Mass-Flow-Meter.pdf</t>
        </is>
      </c>
      <c r="U2093" t="inlineStr">
        <is>
          <t>No</t>
        </is>
      </c>
      <c r="V2093" t="inlineStr">
        <is>
          <t>Bot tarafindan tespit edildi (2026-07-01) | Bot enrich; date=2026-07-01; type=pdf; score=230; Bot tespit/zenginlestirme (2026-07-01); meta:score=70;priority=High;source_type=html_link;closing_date=19/01/2024;equipment=Gas-related / review;reasons=equipment:Gas-related / review,document source,quantity signal,tender reference signal; Bot clean extraction (2026-07-01); meta:score=43;priority=Medium;source_type=html_link;closing_date=19/01/2024;equipment=Gas-related / review;quality_status=needs_review;market_relevance=Medium;document_type=loa;unit_price_inr=;amount_label=;matched_terms=gas_context;reject_reasons=;scope=market_intelligence_only;excluded_scope=no_bid_or_offer_submission_automation</t>
        </is>
      </c>
    </row>
    <row r="2094">
      <c r="A2094" t="inlineStr">
        <is>
          <t>T-1898</t>
        </is>
      </c>
      <c r="B2094" t="inlineStr">
        <is>
          <t>Vadodara Gas Limited</t>
        </is>
      </c>
      <c r="C2094" t="inlineStr">
        <is>
          <t>Vadodara Gas Limited</t>
        </is>
      </c>
      <c r="D2094" t="inlineStr">
        <is>
          <t>Tender No.: VGL/CO/C</t>
        </is>
      </c>
      <c r="E2094" t="inlineStr">
        <is>
          <t>01/01/2024</t>
        </is>
      </c>
      <c r="F2094" t="inlineStr">
        <is>
          <t>Awarded</t>
        </is>
      </c>
      <c r="G2094" t="inlineStr">
        <is>
          <t>Gas-related / review</t>
        </is>
      </c>
      <c r="H2094" t="inlineStr">
        <is>
          <t>Notice Inviting Tender for the
                “Purchase of CCTV Surveillance System for VGL CNG Mother Stations vide Tender No.:
                VGL/CO/C&amp;P-CNG/BD202312P097 Dated 01/01/2024 and Tender ID: 616103</t>
        </is>
      </c>
      <c r="K2094" t="inlineStr">
        <is>
          <t>Not found</t>
        </is>
      </c>
      <c r="L2094" t="inlineStr">
        <is>
          <t>Unknown</t>
        </is>
      </c>
      <c r="T2094" t="inlineStr">
        <is>
          <t>https://www.vgl.co.in/wp-content/uploads/2025/pdf/NIT-CCTV.pdf</t>
        </is>
      </c>
      <c r="U2094" t="inlineStr">
        <is>
          <t>No</t>
        </is>
      </c>
      <c r="V209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5">
      <c r="A2095" t="inlineStr">
        <is>
          <t>T-1899</t>
        </is>
      </c>
      <c r="B2095" t="inlineStr">
        <is>
          <t>Vadodara Gas Limited</t>
        </is>
      </c>
      <c r="C2095" t="inlineStr">
        <is>
          <t>Vadodara Gas Limited</t>
        </is>
      </c>
      <c r="D2095" t="inlineStr">
        <is>
          <t>Tender</t>
        </is>
      </c>
      <c r="F2095" t="inlineStr">
        <is>
          <t>New Lead</t>
        </is>
      </c>
      <c r="G2095" t="inlineStr">
        <is>
          <t>Gas-related / review</t>
        </is>
      </c>
      <c r="H2095" t="inlineStr">
        <is>
          <t>Replies to Bidders Queries – Additional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5" t="inlineStr">
        <is>
          <t>Not found</t>
        </is>
      </c>
      <c r="L2095" t="inlineStr">
        <is>
          <t>Unknown</t>
        </is>
      </c>
      <c r="T2095" t="inlineStr">
        <is>
          <t>https://www.vgl.co.in/wp-content/uploads/2025/pdf/Replies-to-Bidders-1700-SCMH-Additional.pdf</t>
        </is>
      </c>
      <c r="U2095" t="inlineStr">
        <is>
          <t>No</t>
        </is>
      </c>
      <c r="V2095" t="inlineStr">
        <is>
          <t>Bot tarafindan tespit edildi (2026-07-01); Bot tespit/zenginlestirme (2026-07-01); meta:score=50;priority=Medium;source_type=html_link;closing_date=;equipment=Gas-related / review;reasons=equipment:Gas-related / review,document source,tender reference signal</t>
        </is>
      </c>
    </row>
    <row r="2096">
      <c r="A2096" t="inlineStr">
        <is>
          <t>T-1900</t>
        </is>
      </c>
      <c r="B2096" t="inlineStr">
        <is>
          <t>Vadodara Gas Limited</t>
        </is>
      </c>
      <c r="C2096" t="inlineStr">
        <is>
          <t>Vadodara Gas Limited</t>
        </is>
      </c>
      <c r="D2096" t="inlineStr">
        <is>
          <t>Tender</t>
        </is>
      </c>
      <c r="F2096" t="inlineStr">
        <is>
          <t>New Lead</t>
        </is>
      </c>
      <c r="G2096" t="inlineStr">
        <is>
          <t>Gas-related / review</t>
        </is>
      </c>
      <c r="H2096" t="inlineStr">
        <is>
          <t>Replies to Bidders Queries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6" t="inlineStr">
        <is>
          <t>Not found</t>
        </is>
      </c>
      <c r="L2096" t="inlineStr">
        <is>
          <t>Unknown</t>
        </is>
      </c>
      <c r="T2096" t="inlineStr">
        <is>
          <t>https://www.vgl.co.in/wp-content/uploads/2025/pdf/Replies-to-Bidders-1700-SCMH-COMPRESSOR-MOTER-DRIVEN.pdf</t>
        </is>
      </c>
      <c r="U2096" t="inlineStr">
        <is>
          <t>No</t>
        </is>
      </c>
      <c r="V2096" t="inlineStr">
        <is>
          <t>Bot tarafindan tespit edildi (2026-07-01); Bot tespit/zenginlestirme (2026-07-01); meta:score=50;priority=Medium;source_type=html_link;closing_date=;equipment=Gas-related / review;reasons=equipment:Gas-related / review,document source,tender reference signal</t>
        </is>
      </c>
    </row>
    <row r="2097">
      <c r="A2097" t="inlineStr">
        <is>
          <t>T-1901</t>
        </is>
      </c>
      <c r="B2097" t="inlineStr">
        <is>
          <t>Vadodara Gas Limited</t>
        </is>
      </c>
      <c r="C2097" t="inlineStr">
        <is>
          <t>Vadodara Gas Limited</t>
        </is>
      </c>
      <c r="D2097" t="inlineStr">
        <is>
          <t>Bidders</t>
        </is>
      </c>
      <c r="E2097" t="inlineStr">
        <is>
          <t>07/12/2023</t>
        </is>
      </c>
      <c r="F2097" t="inlineStr">
        <is>
          <t>Awarded</t>
        </is>
      </c>
      <c r="G2097" t="inlineStr">
        <is>
          <t>Regulating station</t>
        </is>
      </c>
      <c r="H2097" t="inlineStr">
        <is>
          <t>Replies to Bidders Queries for the Tender of Purchase of 08 Nos. 3000 WL and 05 Nos. 4500 WL
            Capacity Cascade for the New CNG Station, Upgradation of Existing CNG Station &amp; LCVs vide Tender No.:
            VGL/CO/C&amp;P-CNG/BD202312P092 Dated 07/12/2023 and Tender ID: 615556</t>
        </is>
      </c>
      <c r="K2097" t="inlineStr">
        <is>
          <t>Not found</t>
        </is>
      </c>
      <c r="L2097" t="inlineStr">
        <is>
          <t>Unknown</t>
        </is>
      </c>
      <c r="T2097" t="inlineStr">
        <is>
          <t>https://www.vgl.co.in/wp-content/uploads/2025/pdf/Replies-to-Bidders-3000-WL-and-4500-WL-Cascade.pdf</t>
        </is>
      </c>
      <c r="U2097" t="inlineStr">
        <is>
          <t>No</t>
        </is>
      </c>
      <c r="V209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8">
      <c r="A2098" t="inlineStr">
        <is>
          <t>T-1902</t>
        </is>
      </c>
      <c r="B2098" t="inlineStr">
        <is>
          <t>Vadodara Gas Limited</t>
        </is>
      </c>
      <c r="C2098" t="inlineStr">
        <is>
          <t>Vadodara Gas Limited</t>
        </is>
      </c>
      <c r="D2098" t="inlineStr">
        <is>
          <t>Bidders</t>
        </is>
      </c>
      <c r="E2098" t="inlineStr">
        <is>
          <t>25/11/2023</t>
        </is>
      </c>
      <c r="F2098" t="inlineStr">
        <is>
          <t>Awarded</t>
        </is>
      </c>
      <c r="G2098" t="inlineStr">
        <is>
          <t>Gas-related / review</t>
        </is>
      </c>
      <c r="H2098" t="inlineStr">
        <is>
          <t>Replies to Bidders Queries – Additional – II for the Tender of Procurement
                of 50,000 Nos. of 06 Mm Gas Tap on ARC for a Period of 01 Year vide Tender No.:
                VGL/CO/C&amp;P-PNG/BD202308P065 Dated 25/11/2023 and Tender ID: 615273</t>
        </is>
      </c>
      <c r="K2098" t="inlineStr">
        <is>
          <t>s can</t>
        </is>
      </c>
      <c r="L2098" t="inlineStr">
        <is>
          <t>Unknown</t>
        </is>
      </c>
      <c r="T2098" t="inlineStr">
        <is>
          <t>https://www.vgl.co.in/wp-content/uploads/2025/pdf/Replies-to-Bidders-Gas-Tap-P065-23-24-Additional-II.pdf</t>
        </is>
      </c>
      <c r="U2098" t="inlineStr">
        <is>
          <t>No</t>
        </is>
      </c>
      <c r="V2098"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9">
      <c r="A2099" t="inlineStr">
        <is>
          <t>T-1903</t>
        </is>
      </c>
      <c r="B2099" t="inlineStr">
        <is>
          <t>Vadodara Gas Limited</t>
        </is>
      </c>
      <c r="C2099" t="inlineStr">
        <is>
          <t>Vadodara Gas Limited</t>
        </is>
      </c>
      <c r="D2099" t="inlineStr">
        <is>
          <t>Tender No.: VGL/CO/C</t>
        </is>
      </c>
      <c r="E2099" t="inlineStr">
        <is>
          <t>19/12/2023</t>
        </is>
      </c>
      <c r="F2099" t="inlineStr">
        <is>
          <t>Awarded</t>
        </is>
      </c>
      <c r="G2099" t="inlineStr">
        <is>
          <t>Gas-related / review</t>
        </is>
      </c>
      <c r="H2099" t="inlineStr">
        <is>
          <t>Notice
                Inviting Tender for the “Hiring of Services for Laying MDPE Pipeline Network at Manjusar GIDC vide
                Tender No.: VGL/CO/C&amp;P-PNG/BD2023010S080 Dated 19/12/2023 and Tender ID: 615899</t>
        </is>
      </c>
      <c r="K2099" t="inlineStr">
        <is>
          <t>Not found</t>
        </is>
      </c>
      <c r="L2099" t="inlineStr">
        <is>
          <t>Unknown</t>
        </is>
      </c>
      <c r="T2099" t="inlineStr">
        <is>
          <t>https://www.vgl.co.in/wp-content/uploads/2025/pdf/2-NIT-MDPE-Laying-Manjusar-S080.pdf</t>
        </is>
      </c>
      <c r="U2099" t="inlineStr">
        <is>
          <t>No</t>
        </is>
      </c>
      <c r="V209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0">
      <c r="A2100" t="inlineStr">
        <is>
          <t>T-1904</t>
        </is>
      </c>
      <c r="B2100" t="inlineStr">
        <is>
          <t>Vadodara Gas Limited</t>
        </is>
      </c>
      <c r="C2100" t="inlineStr">
        <is>
          <t>Vadodara Gas Limited</t>
        </is>
      </c>
      <c r="D2100" t="inlineStr">
        <is>
          <t>Tender No.: VGL/CO/C</t>
        </is>
      </c>
      <c r="E2100" t="inlineStr">
        <is>
          <t>19/12/2023</t>
        </is>
      </c>
      <c r="F2100" t="inlineStr">
        <is>
          <t>Awarded</t>
        </is>
      </c>
      <c r="G2100" t="inlineStr">
        <is>
          <t>Gas-related / review</t>
        </is>
      </c>
      <c r="H2100" t="inlineStr">
        <is>
          <t>Notice Inviting
                Tender for the “Purchase of 01 No. 1700 SCMH Motor Driven Compressor Package with 05 Year AMC for
                Upgradation of VGL CNG Mother Stations vide Tender No.: VGL/CO/C&amp;P-CNG/BD202312P094 Dated 19/12/2023
                and Tender ID: 615895</t>
        </is>
      </c>
      <c r="K2100" t="inlineStr">
        <is>
          <t>Not found</t>
        </is>
      </c>
      <c r="L2100" t="inlineStr">
        <is>
          <t>Unknown</t>
        </is>
      </c>
      <c r="T2100" t="inlineStr">
        <is>
          <t>https://www.vgl.co.in/wp-content/uploads/2025/pdf/1-NIT-1700-SCMH-Compressor.pdf</t>
        </is>
      </c>
      <c r="U2100" t="inlineStr">
        <is>
          <t>No</t>
        </is>
      </c>
      <c r="V210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1">
      <c r="A2101" t="inlineStr">
        <is>
          <t>T-1905</t>
        </is>
      </c>
      <c r="B2101" t="inlineStr">
        <is>
          <t>Vadodara Gas Limited</t>
        </is>
      </c>
      <c r="C2101" t="inlineStr">
        <is>
          <t>Vadodara Gas Limited</t>
        </is>
      </c>
      <c r="D2101" t="inlineStr">
        <is>
          <t>Bidders</t>
        </is>
      </c>
      <c r="E2101" t="inlineStr">
        <is>
          <t>25/11/2023</t>
        </is>
      </c>
      <c r="F2101" t="inlineStr">
        <is>
          <t>Awarded</t>
        </is>
      </c>
      <c r="G2101" t="inlineStr">
        <is>
          <t>Gas-related / review</t>
        </is>
      </c>
      <c r="H2101" t="inlineStr">
        <is>
          <t>Replies to Bidders Queries – Additional for the Tender of Procurement of 50,000 Nos.
            of 06 Mm Gas Tap on ARC for a Period of 01 Year vide Tender No.: VGL/CO/C&amp;P-PNG/BD202308P065 Dated
            25/11/2023 and Tender ID: 615273</t>
        </is>
      </c>
      <c r="K2101" t="inlineStr">
        <is>
          <t>may quote on 62 mm 1 SEC V length ranging from 71-73 &amp; 79 valve &amp; its range or so</t>
        </is>
      </c>
      <c r="L2101" t="inlineStr">
        <is>
          <t>Unknown</t>
        </is>
      </c>
      <c r="T2101" t="inlineStr">
        <is>
          <t>https://www.vgl.co.in/wp-content/uploads/2025/pdf/Replies-to-Bidders-Gas-Tap-P065-23-24-Additional.pdf</t>
        </is>
      </c>
      <c r="U2101" t="inlineStr">
        <is>
          <t>No</t>
        </is>
      </c>
      <c r="V210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102">
      <c r="A2102" t="inlineStr">
        <is>
          <t>T-1906</t>
        </is>
      </c>
      <c r="B2102" t="inlineStr">
        <is>
          <t>Vadodara Gas Limited</t>
        </is>
      </c>
      <c r="C2102" t="inlineStr">
        <is>
          <t>Vadodara Gas Limited</t>
        </is>
      </c>
      <c r="D2102" t="inlineStr">
        <is>
          <t>Tender No.: VGL/CO/C</t>
        </is>
      </c>
      <c r="E2102" t="inlineStr">
        <is>
          <t>07/12/2023</t>
        </is>
      </c>
      <c r="F2102" t="inlineStr">
        <is>
          <t>Awarded</t>
        </is>
      </c>
      <c r="G2102" t="inlineStr">
        <is>
          <t>Gas-related / review</t>
        </is>
      </c>
      <c r="H2102" t="inlineStr">
        <is>
          <t>Notice
                Inviting Tender for the “Hiring of Services for Laying MDPE Pipeline Network at Nandesari GIDC
                vide Tender No.: VGL/CO/C&amp;P-PNG/BD2023010S081 Dated 07/12/2023 and Tender ID: 615563</t>
        </is>
      </c>
      <c r="K2102" t="inlineStr">
        <is>
          <t>Not found</t>
        </is>
      </c>
      <c r="L2102" t="inlineStr">
        <is>
          <t>Unknown</t>
        </is>
      </c>
      <c r="T2102" t="inlineStr">
        <is>
          <t>https://www.vgl.co.in/wp-content/uploads/2025/pdf/3-NIT-MDPE-Laying-Nandesari-S081.pdf</t>
        </is>
      </c>
      <c r="U2102" t="inlineStr">
        <is>
          <t>No</t>
        </is>
      </c>
      <c r="V210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3">
      <c r="A2103" t="inlineStr">
        <is>
          <t>T-1907</t>
        </is>
      </c>
      <c r="B2103" t="inlineStr">
        <is>
          <t>Vadodara Gas Limited</t>
        </is>
      </c>
      <c r="C2103" t="inlineStr">
        <is>
          <t>Vadodara Gas Limited</t>
        </is>
      </c>
      <c r="D2103" t="inlineStr">
        <is>
          <t>Tender No.: VGL/CO/C</t>
        </is>
      </c>
      <c r="E2103" t="inlineStr">
        <is>
          <t>07/12/2023</t>
        </is>
      </c>
      <c r="F2103" t="inlineStr">
        <is>
          <t>Awarded</t>
        </is>
      </c>
      <c r="G2103" t="inlineStr">
        <is>
          <t>CGS</t>
        </is>
      </c>
      <c r="H2103" t="inlineStr">
        <is>
          <t>Notice Inviting Tender for the “Hiring of Service for Civil Construction Work at
                Amaliyara CGS Station vide Tender No.: VGL/CO/C&amp;P-PNG/BD202311S091 Dated 07/12/2023 and Tender ID:
                615560</t>
        </is>
      </c>
      <c r="K2103" t="inlineStr">
        <is>
          <t>s for the Tender of</t>
        </is>
      </c>
      <c r="L2103" t="inlineStr">
        <is>
          <t>Unknown</t>
        </is>
      </c>
      <c r="M2103" t="n">
        <v>1442662</v>
      </c>
      <c r="T2103" t="inlineStr">
        <is>
          <t>https://www.vgl.co.in/wp-content/uploads/2025/pdf/2-NIT-MDPE-Civil-Work-Amaliyara-CGS-S091.pdf</t>
        </is>
      </c>
      <c r="U2103" t="inlineStr">
        <is>
          <t>No</t>
        </is>
      </c>
      <c r="V2103" t="inlineStr">
        <is>
          <t>Bot tarafindan tespit edildi (2026-07-01) | Bot enrich; date=2026-07-01; type=pdf; score=330; Bot tespit/zenginlestirme (2026-07-01); meta:score=75;priority=High;source_type=html_link;closing_date=22/12/2023;equipment=Gas-related / review;reasons=equipment:Gas-related / review,station/skid keyword,document source,tender reference signal; Bot clean extraction (2026-07-01); meta:score=100;priority=High;source_type=html_link;closing_date=22/12/2023;equipment=Regulating / metering station;quality_status=market_target;market_relevance=High;document_type=loa;unit_price_inr=;amount_label=currency_near_total;matched_terms=Regulating / metering station;reject_reasons=;scope=market_intelligence_only;excluded_scope=no_bid_or_offer_submission_automation</t>
        </is>
      </c>
    </row>
    <row r="2104">
      <c r="A2104" t="inlineStr">
        <is>
          <t>T-1908</t>
        </is>
      </c>
      <c r="B2104" t="inlineStr">
        <is>
          <t>Vadodara Gas Limited</t>
        </is>
      </c>
      <c r="C2104" t="inlineStr">
        <is>
          <t>Vadodara Gas Limited</t>
        </is>
      </c>
      <c r="D2104" t="inlineStr">
        <is>
          <t>Tender No.: VGL/CO/C</t>
        </is>
      </c>
      <c r="E2104" t="inlineStr">
        <is>
          <t>07/12/2023</t>
        </is>
      </c>
      <c r="F2104" t="inlineStr">
        <is>
          <t>Awarded</t>
        </is>
      </c>
      <c r="G2104" t="inlineStr">
        <is>
          <t>Gas-related / review</t>
        </is>
      </c>
      <c r="H2104" t="inlineStr">
        <is>
          <t>Notice
                Inviting Tender for the “Purchase of 08 Nos. 3000 WL and 05 Nos. WL Capacity Cascade for the New
                CNG Station, Upgradation of Existing CNG Station &amp; LCVs vide Tender No.:
                VGL/CO/C&amp;P-CNG/BD202312P092 Dated 07/12/2023 and Tender ID: 615556</t>
        </is>
      </c>
      <c r="K2104" t="inlineStr">
        <is>
          <t>s for the Tender of</t>
        </is>
      </c>
      <c r="L2104" t="inlineStr">
        <is>
          <t>Unknown</t>
        </is>
      </c>
      <c r="T2104" t="inlineStr">
        <is>
          <t>https://www.vgl.co.in/wp-content/uploads/2025/pdf/1-NIT-3000-WL-4500-WL-Cascade.pdf</t>
        </is>
      </c>
      <c r="U2104" t="inlineStr">
        <is>
          <t>No</t>
        </is>
      </c>
      <c r="V2104" t="inlineStr">
        <is>
          <t>Bot tarafindan tespit edildi (2026-07-01) | Bot enrich; date=2026-07-01; type=pdf; score=230; Bot tespit/zenginlestirme (2026-07-01); meta:score=70;priority=High;source_type=html_link;closing_date=22/12/2023;equipment=Gas-related / review;reasons=equipment:Gas-related / review,document source,quantity signal,tender reference signal</t>
        </is>
      </c>
    </row>
    <row r="2105">
      <c r="A2105" t="inlineStr">
        <is>
          <t>T-1909</t>
        </is>
      </c>
      <c r="B2105" t="inlineStr">
        <is>
          <t>Vadodara Gas Limited</t>
        </is>
      </c>
      <c r="C2105" t="inlineStr">
        <is>
          <t>Vadodara Gas Limited</t>
        </is>
      </c>
      <c r="D2105" t="inlineStr">
        <is>
          <t>Bidders</t>
        </is>
      </c>
      <c r="E2105" t="inlineStr">
        <is>
          <t>25/11/2023</t>
        </is>
      </c>
      <c r="F2105" t="inlineStr">
        <is>
          <t>Awarded</t>
        </is>
      </c>
      <c r="G2105" t="inlineStr">
        <is>
          <t>Domestic regulator</t>
        </is>
      </c>
      <c r="H2105" t="inlineStr">
        <is>
          <t>Replies to Bidders Queries for the Tender of Procurement of 50,000 Nos. Of Domestic Gas
                Regulator on ARC for a Period of 01 Year vide Tender No.: VGL/CO/C&amp;P-PNG/BD202308P066 Dated
                25/11/2023 and Tender ID: 615272</t>
        </is>
      </c>
      <c r="K2105" t="inlineStr">
        <is>
          <t>Not found</t>
        </is>
      </c>
      <c r="L2105" t="inlineStr">
        <is>
          <t>Unknown</t>
        </is>
      </c>
      <c r="T2105" t="inlineStr">
        <is>
          <t>https://www.vgl.co.in/wp-content/uploads/2025/pdf/3-Replies-to-Bidders-Domestic-Regulator-P066-23-24.pdf</t>
        </is>
      </c>
      <c r="U2105" t="inlineStr">
        <is>
          <t>No</t>
        </is>
      </c>
      <c r="V2105" t="inlineStr">
        <is>
          <t>Bot tarafindan tespit edildi (2026-07-01)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regulator;quality_status=market_target;market_relevance=High;document_type=loa;unit_price_inr=;amount_label=;matched_terms=Domestic gas regulator;reject_reasons=;scope=market_intelligence_only;excluded_scope=no_bid_or_offer_submission_automation</t>
        </is>
      </c>
    </row>
    <row r="2106">
      <c r="A2106" t="inlineStr">
        <is>
          <t>T-1910</t>
        </is>
      </c>
      <c r="B2106" t="inlineStr">
        <is>
          <t>Vadodara Gas Limited</t>
        </is>
      </c>
      <c r="C2106" t="inlineStr">
        <is>
          <t>Vadodara Gas Limited</t>
        </is>
      </c>
      <c r="D2106" t="inlineStr">
        <is>
          <t>Bidders</t>
        </is>
      </c>
      <c r="E2106" t="inlineStr">
        <is>
          <t>25/11/2023</t>
        </is>
      </c>
      <c r="F2106" t="inlineStr">
        <is>
          <t>Awarded</t>
        </is>
      </c>
      <c r="G2106" t="inlineStr">
        <is>
          <t>Gas-related / review</t>
        </is>
      </c>
      <c r="H2106" t="inlineStr">
        <is>
          <t>Replies to Bidders Queries for the Tender of
                Procurement of 50,000 Nos. of 06 Mm Gas Tap on ARC for a Period of 01 Year vide Tender No.:
                VGL/CO/C&amp;P-PNG/BD202308P065 Dated 25/11/2023 and Tender ID: 615273</t>
        </is>
      </c>
      <c r="K2106" t="inlineStr">
        <is>
          <t>Not found</t>
        </is>
      </c>
      <c r="L2106" t="inlineStr">
        <is>
          <t>Unknown</t>
        </is>
      </c>
      <c r="T2106" t="inlineStr">
        <is>
          <t>https://www.vgl.co.in/wp-content/uploads/2025/pdf/    2-Replies-to-Bidders-Gas-Tap-P065-23-24.pdf</t>
        </is>
      </c>
      <c r="U2106" t="inlineStr">
        <is>
          <t>No</t>
        </is>
      </c>
      <c r="V210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107">
      <c r="A2107" t="inlineStr">
        <is>
          <t>T-1911</t>
        </is>
      </c>
      <c r="B2107" t="inlineStr">
        <is>
          <t>Vadodara Gas Limited</t>
        </is>
      </c>
      <c r="C2107" t="inlineStr">
        <is>
          <t>Vadodara Gas Limited</t>
        </is>
      </c>
      <c r="D2107" t="inlineStr">
        <is>
          <t>Bidders</t>
        </is>
      </c>
      <c r="E2107" t="inlineStr">
        <is>
          <t>24/11/2023</t>
        </is>
      </c>
      <c r="F2107" t="inlineStr">
        <is>
          <t>Awarded</t>
        </is>
      </c>
      <c r="G2107" t="inlineStr">
        <is>
          <t>Gas-related / review</t>
        </is>
      </c>
      <c r="H2107" t="inlineStr">
        <is>
          <t>Replies
                to Bidders Queries for the Tender of Procurement of Various Size of MDPE Pipe on ARC for a Period of 01
                Year vide Tender No.: VGL/CO/C&amp;P-PNG/BD202308P078 Dated 24/11/2023 and Tender ID: 615237</t>
        </is>
      </c>
      <c r="K2107" t="inlineStr">
        <is>
          <t>Not found</t>
        </is>
      </c>
      <c r="L2107" t="inlineStr">
        <is>
          <t>Unknown</t>
        </is>
      </c>
      <c r="T2107" t="inlineStr">
        <is>
          <t>https://www.vgl.co.in/wp-content/uploads/2025/pdf/1-Replies-to-Bidders-MDPE-Pipe-P078.pdf</t>
        </is>
      </c>
      <c r="U2107" t="inlineStr">
        <is>
          <t>No</t>
        </is>
      </c>
      <c r="V210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8">
      <c r="A2108" t="inlineStr">
        <is>
          <t>T-1912</t>
        </is>
      </c>
      <c r="B2108" t="inlineStr">
        <is>
          <t>Vadodara Gas Limited</t>
        </is>
      </c>
      <c r="C2108" t="inlineStr">
        <is>
          <t>Vadodara Gas Limited</t>
        </is>
      </c>
      <c r="D2108" t="inlineStr">
        <is>
          <t>Tender No.: VGL/CO/C</t>
        </is>
      </c>
      <c r="E2108" t="inlineStr">
        <is>
          <t>25/11/2023</t>
        </is>
      </c>
      <c r="F2108" t="inlineStr">
        <is>
          <t>Awarded</t>
        </is>
      </c>
      <c r="G2108" t="inlineStr">
        <is>
          <t>Domestic regulator</t>
        </is>
      </c>
      <c r="H2108" t="inlineStr">
        <is>
          <t>Notice
                Inviting Tender for “Procurement of 50,000 Nos. Of Domestic Gas Regulator on ARC for a Period of
                01 Year vide Tender No.: VGL/CO/C&amp;P-PNG/BD202308P066 Dated 25/11/2023 and Tender ID: 615272</t>
        </is>
      </c>
      <c r="K2108" t="inlineStr">
        <is>
          <t>s for the Tender of</t>
        </is>
      </c>
      <c r="L2108" t="inlineStr">
        <is>
          <t>Unknown</t>
        </is>
      </c>
      <c r="M2108" t="n">
        <v>12124500</v>
      </c>
      <c r="T2108" t="inlineStr">
        <is>
          <t>https://www.vgl.co.in/wp-content/uploads/2025/pdf/2-NIT_Domestic_Regulator_P066_23-24.pdf</t>
        </is>
      </c>
      <c r="U2108" t="inlineStr">
        <is>
          <t>No</t>
        </is>
      </c>
      <c r="V2108" t="inlineStr">
        <is>
          <t>Bot tarafindan tespit edildi (2026-07-01) | Bot enrich; date=2026-07-01; type=pdf; score=230; Bot tespit/zenginlestirme (2026-07-01); meta:score=100;priority=High;source_type=html_link;closing_date=20/12/2023;equipment=Domestic regulator;reasons=equipment:Domestic regulator,target regulator keyword,document source,quantity signal,tender reference signal; Bot clean extraction (2026-07-01); meta:score=100;priority=High;source_type=html_link;closing_date=20/12/2023;equipment=Domestic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09">
      <c r="A2109" t="inlineStr">
        <is>
          <t>T-1913</t>
        </is>
      </c>
      <c r="B2109" t="inlineStr">
        <is>
          <t>Vadodara Gas Limited</t>
        </is>
      </c>
      <c r="C2109" t="inlineStr">
        <is>
          <t>Vadodara Gas Limited</t>
        </is>
      </c>
      <c r="D2109" t="inlineStr">
        <is>
          <t>Tender No.: VGL/CO/C</t>
        </is>
      </c>
      <c r="E2109" t="inlineStr">
        <is>
          <t>25/11/2023</t>
        </is>
      </c>
      <c r="F2109" t="inlineStr">
        <is>
          <t>Awarded</t>
        </is>
      </c>
      <c r="G2109" t="inlineStr">
        <is>
          <t>Gas-related / review</t>
        </is>
      </c>
      <c r="H2109" t="inlineStr">
        <is>
          <t>Notice Inviting
                Tender for “Procurement of 50,000 Nos. of 06 Mm Gas Tap on ARC for a Period of 01 Year vide Tender
                No.: VGL/CO/C&amp;P-PNG/BD202308P065 Dated 25/11/2023 and Tender ID: 615273</t>
        </is>
      </c>
      <c r="K2109" t="inlineStr">
        <is>
          <t>s for the Tender of</t>
        </is>
      </c>
      <c r="L2109" t="inlineStr">
        <is>
          <t>Unknown</t>
        </is>
      </c>
      <c r="T2109" t="inlineStr">
        <is>
          <t>https://www.vgl.co.in/wp-content/uploads/2025/pdf/1_NIT_Gas_Tap_P065_23-24.pdf</t>
        </is>
      </c>
      <c r="U2109" t="inlineStr">
        <is>
          <t>No</t>
        </is>
      </c>
      <c r="V2109"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0">
      <c r="A2110" t="inlineStr">
        <is>
          <t>T-1914</t>
        </is>
      </c>
      <c r="B2110" t="inlineStr">
        <is>
          <t>Vadodara Gas Limited</t>
        </is>
      </c>
      <c r="C2110" t="inlineStr">
        <is>
          <t>Vadodara Gas Limited</t>
        </is>
      </c>
      <c r="D2110" t="inlineStr">
        <is>
          <t>Tender No.: VGL/CO/C</t>
        </is>
      </c>
      <c r="E2110" t="inlineStr">
        <is>
          <t>25/11/2023</t>
        </is>
      </c>
      <c r="F2110" t="inlineStr">
        <is>
          <t>Awarded</t>
        </is>
      </c>
      <c r="G2110" t="inlineStr">
        <is>
          <t>Gas-related / review</t>
        </is>
      </c>
      <c r="H2110" t="inlineStr">
        <is>
          <t>Notice Inviting
                Tender for “Procurement of 50,000 Nos. of 06 Mm Gas Tap on ARC for a Period of 01 Year vide Tender
                No.: VGL/CO/C&amp;P-PNG/BD202308P065 Dated 25/11/2023 and Tender ID: 615273</t>
        </is>
      </c>
      <c r="K2110" t="inlineStr">
        <is>
          <t>s for the Tender of</t>
        </is>
      </c>
      <c r="L2110" t="inlineStr">
        <is>
          <t>Unknown</t>
        </is>
      </c>
      <c r="T2110" t="inlineStr">
        <is>
          <t>https://www.vgl.co.in/wp-content/uploads/2025/pdf/NIT_ Gas_Tap_P065_23-24.pdf</t>
        </is>
      </c>
      <c r="U2110" t="inlineStr">
        <is>
          <t>No</t>
        </is>
      </c>
      <c r="V2110"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1">
      <c r="A2111" t="inlineStr">
        <is>
          <t>T-1915</t>
        </is>
      </c>
      <c r="B2111" t="inlineStr">
        <is>
          <t>Vadodara Gas Limited</t>
        </is>
      </c>
      <c r="C2111" t="inlineStr">
        <is>
          <t>Vadodara Gas Limited</t>
        </is>
      </c>
      <c r="D2111" t="inlineStr">
        <is>
          <t>Tender No.: VGL/CO/C</t>
        </is>
      </c>
      <c r="E2111" t="inlineStr">
        <is>
          <t>24/11/2023</t>
        </is>
      </c>
      <c r="F2111" t="inlineStr">
        <is>
          <t>Awarded</t>
        </is>
      </c>
      <c r="G2111" t="inlineStr">
        <is>
          <t>Gas-related / review</t>
        </is>
      </c>
      <c r="H2111" t="inlineStr">
        <is>
          <t>Notice Inviting Tender
                for “Procurement of Various Size of MDPE Pipe on ARC for a Period of 01 Year vide Tender No.:
                VGL/CO/C&amp;P-PNG/BD202308P078 Dated 24/11/2023 and Tender ID: 615237</t>
        </is>
      </c>
      <c r="K2111" t="inlineStr">
        <is>
          <t>Not found</t>
        </is>
      </c>
      <c r="L2111" t="inlineStr">
        <is>
          <t>Unknown</t>
        </is>
      </c>
      <c r="T2111" t="inlineStr">
        <is>
          <t>https://www.vgl.co.in/wp-content/uploads/2025/pdf/NIT_MDPE-PIpe-P078.pdf</t>
        </is>
      </c>
      <c r="U2111" t="inlineStr">
        <is>
          <t>No</t>
        </is>
      </c>
      <c r="V211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2">
      <c r="A2112" t="inlineStr">
        <is>
          <t>T-1916</t>
        </is>
      </c>
      <c r="B2112" t="inlineStr">
        <is>
          <t>Vadodara Gas Limited</t>
        </is>
      </c>
      <c r="C2112" t="inlineStr">
        <is>
          <t>Vadodara Gas Limited</t>
        </is>
      </c>
      <c r="F2112" t="inlineStr">
        <is>
          <t>New Lead</t>
        </is>
      </c>
      <c r="G2112" t="inlineStr">
        <is>
          <t>Unclassified</t>
        </is>
      </c>
      <c r="H2112" t="inlineStr">
        <is>
          <t>"Extension in Bid
                Submission Due Date for “Hiring of Third-Party Agency for Recovery of Outstanding Debts for 24
                Months vide Tender</t>
        </is>
      </c>
      <c r="K2112" t="inlineStr">
        <is>
          <t>Not found</t>
        </is>
      </c>
      <c r="L2112" t="inlineStr">
        <is>
          <t>Unknown</t>
        </is>
      </c>
      <c r="T2112" t="inlineStr">
        <is>
          <t>https://www.vgl.co.in/wp-content/uploads/2025/pdf/Extension NIT Recovery.pdf</t>
        </is>
      </c>
      <c r="U2112" t="inlineStr">
        <is>
          <t>No</t>
        </is>
      </c>
      <c r="V2112" t="inlineStr">
        <is>
          <t>Bot tarafindan tespit edildi (2026-07-01); Bot tespit/zenginlestirme (2026-07-01); meta:score=45;priority=Medium;source_type=html_link;closing_date=;equipment=Unclassified;reasons=document source,tender reference signal,closing date signal</t>
        </is>
      </c>
    </row>
    <row r="2113">
      <c r="A2113" t="inlineStr">
        <is>
          <t>T-1917</t>
        </is>
      </c>
      <c r="B2113" t="inlineStr">
        <is>
          <t>Vadodara Gas Limited</t>
        </is>
      </c>
      <c r="C2113" t="inlineStr">
        <is>
          <t>Vadodara Gas Limited</t>
        </is>
      </c>
      <c r="D2113" t="inlineStr">
        <is>
          <t>Bidders</t>
        </is>
      </c>
      <c r="E2113" t="inlineStr">
        <is>
          <t>24/07/2023</t>
        </is>
      </c>
      <c r="F2113" t="inlineStr">
        <is>
          <t>Awarded</t>
        </is>
      </c>
      <c r="G2113" t="inlineStr">
        <is>
          <t>Gas-related / review</t>
        </is>
      </c>
      <c r="H2113" t="inlineStr">
        <is>
          <t>Replies to Bidders Queries for the Tender of ARC for Construction of New PE Valve
                Chamber, levelling of Existing Valve chamber and other Misc. restoration work in Vadodara GA under VGL
                for the period 01 Years vide Tender No.: VGL/CO/C&amp;P-PNG/BD202306S039 Dated 24/07/2023 and Tender ID:
                605676</t>
        </is>
      </c>
      <c r="K2113" t="inlineStr">
        <is>
          <t>Not found</t>
        </is>
      </c>
      <c r="L2113" t="inlineStr">
        <is>
          <t>Unknown</t>
        </is>
      </c>
      <c r="T2113" t="inlineStr">
        <is>
          <t>https://www.vgl.co.in/wp-content/uploads/2025/pdf/Replies_to_Bidders_queries_ARC_Chamber.pdf</t>
        </is>
      </c>
      <c r="U2113" t="inlineStr">
        <is>
          <t>No</t>
        </is>
      </c>
      <c r="V21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4">
      <c r="A2114" t="inlineStr">
        <is>
          <t>T-1918</t>
        </is>
      </c>
      <c r="B2114" t="inlineStr">
        <is>
          <t>Vadodara Gas Limited</t>
        </is>
      </c>
      <c r="C2114" t="inlineStr">
        <is>
          <t>Vadodara Gas Limited</t>
        </is>
      </c>
      <c r="D2114" t="inlineStr">
        <is>
          <t>Tender No.: VGL/CO/C</t>
        </is>
      </c>
      <c r="E2114" t="inlineStr">
        <is>
          <t>24/07/2023</t>
        </is>
      </c>
      <c r="F2114" t="inlineStr">
        <is>
          <t>Awarded</t>
        </is>
      </c>
      <c r="G2114" t="inlineStr">
        <is>
          <t>Gas-related / review</t>
        </is>
      </c>
      <c r="H2114" t="inlineStr">
        <is>
          <t>Drawing for the Tender
                of ARC for Construction of New PE Valve Chamber, leveling of Existing Valve chamber and other Misc.
                restoration work in Vadodara GA under VGL for the period 01 Years vide Tender No.:
                VGL/CO/C&amp;P-PNG/BD202306S039 Dated 24/07/2023 and Tender ID: 605676</t>
        </is>
      </c>
      <c r="K2114" t="inlineStr">
        <is>
          <t>Not found</t>
        </is>
      </c>
      <c r="L2114" t="inlineStr">
        <is>
          <t>Unknown</t>
        </is>
      </c>
      <c r="T2114" t="inlineStr">
        <is>
          <t>https://www.vgl.co.in/wp-content/uploads/2025/pdf/Valve-Chamber-Design.pdf</t>
        </is>
      </c>
      <c r="U2114" t="inlineStr">
        <is>
          <t>No</t>
        </is>
      </c>
      <c r="V211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5">
      <c r="A2115" t="inlineStr">
        <is>
          <t>T-1919</t>
        </is>
      </c>
      <c r="B2115" t="inlineStr">
        <is>
          <t>Vadodara Gas Limited</t>
        </is>
      </c>
      <c r="C2115" t="inlineStr">
        <is>
          <t>Vadodara Gas Limited</t>
        </is>
      </c>
      <c r="D2115" t="inlineStr">
        <is>
          <t>Tender No.: VGL/CO/C</t>
        </is>
      </c>
      <c r="E2115" t="inlineStr">
        <is>
          <t>02/08/2023</t>
        </is>
      </c>
      <c r="F2115" t="inlineStr">
        <is>
          <t>Awarded</t>
        </is>
      </c>
      <c r="G2115" t="inlineStr">
        <is>
          <t>commercial regulator</t>
        </is>
      </c>
      <c r="H2115" t="inlineStr">
        <is>
          <t>Notice Inviting
                Tender for “Purchase of Natural Gas Commercial Regulator for VGL (GA) vide Tender No.:
                VGL/CO/C&amp;P-PNG/BD202307052 Dated 02/08/2023 and Tender ID: 607225</t>
        </is>
      </c>
      <c r="K2115" t="inlineStr">
        <is>
          <t>s for the Tender of</t>
        </is>
      </c>
      <c r="L2115" t="inlineStr">
        <is>
          <t>Unknown</t>
        </is>
      </c>
      <c r="M2115" t="n">
        <v>6596279</v>
      </c>
      <c r="T2115" t="inlineStr">
        <is>
          <t>https://www.vgl.co.in/wp-content/uploads/2025/pdf/NIT_Commercial-Regulators.pdf</t>
        </is>
      </c>
      <c r="U2115" t="inlineStr">
        <is>
          <t>No</t>
        </is>
      </c>
      <c r="V2115" t="inlineStr">
        <is>
          <t>Bot tarafindan tespit edildi (2026-07-01) | Bot enrich; date=2026-07-01; type=pdf; score=330; Bot tespit/zenginlestirme (2026-07-01); meta:score=70;priority=High;source_type=html_link;closing_date=09/08/2023;equipment=Industrial regulator;reasons=equipment:Industrial regulator,document source,tender reference signal; Bot clean extraction (2026-07-01); meta:score=75;priority=High;source_type=html_link;closing_date=09/08/2023;equipment=Industrial / commercial regulator;quality_status=market_target;market_relevance=High;document_type=loa;unit_price_inr=;amount_label=currency_near_total;matched_terms=Industrial / commercial regulator;reject_reasons=;scope=market_intelligence_only;excluded_scope=no_bid_or_offer_submission_automation</t>
        </is>
      </c>
    </row>
    <row r="2116">
      <c r="A2116" t="inlineStr">
        <is>
          <t>T-1920</t>
        </is>
      </c>
      <c r="B2116" t="inlineStr">
        <is>
          <t>Vadodara Gas Limited</t>
        </is>
      </c>
      <c r="C2116" t="inlineStr">
        <is>
          <t>Vadodara Gas Limited</t>
        </is>
      </c>
      <c r="D2116" t="inlineStr">
        <is>
          <t>Tender No.: VGL/CO/C</t>
        </is>
      </c>
      <c r="E2116" t="inlineStr">
        <is>
          <t>29/07/2023</t>
        </is>
      </c>
      <c r="F2116" t="inlineStr">
        <is>
          <t>Awarded</t>
        </is>
      </c>
      <c r="G2116" t="inlineStr">
        <is>
          <t>Gas-related / review</t>
        </is>
      </c>
      <c r="H2116" t="inlineStr">
        <is>
          <t>Notice Inviting Tender for
                “Transportation of Natural Gas in Compressed form through Mobile Cascades at VGL, Vadodara for a
                Period of 36 Months vide Tender No.: VGL/CO/C&amp;P-CNG/BD202307S056 Dated 29/07/2023 and Tender ID:
                606598</t>
        </is>
      </c>
      <c r="K2116" t="inlineStr">
        <is>
          <t>Not found</t>
        </is>
      </c>
      <c r="L2116" t="inlineStr">
        <is>
          <t>Unknown</t>
        </is>
      </c>
      <c r="T2116" t="inlineStr">
        <is>
          <t>https://www.vgl.co.in/wp-content/uploads/2025/pdf/NIT_ LCV S056.pdf</t>
        </is>
      </c>
      <c r="U2116" t="inlineStr">
        <is>
          <t>No</t>
        </is>
      </c>
      <c r="V211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7">
      <c r="A2117" t="inlineStr">
        <is>
          <t>T-1921</t>
        </is>
      </c>
      <c r="B2117" t="inlineStr">
        <is>
          <t>Vadodara Gas Limited</t>
        </is>
      </c>
      <c r="C2117" t="inlineStr">
        <is>
          <t>Vadodara Gas Limited</t>
        </is>
      </c>
      <c r="D2117" t="inlineStr">
        <is>
          <t>Tender No.: VGL/CO/C</t>
        </is>
      </c>
      <c r="E2117" t="inlineStr">
        <is>
          <t>24/07/2023</t>
        </is>
      </c>
      <c r="F2117" t="inlineStr">
        <is>
          <t>Awarded</t>
        </is>
      </c>
      <c r="G2117" t="inlineStr">
        <is>
          <t>Gas-related / review</t>
        </is>
      </c>
      <c r="H2117" t="inlineStr">
        <is>
          <t>Notice Inviting Tender for “ARC for Construction of New PE Valve Chamber, leveling
                of Existing Valve chamber and other Misc. restoration work in Vadodara GA under VGL for the period 01
                Years vide Tender No.: VGL/CO/C&amp;P-PNG/BD202306S039 Dated 24/07/2023 and Tender ID: 605676</t>
        </is>
      </c>
      <c r="K2117" t="inlineStr">
        <is>
          <t>Not found</t>
        </is>
      </c>
      <c r="L2117" t="inlineStr">
        <is>
          <t>Unknown</t>
        </is>
      </c>
      <c r="T2117" t="inlineStr">
        <is>
          <t>https://www.vgl.co.in/wp-content/uploads/2025/pdf/NIT_PE_Valve_Chamber&amp;Restoratuion_Work.pdf</t>
        </is>
      </c>
      <c r="U2117" t="inlineStr">
        <is>
          <t>No</t>
        </is>
      </c>
      <c r="V211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8">
      <c r="A2118" t="inlineStr">
        <is>
          <t>T-1922</t>
        </is>
      </c>
      <c r="B2118" t="inlineStr">
        <is>
          <t>Vadodara Gas Limited</t>
        </is>
      </c>
      <c r="C2118" t="inlineStr">
        <is>
          <t>Vadodara Gas Limited</t>
        </is>
      </c>
      <c r="D2118" t="inlineStr">
        <is>
          <t>VGL/CO/C</t>
        </is>
      </c>
      <c r="E2118" t="inlineStr">
        <is>
          <t>24/07/2023</t>
        </is>
      </c>
      <c r="F2118" t="inlineStr">
        <is>
          <t>New Lead</t>
        </is>
      </c>
      <c r="G2118" t="inlineStr">
        <is>
          <t>Unclassified</t>
        </is>
      </c>
      <c r="H2118" t="inlineStr">
        <is>
          <t>Notice Inviting Tender for
                “Hiring of Third-Party Agency for Recovery of Outstanding Debts for 24 Months vide Tender No.:
                VGL/CO/C&amp;P-BILLING/BD202306S029 Dated 24/07/2023 and Tender ID: 506710</t>
        </is>
      </c>
      <c r="K2118" t="inlineStr">
        <is>
          <t>Not found</t>
        </is>
      </c>
      <c r="L2118" t="inlineStr">
        <is>
          <t>Unknown</t>
        </is>
      </c>
      <c r="T2118" t="inlineStr">
        <is>
          <t>https://www.vgl.co.in/wp-content/uploads/2025/pdf/NIT_Recovery_S029.pdf</t>
        </is>
      </c>
      <c r="U2118" t="inlineStr">
        <is>
          <t>No</t>
        </is>
      </c>
      <c r="V2118" t="inlineStr">
        <is>
          <t>Bot tarafindan tespit edildi (2026-07-01); Bot tespit/zenginlestirme (2026-07-01); meta:score=35;priority=Low;source_type=html_link;closing_date=;equipment=Unclassified;reasons=document source,tender reference signal</t>
        </is>
      </c>
    </row>
    <row r="2119">
      <c r="A2119" t="inlineStr">
        <is>
          <t>T-1923</t>
        </is>
      </c>
      <c r="B2119" t="inlineStr">
        <is>
          <t>Vadodara Gas Limited</t>
        </is>
      </c>
      <c r="C2119" t="inlineStr">
        <is>
          <t>Vadodara Gas Limited</t>
        </is>
      </c>
      <c r="D2119" t="inlineStr">
        <is>
          <t>Tender No.: VGL/CO/C</t>
        </is>
      </c>
      <c r="E2119" t="inlineStr">
        <is>
          <t>20/07/2023</t>
        </is>
      </c>
      <c r="F2119" t="inlineStr">
        <is>
          <t>Awarded</t>
        </is>
      </c>
      <c r="G2119" t="inlineStr">
        <is>
          <t>Gas-related / review</t>
        </is>
      </c>
      <c r="H2119" t="inlineStr">
        <is>
          <t>Notice Inviting Tender for
                “Procurement ½” Ball Valve on ARC Basis for a Period of One Year vide Tender No.:
                VGL/CO/C&amp;P-PNG/BD202306P042 Dated 20/07/2023 and Tender ID: 605034</t>
        </is>
      </c>
      <c r="K2119" t="inlineStr">
        <is>
          <t>Not found</t>
        </is>
      </c>
      <c r="L2119" t="inlineStr">
        <is>
          <t>Unknown</t>
        </is>
      </c>
      <c r="T2119" t="inlineStr">
        <is>
          <t>https://www.vgl.co.in/wp-content/uploads/2025/pdf/NIT_BBV_P042.pdf</t>
        </is>
      </c>
      <c r="U2119" t="inlineStr">
        <is>
          <t>No</t>
        </is>
      </c>
      <c r="V211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0">
      <c r="A2120" t="inlineStr">
        <is>
          <t>T-1924</t>
        </is>
      </c>
      <c r="B2120" t="inlineStr">
        <is>
          <t>Vadodara Gas Limited</t>
        </is>
      </c>
      <c r="C2120" t="inlineStr">
        <is>
          <t>Vadodara Gas Limited</t>
        </is>
      </c>
      <c r="D2120" t="inlineStr">
        <is>
          <t>Polyester</t>
        </is>
      </c>
      <c r="E2120" t="inlineStr">
        <is>
          <t>20/07/2023</t>
        </is>
      </c>
      <c r="F2120" t="inlineStr">
        <is>
          <t>Awarded</t>
        </is>
      </c>
      <c r="G2120" t="inlineStr">
        <is>
          <t>Gas-related / review</t>
        </is>
      </c>
      <c r="H2120" t="inlineStr">
        <is>
          <t>Notice Inviting Tender for
                “Procurement of Galvanized Iron (GI) Pipe with Polyester Powder Coating of Various Sizes on Annual
                Rate Contract (ARC) Basis for a Period of One Year vide Tender No.: VGL/CO/C&amp;P-PNG/BD202306P038
                Dated 20/07/2023 and Tender ID: 605038</t>
        </is>
      </c>
      <c r="K2120" t="inlineStr">
        <is>
          <t>Not found</t>
        </is>
      </c>
      <c r="L2120" t="inlineStr">
        <is>
          <t>Unknown</t>
        </is>
      </c>
      <c r="T2120" t="inlineStr">
        <is>
          <t>https://www.vgl.co.in/wp-content/uploads/2025/pdf/NIT_GI_Pipe_P038.pdf</t>
        </is>
      </c>
      <c r="U2120" t="inlineStr">
        <is>
          <t>No</t>
        </is>
      </c>
      <c r="V212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1">
      <c r="A2121" t="inlineStr">
        <is>
          <t>T-1925</t>
        </is>
      </c>
      <c r="B2121" t="inlineStr">
        <is>
          <t>Vadodara Gas Limited</t>
        </is>
      </c>
      <c r="C2121" t="inlineStr">
        <is>
          <t>Vadodara Gas Limited</t>
        </is>
      </c>
      <c r="D2121" t="inlineStr">
        <is>
          <t>Tender No.: VGL/CO/C</t>
        </is>
      </c>
      <c r="E2121" t="inlineStr">
        <is>
          <t>30/06/2023</t>
        </is>
      </c>
      <c r="F2121" t="inlineStr">
        <is>
          <t>Awarded</t>
        </is>
      </c>
      <c r="G2121" t="inlineStr">
        <is>
          <t>Gas-related / review</t>
        </is>
      </c>
      <c r="H2121" t="inlineStr">
        <is>
          <t>Replies
                to Bidder's Queries for "Transportation of Natural Gas in the Compressed form through 8000 WL or Above
                Capacity Mobile Cascades for the Period of 36 Months vide Tender No.: VGL/CO/C&amp;P-PNG/BD202304S002_RI
                Dated 30/06/2023 and Tender ID: 601549</t>
        </is>
      </c>
      <c r="K2121" t="inlineStr">
        <is>
          <t>Not found</t>
        </is>
      </c>
      <c r="L2121" t="inlineStr">
        <is>
          <t>Unknown</t>
        </is>
      </c>
      <c r="T2121" t="inlineStr">
        <is>
          <t>https://www.vgl.co.in/wp-content/uploads/2025/pdf/REPLIES_TO_BIDDERS_QUERIES_REinvite.pdf</t>
        </is>
      </c>
      <c r="U2121" t="inlineStr">
        <is>
          <t>No</t>
        </is>
      </c>
      <c r="V21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2">
      <c r="A2122" t="inlineStr">
        <is>
          <t>T-1926</t>
        </is>
      </c>
      <c r="B2122" t="inlineStr">
        <is>
          <t>Vadodara Gas Limited</t>
        </is>
      </c>
      <c r="C2122" t="inlineStr">
        <is>
          <t>Vadodara Gas Limited</t>
        </is>
      </c>
      <c r="D2122" t="inlineStr">
        <is>
          <t>Tender No.: VGL/CO/C</t>
        </is>
      </c>
      <c r="E2122" t="inlineStr">
        <is>
          <t>24/06/2023</t>
        </is>
      </c>
      <c r="F2122" t="inlineStr">
        <is>
          <t>Awarded</t>
        </is>
      </c>
      <c r="G2122" t="inlineStr">
        <is>
          <t>Gas-related / review</t>
        </is>
      </c>
      <c r="H2122" t="inlineStr">
        <is>
          <t>Replies to Bidder's Queries for “Replies to Bidder's Queries for "Procurement of
                GI Fittings vide Tender No.: VGL/CO/C&amp;P-PNG/BD202306P032 Dated 24/06/2023 and Tender ID: 600708</t>
        </is>
      </c>
      <c r="K2122" t="inlineStr">
        <is>
          <t>Not found</t>
        </is>
      </c>
      <c r="L2122" t="inlineStr">
        <is>
          <t>Unknown</t>
        </is>
      </c>
      <c r="T2122" t="inlineStr">
        <is>
          <t>https://www.vgl.co.in/wp-content/uploads/2025/pdf/Replies-to-Bidders-queries-GI-Fitting.pdf</t>
        </is>
      </c>
      <c r="U2122" t="inlineStr">
        <is>
          <t>No</t>
        </is>
      </c>
      <c r="V21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3">
      <c r="A2123" t="inlineStr">
        <is>
          <t>T-1927</t>
        </is>
      </c>
      <c r="B2123" t="inlineStr">
        <is>
          <t>Vadodara Gas Limited</t>
        </is>
      </c>
      <c r="C2123" t="inlineStr">
        <is>
          <t>Vadodara Gas Limited</t>
        </is>
      </c>
      <c r="D2123" t="inlineStr">
        <is>
          <t>Tender No.: VGL/CO/C</t>
        </is>
      </c>
      <c r="E2123" t="inlineStr">
        <is>
          <t>04/07/2023</t>
        </is>
      </c>
      <c r="F2123" t="inlineStr">
        <is>
          <t>Awarded</t>
        </is>
      </c>
      <c r="G2123" t="inlineStr">
        <is>
          <t>Gas-related / review</t>
        </is>
      </c>
      <c r="H2123" t="inlineStr">
        <is>
          <t>Notice Inviting Tender
                for “Hiring the Services for Laying of Underground MDPE Pipeline Network in Vadodara GA Under Old
                Gas Infra Revamping and New D-PNG Connections Last Mile Connectivity in Vadodara GA vide Tender No.:
                VGL/CO/C&amp;P-PNG/BD202306S036 Dated 04/07/2023 and Tender ID: 602140</t>
        </is>
      </c>
      <c r="K2123" t="inlineStr">
        <is>
          <t>Not found</t>
        </is>
      </c>
      <c r="L2123" t="inlineStr">
        <is>
          <t>Unknown</t>
        </is>
      </c>
      <c r="T2123" t="inlineStr">
        <is>
          <t>https://www.vgl.co.in/wp-content/uploads/2025/pdf/NIT_PE_Laying_S036.pdf</t>
        </is>
      </c>
      <c r="U2123" t="inlineStr">
        <is>
          <t>No</t>
        </is>
      </c>
      <c r="V212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4">
      <c r="A2124" t="inlineStr">
        <is>
          <t>T-1928</t>
        </is>
      </c>
      <c r="B2124" t="inlineStr">
        <is>
          <t>Vadodara Gas Limited</t>
        </is>
      </c>
      <c r="C2124" t="inlineStr">
        <is>
          <t>Vadodara Gas Limited</t>
        </is>
      </c>
      <c r="D2124" t="inlineStr">
        <is>
          <t>VGL/CO/C</t>
        </is>
      </c>
      <c r="E2124" t="inlineStr">
        <is>
          <t>30/06/2023</t>
        </is>
      </c>
      <c r="F2124" t="inlineStr">
        <is>
          <t>New Lead</t>
        </is>
      </c>
      <c r="G2124" t="inlineStr">
        <is>
          <t>Gas-related / review</t>
        </is>
      </c>
      <c r="H2124" t="inlineStr">
        <is>
          <t>Notice Inviting Tender
                for “Hiring the Service for Providing the Departmental Works at VGL for a Period of Two Years vide
                Tender No.: VGL/CO/C&amp;P-PNG/BD202306S031 Dated 30/06/2023 and Tender ID: 601509 All the attached NIT
                are in order as per the above subject</t>
        </is>
      </c>
      <c r="K2124" t="inlineStr">
        <is>
          <t>Not found</t>
        </is>
      </c>
      <c r="L2124" t="inlineStr">
        <is>
          <t>Unknown</t>
        </is>
      </c>
      <c r="T2124" t="inlineStr">
        <is>
          <t>https://www.vgl.co.in/wp-content/uploads/2025/pdf/NIT_Dept_Works_S031.pdf</t>
        </is>
      </c>
      <c r="U2124" t="inlineStr">
        <is>
          <t>No</t>
        </is>
      </c>
      <c r="V2124" t="inlineStr">
        <is>
          <t>Bot tarafindan tespit edildi (2026-07-01); Bot tespit/zenginlestirme (2026-07-01); meta:score=50;priority=Medium;source_type=html_link;closing_date=;equipment=Gas-related / review;reasons=equipment:Gas-related / review,document source,tender reference signal</t>
        </is>
      </c>
    </row>
    <row r="2125">
      <c r="A2125" t="inlineStr">
        <is>
          <t>T-1929</t>
        </is>
      </c>
      <c r="B2125" t="inlineStr">
        <is>
          <t>Vadodara Gas Limited</t>
        </is>
      </c>
      <c r="C2125" t="inlineStr">
        <is>
          <t>Vadodara Gas Limited</t>
        </is>
      </c>
      <c r="D2125" t="inlineStr">
        <is>
          <t>VGL/CO/C</t>
        </is>
      </c>
      <c r="E2125" t="inlineStr">
        <is>
          <t>30/06/2023</t>
        </is>
      </c>
      <c r="F2125" t="inlineStr">
        <is>
          <t>New Lead</t>
        </is>
      </c>
      <c r="G2125" t="inlineStr">
        <is>
          <t>Gas-related / review</t>
        </is>
      </c>
      <c r="H2125" t="inlineStr">
        <is>
          <t>Notice Inviting Tender for
                “Hiring the Services for providing the above Ground GI Installation including Last Mile
                Connectivity at Consumer End for New Domestic PNG Connection vide Tender No.:
                VGL/CO/C&amp;P-PNG/BD202306S030 Dated 30/06/2023 and Tender ID: 601518</t>
        </is>
      </c>
      <c r="K2125" t="inlineStr">
        <is>
          <t>Not found</t>
        </is>
      </c>
      <c r="L2125" t="inlineStr">
        <is>
          <t>Unknown</t>
        </is>
      </c>
      <c r="T2125" t="inlineStr">
        <is>
          <t>https://www.vgl.co.in/wp-content/uploads/2025/pdf/NIT_D-PNG_S030.pdf</t>
        </is>
      </c>
      <c r="U2125" t="inlineStr">
        <is>
          <t>No</t>
        </is>
      </c>
      <c r="V2125" t="inlineStr">
        <is>
          <t>Bot tarafindan tespit edildi (2026-07-01); Bot tespit/zenginlestirme (2026-07-01); meta:score=50;priority=Medium;source_type=html_link;closing_date=;equipment=Gas-related / review;reasons=equipment:Gas-related / review,document source,tender reference signal</t>
        </is>
      </c>
    </row>
    <row r="2126">
      <c r="A2126" t="inlineStr">
        <is>
          <t>T-1930</t>
        </is>
      </c>
      <c r="B2126" t="inlineStr">
        <is>
          <t>Vadodara Gas Limited</t>
        </is>
      </c>
      <c r="C2126" t="inlineStr">
        <is>
          <t>Vadodara Gas Limited</t>
        </is>
      </c>
      <c r="D2126" t="inlineStr">
        <is>
          <t>VGL/CO/C</t>
        </is>
      </c>
      <c r="E2126" t="inlineStr">
        <is>
          <t>30/06/2023</t>
        </is>
      </c>
      <c r="F2126" t="inlineStr">
        <is>
          <t>New Lead</t>
        </is>
      </c>
      <c r="G2126" t="inlineStr">
        <is>
          <t>Gas-related / review</t>
        </is>
      </c>
      <c r="H2126" t="inlineStr">
        <is>
          <t>Notice Inviting Tender for
                “Purchase of 32mm &amp; 63mm MDPE Pipe on ARC Basis for a Period of 01 Year vide Tender No.:
                VGL/CO/C&amp;P-PNG/BD202306P033 Dated 30/06/2023 and Tender ID: 601516</t>
        </is>
      </c>
      <c r="K2126" t="inlineStr">
        <is>
          <t>Not found</t>
        </is>
      </c>
      <c r="L2126" t="inlineStr">
        <is>
          <t>Unknown</t>
        </is>
      </c>
      <c r="T2126" t="inlineStr">
        <is>
          <t>https://www.vgl.co.in/wp-content/uploads/2025/pdf/NIT_MDPE_P033.pdf</t>
        </is>
      </c>
      <c r="U2126" t="inlineStr">
        <is>
          <t>No</t>
        </is>
      </c>
      <c r="V2126" t="inlineStr">
        <is>
          <t>Bot tarafindan tespit edildi (2026-07-01); Bot tespit/zenginlestirme (2026-07-01); meta:score=50;priority=Medium;source_type=html_link;closing_date=;equipment=Gas-related / review;reasons=equipment:Gas-related / review,document source,tender reference signal</t>
        </is>
      </c>
    </row>
    <row r="2127">
      <c r="A2127" t="inlineStr">
        <is>
          <t>T-1931</t>
        </is>
      </c>
      <c r="B2127" t="inlineStr">
        <is>
          <t>Vadodara Gas Limited</t>
        </is>
      </c>
      <c r="C2127" t="inlineStr">
        <is>
          <t>Vadodara Gas Limited</t>
        </is>
      </c>
      <c r="D2127" t="inlineStr">
        <is>
          <t>VGL/CO/C</t>
        </is>
      </c>
      <c r="E2127" t="inlineStr">
        <is>
          <t>30/06/2023</t>
        </is>
      </c>
      <c r="F2127" t="inlineStr">
        <is>
          <t>New Lead</t>
        </is>
      </c>
      <c r="G2127" t="inlineStr">
        <is>
          <t>Gas-related / review</t>
        </is>
      </c>
      <c r="H2127" t="inlineStr">
        <is>
          <t>"Notice Inviting Tender for
                “Transportation of Natural Gas in the compressed form Through 8000 WL or above Capacity Mobile
                Cascades for the Period of 36 Months vide Tender No.: VGL/CO/C&amp;P-CNG/BD202304S002_RI Dated
                30/06/2023 and Tender ID: 601549</t>
        </is>
      </c>
      <c r="K2127" t="inlineStr">
        <is>
          <t>Not found</t>
        </is>
      </c>
      <c r="L2127" t="inlineStr">
        <is>
          <t>Unknown</t>
        </is>
      </c>
      <c r="T2127" t="inlineStr">
        <is>
          <t>https://www.vgl.co.in/wp-content/uploads/2025/pdf/NIT_LCV_S002_RI.pdf</t>
        </is>
      </c>
      <c r="U2127" t="inlineStr">
        <is>
          <t>No</t>
        </is>
      </c>
      <c r="V2127" t="inlineStr">
        <is>
          <t>Bot tarafindan tespit edildi (2026-07-01); Bot tespit/zenginlestirme (2026-07-01); meta:score=50;priority=Medium;source_type=html_link;closing_date=;equipment=Gas-related / review;reasons=equipment:Gas-related / review,document source,tender reference signal</t>
        </is>
      </c>
    </row>
    <row r="2128">
      <c r="A2128" t="inlineStr">
        <is>
          <t>T-1932</t>
        </is>
      </c>
      <c r="B2128" t="inlineStr">
        <is>
          <t>Vadodara Gas Limited</t>
        </is>
      </c>
      <c r="C2128" t="inlineStr">
        <is>
          <t>Vadodara Gas Limited</t>
        </is>
      </c>
      <c r="D2128" t="inlineStr">
        <is>
          <t>VGL/CO/C</t>
        </is>
      </c>
      <c r="E2128" t="inlineStr">
        <is>
          <t>30/06/2023</t>
        </is>
      </c>
      <c r="F2128" t="inlineStr">
        <is>
          <t>New Lead</t>
        </is>
      </c>
      <c r="G2128" t="inlineStr">
        <is>
          <t>Gas-related / review</t>
        </is>
      </c>
      <c r="H2128" t="inlineStr">
        <is>
          <t>"Notice Inviting Tender for
                “Transportation of Natural Gas in form of Compressed Gas through Mobile Cascade from Mother
                Station to Daughter Booster Station for a Period of 36 Months vide Tender No.:
                VGL/CO/C&amp;P-CNG/BD202303S038_RI Dated 30/06/2023 and Tender ID: 601550</t>
        </is>
      </c>
      <c r="K2128" t="inlineStr">
        <is>
          <t>Not found</t>
        </is>
      </c>
      <c r="L2128" t="inlineStr">
        <is>
          <t>Unknown</t>
        </is>
      </c>
      <c r="T2128" t="inlineStr">
        <is>
          <t>https://www.vgl.co.in/wp-content/uploads/2025/pdf/NIT_LCV_S038_RI.pdf</t>
        </is>
      </c>
      <c r="U2128" t="inlineStr">
        <is>
          <t>No</t>
        </is>
      </c>
      <c r="V2128" t="inlineStr">
        <is>
          <t>Bot tarafindan tespit edildi (2026-07-01); Bot tespit/zenginlestirme (2026-07-01); meta:score=50;priority=Medium;source_type=html_link;closing_date=;equipment=Gas-related / review;reasons=equipment:Gas-related / review,document source,tender reference signal</t>
        </is>
      </c>
    </row>
    <row r="2129">
      <c r="A2129" t="inlineStr">
        <is>
          <t>T-1933</t>
        </is>
      </c>
      <c r="B2129" t="inlineStr">
        <is>
          <t>Vadodara Gas Limited</t>
        </is>
      </c>
      <c r="C2129" t="inlineStr">
        <is>
          <t>Vadodara Gas Limited</t>
        </is>
      </c>
      <c r="D2129" t="inlineStr">
        <is>
          <t>VGL/CO/C</t>
        </is>
      </c>
      <c r="E2129" t="inlineStr">
        <is>
          <t>16/06/2023</t>
        </is>
      </c>
      <c r="F2129" t="inlineStr">
        <is>
          <t>New Lead</t>
        </is>
      </c>
      <c r="G2129" t="inlineStr">
        <is>
          <t>Gas-related / review</t>
        </is>
      </c>
      <c r="H2129" t="inlineStr">
        <is>
          <t>"Extension in Bid
                Submission Due Date for “Hiring of Services for Forecourt Operation of CNG Mother Station at
                Dashrath, Vadodara for the Period of Three Years vide Tender No.: VGL/CO/C&amp;P-CNG/BD202306S027 Dated
                16/06/2023 Tender ID: 599305</t>
        </is>
      </c>
      <c r="K2129" t="inlineStr">
        <is>
          <t>Not found</t>
        </is>
      </c>
      <c r="L2129" t="inlineStr">
        <is>
          <t>Unknown</t>
        </is>
      </c>
      <c r="M2129" t="n">
        <v>11</v>
      </c>
      <c r="T2129" t="inlineStr">
        <is>
          <t>https://www.vgl.co.in/wp-content/uploads/2025/pdf/Extension_NIT_FC_DS.pdf</t>
        </is>
      </c>
      <c r="U2129" t="inlineStr">
        <is>
          <t>No</t>
        </is>
      </c>
      <c r="V2129"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0">
      <c r="A2130" t="inlineStr">
        <is>
          <t>T-1934</t>
        </is>
      </c>
      <c r="B2130" t="inlineStr">
        <is>
          <t>Vadodara Gas Limited</t>
        </is>
      </c>
      <c r="C2130" t="inlineStr">
        <is>
          <t>Vadodara Gas Limited</t>
        </is>
      </c>
      <c r="D2130" t="inlineStr">
        <is>
          <t>VGL/CO/C</t>
        </is>
      </c>
      <c r="E2130" t="inlineStr">
        <is>
          <t>16/06/2023</t>
        </is>
      </c>
      <c r="F2130" t="inlineStr">
        <is>
          <t>New Lead</t>
        </is>
      </c>
      <c r="G2130" t="inlineStr">
        <is>
          <t>Gas-related / review</t>
        </is>
      </c>
      <c r="H2130" t="inlineStr">
        <is>
          <t>"Extension in Bid
                Submission Due Date for “Hiring of Services for Forecourt Operation of CNG Mother Station at
                Nizampura, Vadodara for the Period of Three Years vide Tender No.: VGL/CO/C&amp;P-CNG/BD202306S026 Dated
                16/06/2023 Tender ID: 599286</t>
        </is>
      </c>
      <c r="K2130" t="inlineStr">
        <is>
          <t>Not found</t>
        </is>
      </c>
      <c r="L2130" t="inlineStr">
        <is>
          <t>Unknown</t>
        </is>
      </c>
      <c r="M2130" t="n">
        <v>11</v>
      </c>
      <c r="T2130" t="inlineStr">
        <is>
          <t>https://www.vgl.co.in/wp-content/uploads/2025/pdf/Extension_NIT_FC_NZ.pdf</t>
        </is>
      </c>
      <c r="U2130" t="inlineStr">
        <is>
          <t>No</t>
        </is>
      </c>
      <c r="V2130"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1">
      <c r="A2131" t="inlineStr">
        <is>
          <t>T-1935</t>
        </is>
      </c>
      <c r="B2131" t="inlineStr">
        <is>
          <t>Vadodara Gas Limited</t>
        </is>
      </c>
      <c r="C2131" t="inlineStr">
        <is>
          <t>Vadodara Gas Limited</t>
        </is>
      </c>
      <c r="D2131" t="inlineStr">
        <is>
          <t>VGL/CO/C</t>
        </is>
      </c>
      <c r="E2131" t="inlineStr">
        <is>
          <t>24/06/2023</t>
        </is>
      </c>
      <c r="F2131" t="inlineStr">
        <is>
          <t>New Lead</t>
        </is>
      </c>
      <c r="G2131" t="inlineStr">
        <is>
          <t>Gas-related / review</t>
        </is>
      </c>
      <c r="H2131" t="inlineStr">
        <is>
          <t>Notice Inviting Tender
                for “Procurement of GI Fittings (Tender No.: VGL/CO/C&amp;P-PNG/BD202306P032 Dated 24/06/2023 and
                Tender ID: 600708)</t>
        </is>
      </c>
      <c r="K2131" t="inlineStr">
        <is>
          <t>Not found</t>
        </is>
      </c>
      <c r="L2131" t="inlineStr">
        <is>
          <t>Unknown</t>
        </is>
      </c>
      <c r="T2131" t="inlineStr">
        <is>
          <t>https://www.vgl.co.in/wp-content/uploads/2025/pdf/NIT_GI_Fittings_P032.pdf</t>
        </is>
      </c>
      <c r="U2131" t="inlineStr">
        <is>
          <t>No</t>
        </is>
      </c>
      <c r="V2131" t="inlineStr">
        <is>
          <t>Bot tarafindan tespit edildi (2026-07-01); Bot tespit/zenginlestirme (2026-07-01); meta:score=50;priority=Medium;source_type=html_link;closing_date=;equipment=Gas-related / review;reasons=equipment:Gas-related / review,document source,tender reference signal</t>
        </is>
      </c>
    </row>
    <row r="2132">
      <c r="A2132" t="inlineStr">
        <is>
          <t>T-1936</t>
        </is>
      </c>
      <c r="B2132" t="inlineStr">
        <is>
          <t>Vadodara Gas Limited</t>
        </is>
      </c>
      <c r="C2132" t="inlineStr">
        <is>
          <t>Vadodara Gas Limited</t>
        </is>
      </c>
      <c r="D2132" t="inlineStr">
        <is>
          <t>VGL/CO/C</t>
        </is>
      </c>
      <c r="E2132" t="inlineStr">
        <is>
          <t>03/06/2023</t>
        </is>
      </c>
      <c r="F2132" t="inlineStr">
        <is>
          <t>New Lead</t>
        </is>
      </c>
      <c r="G2132" t="inlineStr">
        <is>
          <t>Gas-related / review</t>
        </is>
      </c>
      <c r="H2132" t="inlineStr">
        <is>
          <t>"Extension in Bid
                Submission Due Date for “Hiring of Services for Third Party Inspection Agency (TPI) for Quality
                Assurance of PE PNG Last Mile Connectivity of Vadodara Gas Limited Works on Arc Basis for a Period of
                Two Years vide Tender No.: VGL/CO/C&amp;P-PNG/BD202305S022 Dated 03/06/2023 &amp; Tender ID: 596921</t>
        </is>
      </c>
      <c r="K2132" t="inlineStr">
        <is>
          <t>Not found</t>
        </is>
      </c>
      <c r="L2132" t="inlineStr">
        <is>
          <t>Unknown</t>
        </is>
      </c>
      <c r="M2132" t="n">
        <v>7</v>
      </c>
      <c r="T2132" t="inlineStr">
        <is>
          <t>https://www.vgl.co.in/wp-content/uploads/2025/pdf/Extension_NIT_TPIA.pdf</t>
        </is>
      </c>
      <c r="U2132" t="inlineStr">
        <is>
          <t>No</t>
        </is>
      </c>
      <c r="V2132"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3">
      <c r="A2133" t="inlineStr">
        <is>
          <t>T-1937</t>
        </is>
      </c>
      <c r="B2133" t="inlineStr">
        <is>
          <t>Vadodara Gas Limited</t>
        </is>
      </c>
      <c r="C2133" t="inlineStr">
        <is>
          <t>Vadodara Gas Limited</t>
        </is>
      </c>
      <c r="D2133" t="inlineStr">
        <is>
          <t>VGL/CO/C</t>
        </is>
      </c>
      <c r="E2133" t="inlineStr">
        <is>
          <t>03/06/2023</t>
        </is>
      </c>
      <c r="F2133" t="inlineStr">
        <is>
          <t>New Lead</t>
        </is>
      </c>
      <c r="G2133" t="inlineStr">
        <is>
          <t>Gas-related / review</t>
        </is>
      </c>
      <c r="H2133" t="inlineStr">
        <is>
          <t>"Extension in Bid
                Submission Due Date for “Procurement of FRP Frames for PE Valve Chambers vide Tender No.:
                VGL/CO/C&amp;P-PNG/BD202305P014 Dated 03/06/2023 &amp; Tender ID: 596916</t>
        </is>
      </c>
      <c r="K2133" t="inlineStr">
        <is>
          <t>Not found</t>
        </is>
      </c>
      <c r="L2133" t="inlineStr">
        <is>
          <t>Unknown</t>
        </is>
      </c>
      <c r="M2133" t="n">
        <v>28</v>
      </c>
      <c r="T2133" t="inlineStr">
        <is>
          <t>https://www.vgl.co.in/wp-content/uploads/2025/pdf/Extension_NIT_FRP.pdf</t>
        </is>
      </c>
      <c r="U2133" t="inlineStr">
        <is>
          <t>No</t>
        </is>
      </c>
      <c r="V2133"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4">
      <c r="A2134" t="inlineStr">
        <is>
          <t>T-1938</t>
        </is>
      </c>
      <c r="B2134" t="inlineStr">
        <is>
          <t>Vadodara Gas Limited</t>
        </is>
      </c>
      <c r="C2134" t="inlineStr">
        <is>
          <t>Vadodara Gas Limited</t>
        </is>
      </c>
      <c r="D2134" t="inlineStr">
        <is>
          <t>VGL/CO/C</t>
        </is>
      </c>
      <c r="E2134" t="inlineStr">
        <is>
          <t>26/05/2023</t>
        </is>
      </c>
      <c r="F2134" t="inlineStr">
        <is>
          <t>New Lead</t>
        </is>
      </c>
      <c r="G2134" t="inlineStr">
        <is>
          <t>Gas-related / review</t>
        </is>
      </c>
      <c r="H2134" t="inlineStr">
        <is>
          <t>"Extension in Bid
                Submission Due Date for “Hiring of AMC Service for Cathodic Protection (CP) System of VGL Steel
                Pipeline Network vide Tender No.: VGL/CO/C&amp;P-PNG/BD202305S010 Dated 26/05/2023 &amp; Tender ID:
                595287</t>
        </is>
      </c>
      <c r="K2134" t="inlineStr">
        <is>
          <t>Not found</t>
        </is>
      </c>
      <c r="L2134" t="inlineStr">
        <is>
          <t>Unknown</t>
        </is>
      </c>
      <c r="M2134" t="n">
        <v>28</v>
      </c>
      <c r="T2134" t="inlineStr">
        <is>
          <t>https://www.vgl.co.in/wp-content/uploads/2025/pdf/Extension_NIT_CP.pdf</t>
        </is>
      </c>
      <c r="U2134" t="inlineStr">
        <is>
          <t>No</t>
        </is>
      </c>
      <c r="V2134" t="inlineStr">
        <is>
          <t>Bot tarafindan tespit edildi (2026-07-01); Bot tespit/zenginlestirme (2026-07-01); meta:score=60;priority=Medium;source_type=html_link;closing_date=26/05/2023;equipment=Gas-related / review;reasons=equipment:Gas-related / review,document source,tender reference signal,closing date signal</t>
        </is>
      </c>
    </row>
    <row r="2135">
      <c r="A2135" t="inlineStr">
        <is>
          <t>T-1939</t>
        </is>
      </c>
      <c r="B2135" t="inlineStr">
        <is>
          <t>Vadodara Gas Limited</t>
        </is>
      </c>
      <c r="C2135" t="inlineStr">
        <is>
          <t>Vadodara Gas Limited</t>
        </is>
      </c>
      <c r="D2135" t="inlineStr">
        <is>
          <t>VGL/CO/C</t>
        </is>
      </c>
      <c r="E2135" t="inlineStr">
        <is>
          <t>03/06/2023</t>
        </is>
      </c>
      <c r="F2135" t="inlineStr">
        <is>
          <t>New Lead</t>
        </is>
      </c>
      <c r="G2135" t="inlineStr">
        <is>
          <t>Gas-related / review</t>
        </is>
      </c>
      <c r="H2135" t="inlineStr">
        <is>
          <t>"Extension in Bid
                Submission Due Date for “ARC for Civil, Electrical and Mechanical Work for the Period of 01 Year
                vide Tender No.: VGL/CO/C&amp;P-PNG/BD202305S013 Dated 03/06/2023 &amp; Tender ID: 596928</t>
        </is>
      </c>
      <c r="K2135" t="inlineStr">
        <is>
          <t>Not found</t>
        </is>
      </c>
      <c r="L2135" t="inlineStr">
        <is>
          <t>Unknown</t>
        </is>
      </c>
      <c r="M2135" t="n">
        <v>28</v>
      </c>
      <c r="T2135" t="inlineStr">
        <is>
          <t>https://www.vgl.co.in/wp-content/uploads/2025/pdf/Extension_NIT_ARC.pdf</t>
        </is>
      </c>
      <c r="U2135" t="inlineStr">
        <is>
          <t>No</t>
        </is>
      </c>
      <c r="V2135"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6">
      <c r="A2136" t="inlineStr">
        <is>
          <t>T-1940</t>
        </is>
      </c>
      <c r="B2136" t="inlineStr">
        <is>
          <t>Vadodara Gas Limited</t>
        </is>
      </c>
      <c r="C2136" t="inlineStr">
        <is>
          <t>Vadodara Gas Limited</t>
        </is>
      </c>
      <c r="D2136" t="inlineStr">
        <is>
          <t>VGL/CO/C</t>
        </is>
      </c>
      <c r="E2136" t="inlineStr">
        <is>
          <t>16/06/2023</t>
        </is>
      </c>
      <c r="F2136" t="inlineStr">
        <is>
          <t>New Lead</t>
        </is>
      </c>
      <c r="G2136" t="inlineStr">
        <is>
          <t>Gas-related / review</t>
        </is>
      </c>
      <c r="H2136" t="inlineStr">
        <is>
          <t>Notice Inviting Tender
                for “Hiring of Services for Forecourt Operation of CNG Mother Station at Dashrath, Vadodara for
                the Period of Three Years (Tender No.: VGL/CO/C&amp;P-CNG/BD202306S027 Dated 16/06/2023 and Tender ID:
                599305</t>
        </is>
      </c>
      <c r="K2136" t="inlineStr">
        <is>
          <t>Not found</t>
        </is>
      </c>
      <c r="L2136" t="inlineStr">
        <is>
          <t>Unknown</t>
        </is>
      </c>
      <c r="T2136" t="inlineStr">
        <is>
          <t>https://www.vgl.co.in/wp-content/uploads/2025/pdf/NIT_FC DS S027 23-24.pdf</t>
        </is>
      </c>
      <c r="U2136" t="inlineStr">
        <is>
          <t>No</t>
        </is>
      </c>
      <c r="V2136" t="inlineStr">
        <is>
          <t>Bot tarafindan tespit edildi (2026-07-01); Bot tespit/zenginlestirme (2026-07-01); meta:score=50;priority=Medium;source_type=html_link;closing_date=;equipment=Gas-related / review;reasons=equipment:Gas-related / review,document source,tender reference signal</t>
        </is>
      </c>
    </row>
    <row r="2137">
      <c r="A2137" t="inlineStr">
        <is>
          <t>T-1941</t>
        </is>
      </c>
      <c r="B2137" t="inlineStr">
        <is>
          <t>Vadodara Gas Limited</t>
        </is>
      </c>
      <c r="C2137" t="inlineStr">
        <is>
          <t>Vadodara Gas Limited</t>
        </is>
      </c>
      <c r="D2137" t="inlineStr">
        <is>
          <t>VGL/CO/C</t>
        </is>
      </c>
      <c r="E2137" t="inlineStr">
        <is>
          <t>16/06/2023</t>
        </is>
      </c>
      <c r="F2137" t="inlineStr">
        <is>
          <t>New Lead</t>
        </is>
      </c>
      <c r="G2137" t="inlineStr">
        <is>
          <t>Gas-related / review</t>
        </is>
      </c>
      <c r="H2137" t="inlineStr">
        <is>
          <t>Notice Inviting Tender
                for “Hiring of Services for Forecourt Operation of CNG Mother Station at Nizampura, Vadodara for
                the Period of Three Years (Tender No.: VGL/CO/C&amp;P-CNG/BD202306S026 Dated 16/06/2023 and Tender ID:
                599286</t>
        </is>
      </c>
      <c r="K2137" t="inlineStr">
        <is>
          <t>Not found</t>
        </is>
      </c>
      <c r="L2137" t="inlineStr">
        <is>
          <t>Unknown</t>
        </is>
      </c>
      <c r="T2137" t="inlineStr">
        <is>
          <t>https://www.vgl.co.in/wp-content/uploads/2025/pdf/NIT_FC NZ S026 23-24.pdf</t>
        </is>
      </c>
      <c r="U2137" t="inlineStr">
        <is>
          <t>No</t>
        </is>
      </c>
      <c r="V2137" t="inlineStr">
        <is>
          <t>Bot tarafindan tespit edildi (2026-07-01); Bot tespit/zenginlestirme (2026-07-01); meta:score=50;priority=Medium;source_type=html_link;closing_date=;equipment=Gas-related / review;reasons=equipment:Gas-related / review,document source,tender reference signal</t>
        </is>
      </c>
    </row>
    <row r="2138">
      <c r="A2138" t="inlineStr">
        <is>
          <t>T-1942</t>
        </is>
      </c>
      <c r="B2138" t="inlineStr">
        <is>
          <t>Vadodara Gas Limited</t>
        </is>
      </c>
      <c r="C2138" t="inlineStr">
        <is>
          <t>Vadodara Gas Limited</t>
        </is>
      </c>
      <c r="D2138" t="inlineStr">
        <is>
          <t>VGL/CO/C</t>
        </is>
      </c>
      <c r="E2138" t="inlineStr">
        <is>
          <t>03/06/2023</t>
        </is>
      </c>
      <c r="F2138" t="inlineStr">
        <is>
          <t>New Lead</t>
        </is>
      </c>
      <c r="G2138" t="inlineStr">
        <is>
          <t>Gas-related / review</t>
        </is>
      </c>
      <c r="H2138" t="inlineStr">
        <is>
          <t>Notice Inviting Tender for “Procurement of FRP Frames for PE Valve Chambers
                (Tender No.: VGL/CO/C&amp;P-PNG/BD202305P014 Dated 03/06/2023 and Tender ID: 596916)</t>
        </is>
      </c>
      <c r="K2138" t="inlineStr">
        <is>
          <t>Not found</t>
        </is>
      </c>
      <c r="L2138" t="inlineStr">
        <is>
          <t>Unknown</t>
        </is>
      </c>
      <c r="T2138" t="inlineStr">
        <is>
          <t>https://www.vgl.co.in/wp-content/uploads/2025/pdf/NIT_FRP.pdf</t>
        </is>
      </c>
      <c r="U2138" t="inlineStr">
        <is>
          <t>No</t>
        </is>
      </c>
      <c r="V2138" t="inlineStr">
        <is>
          <t>Bot tarafindan tespit edildi (2026-07-01); Bot tespit/zenginlestirme (2026-07-01); meta:score=50;priority=Medium;source_type=html_link;closing_date=;equipment=Gas-related / review;reasons=equipment:Gas-related / review,document source,tender reference signal</t>
        </is>
      </c>
    </row>
    <row r="2139">
      <c r="A2139" t="inlineStr">
        <is>
          <t>T-1943</t>
        </is>
      </c>
      <c r="B2139" t="inlineStr">
        <is>
          <t>Vadodara Gas Limited</t>
        </is>
      </c>
      <c r="C2139" t="inlineStr">
        <is>
          <t>Vadodara Gas Limited</t>
        </is>
      </c>
      <c r="D2139" t="inlineStr">
        <is>
          <t>VGL/CO/C</t>
        </is>
      </c>
      <c r="E2139" t="inlineStr">
        <is>
          <t>03/06/2023</t>
        </is>
      </c>
      <c r="F2139" t="inlineStr">
        <is>
          <t>New Lead</t>
        </is>
      </c>
      <c r="G2139" t="inlineStr">
        <is>
          <t>Gas-related / review</t>
        </is>
      </c>
      <c r="H2139" t="inlineStr">
        <is>
          <t>Notice Inviting Tender
                for “ARC for Civil, Electrical and Mechanical Work for the Period of 01 Year (Tender No.:
                VGL/CO/C&amp;P-PNG/BD202305S013 Dated 03/06/2023 and Tender ID: 596928)</t>
        </is>
      </c>
      <c r="K2139" t="inlineStr">
        <is>
          <t>Not found</t>
        </is>
      </c>
      <c r="L2139" t="inlineStr">
        <is>
          <t>Unknown</t>
        </is>
      </c>
      <c r="T2139" t="inlineStr">
        <is>
          <t>https://www.vgl.co.in/wp-content/uploads/2025/pdf/NIT_ARC Civil S013.pdf</t>
        </is>
      </c>
      <c r="U2139" t="inlineStr">
        <is>
          <t>No</t>
        </is>
      </c>
      <c r="V2139" t="inlineStr">
        <is>
          <t>Bot tarafindan tespit edildi (2026-07-01); Bot tespit/zenginlestirme (2026-07-01); meta:score=50;priority=Medium;source_type=html_link;closing_date=;equipment=Gas-related / review;reasons=equipment:Gas-related / review,document source,tender reference signal</t>
        </is>
      </c>
    </row>
    <row r="2140">
      <c r="A2140" t="inlineStr">
        <is>
          <t>T-1944</t>
        </is>
      </c>
      <c r="B2140" t="inlineStr">
        <is>
          <t>Vadodara Gas Limited</t>
        </is>
      </c>
      <c r="C2140" t="inlineStr">
        <is>
          <t>Vadodara Gas Limited</t>
        </is>
      </c>
      <c r="D2140" t="inlineStr">
        <is>
          <t>VGL/CO/C</t>
        </is>
      </c>
      <c r="E2140" t="inlineStr">
        <is>
          <t>03/06/2023</t>
        </is>
      </c>
      <c r="F2140" t="inlineStr">
        <is>
          <t>New Lead</t>
        </is>
      </c>
      <c r="G2140" t="inlineStr">
        <is>
          <t>Gas-related / review</t>
        </is>
      </c>
      <c r="H2140" t="inlineStr">
        <is>
          <t>Notice Inviting Tender for
                “Hiring of Services for Third Party Inspection Agency (TPI) for Quality Assurance of PE PNG Last
                Mile Connectivity of Vadodara Gas Limited Works on Arc Basis for a Period of Two Years (Tender No.:
                VGL/CO/C&amp;P-PNG/BD202305S022 Dated 03/06/2023 and Tender ID: 596921)</t>
        </is>
      </c>
      <c r="K2140" t="inlineStr">
        <is>
          <t>Not found</t>
        </is>
      </c>
      <c r="L2140" t="inlineStr">
        <is>
          <t>Unknown</t>
        </is>
      </c>
      <c r="T2140" t="inlineStr">
        <is>
          <t>https://www.vgl.co.in/wp-content/uploads/2025/pdf/NIT_TPI 23-24.pdf</t>
        </is>
      </c>
      <c r="U2140" t="inlineStr">
        <is>
          <t>No</t>
        </is>
      </c>
      <c r="V2140" t="inlineStr">
        <is>
          <t>Bot tarafindan tespit edildi (2026-07-01); Bot tespit/zenginlestirme (2026-07-01); meta:score=50;priority=Medium;source_type=html_link;closing_date=;equipment=Gas-related / review;reasons=equipment:Gas-related / review,document source,tender reference signal</t>
        </is>
      </c>
    </row>
    <row r="2141">
      <c r="A2141" t="inlineStr">
        <is>
          <t>T-1945</t>
        </is>
      </c>
      <c r="B2141" t="inlineStr">
        <is>
          <t>Vadodara Gas Limited</t>
        </is>
      </c>
      <c r="C2141" t="inlineStr">
        <is>
          <t>Vadodara Gas Limited</t>
        </is>
      </c>
      <c r="D2141" t="inlineStr">
        <is>
          <t>VGL/CO/C</t>
        </is>
      </c>
      <c r="E2141" t="inlineStr">
        <is>
          <t>26/05/2023</t>
        </is>
      </c>
      <c r="F2141" t="inlineStr">
        <is>
          <t>New Lead</t>
        </is>
      </c>
      <c r="G2141" t="inlineStr">
        <is>
          <t>Gas-related / review</t>
        </is>
      </c>
      <c r="H2141" t="inlineStr">
        <is>
          <t>Notice inviting Tender
                for “Hiring of AMC Service for Cathodic Protection (CP) System of VGL Steel Pipeline
                Network”. (Tender No.: VGL/CO/C&amp;P-PNG/BD202305S010 Dated 26/05/2023 and Tender ID: 595287)</t>
        </is>
      </c>
      <c r="K2141" t="inlineStr">
        <is>
          <t>Not found</t>
        </is>
      </c>
      <c r="L2141" t="inlineStr">
        <is>
          <t>Unknown</t>
        </is>
      </c>
      <c r="T2141" t="inlineStr">
        <is>
          <t>https://www.vgl.co.in/wp-content/uploads/2025/pdf/NIT_AMC_CP_26-05-23.pdf</t>
        </is>
      </c>
      <c r="U2141" t="inlineStr">
        <is>
          <t>No</t>
        </is>
      </c>
      <c r="V2141" t="inlineStr">
        <is>
          <t>Bot tarafindan tespit edildi (2026-07-01); Bot tespit/zenginlestirme (2026-07-01); meta:score=50;priority=Medium;source_type=html_link;closing_date=;equipment=Gas-related / review;reasons=equipment:Gas-related / review,document source,tender reference signal</t>
        </is>
      </c>
    </row>
    <row r="2142">
      <c r="A2142" t="inlineStr">
        <is>
          <t>T-1946</t>
        </is>
      </c>
      <c r="B2142" t="inlineStr">
        <is>
          <t>Vadodara Gas Limited</t>
        </is>
      </c>
      <c r="C2142" t="inlineStr">
        <is>
          <t>Vadodara Gas Limited</t>
        </is>
      </c>
      <c r="D2142" t="inlineStr">
        <is>
          <t>VGL/CO/C</t>
        </is>
      </c>
      <c r="E2142" t="inlineStr">
        <is>
          <t>05/05/2023</t>
        </is>
      </c>
      <c r="F2142" t="inlineStr">
        <is>
          <t>New Lead</t>
        </is>
      </c>
      <c r="G2142" t="inlineStr">
        <is>
          <t>Gas-related / review</t>
        </is>
      </c>
      <c r="H2142" t="inlineStr">
        <is>
          <t>Replies
                to Bidder's Queries for "Hiring of Services for Forecourt Operation of CNG Mother Station at Racecourse,
                Vadodara for the Period of Three Years”. (Tender No.: VGL/CO/C&amp;P-PNG/BD202304S005 Dated
                05/05/2023 and Tender ID: 589862)</t>
        </is>
      </c>
      <c r="K2142" t="inlineStr">
        <is>
          <t>Not found</t>
        </is>
      </c>
      <c r="L2142" t="inlineStr">
        <is>
          <t>Unknown</t>
        </is>
      </c>
      <c r="T2142" t="inlineStr">
        <is>
          <t>https://www.vgl.co.in/wp-content/uploads/2025/pdf/REPLIES_TO_BIDDERS_QUERIES_22_05_23.pdf</t>
        </is>
      </c>
      <c r="U2142" t="inlineStr">
        <is>
          <t>No</t>
        </is>
      </c>
      <c r="V2142" t="inlineStr">
        <is>
          <t>Bot tarafindan tespit edildi (2026-07-01); Bot tespit/zenginlestirme (2026-07-01); meta:score=50;priority=Medium;source_type=html_link;closing_date=;equipment=Gas-related / review;reasons=equipment:Gas-related / review,document source,tender reference signal</t>
        </is>
      </c>
    </row>
    <row r="2143">
      <c r="A2143" t="inlineStr">
        <is>
          <t>T-1947</t>
        </is>
      </c>
      <c r="B2143" t="inlineStr">
        <is>
          <t>Vadodara Gas Limited</t>
        </is>
      </c>
      <c r="C2143" t="inlineStr">
        <is>
          <t>Vadodara Gas Limited</t>
        </is>
      </c>
      <c r="D2143" t="inlineStr">
        <is>
          <t>VGL/CO/C</t>
        </is>
      </c>
      <c r="E2143" t="inlineStr">
        <is>
          <t>29/04/2023</t>
        </is>
      </c>
      <c r="F2143" t="inlineStr">
        <is>
          <t>New Lead</t>
        </is>
      </c>
      <c r="G2143" t="inlineStr">
        <is>
          <t>Gas-related / review</t>
        </is>
      </c>
      <c r="H2143" t="inlineStr">
        <is>
          <t>Replies to
                Bidder's Queries for “Hiring the Services for Old Network Infrastructure Revamping and Annual
                Maintenance of Existing PNG Connection in Vadodara vide Tender No.: VGL/CO/C&amp;P-CNG/BD202304S003
                Dated 29/04/2023 &amp; Tender ID: 589372</t>
        </is>
      </c>
      <c r="K2143" t="inlineStr">
        <is>
          <t>Not found</t>
        </is>
      </c>
      <c r="L2143" t="inlineStr">
        <is>
          <t>Unknown</t>
        </is>
      </c>
      <c r="T2143" t="inlineStr">
        <is>
          <t>https://www.vgl.co.in/wp-content/uploads/2025/pdf/REPLIES_TO_BIDDERS_QUERIES-AMC.pdf</t>
        </is>
      </c>
      <c r="U2143" t="inlineStr">
        <is>
          <t>No</t>
        </is>
      </c>
      <c r="V2143" t="inlineStr">
        <is>
          <t>Bot tarafindan tespit edildi (2026-07-01); Bot tespit/zenginlestirme (2026-07-01); meta:score=50;priority=Medium;source_type=html_link;closing_date=;equipment=Gas-related / review;reasons=equipment:Gas-related / review,document source,tender reference signal</t>
        </is>
      </c>
    </row>
    <row r="2144">
      <c r="A2144" t="inlineStr">
        <is>
          <t>T-1948</t>
        </is>
      </c>
      <c r="B2144" t="inlineStr">
        <is>
          <t>Vadodara Gas Limited</t>
        </is>
      </c>
      <c r="C2144" t="inlineStr">
        <is>
          <t>Vadodara Gas Limited</t>
        </is>
      </c>
      <c r="D2144" t="inlineStr">
        <is>
          <t>VGL/CO/C</t>
        </is>
      </c>
      <c r="E2144" t="inlineStr">
        <is>
          <t>29/04/2023</t>
        </is>
      </c>
      <c r="F2144" t="inlineStr">
        <is>
          <t>New Lead</t>
        </is>
      </c>
      <c r="G2144" t="inlineStr">
        <is>
          <t>Gas-related / review</t>
        </is>
      </c>
      <c r="H2144" t="inlineStr">
        <is>
          <t>Extension in Bid
                Submission Due Date for “Hiring the Services for Old Network Infrastructure Revamping and Annual
                Maintenance of Existing PNG Connection in Vadodara vide Tender No.: VGL/CO/C&amp;P-CNG/BD202304S003
                Dated 29/04/2023 &amp; Tender ID: 589372</t>
        </is>
      </c>
      <c r="K2144" t="inlineStr">
        <is>
          <t>Not found</t>
        </is>
      </c>
      <c r="L2144" t="inlineStr">
        <is>
          <t>Unknown</t>
        </is>
      </c>
      <c r="T2144" t="inlineStr">
        <is>
          <t>https://www.vgl.co.in/wp-content/uploads/2025/pdf/Extension-Due-Date-AMC.pdf</t>
        </is>
      </c>
      <c r="U2144" t="inlineStr">
        <is>
          <t>No</t>
        </is>
      </c>
      <c r="V2144"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5">
      <c r="A2145" t="inlineStr">
        <is>
          <t>T-1949</t>
        </is>
      </c>
      <c r="B2145" t="inlineStr">
        <is>
          <t>Vadodara Gas Limited</t>
        </is>
      </c>
      <c r="C2145" t="inlineStr">
        <is>
          <t>Vadodara Gas Limited</t>
        </is>
      </c>
      <c r="D2145" t="inlineStr">
        <is>
          <t>VGL/CO/C</t>
        </is>
      </c>
      <c r="E2145" t="inlineStr">
        <is>
          <t>29/04/2023</t>
        </is>
      </c>
      <c r="F2145" t="inlineStr">
        <is>
          <t>New Lead</t>
        </is>
      </c>
      <c r="G2145" t="inlineStr">
        <is>
          <t>Gas-related / review</t>
        </is>
      </c>
      <c r="H2145" t="inlineStr">
        <is>
          <t>Replies to
                Bidder's Queries for “Hiring the Services for Providing the Above Ground GI Installation including
                Last Mile at Consumer End for New Domestic PNG Connection vide Tender No.:
                VGL/CO/C&amp;P-CNG/BD202304S004 Dated 29/04/2023 &amp; Tender ID: 589430</t>
        </is>
      </c>
      <c r="K2145" t="inlineStr">
        <is>
          <t>Not found</t>
        </is>
      </c>
      <c r="L2145" t="inlineStr">
        <is>
          <t>Unknown</t>
        </is>
      </c>
      <c r="T2145" t="inlineStr">
        <is>
          <t>https://www.vgl.co.in/wp-content/uploads/2025/pdf/REPLIES_TO_BIDDERS_QUERIES-D-PNG.pdf</t>
        </is>
      </c>
      <c r="U2145" t="inlineStr">
        <is>
          <t>No</t>
        </is>
      </c>
      <c r="V2145" t="inlineStr">
        <is>
          <t>Bot tarafindan tespit edildi (2026-07-01); Bot tespit/zenginlestirme (2026-07-01); meta:score=50;priority=Medium;source_type=html_link;closing_date=;equipment=Gas-related / review;reasons=equipment:Gas-related / review,document source,tender reference signal</t>
        </is>
      </c>
    </row>
    <row r="2146">
      <c r="A2146" t="inlineStr">
        <is>
          <t>T-1950</t>
        </is>
      </c>
      <c r="B2146" t="inlineStr">
        <is>
          <t>Vadodara Gas Limited</t>
        </is>
      </c>
      <c r="C2146" t="inlineStr">
        <is>
          <t>Vadodara Gas Limited</t>
        </is>
      </c>
      <c r="D2146" t="inlineStr">
        <is>
          <t>VGL/CO/C</t>
        </is>
      </c>
      <c r="E2146" t="inlineStr">
        <is>
          <t>29/04/2023</t>
        </is>
      </c>
      <c r="F2146" t="inlineStr">
        <is>
          <t>New Lead</t>
        </is>
      </c>
      <c r="G2146" t="inlineStr">
        <is>
          <t>Gas-related / review</t>
        </is>
      </c>
      <c r="H2146" t="inlineStr">
        <is>
          <t>Extension in Bid
                Submission Due Date for “Hiring the Services for Providing the Above Ground GI Installation
                including Last Mile at Consumer End for New Domestic PNG Connection vide Tender No.:
                VGL/CO/C&amp;P-CNG/BD202304S004 Dated 29/04/2023 &amp; Tender ID: 589430</t>
        </is>
      </c>
      <c r="K2146" t="inlineStr">
        <is>
          <t>Not found</t>
        </is>
      </c>
      <c r="L2146" t="inlineStr">
        <is>
          <t>Unknown</t>
        </is>
      </c>
      <c r="T2146" t="inlineStr">
        <is>
          <t>https://www.vgl.co.in/wp-content/uploads/2025/pdf/Extension-Due-Date-D-PNG.pdf</t>
        </is>
      </c>
      <c r="U2146" t="inlineStr">
        <is>
          <t>No</t>
        </is>
      </c>
      <c r="V214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7">
      <c r="A2147" t="inlineStr">
        <is>
          <t>T-1951</t>
        </is>
      </c>
      <c r="B2147" t="inlineStr">
        <is>
          <t>Vadodara Gas Limited</t>
        </is>
      </c>
      <c r="C2147" t="inlineStr">
        <is>
          <t>Vadodara Gas Limited</t>
        </is>
      </c>
      <c r="D2147" t="inlineStr">
        <is>
          <t>Tender No.: VGL/CO/C</t>
        </is>
      </c>
      <c r="E2147" t="inlineStr">
        <is>
          <t>29/04/2023</t>
        </is>
      </c>
      <c r="F2147" t="inlineStr">
        <is>
          <t>Awarded</t>
        </is>
      </c>
      <c r="G2147" t="inlineStr">
        <is>
          <t>Gas-related / review</t>
        </is>
      </c>
      <c r="H2147" t="inlineStr">
        <is>
          <t>Corrigendum-1 for
                “Transportation of Natural Gas in the Compressed form through 8000 WL or Above Capacity Mobile
                Cascades for the Period of 36 Months vide Tender No.: VGL/CO/C&amp;P-CNG/BD202304S002 Dated 29/04/2023
                and Tender ID: 589364</t>
        </is>
      </c>
      <c r="K2147" t="inlineStr">
        <is>
          <t>Not found</t>
        </is>
      </c>
      <c r="L2147" t="inlineStr">
        <is>
          <t>Unknown</t>
        </is>
      </c>
      <c r="T2147" t="inlineStr">
        <is>
          <t>https://www.vgl.co.in/wp-content/uploads/2025/pdf/Corrigendum - 1.pdf</t>
        </is>
      </c>
      <c r="U2147" t="inlineStr">
        <is>
          <t>No</t>
        </is>
      </c>
      <c r="V214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48">
      <c r="A2148" t="inlineStr">
        <is>
          <t>T-1952</t>
        </is>
      </c>
      <c r="B2148" t="inlineStr">
        <is>
          <t>Vadodara Gas Limited</t>
        </is>
      </c>
      <c r="C2148" t="inlineStr">
        <is>
          <t>Vadodara Gas Limited</t>
        </is>
      </c>
      <c r="D2148" t="inlineStr">
        <is>
          <t>VGL/CO/C</t>
        </is>
      </c>
      <c r="E2148" t="inlineStr">
        <is>
          <t>29/04/2023</t>
        </is>
      </c>
      <c r="F2148" t="inlineStr">
        <is>
          <t>New Lead</t>
        </is>
      </c>
      <c r="G2148" t="inlineStr">
        <is>
          <t>Gas-related / review</t>
        </is>
      </c>
      <c r="H2148" t="inlineStr">
        <is>
          <t>Extension
                of Bid Submission Due Date for “Transportation of Natural Gas in the Compressed form through 8000
                WL or Above Capacity Mobile Cascades for the Period of 36 Months vide Tender No.:
                VGL/CO/C&amp;P-CNG/BD202304S002 Dated 29/04/2023 and Tender ID: 589364</t>
        </is>
      </c>
      <c r="K2148" t="inlineStr">
        <is>
          <t>Not found</t>
        </is>
      </c>
      <c r="L2148" t="inlineStr">
        <is>
          <t>Unknown</t>
        </is>
      </c>
      <c r="T2148" t="inlineStr">
        <is>
          <t>https://www.vgl.co.in/wp-content/uploads/2025/pdf/Extension-Bid-Submission-Due_Date.pdf</t>
        </is>
      </c>
      <c r="U2148" t="inlineStr">
        <is>
          <t>No</t>
        </is>
      </c>
      <c r="V214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9">
      <c r="A2149" t="inlineStr">
        <is>
          <t>T-1953</t>
        </is>
      </c>
      <c r="B2149" t="inlineStr">
        <is>
          <t>Vadodara Gas Limited</t>
        </is>
      </c>
      <c r="C2149" t="inlineStr">
        <is>
          <t>Vadodara Gas Limited</t>
        </is>
      </c>
      <c r="D2149" t="inlineStr">
        <is>
          <t>592749</t>
        </is>
      </c>
      <c r="E2149" t="inlineStr">
        <is>
          <t>15/05/2023</t>
        </is>
      </c>
      <c r="F2149" t="inlineStr">
        <is>
          <t>New Lead</t>
        </is>
      </c>
      <c r="G2149" t="inlineStr">
        <is>
          <t>Gas-related / review</t>
        </is>
      </c>
      <c r="H2149" t="inlineStr">
        <is>
          <t>Notice inviting Tender for
                “Hiring of Services for Forecourt Operation of CNG Mother Station at Gajrawadi for the Period of 2
                Years”. (VGL/CO/C&amp;P-PNG/BD202303S037_RI Dated 15/05/2023 and Tender ID: 592749)</t>
        </is>
      </c>
      <c r="K2149" t="inlineStr">
        <is>
          <t>Not found</t>
        </is>
      </c>
      <c r="L2149" t="inlineStr">
        <is>
          <t>Unknown</t>
        </is>
      </c>
      <c r="T2149" t="inlineStr">
        <is>
          <t>https://www.vgl.co.in/wp-content/uploads/2025/pdf/NIT_FC_GJ.pdf</t>
        </is>
      </c>
      <c r="U2149" t="inlineStr">
        <is>
          <t>No</t>
        </is>
      </c>
      <c r="V2149" t="inlineStr">
        <is>
          <t>Bot tarafindan tespit edildi (2026-07-01); Bot tespit/zenginlestirme (2026-07-01); meta:score=50;priority=Medium;source_type=html_link;closing_date=;equipment=Gas-related / review;reasons=equipment:Gas-related / review,document source,tender reference signal</t>
        </is>
      </c>
    </row>
    <row r="2150">
      <c r="A2150" t="inlineStr">
        <is>
          <t>T-1954</t>
        </is>
      </c>
      <c r="B2150" t="inlineStr">
        <is>
          <t>Vadodara Gas Limited</t>
        </is>
      </c>
      <c r="C2150" t="inlineStr">
        <is>
          <t>Vadodara Gas Limited</t>
        </is>
      </c>
      <c r="D2150" t="inlineStr">
        <is>
          <t>589364</t>
        </is>
      </c>
      <c r="E2150" t="inlineStr">
        <is>
          <t>29/04/2023</t>
        </is>
      </c>
      <c r="F2150" t="inlineStr">
        <is>
          <t>New Lead</t>
        </is>
      </c>
      <c r="G2150" t="inlineStr">
        <is>
          <t>Gas-related / review</t>
        </is>
      </c>
      <c r="H2150" t="inlineStr">
        <is>
          <t>Replies to
                Bidder's Queries for “Transportation of Natural Gas in the Compressed form through 8000 WL or
                Above Capacity Mobile Cascades for the Period of 36 Months”. (VGL/CO/C&amp;P-CNG/BD202304S002
                Dated 29/04/2023 &amp; Tender ID: 589364)”</t>
        </is>
      </c>
      <c r="K2150" t="inlineStr">
        <is>
          <t>Not found</t>
        </is>
      </c>
      <c r="L2150" t="inlineStr">
        <is>
          <t>Unknown</t>
        </is>
      </c>
      <c r="T2150" t="inlineStr">
        <is>
          <t>https://www.vgl.co.in/wp-content/uploads/2025/pdf/REPLIES_TO_BIDDERS_QUERIES.pdf</t>
        </is>
      </c>
      <c r="U2150" t="inlineStr">
        <is>
          <t>No</t>
        </is>
      </c>
      <c r="V2150" t="inlineStr">
        <is>
          <t>Bot tarafindan tespit edildi (2026-07-01); Bot tespit/zenginlestirme (2026-07-01); meta:score=35;priority=Low;source_type=html_link;closing_date=;equipment=Gas-related / review;reasons=equipment:Gas-related / review,document source</t>
        </is>
      </c>
    </row>
    <row r="2151">
      <c r="A2151" t="inlineStr">
        <is>
          <t>T-1955</t>
        </is>
      </c>
      <c r="B2151" t="inlineStr">
        <is>
          <t>Vadodara Gas Limited</t>
        </is>
      </c>
      <c r="C2151" t="inlineStr">
        <is>
          <t>Vadodara Gas Limited</t>
        </is>
      </c>
      <c r="D2151" t="inlineStr">
        <is>
          <t>589862</t>
        </is>
      </c>
      <c r="E2151" t="inlineStr">
        <is>
          <t>05/05/2023</t>
        </is>
      </c>
      <c r="F2151" t="inlineStr">
        <is>
          <t>New Lead</t>
        </is>
      </c>
      <c r="G2151" t="inlineStr">
        <is>
          <t>Gas-related / review</t>
        </is>
      </c>
      <c r="H2151" t="inlineStr">
        <is>
          <t>Notice Inviting Tender for
                “Hiring of Services for Forecourt Operation of CNG Mother Station at Racecourse, Vadodara for the
                Period of Three Years”. (VGL/CO/C&amp;P-PNG/BD202304S005 Dated 05/05/2023 and Tender ID:
                589862)”</t>
        </is>
      </c>
      <c r="K2151" t="inlineStr">
        <is>
          <t>Not found</t>
        </is>
      </c>
      <c r="L2151" t="inlineStr">
        <is>
          <t>Unknown</t>
        </is>
      </c>
      <c r="T2151" t="inlineStr">
        <is>
          <t>https://www.vgl.co.in/wp-content/uploads/2025/pdf/NIT_RC_FC_005.pdf</t>
        </is>
      </c>
      <c r="U2151" t="inlineStr">
        <is>
          <t>No</t>
        </is>
      </c>
      <c r="V2151" t="inlineStr">
        <is>
          <t>Bot tarafindan tespit edildi (2026-07-01); Bot tespit/zenginlestirme (2026-07-01); meta:score=50;priority=Medium;source_type=html_link;closing_date=;equipment=Gas-related / review;reasons=equipment:Gas-related / review,document source,tender reference signal</t>
        </is>
      </c>
    </row>
    <row r="2152">
      <c r="A2152" t="inlineStr">
        <is>
          <t>T-1956</t>
        </is>
      </c>
      <c r="B2152" t="inlineStr">
        <is>
          <t>Vadodara Gas Limited</t>
        </is>
      </c>
      <c r="C2152" t="inlineStr">
        <is>
          <t>Vadodara Gas Limited</t>
        </is>
      </c>
      <c r="D2152" t="inlineStr">
        <is>
          <t>586187</t>
        </is>
      </c>
      <c r="E2152" t="inlineStr">
        <is>
          <t>15/04/2023</t>
        </is>
      </c>
      <c r="F2152" t="inlineStr">
        <is>
          <t>New Lead</t>
        </is>
      </c>
      <c r="G2152" t="inlineStr">
        <is>
          <t>Gas-related / review</t>
        </is>
      </c>
      <c r="H2152" t="inlineStr">
        <is>
          <t>Replies to
                Bidder’s Queries for “Replies to Bidder's Queries for "Transportation of Natural Gas in form
                of Compressed Gas through Mobile Cascade from Mother Station to Daughter Booster Station for a Period of
                36 Months (VGL/CO/C&amp;P-CNG/BD202303S038 Dated 15/04/2023 &amp; Tender ID: 586187)</t>
        </is>
      </c>
      <c r="K2152" t="inlineStr">
        <is>
          <t>Not found</t>
        </is>
      </c>
      <c r="L2152" t="inlineStr">
        <is>
          <t>Unknown</t>
        </is>
      </c>
      <c r="T2152" t="inlineStr">
        <is>
          <t>https://www.vgl.co.in/wp-content/uploads/2025/pdf/REPLIES_TO_BIDDERS_QUERIES_LCV.pdf</t>
        </is>
      </c>
      <c r="U2152" t="inlineStr">
        <is>
          <t>No</t>
        </is>
      </c>
      <c r="V2152" t="inlineStr">
        <is>
          <t>Bot tarafindan tespit edildi (2026-07-01); Bot tespit/zenginlestirme (2026-07-01); meta:score=35;priority=Low;source_type=html_link;closing_date=;equipment=Gas-related / review;reasons=equipment:Gas-related / review,document source</t>
        </is>
      </c>
    </row>
    <row r="2153">
      <c r="A2153" t="inlineStr">
        <is>
          <t>T-1957</t>
        </is>
      </c>
      <c r="B2153" t="inlineStr">
        <is>
          <t>Vadodara Gas Limited</t>
        </is>
      </c>
      <c r="C2153" t="inlineStr">
        <is>
          <t>Vadodara Gas Limited</t>
        </is>
      </c>
      <c r="D2153" t="inlineStr">
        <is>
          <t>VGL/CO/C</t>
        </is>
      </c>
      <c r="E2153" t="inlineStr">
        <is>
          <t>29/04/2023</t>
        </is>
      </c>
      <c r="F2153" t="inlineStr">
        <is>
          <t>New Lead</t>
        </is>
      </c>
      <c r="G2153" t="inlineStr">
        <is>
          <t>Gas-related / review</t>
        </is>
      </c>
      <c r="H2153" t="inlineStr">
        <is>
          <t>Notice Inviting Tender for
                “Transportation of Natural Gas in the compressed form Through 8000 WL or above Capacity Mobile
                Cascades for the Period of 36 Months (Tender No.: VGL/CO/C&amp;P-CNG/BD202304S002 Dated 29/04/2023 and
                Tender ID: 589364)</t>
        </is>
      </c>
      <c r="K2153" t="inlineStr">
        <is>
          <t>Not found</t>
        </is>
      </c>
      <c r="L2153" t="inlineStr">
        <is>
          <t>Unknown</t>
        </is>
      </c>
      <c r="T2153" t="inlineStr">
        <is>
          <t>https://www.vgl.co.in/wp-content/uploads/2025/pdf/NIT_LCV S002.pdf</t>
        </is>
      </c>
      <c r="U2153" t="inlineStr">
        <is>
          <t>No</t>
        </is>
      </c>
      <c r="V2153" t="inlineStr">
        <is>
          <t>Bot tarafindan tespit edildi (2026-07-01); Bot tespit/zenginlestirme (2026-07-01); meta:score=50;priority=Medium;source_type=html_link;closing_date=;equipment=Gas-related / review;reasons=equipment:Gas-related / review,document source,tender reference signal</t>
        </is>
      </c>
    </row>
    <row r="2154">
      <c r="A2154" t="inlineStr">
        <is>
          <t>T-1958</t>
        </is>
      </c>
      <c r="B2154" t="inlineStr">
        <is>
          <t>Vadodara Gas Limited</t>
        </is>
      </c>
      <c r="C2154" t="inlineStr">
        <is>
          <t>Vadodara Gas Limited</t>
        </is>
      </c>
      <c r="D2154" t="inlineStr">
        <is>
          <t>VGL/CO/C</t>
        </is>
      </c>
      <c r="E2154" t="inlineStr">
        <is>
          <t>29/04/2023</t>
        </is>
      </c>
      <c r="F2154" t="inlineStr">
        <is>
          <t>New Lead</t>
        </is>
      </c>
      <c r="G2154" t="inlineStr">
        <is>
          <t>Gas-related / review</t>
        </is>
      </c>
      <c r="H2154" t="inlineStr">
        <is>
          <t>Notice Inviting Tender for
                “Hiring the Services for providing the above Ground GI Installation Including Last Mile at
                Consumer End for New Domestic PNG Connection (Tender No.: VGL/CO/C&amp;P-PNG/BD202304S004 Dated
                29/04/2023 and Tender ID: 589430)</t>
        </is>
      </c>
      <c r="K2154" t="inlineStr">
        <is>
          <t>Not found</t>
        </is>
      </c>
      <c r="L2154" t="inlineStr">
        <is>
          <t>Unknown</t>
        </is>
      </c>
      <c r="T2154" t="inlineStr">
        <is>
          <t>https://www.vgl.co.in/wp-content/uploads/2025/pdf/NIT_D-PNG S004.pdf</t>
        </is>
      </c>
      <c r="U2154" t="inlineStr">
        <is>
          <t>No</t>
        </is>
      </c>
      <c r="V2154" t="inlineStr">
        <is>
          <t>Bot tarafindan tespit edildi (2026-07-01); Bot tespit/zenginlestirme (2026-07-01); meta:score=50;priority=Medium;source_type=html_link;closing_date=;equipment=Gas-related / review;reasons=equipment:Gas-related / review,document source,tender reference signal</t>
        </is>
      </c>
    </row>
    <row r="2155">
      <c r="A2155" t="inlineStr">
        <is>
          <t>T-1959</t>
        </is>
      </c>
      <c r="B2155" t="inlineStr">
        <is>
          <t>Vadodara Gas Limited</t>
        </is>
      </c>
      <c r="C2155" t="inlineStr">
        <is>
          <t>Vadodara Gas Limited</t>
        </is>
      </c>
      <c r="D2155" t="inlineStr">
        <is>
          <t>VGL/CO/C</t>
        </is>
      </c>
      <c r="E2155" t="inlineStr">
        <is>
          <t>29/04/2023</t>
        </is>
      </c>
      <c r="F2155" t="inlineStr">
        <is>
          <t>New Lead</t>
        </is>
      </c>
      <c r="G2155" t="inlineStr">
        <is>
          <t>Gas-related / review</t>
        </is>
      </c>
      <c r="H2155" t="inlineStr">
        <is>
          <t>Notice Inviting Tender for
                “Hiring the Services for Old Network Infrastructure Revamping and Annual Maintenance of Existing
                PNG Connection in Vadodara (Tender No.: VGL/CO/C&amp;P-PNG/BD202304S003 Dated 29/04/2023 and Tender ID:
                589372)</t>
        </is>
      </c>
      <c r="K2155" t="inlineStr">
        <is>
          <t>Not found</t>
        </is>
      </c>
      <c r="L2155" t="inlineStr">
        <is>
          <t>Unknown</t>
        </is>
      </c>
      <c r="T2155" t="inlineStr">
        <is>
          <t>https://www.vgl.co.in/wp-content/uploads/2025/pdf/NIT_AMC S003.pdf</t>
        </is>
      </c>
      <c r="U2155" t="inlineStr">
        <is>
          <t>No</t>
        </is>
      </c>
      <c r="V2155" t="inlineStr">
        <is>
          <t>Bot tarafindan tespit edildi (2026-07-01); Bot tespit/zenginlestirme (2026-07-01); meta:score=50;priority=Medium;source_type=html_link;closing_date=;equipment=Gas-related / review;reasons=equipment:Gas-related / review,document source,tender reference signal</t>
        </is>
      </c>
    </row>
    <row r="2156">
      <c r="A2156" t="inlineStr">
        <is>
          <t>T-1960</t>
        </is>
      </c>
      <c r="B2156" t="inlineStr">
        <is>
          <t>Vadodara Gas Limited</t>
        </is>
      </c>
      <c r="C2156" t="inlineStr">
        <is>
          <t>Vadodara Gas Limited</t>
        </is>
      </c>
      <c r="D2156" t="inlineStr">
        <is>
          <t>VGL/CO/C</t>
        </is>
      </c>
      <c r="E2156" t="inlineStr">
        <is>
          <t>24/03/2023</t>
        </is>
      </c>
      <c r="F2156" t="inlineStr">
        <is>
          <t>New Lead</t>
        </is>
      </c>
      <c r="G2156" t="inlineStr">
        <is>
          <t>Gas-related / review</t>
        </is>
      </c>
      <c r="H2156" t="inlineStr">
        <is>
          <t>Extension
                in Bid Submission Due Date for the Tender of “Hiring of Services for Operation &amp; Maintenance
                of Steel Pipeline of Vadodara Ga for a Period of 24 Months (Tender No.: VGL/CO/C&amp;P-PNG/BD202303S024
                Dated 24/03/2023 and Tender ID: 582341)</t>
        </is>
      </c>
      <c r="K2156" t="inlineStr">
        <is>
          <t>Not found</t>
        </is>
      </c>
      <c r="L2156" t="inlineStr">
        <is>
          <t>Unknown</t>
        </is>
      </c>
      <c r="T2156" t="inlineStr">
        <is>
          <t>https://www.vgl.co.in/wp-content/uploads/2025/pdf/Bid-Submission-Due-Date-Extension.pdf</t>
        </is>
      </c>
      <c r="U2156" t="inlineStr">
        <is>
          <t>No</t>
        </is>
      </c>
      <c r="V215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57">
      <c r="A2157" t="inlineStr">
        <is>
          <t>T-1961</t>
        </is>
      </c>
      <c r="B2157" t="inlineStr">
        <is>
          <t>Vadodara Gas Limited</t>
        </is>
      </c>
      <c r="C2157" t="inlineStr">
        <is>
          <t>Vadodara Gas Limited</t>
        </is>
      </c>
      <c r="D2157" t="inlineStr">
        <is>
          <t>VGL/CO/C</t>
        </is>
      </c>
      <c r="E2157" t="inlineStr">
        <is>
          <t>24/03/2023</t>
        </is>
      </c>
      <c r="F2157" t="inlineStr">
        <is>
          <t>New Lead</t>
        </is>
      </c>
      <c r="G2157" t="inlineStr">
        <is>
          <t>Gas-related / review</t>
        </is>
      </c>
      <c r="H2157" t="inlineStr">
        <is>
          <t>Notice Inviting Tender for
                “Hiring of Services for Operation &amp; Maintenance of Steel Pipeline of Vadodara Ga for a Period
                of 24 Months (Tender No.: VGL/CO/C&amp;P-PNG/BD202303S024 Dated 24/03/2023 and Tender ID: 582341)</t>
        </is>
      </c>
      <c r="K2157" t="inlineStr">
        <is>
          <t>Not found</t>
        </is>
      </c>
      <c r="L2157" t="inlineStr">
        <is>
          <t>Unknown</t>
        </is>
      </c>
      <c r="T2157" t="inlineStr">
        <is>
          <t>https://www.vgl.co.in/wp-content/uploads/2025/pdf/NIT_Steel O&amp;M.pdf</t>
        </is>
      </c>
      <c r="U2157" t="inlineStr">
        <is>
          <t>No</t>
        </is>
      </c>
      <c r="V2157" t="inlineStr">
        <is>
          <t>Bot tarafindan tespit edildi (2026-07-01); Bot tespit/zenginlestirme (2026-07-01); meta:score=50;priority=Medium;source_type=html_link;closing_date=;equipment=Gas-related / review;reasons=equipment:Gas-related / review,document source,tender reference signal</t>
        </is>
      </c>
    </row>
    <row r="2158">
      <c r="A2158" t="inlineStr">
        <is>
          <t>T-1962</t>
        </is>
      </c>
      <c r="B2158" t="inlineStr">
        <is>
          <t>Vadodara Gas Limited</t>
        </is>
      </c>
      <c r="C2158" t="inlineStr">
        <is>
          <t>Vadodara Gas Limited</t>
        </is>
      </c>
      <c r="E2158" t="inlineStr">
        <is>
          <t>22/02/2023</t>
        </is>
      </c>
      <c r="F2158" t="inlineStr">
        <is>
          <t>New Lead</t>
        </is>
      </c>
      <c r="G2158" t="inlineStr">
        <is>
          <t>Gas-related / review</t>
        </is>
      </c>
      <c r="H2158" t="inlineStr">
        <is>
          <t>Replies to Bidder’s Queries for “Hiring of Services for Hydro Testing of CNG
                Cascades Installed at VGL's CNG Station for a Period of Two Years (VGL/CO/C&amp;P-CNG/BD202301S034 Dated
                22/02/2023)</t>
        </is>
      </c>
      <c r="K2158" t="inlineStr">
        <is>
          <t>Not found</t>
        </is>
      </c>
      <c r="L2158" t="inlineStr">
        <is>
          <t>Unknown</t>
        </is>
      </c>
      <c r="T2158" t="inlineStr">
        <is>
          <t>https://www.vgl.co.in/wp-content/uploads/2025/pdf/REPLIES-TO-BIDDERS-QUERIES-hydrotesting.pdf</t>
        </is>
      </c>
      <c r="U2158" t="inlineStr">
        <is>
          <t>No</t>
        </is>
      </c>
      <c r="V2158" t="inlineStr">
        <is>
          <t>Bot tarafindan tespit edildi (2026-07-01); Bot tespit/zenginlestirme (2026-07-01); meta:score=35;priority=Low;source_type=html_link;closing_date=;equipment=Gas-related / review;reasons=equipment:Gas-related / review,document source</t>
        </is>
      </c>
    </row>
    <row r="2159">
      <c r="A2159" t="inlineStr">
        <is>
          <t>T-1963</t>
        </is>
      </c>
      <c r="B2159" t="inlineStr">
        <is>
          <t>Vadodara Gas Limited</t>
        </is>
      </c>
      <c r="C2159" t="inlineStr">
        <is>
          <t>Vadodara Gas Limited</t>
        </is>
      </c>
      <c r="D2159" t="inlineStr">
        <is>
          <t>VGL/CO/C</t>
        </is>
      </c>
      <c r="F2159" t="inlineStr">
        <is>
          <t>New Lead</t>
        </is>
      </c>
      <c r="G2159" t="inlineStr">
        <is>
          <t>Gas-related / review</t>
        </is>
      </c>
      <c r="H2159" t="inlineStr">
        <is>
          <t>Notice Inviting Tender for
                “Hiring of Services for Hydro Testing of CNG Cascades installed at VGL’s CNG Station for a
                Period of Two Years” Vide Tender No.: VGL/CO/C&amp;P-CNG/BD202301S034 Dated 22.02.2023</t>
        </is>
      </c>
      <c r="K2159" t="inlineStr">
        <is>
          <t>Not found</t>
        </is>
      </c>
      <c r="L2159" t="inlineStr">
        <is>
          <t>Unknown</t>
        </is>
      </c>
      <c r="T2159" t="inlineStr">
        <is>
          <t>https://www.vgl.co.in/wp-content/uploads/2025/pdf/NIT_Hydrotesting.pdf</t>
        </is>
      </c>
      <c r="U2159" t="inlineStr">
        <is>
          <t>No</t>
        </is>
      </c>
      <c r="V2159" t="inlineStr">
        <is>
          <t>Bot tarafindan tespit edildi (2026-07-01); Bot tespit/zenginlestirme (2026-07-01); meta:score=50;priority=Medium;source_type=html_link;closing_date=;equipment=Gas-related / review;reasons=equipment:Gas-related / review,document source,tender reference signal</t>
        </is>
      </c>
    </row>
    <row r="2160">
      <c r="A2160" t="inlineStr">
        <is>
          <t>T-1964</t>
        </is>
      </c>
      <c r="B2160" t="inlineStr">
        <is>
          <t>Vadodara Gas Limited</t>
        </is>
      </c>
      <c r="C2160" t="inlineStr">
        <is>
          <t>Vadodara Gas Limited</t>
        </is>
      </c>
      <c r="D2160" t="inlineStr">
        <is>
          <t>572622</t>
        </is>
      </c>
      <c r="E2160" t="inlineStr">
        <is>
          <t>02/01/2023</t>
        </is>
      </c>
      <c r="F2160" t="inlineStr">
        <is>
          <t>New Lead</t>
        </is>
      </c>
      <c r="G2160" t="inlineStr">
        <is>
          <t>Gas-related / review</t>
        </is>
      </c>
      <c r="H2160" t="inlineStr">
        <is>
          <t>“Replies to Bidder’s Queries for “Transportation of Natural Gas in
                Compressed form through Mobile Cascade for a period of 36 months” (VGL/CO/C&amp;P-CNG/BD202301S031
                Dated 02/01/2023 and Tender ID: 572622)</t>
        </is>
      </c>
      <c r="K2160" t="inlineStr">
        <is>
          <t>Not found</t>
        </is>
      </c>
      <c r="L2160" t="inlineStr">
        <is>
          <t>Unknown</t>
        </is>
      </c>
      <c r="T2160" t="inlineStr">
        <is>
          <t>https://www.vgl.co.in/wp-content/uploads/2025/pdf/REPLIES_TO_BIDDERS_QUERIES-TRANSPORATION OF NATURAL GAS TENDER.pdf</t>
        </is>
      </c>
      <c r="U2160" t="inlineStr">
        <is>
          <t>No</t>
        </is>
      </c>
      <c r="V2160" t="inlineStr">
        <is>
          <t>Bot tarafindan tespit edildi (2026-07-01); Bot tespit/zenginlestirme (2026-07-01); meta:score=35;priority=Low;source_type=html_link;closing_date=;equipment=Gas-related / review;reasons=equipment:Gas-related / review,document source</t>
        </is>
      </c>
    </row>
    <row r="2161">
      <c r="A2161" t="inlineStr">
        <is>
          <t>T-1965</t>
        </is>
      </c>
      <c r="B2161" t="inlineStr">
        <is>
          <t>Vadodara Gas Limited</t>
        </is>
      </c>
      <c r="C2161" t="inlineStr">
        <is>
          <t>Vadodara Gas Limited</t>
        </is>
      </c>
      <c r="F2161" t="inlineStr">
        <is>
          <t>New Lead</t>
        </is>
      </c>
      <c r="G2161" t="inlineStr">
        <is>
          <t>Gas-related / review</t>
        </is>
      </c>
      <c r="H2161" t="inlineStr">
        <is>
          <t>“Replies to Bidder's
                Queries “Hiring of Services for Operation &amp; Maintenance of PE Network and PNG Connectivity of
                Vadodara GA (Nandanvan Base) for a Period of 02 Years</t>
        </is>
      </c>
      <c r="K2161" t="inlineStr">
        <is>
          <t>Not found</t>
        </is>
      </c>
      <c r="L2161" t="inlineStr">
        <is>
          <t>Unknown</t>
        </is>
      </c>
      <c r="T2161" t="inlineStr">
        <is>
          <t>https://www.vgl.co.in/wp-content/uploads/2025/pdf/Nandanvan-Base.pdf</t>
        </is>
      </c>
      <c r="U2161" t="inlineStr">
        <is>
          <t>No</t>
        </is>
      </c>
      <c r="V2161" t="inlineStr">
        <is>
          <t>Bot tarafindan tespit edildi (2026-07-01); Bot tespit/zenginlestirme (2026-07-01); meta:score=35;priority=Low;source_type=html_link;closing_date=;equipment=Gas-related / review;reasons=equipment:Gas-related / review,document source</t>
        </is>
      </c>
    </row>
    <row r="2162">
      <c r="A2162" t="inlineStr">
        <is>
          <t>T-1966</t>
        </is>
      </c>
      <c r="B2162" t="inlineStr">
        <is>
          <t>Vadodara Gas Limited</t>
        </is>
      </c>
      <c r="C2162" t="inlineStr">
        <is>
          <t>Vadodara Gas Limited</t>
        </is>
      </c>
      <c r="F2162" t="inlineStr">
        <is>
          <t>New Lead</t>
        </is>
      </c>
      <c r="G2162" t="inlineStr">
        <is>
          <t>Gas-related / review</t>
        </is>
      </c>
      <c r="H2162" t="inlineStr">
        <is>
          <t>“Replies to Bidder's
                Queries “Hiring of Services for Operation &amp; Maintenance of PE Network and PNG Connectivity of
                Vadodara GA (Gajrawadi Base) for a Period of 02 Years</t>
        </is>
      </c>
      <c r="K2162" t="inlineStr">
        <is>
          <t>Not found</t>
        </is>
      </c>
      <c r="L2162" t="inlineStr">
        <is>
          <t>Unknown</t>
        </is>
      </c>
      <c r="T2162" t="inlineStr">
        <is>
          <t>https://www.vgl.co.in/wp-content/uploads/2025/pdf/Gajrawadi-Base.pdf</t>
        </is>
      </c>
      <c r="U2162" t="inlineStr">
        <is>
          <t>No</t>
        </is>
      </c>
      <c r="V2162" t="inlineStr">
        <is>
          <t>Bot tarafindan tespit edildi (2026-07-01); Bot tespit/zenginlestirme (2026-07-01); meta:score=35;priority=Low;source_type=html_link;closing_date=;equipment=Gas-related / review;reasons=equipment:Gas-related / review,document source</t>
        </is>
      </c>
    </row>
    <row r="2163">
      <c r="A2163" t="inlineStr">
        <is>
          <t>T-1967</t>
        </is>
      </c>
      <c r="B2163" t="inlineStr">
        <is>
          <t>Vadodara Gas Limited</t>
        </is>
      </c>
      <c r="C2163" t="inlineStr">
        <is>
          <t>Vadodara Gas Limited</t>
        </is>
      </c>
      <c r="D2163" t="inlineStr">
        <is>
          <t>VGL/CO/C</t>
        </is>
      </c>
      <c r="E2163" t="inlineStr">
        <is>
          <t>24/01/2023</t>
        </is>
      </c>
      <c r="F2163" t="inlineStr">
        <is>
          <t>New Lead</t>
        </is>
      </c>
      <c r="G2163" t="inlineStr">
        <is>
          <t>Gas-related / review</t>
        </is>
      </c>
      <c r="H2163" t="inlineStr">
        <is>
          <t>“Hiring of Services for
                Operation &amp; Maintenance of PE Network and PNG Connectivity of Vadodara GA (Nandanvan Base) for a
                Period of 02 Years (Tender No.: VGL/CO/C&amp;P-PNG/BD202301S022 Dated 24/01/2023 and Tender ID:
                572907)</t>
        </is>
      </c>
      <c r="K2163" t="inlineStr">
        <is>
          <t>Not found</t>
        </is>
      </c>
      <c r="L2163" t="inlineStr">
        <is>
          <t>Unknown</t>
        </is>
      </c>
      <c r="T2163" t="inlineStr">
        <is>
          <t>https://www.vgl.co.in/wp-content/uploads/2025/pdf/NIT_O&amp;M_ND.pdf</t>
        </is>
      </c>
      <c r="U2163" t="inlineStr">
        <is>
          <t>No</t>
        </is>
      </c>
      <c r="V2163" t="inlineStr">
        <is>
          <t>Bot tarafindan tespit edildi (2026-07-01); Bot tespit/zenginlestirme (2026-07-01); meta:score=50;priority=Medium;source_type=html_link;closing_date=;equipment=Gas-related / review;reasons=equipment:Gas-related / review,document source,tender reference signal</t>
        </is>
      </c>
    </row>
    <row r="2164">
      <c r="A2164" t="inlineStr">
        <is>
          <t>T-1968</t>
        </is>
      </c>
      <c r="B2164" t="inlineStr">
        <is>
          <t>Vadodara Gas Limited</t>
        </is>
      </c>
      <c r="C2164" t="inlineStr">
        <is>
          <t>Vadodara Gas Limited</t>
        </is>
      </c>
      <c r="D2164" t="inlineStr">
        <is>
          <t>VGL/CO/C</t>
        </is>
      </c>
      <c r="E2164" t="inlineStr">
        <is>
          <t>24/01/2023</t>
        </is>
      </c>
      <c r="F2164" t="inlineStr">
        <is>
          <t>New Lead</t>
        </is>
      </c>
      <c r="G2164" t="inlineStr">
        <is>
          <t>Gas-related / review</t>
        </is>
      </c>
      <c r="H2164" t="inlineStr">
        <is>
          <t>“Notice Inviting Tender
                for Hiring of Services for Operation &amp; Maintenance of PE Network and PNG Connectivity of Vadodara GA
                (Gajrawadi Base) for a Period of 02 Years (Tender No.: VGL/CO/C&amp;P-PNG/BD202301S021 Dated 24/01/2023
                and Tender ID: 572771)</t>
        </is>
      </c>
      <c r="K2164" t="inlineStr">
        <is>
          <t>Not found</t>
        </is>
      </c>
      <c r="L2164" t="inlineStr">
        <is>
          <t>Unknown</t>
        </is>
      </c>
      <c r="T2164" t="inlineStr">
        <is>
          <t>https://www.vgl.co.in/wp-content/uploads/2025/pdf/NIT_O&amp;M_GJ.pdf</t>
        </is>
      </c>
      <c r="U2164" t="inlineStr">
        <is>
          <t>No</t>
        </is>
      </c>
      <c r="V2164" t="inlineStr">
        <is>
          <t>Bot tarafindan tespit edildi (2026-07-01); Bot tespit/zenginlestirme (2026-07-01); meta:score=50;priority=Medium;source_type=html_link;closing_date=;equipment=Gas-related / review;reasons=equipment:Gas-related / review,document source,tender reference signal</t>
        </is>
      </c>
    </row>
    <row r="2165">
      <c r="A2165" t="inlineStr">
        <is>
          <t>T-1969</t>
        </is>
      </c>
      <c r="B2165" t="inlineStr">
        <is>
          <t>Vadodara Gas Limited</t>
        </is>
      </c>
      <c r="C2165" t="inlineStr">
        <is>
          <t>Vadodara Gas Limited</t>
        </is>
      </c>
      <c r="D2165" t="inlineStr">
        <is>
          <t>572622</t>
        </is>
      </c>
      <c r="E2165" t="inlineStr">
        <is>
          <t>02/01/2023</t>
        </is>
      </c>
      <c r="F2165" t="inlineStr">
        <is>
          <t>New Lead</t>
        </is>
      </c>
      <c r="G2165" t="inlineStr">
        <is>
          <t>Gas-related / review</t>
        </is>
      </c>
      <c r="H2165" t="inlineStr">
        <is>
          <t>"Notice Inviting Tender for Transportation of Natural Gas in Compressed form through
                Mobile Cascade for a period of 36 months (VGL/CO/C&amp;P-CNG/BD202301S031 Dated 02/01/2023 and Tender
                ID: 572622)</t>
        </is>
      </c>
      <c r="K2165" t="inlineStr">
        <is>
          <t>Not found</t>
        </is>
      </c>
      <c r="L2165" t="inlineStr">
        <is>
          <t>Unknown</t>
        </is>
      </c>
      <c r="T2165" t="inlineStr">
        <is>
          <t>https://www.vgl.co.in/wp-content/uploads/2025/pdf/NIT_LCV.pdf</t>
        </is>
      </c>
      <c r="U2165" t="inlineStr">
        <is>
          <t>No</t>
        </is>
      </c>
      <c r="V2165" t="inlineStr">
        <is>
          <t>Bot tarafindan tespit edildi (2026-07-01); Bot tespit/zenginlestirme (2026-07-01); meta:score=50;priority=Medium;source_type=html_link;closing_date=;equipment=Gas-related / review;reasons=equipment:Gas-related / review,document source,tender reference signal</t>
        </is>
      </c>
    </row>
    <row r="2166">
      <c r="A2166" t="inlineStr">
        <is>
          <t>T-1970</t>
        </is>
      </c>
      <c r="B2166" t="inlineStr">
        <is>
          <t>Vadodara Gas Limited</t>
        </is>
      </c>
      <c r="C2166" t="inlineStr">
        <is>
          <t>Vadodara Gas Limited</t>
        </is>
      </c>
      <c r="D2166" t="inlineStr">
        <is>
          <t>Tender No.: VGL/CO/C</t>
        </is>
      </c>
      <c r="E2166" t="inlineStr">
        <is>
          <t>06/12/2022</t>
        </is>
      </c>
      <c r="F2166" t="inlineStr">
        <is>
          <t>Awarded</t>
        </is>
      </c>
      <c r="G2166" t="inlineStr">
        <is>
          <t>Gas-related / review</t>
        </is>
      </c>
      <c r="H2166" t="inlineStr">
        <is>
          <t>"Corrigendum-3 for Purchase of 02 Nos. 1200 SCMH Motor Driven Compressor Package with 36
                Months AMC for Amendment of VGL Mother Stations” (Tender No.: VGL/CO/C&amp;P-CNG/BD202206041/RI
                Dated 06/12/2022)</t>
        </is>
      </c>
      <c r="K2166" t="inlineStr">
        <is>
          <t>oof Electricc Motor II Ceertificate Driven coompressor ppackage haandling hyydroc</t>
        </is>
      </c>
      <c r="L2166" t="inlineStr">
        <is>
          <t>Unknown</t>
        </is>
      </c>
      <c r="T2166" t="inlineStr">
        <is>
          <t>https://www.vgl.co.in/wp-content/uploads/2025/pdf/1200_SCMH_Motor_Driven_Corrigendum-3.pdf</t>
        </is>
      </c>
      <c r="U2166" t="inlineStr">
        <is>
          <t>No</t>
        </is>
      </c>
      <c r="V2166"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7">
      <c r="A2167" t="inlineStr">
        <is>
          <t>T-1971</t>
        </is>
      </c>
      <c r="B2167" t="inlineStr">
        <is>
          <t>Vadodara Gas Limited</t>
        </is>
      </c>
      <c r="C2167" t="inlineStr">
        <is>
          <t>Vadodara Gas Limited</t>
        </is>
      </c>
      <c r="D2167" t="inlineStr">
        <is>
          <t>Tender No.: VGL/CO/C</t>
        </is>
      </c>
      <c r="E2167" t="inlineStr">
        <is>
          <t>06/12/2022</t>
        </is>
      </c>
      <c r="F2167" t="inlineStr">
        <is>
          <t>Awarded</t>
        </is>
      </c>
      <c r="G2167" t="inlineStr">
        <is>
          <t>Gas-related / review</t>
        </is>
      </c>
      <c r="H2167" t="inlineStr">
        <is>
          <t>"Corrigendum-2 for Purchase of 02 Nos. 1200 SCMH Motor Driven Compressor Package with 36
                Months AMC for Amendment of VGL Mother Stations” (Tender No.: VGL/CO/C&amp;P-CNG/BD202206041/RI
                Dated 06/12/2022)</t>
        </is>
      </c>
      <c r="K2167" t="inlineStr">
        <is>
          <t>of Electricc Motor DDriven commpressor paackage hanndling I Certiificate hydrocaa</t>
        </is>
      </c>
      <c r="L2167" t="inlineStr">
        <is>
          <t>Unknown</t>
        </is>
      </c>
      <c r="T2167" t="inlineStr">
        <is>
          <t>https://www.vgl.co.in/wp-content/uploads/2025/pdf/1200_SCMH_Motor_Driven_Corrigendum-2.pdf</t>
        </is>
      </c>
      <c r="U2167" t="inlineStr">
        <is>
          <t>No</t>
        </is>
      </c>
      <c r="V2167"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8">
      <c r="A2168" t="inlineStr">
        <is>
          <t>T-1972</t>
        </is>
      </c>
      <c r="B2168" t="inlineStr">
        <is>
          <t>Vadodara Gas Limited</t>
        </is>
      </c>
      <c r="C2168" t="inlineStr">
        <is>
          <t>Vadodara Gas Limited</t>
        </is>
      </c>
      <c r="D2168" t="inlineStr">
        <is>
          <t>Tender No.: VGL/CO/C</t>
        </is>
      </c>
      <c r="E2168" t="inlineStr">
        <is>
          <t>06/12/2022</t>
        </is>
      </c>
      <c r="F2168" t="inlineStr">
        <is>
          <t>Awarded</t>
        </is>
      </c>
      <c r="G2168" t="inlineStr">
        <is>
          <t>Gas-related / review</t>
        </is>
      </c>
      <c r="H2168" t="inlineStr">
        <is>
          <t>"Corrigendum-1 for Purchase of 02 Nos. 1200 SCMH Motor Driven Compressor Package with 36
                Months AMC for Amendment of VGL Mother Stations” (Tender No.: VGL/CO/C&amp;P-CNG/BD202206041/RI
                Dated 06/12/2022)</t>
        </is>
      </c>
      <c r="K2168" t="inlineStr">
        <is>
          <t>I. The biddder must be a reguular packagger and suupplier of Electric MMotor Driv</t>
        </is>
      </c>
      <c r="L2168" t="inlineStr">
        <is>
          <t>Unknown</t>
        </is>
      </c>
      <c r="T2168" t="inlineStr">
        <is>
          <t>https://www.vgl.co.in/wp-content/uploads/2025/pdf/1200_SCMH_Motor_Driven_Corrigendum-1.pdf</t>
        </is>
      </c>
      <c r="U2168" t="inlineStr">
        <is>
          <t>No</t>
        </is>
      </c>
      <c r="V2168"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9">
      <c r="A2169" t="inlineStr">
        <is>
          <t>T-1973</t>
        </is>
      </c>
      <c r="B2169" t="inlineStr">
        <is>
          <t>Vadodara Gas Limited</t>
        </is>
      </c>
      <c r="C2169" t="inlineStr">
        <is>
          <t>Vadodara Gas Limited</t>
        </is>
      </c>
      <c r="D2169" t="inlineStr">
        <is>
          <t>Tender No.: VGL/CO/C</t>
        </is>
      </c>
      <c r="E2169" t="inlineStr">
        <is>
          <t>06/12/2022</t>
        </is>
      </c>
      <c r="F2169" t="inlineStr">
        <is>
          <t>Awarded</t>
        </is>
      </c>
      <c r="G2169" t="inlineStr">
        <is>
          <t>Irrelevant / non-target</t>
        </is>
      </c>
      <c r="H2169" t="inlineStr">
        <is>
          <t>"Replies to
                Bidder's Queries - Additional for Purchase of 02 Nos. 1200 SCMH Motor Driven Compressor Package with 36
                Months AMC for Amendment of VGL Mother Stations (Tender No.: VGL/CO/C&amp;P-CNG/BD202206041/RI Dated
                06/12/2022)</t>
        </is>
      </c>
      <c r="K2169" t="inlineStr">
        <is>
          <t>forevery903KgofCNG 903 (for 1200 SCMH) X CNG produced during the month H</t>
        </is>
      </c>
      <c r="L2169" t="inlineStr">
        <is>
          <t>Unknown</t>
        </is>
      </c>
      <c r="M2169" t="n">
        <v>55</v>
      </c>
      <c r="T2169" t="inlineStr">
        <is>
          <t>https://www.vgl.co.in/wp-content/uploads/2025/pdf/Pre-Bid_Queries_Additional.pdf</t>
        </is>
      </c>
      <c r="U2169" t="inlineStr">
        <is>
          <t>No</t>
        </is>
      </c>
      <c r="V2169"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0">
      <c r="A2170" t="inlineStr">
        <is>
          <t>T-1974</t>
        </is>
      </c>
      <c r="B2170" t="inlineStr">
        <is>
          <t>Vadodara Gas Limited</t>
        </is>
      </c>
      <c r="C2170" t="inlineStr">
        <is>
          <t>Vadodara Gas Limited</t>
        </is>
      </c>
      <c r="D2170" t="inlineStr">
        <is>
          <t>Tender No.: VGL/CO/C</t>
        </is>
      </c>
      <c r="E2170" t="inlineStr">
        <is>
          <t>06/12/2022</t>
        </is>
      </c>
      <c r="F2170" t="inlineStr">
        <is>
          <t>Awarded</t>
        </is>
      </c>
      <c r="G2170" t="inlineStr">
        <is>
          <t>Irrelevant / non-target</t>
        </is>
      </c>
      <c r="H2170" t="inlineStr">
        <is>
          <t>"Replies to Bidder's
                Queries for Purchase of 02 Nos. 1200 SCMH Motor Driven Compressor Package with 36 Months AMC for
                Amendment of VGL Mother Stations (Tender No.: VGL/CO/C&amp;P-CNG/BD202206041/RI Dated 06/12/2022)</t>
        </is>
      </c>
      <c r="K2170" t="inlineStr">
        <is>
          <t>has to ensure the safety of man and machine all the times. 5 99 of 222 v. of 2.23</t>
        </is>
      </c>
      <c r="L2170" t="inlineStr">
        <is>
          <t>Unknown</t>
        </is>
      </c>
      <c r="T2170" t="inlineStr">
        <is>
          <t>https://www.vgl.co.in/wp-content/uploads/2025/pdf/Pre-Bid_Queries_.pdf</t>
        </is>
      </c>
      <c r="U2170" t="inlineStr">
        <is>
          <t>No</t>
        </is>
      </c>
      <c r="V2170"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1">
      <c r="A2171" t="inlineStr">
        <is>
          <t>T-1975</t>
        </is>
      </c>
      <c r="B2171" t="inlineStr">
        <is>
          <t>Vadodara Gas Limited</t>
        </is>
      </c>
      <c r="C2171" t="inlineStr">
        <is>
          <t>Vadodara Gas Limited</t>
        </is>
      </c>
      <c r="D2171" t="inlineStr">
        <is>
          <t>Tender No.: VGL/CO/C</t>
        </is>
      </c>
      <c r="E2171" t="inlineStr">
        <is>
          <t>06/12/2022</t>
        </is>
      </c>
      <c r="F2171" t="inlineStr">
        <is>
          <t>Awarded</t>
        </is>
      </c>
      <c r="G2171" t="inlineStr">
        <is>
          <t>Gas-related / review</t>
        </is>
      </c>
      <c r="H2171" t="inlineStr">
        <is>
          <t>"Notice Inviting
                Tender for Purchase of 02 Nos. 1200 SCMH Motor Driven Compressor Package with 36 Months AMC for
                Amendment of VGL Mother Stations (Tender No.: VGL/CO/C&amp;P-CNG/BD202206041/RI Dated 06/12/2022)</t>
        </is>
      </c>
      <c r="K2171" t="inlineStr">
        <is>
          <t>s under appropriate category for</t>
        </is>
      </c>
      <c r="L2171" t="inlineStr">
        <is>
          <t>Unknown</t>
        </is>
      </c>
      <c r="T2171" t="inlineStr">
        <is>
          <t>https://www.vgl.co.in/wp-content/uploads/2025/pdf/NIT_Compressor_1200SCMH.pdf</t>
        </is>
      </c>
      <c r="U2171" t="inlineStr">
        <is>
          <t>No</t>
        </is>
      </c>
      <c r="V2171" t="inlineStr">
        <is>
          <t>Bot tarafindan tespit edildi (2026-07-01) | Bot enrich; date=2026-07-01; type=pdf; score=240; Bot tespit/zenginlestirme (2026-07-01); meta:score=70;priority=High;source_type=html_link;closing_date=20/12/2022;equipment=Gas-related / review;reasons=equipment:Gas-related / review,document source,quantity signal,tender reference signal</t>
        </is>
      </c>
    </row>
    <row r="2172">
      <c r="A2172" t="inlineStr">
        <is>
          <t>T-1976</t>
        </is>
      </c>
      <c r="B2172" t="inlineStr">
        <is>
          <t>Vadodara Gas Limited</t>
        </is>
      </c>
      <c r="C2172" t="inlineStr">
        <is>
          <t>Vadodara Gas Limited</t>
        </is>
      </c>
      <c r="E2172" t="inlineStr">
        <is>
          <t>10/11/2022</t>
        </is>
      </c>
      <c r="F2172" t="inlineStr">
        <is>
          <t>New Lead</t>
        </is>
      </c>
      <c r="G2172" t="inlineStr">
        <is>
          <t>Gas-related / review</t>
        </is>
      </c>
      <c r="H2172" t="inlineStr">
        <is>
          <t>"Replies to Bidder's Queries dt. 21.11.2022 Hiring of 02 Nos. 8000 WL or above Capacity
                Mobile Cascade along with Brand New Suitable LCVs/MCVs/HCVs on Wetlease basis for the period of 03 years
                (VGL/CO/C&amp;P-CNG/BD202211024 Dated 10/11/2022)</t>
        </is>
      </c>
      <c r="K2172" t="inlineStr">
        <is>
          <t>Not found</t>
        </is>
      </c>
      <c r="L2172" t="inlineStr">
        <is>
          <t>Unknown</t>
        </is>
      </c>
      <c r="T2172" t="inlineStr">
        <is>
          <t>https://www.vgl.co.in/wp-content/uploads/2025/pdf/REPLIES_TO_BIDDERS_QUERIES - BD202211024 DTD 21.11.2022.pdf</t>
        </is>
      </c>
      <c r="U2172" t="inlineStr">
        <is>
          <t>No</t>
        </is>
      </c>
      <c r="V2172" t="inlineStr">
        <is>
          <t>Bot tarafindan tespit edildi (2026-07-01); Bot tespit/zenginlestirme (2026-07-01); meta:score=55;priority=Medium;source_type=html_link;closing_date=;equipment=Gas-related / review;reasons=equipment:Gas-related / review,document source,quantity signal</t>
        </is>
      </c>
    </row>
    <row r="2173">
      <c r="A2173" t="inlineStr">
        <is>
          <t>T-1977</t>
        </is>
      </c>
      <c r="B2173" t="inlineStr">
        <is>
          <t>Vadodara Gas Limited</t>
        </is>
      </c>
      <c r="C2173" t="inlineStr">
        <is>
          <t>Vadodara Gas Limited</t>
        </is>
      </c>
      <c r="E2173" t="inlineStr">
        <is>
          <t>10/11/2022</t>
        </is>
      </c>
      <c r="F2173" t="inlineStr">
        <is>
          <t>New Lead</t>
        </is>
      </c>
      <c r="G2173" t="inlineStr">
        <is>
          <t>Gas-related / review</t>
        </is>
      </c>
      <c r="H2173" t="inlineStr">
        <is>
          <t>"Replies to Bidder's Queries dt. 19.11.2022 Hiring of 02 Nos. 8000 WL or above Capacity
                Mobile Cascade along with Brand New Suitable LCVs/MCVs/HCVs on Wetlease basis for the period of 03 years
                (VGL/CO/C&amp;P-CNG/BD202211024 Dated 10/11/2022)</t>
        </is>
      </c>
      <c r="K2173" t="inlineStr">
        <is>
          <t>Not found</t>
        </is>
      </c>
      <c r="L2173" t="inlineStr">
        <is>
          <t>Unknown</t>
        </is>
      </c>
      <c r="T2173" t="inlineStr">
        <is>
          <t>https://www.vgl.co.in/wp-content/uploads/2025/pdf/REPLIES_TO_BIDDERS_QUERIES - BD202211024 DTD 19.11.2022.pdf</t>
        </is>
      </c>
      <c r="U2173" t="inlineStr">
        <is>
          <t>No</t>
        </is>
      </c>
      <c r="V2173" t="inlineStr">
        <is>
          <t>Bot tarafindan tespit edildi (2026-07-01); Bot tespit/zenginlestirme (2026-07-01); meta:score=55;priority=Medium;source_type=html_link;closing_date=;equipment=Gas-related / review;reasons=equipment:Gas-related / review,document source,quantity signal</t>
        </is>
      </c>
    </row>
    <row r="2174">
      <c r="A2174" t="inlineStr">
        <is>
          <t>T-1978</t>
        </is>
      </c>
      <c r="B2174" t="inlineStr">
        <is>
          <t>Vadodara Gas Limited</t>
        </is>
      </c>
      <c r="C2174" t="inlineStr">
        <is>
          <t>Vadodara Gas Limited</t>
        </is>
      </c>
      <c r="D2174" t="inlineStr">
        <is>
          <t>Tender No.: VGL/CO/C</t>
        </is>
      </c>
      <c r="E2174" t="inlineStr">
        <is>
          <t>03/11/2022</t>
        </is>
      </c>
      <c r="F2174" t="inlineStr">
        <is>
          <t>Awarded</t>
        </is>
      </c>
      <c r="G2174" t="inlineStr">
        <is>
          <t>Irrelevant / non-target</t>
        </is>
      </c>
      <c r="H2174" t="inlineStr">
        <is>
          <t>"Replies to Bidder's Queries
                Purchase of 02 Nos. 1200 SCMH Motor Driven Compressor Package with 36 Months AMC for Amendment of VGL
                Mother Stations (Tender No.: VGL/CO/C&amp;P-CNG/BD202206041 Dated 03/11/2022)</t>
        </is>
      </c>
      <c r="K2174" t="inlineStr">
        <is>
          <t>has to ensure the safety of man and machine all the times. 5 104 of 220 v. of 2.2</t>
        </is>
      </c>
      <c r="L2174" t="inlineStr">
        <is>
          <t>Unknown</t>
        </is>
      </c>
      <c r="M2174" t="n">
        <v>43</v>
      </c>
      <c r="T2174" t="inlineStr">
        <is>
          <t>https://www.vgl.co.in/wp-content/uploads/2025/pdf/Pre-Bid_Queries.pdf</t>
        </is>
      </c>
      <c r="U2174" t="inlineStr">
        <is>
          <t>No</t>
        </is>
      </c>
      <c r="V2174"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5">
      <c r="A2175" t="inlineStr">
        <is>
          <t>T-1979</t>
        </is>
      </c>
      <c r="B2175" t="inlineStr">
        <is>
          <t>Vadodara Gas Limited</t>
        </is>
      </c>
      <c r="C2175" t="inlineStr">
        <is>
          <t>Vadodara Gas Limited</t>
        </is>
      </c>
      <c r="D2175" t="inlineStr">
        <is>
          <t>VGL/CO/C</t>
        </is>
      </c>
      <c r="E2175" t="inlineStr">
        <is>
          <t>10/11/2022</t>
        </is>
      </c>
      <c r="F2175" t="inlineStr">
        <is>
          <t>New Lead</t>
        </is>
      </c>
      <c r="G2175" t="inlineStr">
        <is>
          <t>Gas-related / review</t>
        </is>
      </c>
      <c r="H2175" t="inlineStr">
        <is>
          <t>"Notice Inviting Tender
                for Hiring of 02 Nos. 8000 WL or above Capacity Mobile Cascade along with Brand New Suitable
                LCVs/MCVs/HCVs on Wetlease basis for the period of 03 years (Tender No.: VGL/CO/C&amp;P-CNG/BD202211024
                Dated 10/11/2022)</t>
        </is>
      </c>
      <c r="K2175" t="inlineStr">
        <is>
          <t>s under appropriate category for Hiring of 02 Nos. 8000 WL or above Capacity Mobi</t>
        </is>
      </c>
      <c r="L2175" t="inlineStr">
        <is>
          <t>Unknown</t>
        </is>
      </c>
      <c r="T2175" t="inlineStr">
        <is>
          <t>https://www.vgl.co.in/wp-content/uploads/2025/pdf/NIT_8000WL_Cascade.pdf</t>
        </is>
      </c>
      <c r="U2175" t="inlineStr">
        <is>
          <t>No</t>
        </is>
      </c>
      <c r="V2175" t="inlineStr">
        <is>
          <t>Bot tarafindan tespit edildi (2026-07-01); Bot tespit/zenginlestirme (2026-07-01); meta:score=70;priority=High;source_type=html_link;closing_date=None;equipment=Gas-related / review;reasons=equipment:Gas-related / review,document source,quantity signal,tender reference signal</t>
        </is>
      </c>
    </row>
    <row r="2176">
      <c r="A2176" t="inlineStr">
        <is>
          <t>T-1980</t>
        </is>
      </c>
      <c r="B2176" t="inlineStr">
        <is>
          <t>Vadodara Gas Limited</t>
        </is>
      </c>
      <c r="C2176" t="inlineStr">
        <is>
          <t>Vadodara Gas Limited</t>
        </is>
      </c>
      <c r="D2176" t="inlineStr">
        <is>
          <t>VGL/CO/C</t>
        </is>
      </c>
      <c r="E2176" t="inlineStr">
        <is>
          <t>18/10/2022</t>
        </is>
      </c>
      <c r="F2176" t="inlineStr">
        <is>
          <t>New Lead</t>
        </is>
      </c>
      <c r="G2176" t="inlineStr">
        <is>
          <t>Gas-related / review</t>
        </is>
      </c>
      <c r="H2176" t="inlineStr">
        <is>
          <t>"Replies to Bidder's Queries for Composite – Mechanical &amp; Electrical Works
                Contract For Upcoming New CNG Station at VGL, Vadodara (Tender No.: VGL/CO/C&amp;P-CNG/BD202206119/RI/01
                Dated 18/10/2022)</t>
        </is>
      </c>
      <c r="K2176" t="inlineStr">
        <is>
          <t>Not found</t>
        </is>
      </c>
      <c r="L2176" t="inlineStr">
        <is>
          <t>Unknown</t>
        </is>
      </c>
      <c r="T2176" t="inlineStr">
        <is>
          <t>https://www.vgl.co.in/wp-content/uploads/2025/pdf/REPLIES_TO_BIDDERS_QUERIES_Composite.pdf</t>
        </is>
      </c>
      <c r="U2176" t="inlineStr">
        <is>
          <t>No</t>
        </is>
      </c>
      <c r="V2176" t="inlineStr">
        <is>
          <t>Bot tarafindan tespit edildi (2026-07-01); Bot tespit/zenginlestirme (2026-07-01); meta:score=50;priority=Medium;source_type=html_link;closing_date=;equipment=Gas-related / review;reasons=equipment:Gas-related / review,document source,tender reference signal</t>
        </is>
      </c>
    </row>
    <row r="2177">
      <c r="A2177" t="inlineStr">
        <is>
          <t>T-1981</t>
        </is>
      </c>
      <c r="B2177" t="inlineStr">
        <is>
          <t>Vadodara Gas Limited</t>
        </is>
      </c>
      <c r="C2177" t="inlineStr">
        <is>
          <t>Vadodara Gas Limited</t>
        </is>
      </c>
      <c r="D2177" t="inlineStr">
        <is>
          <t>VGL/CO/C</t>
        </is>
      </c>
      <c r="E2177" t="inlineStr">
        <is>
          <t>23/09/2022</t>
        </is>
      </c>
      <c r="F2177" t="inlineStr">
        <is>
          <t>New Lead</t>
        </is>
      </c>
      <c r="G2177" t="inlineStr">
        <is>
          <t>Gas-related / review</t>
        </is>
      </c>
      <c r="H2177" t="inlineStr">
        <is>
          <t>"Replies to
                Bidder's Queries for Purchase of Domestic Diaphragm Meter on ARC Basis for period of One Year (Tender
                No.: VGL/CO/C&amp;P-PNG/BD202208P008 Dated 23/09/2022)</t>
        </is>
      </c>
      <c r="K2177" t="inlineStr">
        <is>
          <t>Not found</t>
        </is>
      </c>
      <c r="L2177" t="inlineStr">
        <is>
          <t>Unknown</t>
        </is>
      </c>
      <c r="T2177" t="inlineStr">
        <is>
          <t>https://www.vgl.co.in/wp-content/uploads/2025/pdf/REPLIES_TO_BIDDERS_QUERIES (1).pdf</t>
        </is>
      </c>
      <c r="U2177" t="inlineStr">
        <is>
          <t>No</t>
        </is>
      </c>
      <c r="V2177" t="inlineStr">
        <is>
          <t>Bot tarafindan tespit edildi (2026-07-01); Bot tespit/zenginlestirme (2026-07-01); meta:score=50;priority=Medium;source_type=html_link;closing_date=;equipment=Gas-related / review;reasons=equipment:Gas-related / review,document source,tender reference signal</t>
        </is>
      </c>
    </row>
    <row r="2178">
      <c r="A2178" t="inlineStr">
        <is>
          <t>T-1982</t>
        </is>
      </c>
      <c r="B2178" t="inlineStr">
        <is>
          <t>Vadodara Gas Limited</t>
        </is>
      </c>
      <c r="C2178" t="inlineStr">
        <is>
          <t>Vadodara Gas Limited</t>
        </is>
      </c>
      <c r="D2178" t="inlineStr">
        <is>
          <t>VGL/CO/C</t>
        </is>
      </c>
      <c r="E2178" t="inlineStr">
        <is>
          <t>18/10/2022</t>
        </is>
      </c>
      <c r="F2178" t="inlineStr">
        <is>
          <t>New Lead</t>
        </is>
      </c>
      <c r="G2178" t="inlineStr">
        <is>
          <t>Gas-related / review</t>
        </is>
      </c>
      <c r="H2178" t="inlineStr">
        <is>
          <t>"Notice Inviting Tender
                for Composite – Mechanical &amp; Electrical Works Contract For Upcoming New CNG Station at VGL,
                Vadodara (Tender No.: VGL/CO/C&amp;P-CNG/BD202206119/RI/01 Dated 18/10/2022)</t>
        </is>
      </c>
      <c r="K2178" t="inlineStr">
        <is>
          <t>Not found</t>
        </is>
      </c>
      <c r="L2178" t="inlineStr">
        <is>
          <t>Unknown</t>
        </is>
      </c>
      <c r="T2178" t="inlineStr">
        <is>
          <t>https://www.vgl.co.in/wp-content/uploads/2025/pdf/NIT_202206119_RI_01.pdf</t>
        </is>
      </c>
      <c r="U2178" t="inlineStr">
        <is>
          <t>No</t>
        </is>
      </c>
      <c r="V2178" t="inlineStr">
        <is>
          <t>Bot tarafindan tespit edildi (2026-07-01); Bot tespit/zenginlestirme (2026-07-01); meta:score=50;priority=Medium;source_type=html_link;closing_date=;equipment=Gas-related / review;reasons=equipment:Gas-related / review,document source,tender reference signal</t>
        </is>
      </c>
    </row>
    <row r="2179">
      <c r="A2179" t="inlineStr">
        <is>
          <t>T-1983</t>
        </is>
      </c>
      <c r="B2179" t="inlineStr">
        <is>
          <t>Vadodara Gas Limited</t>
        </is>
      </c>
      <c r="C2179" t="inlineStr">
        <is>
          <t>Vadodara Gas Limited</t>
        </is>
      </c>
      <c r="D2179" t="inlineStr">
        <is>
          <t>Tender No.: VGL/CO/C</t>
        </is>
      </c>
      <c r="E2179" t="inlineStr">
        <is>
          <t>23/09/2022</t>
        </is>
      </c>
      <c r="F2179" t="inlineStr">
        <is>
          <t>Awarded</t>
        </is>
      </c>
      <c r="G2179" t="inlineStr">
        <is>
          <t>Gas-related / review</t>
        </is>
      </c>
      <c r="H2179" t="inlineStr">
        <is>
          <t>"Corrigendum - 1for Purchase
                of Domestic Diaphragm Meter on ARC Basis for period of One Year (Tender No.:
                VGL/CO/C&amp;P-PNG/BD202208P008 Dated 23/09/2022)</t>
        </is>
      </c>
      <c r="K2179" t="inlineStr">
        <is>
          <t>Not found</t>
        </is>
      </c>
      <c r="L2179" t="inlineStr">
        <is>
          <t>Unknown</t>
        </is>
      </c>
      <c r="T2179" t="inlineStr">
        <is>
          <t>https://www.vgl.co.in/wp-content/uploads/2025/pdf/Corrigendum_-_1.pdf</t>
        </is>
      </c>
      <c r="U2179" t="inlineStr">
        <is>
          <t>No</t>
        </is>
      </c>
      <c r="V2179"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80">
      <c r="A2180" t="inlineStr">
        <is>
          <t>T-1984</t>
        </is>
      </c>
      <c r="B2180" t="inlineStr">
        <is>
          <t>Vadodara Gas Limited</t>
        </is>
      </c>
      <c r="C2180" t="inlineStr">
        <is>
          <t>Vadodara Gas Limited</t>
        </is>
      </c>
      <c r="D2180" t="inlineStr">
        <is>
          <t>VGL/CO/C</t>
        </is>
      </c>
      <c r="E2180" t="inlineStr">
        <is>
          <t>09/09/2022</t>
        </is>
      </c>
      <c r="F2180" t="inlineStr">
        <is>
          <t>New Lead</t>
        </is>
      </c>
      <c r="G2180" t="inlineStr">
        <is>
          <t>Gas-related / review</t>
        </is>
      </c>
      <c r="H2180" t="inlineStr">
        <is>
          <t>"Replies to Bidder's Queries against the tender for Non-Comprehensive Operation &amp;
                Maintenance Service of ICL Make 250 SCMH Booster Compressors &amp; Associated Accessories installed at
                VGL, Vadodara for the period of 02 Years Vide Tender No.: VGL/CO/C&amp;P-CNG/BD202204117 Dated
                09/09/2022</t>
        </is>
      </c>
      <c r="K2180" t="inlineStr">
        <is>
          <t>Not found</t>
        </is>
      </c>
      <c r="L2180" t="inlineStr">
        <is>
          <t>Unknown</t>
        </is>
      </c>
      <c r="T2180" t="inlineStr">
        <is>
          <t>https://www.vgl.co.in/wp-content/uploads/2025/pdf/REPLIES_TO_BIDDERS_QUERIES_-_250_SCMH.pdf</t>
        </is>
      </c>
      <c r="U2180" t="inlineStr">
        <is>
          <t>No</t>
        </is>
      </c>
      <c r="V2180" t="inlineStr">
        <is>
          <t>Bot tarafindan tespit edildi (2026-07-01); Bot tespit/zenginlestirme (2026-07-01); meta:score=50;priority=Medium;source_type=html_link;closing_date=;equipment=Gas-related / review;reasons=equipment:Gas-related / review,document source,tender reference signal</t>
        </is>
      </c>
    </row>
    <row r="2181">
      <c r="A2181" t="inlineStr">
        <is>
          <t>T-1985</t>
        </is>
      </c>
      <c r="B2181" t="inlineStr">
        <is>
          <t>Vadodara Gas Limited</t>
        </is>
      </c>
      <c r="C2181" t="inlineStr">
        <is>
          <t>Vadodara Gas Limited</t>
        </is>
      </c>
      <c r="D2181" t="inlineStr">
        <is>
          <t>VGL/CO/C</t>
        </is>
      </c>
      <c r="E2181" t="inlineStr">
        <is>
          <t>23/09/2022</t>
        </is>
      </c>
      <c r="F2181" t="inlineStr">
        <is>
          <t>New Lead</t>
        </is>
      </c>
      <c r="G2181" t="inlineStr">
        <is>
          <t>Gas-related / review</t>
        </is>
      </c>
      <c r="H2181" t="inlineStr">
        <is>
          <t>"Notice Inviting Tender for
                Purchase of Domestic Diaphragm Meter on ARC Basis for period of One Year (Tender No.:
                VGL/CO/C&amp;P-PNG/BD202208P008 Dated 23/09/2022)</t>
        </is>
      </c>
      <c r="K2181" t="inlineStr">
        <is>
          <t>Not found</t>
        </is>
      </c>
      <c r="L2181" t="inlineStr">
        <is>
          <t>Unknown</t>
        </is>
      </c>
      <c r="T2181" t="inlineStr">
        <is>
          <t>https://www.vgl.co.in/wp-content/uploads/2025/pdf/NIT_BD202208P008.pdf</t>
        </is>
      </c>
      <c r="U2181" t="inlineStr">
        <is>
          <t>No</t>
        </is>
      </c>
      <c r="V2181" t="inlineStr">
        <is>
          <t>Bot tarafindan tespit edildi (2026-07-01); Bot tespit/zenginlestirme (2026-07-01); meta:score=50;priority=Medium;source_type=html_link;closing_date=;equipment=Gas-related / review;reasons=equipment:Gas-related / review,document source,tender reference signal</t>
        </is>
      </c>
    </row>
    <row r="2182">
      <c r="A2182" t="inlineStr">
        <is>
          <t>T-1986</t>
        </is>
      </c>
      <c r="B2182" t="inlineStr">
        <is>
          <t>Vadodara Gas Limited</t>
        </is>
      </c>
      <c r="C2182" t="inlineStr">
        <is>
          <t>Vadodara Gas Limited</t>
        </is>
      </c>
      <c r="D2182" t="inlineStr">
        <is>
          <t>VGL/CO/C</t>
        </is>
      </c>
      <c r="E2182" t="inlineStr">
        <is>
          <t>22/08/2022</t>
        </is>
      </c>
      <c r="F2182" t="inlineStr">
        <is>
          <t>New Lead</t>
        </is>
      </c>
      <c r="G2182" t="inlineStr">
        <is>
          <t>Gas-related / review</t>
        </is>
      </c>
      <c r="H2182" t="inlineStr">
        <is>
          <t>"Replies to Bidders Queries - Additional against the tender for Purchase of 3000 WL
                Capacity Cascades on ARC Basis for Period of One Year Vide Tender No.: VGL/CO/C&amp;P-CNG/BD202208044
                Dated 22/08/2022</t>
        </is>
      </c>
      <c r="K2182" t="inlineStr">
        <is>
          <t>Not found</t>
        </is>
      </c>
      <c r="L2182" t="inlineStr">
        <is>
          <t>Unknown</t>
        </is>
      </c>
      <c r="T2182" t="inlineStr">
        <is>
          <t>https://www.vgl.co.in/wp-content/uploads/2025/pdf/Replies_to_Bidder_s_Queries__Additional.pdf</t>
        </is>
      </c>
      <c r="U2182" t="inlineStr">
        <is>
          <t>No</t>
        </is>
      </c>
      <c r="V2182" t="inlineStr">
        <is>
          <t>Bot tarafindan tespit edildi (2026-07-01); Bot tespit/zenginlestirme (2026-07-01); meta:score=50;priority=Medium;source_type=html_link;closing_date=;equipment=Gas-related / review;reasons=equipment:Gas-related / review,document source,tender reference signal</t>
        </is>
      </c>
    </row>
    <row r="2183">
      <c r="A2183" t="inlineStr">
        <is>
          <t>T-1987</t>
        </is>
      </c>
      <c r="B2183" t="inlineStr">
        <is>
          <t>Vadodara Gas Limited</t>
        </is>
      </c>
      <c r="C2183" t="inlineStr">
        <is>
          <t>Vadodara Gas Limited</t>
        </is>
      </c>
      <c r="D2183" t="inlineStr">
        <is>
          <t>VGL/CO/C</t>
        </is>
      </c>
      <c r="E2183" t="inlineStr">
        <is>
          <t>09/09/2022</t>
        </is>
      </c>
      <c r="F2183" t="inlineStr">
        <is>
          <t>New Lead</t>
        </is>
      </c>
      <c r="G2183" t="inlineStr">
        <is>
          <t>Gas-related / review</t>
        </is>
      </c>
      <c r="H2183" t="inlineStr">
        <is>
          <t>"Non-Comprehensive Operation
                &amp; Maintenance Service of ICL Make 250 SCMH Booster Compressors &amp; Associated Accessories
                installed at VGL, Vadodara for the period of 02 Years (Tender No.: VGL/CO/C&amp;P-CNG/BD202204117 Dated
                09/09/2022)</t>
        </is>
      </c>
      <c r="K2183" t="inlineStr">
        <is>
          <t>Not found</t>
        </is>
      </c>
      <c r="L2183" t="inlineStr">
        <is>
          <t>Unknown</t>
        </is>
      </c>
      <c r="T2183" t="inlineStr">
        <is>
          <t>https://www.vgl.co.in/wp-content/uploads/2025/pdf/NIT_BD202204117.pdf</t>
        </is>
      </c>
      <c r="U2183" t="inlineStr">
        <is>
          <t>No</t>
        </is>
      </c>
      <c r="V2183" t="inlineStr">
        <is>
          <t>Bot tarafindan tespit edildi (2026-07-01); Bot tespit/zenginlestirme (2026-07-01); meta:score=50;priority=Medium;source_type=html_link;closing_date=;equipment=Gas-related / review;reasons=equipment:Gas-related / review,document source,tender reference signal</t>
        </is>
      </c>
    </row>
    <row r="2184">
      <c r="A2184" t="inlineStr">
        <is>
          <t>T-1988</t>
        </is>
      </c>
      <c r="B2184" t="inlineStr">
        <is>
          <t>Vadodara Gas Limited</t>
        </is>
      </c>
      <c r="C2184" t="inlineStr">
        <is>
          <t>Vadodara Gas Limited</t>
        </is>
      </c>
      <c r="D2184" t="inlineStr">
        <is>
          <t>VGL/CO/C</t>
        </is>
      </c>
      <c r="E2184" t="inlineStr">
        <is>
          <t>08/09/2022</t>
        </is>
      </c>
      <c r="F2184" t="inlineStr">
        <is>
          <t>New Lead</t>
        </is>
      </c>
      <c r="G2184" t="inlineStr">
        <is>
          <t>Gas-related / review</t>
        </is>
      </c>
      <c r="H2184" t="inlineStr">
        <is>
          <t>"Notice Inviting Tender for
                Composite – Mechanical &amp; Electrical Works Contract For Upcoming New CNG Station at VGL,
                Vadodara (Tender No.: VGL/CO/C&amp;P-CNG/BD202206119 Dated 08/09/2022)</t>
        </is>
      </c>
      <c r="K2184" t="inlineStr">
        <is>
          <t>Not found</t>
        </is>
      </c>
      <c r="L2184" t="inlineStr">
        <is>
          <t>Unknown</t>
        </is>
      </c>
      <c r="T2184" t="inlineStr">
        <is>
          <t>https://www.vgl.co.in/wp-content/uploads/2025/pdf/NIT_202206119.pdf</t>
        </is>
      </c>
      <c r="U2184" t="inlineStr">
        <is>
          <t>No</t>
        </is>
      </c>
      <c r="V2184" t="inlineStr">
        <is>
          <t>Bot tarafindan tespit edildi (2026-07-01); Bot tespit/zenginlestirme (2026-07-01); meta:score=50;priority=Medium;source_type=html_link;closing_date=;equipment=Gas-related / review;reasons=equipment:Gas-related / review,document source,tender reference signal</t>
        </is>
      </c>
    </row>
    <row r="2185">
      <c r="A2185" t="inlineStr">
        <is>
          <t>T-1989</t>
        </is>
      </c>
      <c r="B2185" t="inlineStr">
        <is>
          <t>Vadodara Gas Limited</t>
        </is>
      </c>
      <c r="C2185" t="inlineStr">
        <is>
          <t>Vadodara Gas Limited</t>
        </is>
      </c>
      <c r="D2185" t="inlineStr">
        <is>
          <t>VGL/CO/C</t>
        </is>
      </c>
      <c r="E2185" t="inlineStr">
        <is>
          <t>22/08/2022</t>
        </is>
      </c>
      <c r="F2185" t="inlineStr">
        <is>
          <t>New Lead</t>
        </is>
      </c>
      <c r="G2185" t="inlineStr">
        <is>
          <t>Gas-related / review</t>
        </is>
      </c>
      <c r="H2185" t="inlineStr">
        <is>
          <t>"Replies
                to Bidders Queries against the tender for Purchase of 3000 WL Capacity Cascades on ARC Basis for Period
                of One Year Vide Tender No.: VGL/CO/C&amp;P-CNG/BD202208044 Dated 22/08/2022</t>
        </is>
      </c>
      <c r="K2185" t="inlineStr">
        <is>
          <t>Not found</t>
        </is>
      </c>
      <c r="L2185" t="inlineStr">
        <is>
          <t>Unknown</t>
        </is>
      </c>
      <c r="T2185" t="inlineStr">
        <is>
          <t>https://www.vgl.co.in/wp-content/uploads/2025/pdf/REPLIES_TO_BIDDERS_QUERIES_Cascade.pdf</t>
        </is>
      </c>
      <c r="U2185" t="inlineStr">
        <is>
          <t>No</t>
        </is>
      </c>
      <c r="V2185" t="inlineStr">
        <is>
          <t>Bot tarafindan tespit edildi (2026-07-01); Bot tespit/zenginlestirme (2026-07-01); meta:score=50;priority=Medium;source_type=html_link;closing_date=;equipment=Gas-related / review;reasons=equipment:Gas-related / review,document source,tender reference signal</t>
        </is>
      </c>
    </row>
    <row r="2186">
      <c r="A2186" t="inlineStr">
        <is>
          <t>T-1990</t>
        </is>
      </c>
      <c r="B2186" t="inlineStr">
        <is>
          <t>Vadodara Gas Limited</t>
        </is>
      </c>
      <c r="C2186" t="inlineStr">
        <is>
          <t>Vadodara Gas Limited</t>
        </is>
      </c>
      <c r="D2186" t="inlineStr">
        <is>
          <t>VGL/CO/C</t>
        </is>
      </c>
      <c r="E2186" t="inlineStr">
        <is>
          <t>22/08/2022</t>
        </is>
      </c>
      <c r="F2186" t="inlineStr">
        <is>
          <t>New Lead</t>
        </is>
      </c>
      <c r="G2186" t="inlineStr">
        <is>
          <t>Gas-related / review</t>
        </is>
      </c>
      <c r="H2186" t="inlineStr">
        <is>
          <t>"Notice Inviting Tender for
            Purchase of 3000 WL Capacity Cascades on ARC Basis for Period of One Year (Tender No.:
            VGL/CO/C&amp;P-CNG/BD202208044 Dated 22/08/2022)</t>
        </is>
      </c>
      <c r="K2186" t="inlineStr">
        <is>
          <t>Not found</t>
        </is>
      </c>
      <c r="L2186" t="inlineStr">
        <is>
          <t>Unknown</t>
        </is>
      </c>
      <c r="T2186" t="inlineStr">
        <is>
          <t>https://www.vgl.co.in/wp-content/uploads/2025/pdf/NIT_202208044.pdf</t>
        </is>
      </c>
      <c r="U2186" t="inlineStr">
        <is>
          <t>No</t>
        </is>
      </c>
      <c r="V2186" t="inlineStr">
        <is>
          <t>Bot tarafindan tespit edildi (2026-07-01); Bot tespit/zenginlestirme (2026-07-01); meta:score=50;priority=Medium;source_type=html_link;closing_date=;equipment=Gas-related / review;reasons=equipment:Gas-related / review,document source,tender reference signal</t>
        </is>
      </c>
    </row>
    <row r="2187">
      <c r="A2187" t="inlineStr">
        <is>
          <t>T-1991</t>
        </is>
      </c>
      <c r="B2187" t="inlineStr">
        <is>
          <t>Vadodara Gas Limited</t>
        </is>
      </c>
      <c r="C2187" t="inlineStr">
        <is>
          <t>Vadodara Gas Limited</t>
        </is>
      </c>
      <c r="D2187" t="inlineStr">
        <is>
          <t>VGL/CO/C</t>
        </is>
      </c>
      <c r="E2187" t="inlineStr">
        <is>
          <t>16/07/2022</t>
        </is>
      </c>
      <c r="F2187" t="inlineStr">
        <is>
          <t>New Lead</t>
        </is>
      </c>
      <c r="G2187" t="inlineStr">
        <is>
          <t>Gas-related / review</t>
        </is>
      </c>
      <c r="H2187" t="inlineStr">
        <is>
          <t>"Pre-Bids Queries
                Replies against the tender for Hiring of Vehicle Services at VGL for a Period of 24 Months (Tender No.:
                VGL/CO/C&amp;P-CNG/BD202204116 Dated 16/07/2022)</t>
        </is>
      </c>
      <c r="K2187" t="inlineStr">
        <is>
          <t>Not found</t>
        </is>
      </c>
      <c r="L2187" t="inlineStr">
        <is>
          <t>Unknown</t>
        </is>
      </c>
      <c r="T2187" t="inlineStr">
        <is>
          <t>https://www.vgl.co.in/wp-content/uploads/2025/pdf/Prebid_Queries_Replies.pdf</t>
        </is>
      </c>
      <c r="U2187" t="inlineStr">
        <is>
          <t>No</t>
        </is>
      </c>
      <c r="V2187" t="inlineStr">
        <is>
          <t>Bot tarafindan tespit edildi (2026-07-01); Bot tespit/zenginlestirme (2026-07-01); meta:score=50;priority=Medium;source_type=html_link;closing_date=;equipment=Gas-related / review;reasons=equipment:Gas-related / review,document source,tender reference signal</t>
        </is>
      </c>
    </row>
    <row r="2188">
      <c r="A2188" t="inlineStr">
        <is>
          <t>T-1992</t>
        </is>
      </c>
      <c r="B2188" t="inlineStr">
        <is>
          <t>Vadodara Gas Limited</t>
        </is>
      </c>
      <c r="C2188" t="inlineStr">
        <is>
          <t>Vadodara Gas Limited</t>
        </is>
      </c>
      <c r="D2188" t="inlineStr">
        <is>
          <t>VGL/CO/C</t>
        </is>
      </c>
      <c r="E2188" t="inlineStr">
        <is>
          <t>16/07/2022</t>
        </is>
      </c>
      <c r="F2188" t="inlineStr">
        <is>
          <t>New Lead</t>
        </is>
      </c>
      <c r="G2188" t="inlineStr">
        <is>
          <t>Gas-related / review</t>
        </is>
      </c>
      <c r="H2188" t="inlineStr">
        <is>
          <t>"Notice Inviting Tender for
                Hiring of Vehicle Services at VGL for a Period of 24 Months (Tender No.: VGL/CO/C&amp;P-CNG/BD202204116
                Dated 16/07/2022)</t>
        </is>
      </c>
      <c r="K2188" t="inlineStr">
        <is>
          <t>Not found</t>
        </is>
      </c>
      <c r="L2188" t="inlineStr">
        <is>
          <t>Unknown</t>
        </is>
      </c>
      <c r="T2188" t="inlineStr">
        <is>
          <t>https://www.vgl.co.in/wp-content/uploads/2025/pdf/NIT_202204116.pdf</t>
        </is>
      </c>
      <c r="U2188" t="inlineStr">
        <is>
          <t>No</t>
        </is>
      </c>
      <c r="V2188" t="inlineStr">
        <is>
          <t>Bot tarafindan tespit edildi (2026-07-01); Bot tespit/zenginlestirme (2026-07-01); meta:score=50;priority=Medium;source_type=html_link;closing_date=;equipment=Gas-related / review;reasons=equipment:Gas-related / review,document source,tender reference signal</t>
        </is>
      </c>
    </row>
    <row r="2189">
      <c r="A2189" t="inlineStr">
        <is>
          <t>T-1993</t>
        </is>
      </c>
      <c r="B2189" t="inlineStr">
        <is>
          <t>Vadodara Gas Limited</t>
        </is>
      </c>
      <c r="C2189" t="inlineStr">
        <is>
          <t>Vadodara Gas Limited</t>
        </is>
      </c>
      <c r="D2189" t="inlineStr">
        <is>
          <t>VGL/CO/C</t>
        </is>
      </c>
      <c r="E2189" t="inlineStr">
        <is>
          <t>29/06/2022</t>
        </is>
      </c>
      <c r="F2189" t="inlineStr">
        <is>
          <t>New Lead</t>
        </is>
      </c>
      <c r="G2189" t="inlineStr">
        <is>
          <t>Irrelevant / non-target</t>
        </is>
      </c>
      <c r="H2189" t="inlineStr">
        <is>
          <t>"Notice Inviting Tender for
                Hiring of Housekeeping Services at VGL for a Period of 24 Months (Tender No.:
                VGL/CO/C&amp;P-HR/BD202204112 Dated 29/06/2022)</t>
        </is>
      </c>
      <c r="K2189" t="inlineStr">
        <is>
          <t>Not found</t>
        </is>
      </c>
      <c r="L2189" t="inlineStr">
        <is>
          <t>Unknown</t>
        </is>
      </c>
      <c r="T2189" t="inlineStr">
        <is>
          <t>https://www.vgl.co.in/wp-content/uploads/2025/pdf/NIT_BD202202P78.pdf</t>
        </is>
      </c>
      <c r="U2189" t="inlineStr">
        <is>
          <t>No</t>
        </is>
      </c>
      <c r="V2189" t="inlineStr">
        <is>
          <t>Bot tarafindan tespit edildi (2026-07-01); Bot tespit/zenginlestirme (2026-07-01); meta:score=;priority=Low;source_type=html_link;closing_date=;equipment=Irrelevant / non-target;reasons=irrelevant_equipment,document source,tender reference signal,non-target service</t>
        </is>
      </c>
    </row>
    <row r="2190">
      <c r="A2190" t="inlineStr">
        <is>
          <t>T-1994</t>
        </is>
      </c>
      <c r="B2190" t="inlineStr">
        <is>
          <t>Vadodara Gas Limited</t>
        </is>
      </c>
      <c r="C2190" t="inlineStr">
        <is>
          <t>Vadodara Gas Limited</t>
        </is>
      </c>
      <c r="D2190" t="inlineStr">
        <is>
          <t>VGL/CO/C</t>
        </is>
      </c>
      <c r="E2190" t="inlineStr">
        <is>
          <t>06/06/2022</t>
        </is>
      </c>
      <c r="F2190" t="inlineStr">
        <is>
          <t>New Lead</t>
        </is>
      </c>
      <c r="G2190" t="inlineStr">
        <is>
          <t>Gas-related / review</t>
        </is>
      </c>
      <c r="H2190" t="inlineStr">
        <is>
          <t>"Replies to Bidder's queries – Additional" of the tender for "Purchase of 06 mm x
                ½” Gas Tap on ARC Basis for period of Two Years (Tender No.:
                VGL/CO/C&amp;P-PNG/BD202205P001 Dated: 06/06/2022)</t>
        </is>
      </c>
      <c r="K2190" t="inlineStr">
        <is>
          <t>Not found</t>
        </is>
      </c>
      <c r="L2190" t="inlineStr">
        <is>
          <t>Unknown</t>
        </is>
      </c>
      <c r="T2190" t="inlineStr">
        <is>
          <t>https://www.vgl.co.in/wp-content/uploads/2025/pdf/Replies_to_Bidders_Queries_BD202205P001_Additional.pdf</t>
        </is>
      </c>
      <c r="U2190" t="inlineStr">
        <is>
          <t>No</t>
        </is>
      </c>
      <c r="V2190" t="inlineStr">
        <is>
          <t>Bot tarafindan tespit edildi (2026-07-01); Bot tespit/zenginlestirme (2026-07-01); meta:score=50;priority=Medium;source_type=html_link;closing_date=;equipment=Gas-related / review;reasons=equipment:Gas-related / review,document source,tender reference signal</t>
        </is>
      </c>
    </row>
    <row r="2191">
      <c r="A2191" t="inlineStr">
        <is>
          <t>T-1995</t>
        </is>
      </c>
      <c r="B2191" t="inlineStr">
        <is>
          <t>Vadodara Gas Limited</t>
        </is>
      </c>
      <c r="C2191" t="inlineStr">
        <is>
          <t>Vadodara Gas Limited</t>
        </is>
      </c>
      <c r="D2191" t="inlineStr">
        <is>
          <t>VGL/CO/C</t>
        </is>
      </c>
      <c r="E2191" t="inlineStr">
        <is>
          <t>06/06/2022</t>
        </is>
      </c>
      <c r="F2191" t="inlineStr">
        <is>
          <t>New Lead</t>
        </is>
      </c>
      <c r="G2191" t="inlineStr">
        <is>
          <t>Gas-related / review</t>
        </is>
      </c>
      <c r="H2191" t="inlineStr">
        <is>
          <t>"Replies of Bidder's Queries of the tender for "Purchase of 06 mm x ½” Gas
                Tap on ARC Basis for period of Two Years (Tender No.: VGL/CO/C&amp;P-PNG/BD202205P001 Dated:
                06/06/2022)</t>
        </is>
      </c>
      <c r="K2191" t="inlineStr">
        <is>
          <t>Not found</t>
        </is>
      </c>
      <c r="L2191" t="inlineStr">
        <is>
          <t>Unknown</t>
        </is>
      </c>
      <c r="T2191" t="inlineStr">
        <is>
          <t>https://www.vgl.co.in/wp-content/uploads/2025/pdf/REPLIES_TO_BIDDERS_QUERIES_BD202205P001.pdf</t>
        </is>
      </c>
      <c r="U2191" t="inlineStr">
        <is>
          <t>No</t>
        </is>
      </c>
      <c r="V2191" t="inlineStr">
        <is>
          <t>Bot tarafindan tespit edildi (2026-07-01); Bot tespit/zenginlestirme (2026-07-01); meta:score=50;priority=Medium;source_type=html_link;closing_date=;equipment=Gas-related / review;reasons=equipment:Gas-related / review,document source,tender reference signal</t>
        </is>
      </c>
    </row>
    <row r="2192">
      <c r="A2192" t="inlineStr">
        <is>
          <t>T-1996</t>
        </is>
      </c>
      <c r="B2192" t="inlineStr">
        <is>
          <t>Vadodara Gas Limited</t>
        </is>
      </c>
      <c r="C2192" t="inlineStr">
        <is>
          <t>Vadodara Gas Limited</t>
        </is>
      </c>
      <c r="D2192" t="inlineStr">
        <is>
          <t>VGL/CO/C</t>
        </is>
      </c>
      <c r="E2192" t="inlineStr">
        <is>
          <t>06/06/2022</t>
        </is>
      </c>
      <c r="F2192" t="inlineStr">
        <is>
          <t>New Lead</t>
        </is>
      </c>
      <c r="G2192" t="inlineStr">
        <is>
          <t>Gas-related / review</t>
        </is>
      </c>
      <c r="H2192" t="inlineStr">
        <is>
          <t>"Notice Inviting Tender for
                Purchase of 06 mm x ½” Gas Tap on ARC Basis for period of Two Years (Tender No.:
                VGL/CO/C&amp;P-PNG/BD202205P001 Dated: 06/06/2022)</t>
        </is>
      </c>
      <c r="K2192" t="inlineStr">
        <is>
          <t>Not found</t>
        </is>
      </c>
      <c r="L2192" t="inlineStr">
        <is>
          <t>Unknown</t>
        </is>
      </c>
      <c r="T2192" t="inlineStr">
        <is>
          <t>https://www.vgl.co.in/wp-content/uploads/2025/pdf/NIT_BD202205P001.pdf</t>
        </is>
      </c>
      <c r="U2192" t="inlineStr">
        <is>
          <t>No</t>
        </is>
      </c>
      <c r="V2192" t="inlineStr">
        <is>
          <t>Bot tarafindan tespit edildi (2026-07-01); Bot tespit/zenginlestirme (2026-07-01); meta:score=50;priority=Medium;source_type=html_link;closing_date=;equipment=Gas-related / review;reasons=equipment:Gas-related / review,document source,tender reference signal</t>
        </is>
      </c>
    </row>
    <row r="2193">
      <c r="A2193" t="inlineStr">
        <is>
          <t>T-1997</t>
        </is>
      </c>
      <c r="B2193" t="inlineStr">
        <is>
          <t>Vadodara Gas Limited</t>
        </is>
      </c>
      <c r="C2193" t="inlineStr">
        <is>
          <t>Vadodara Gas Limited</t>
        </is>
      </c>
      <c r="D2193" t="inlineStr">
        <is>
          <t>VGL/CO/C</t>
        </is>
      </c>
      <c r="F2193" t="inlineStr">
        <is>
          <t>New Lead</t>
        </is>
      </c>
      <c r="G2193" t="inlineStr">
        <is>
          <t>Unclassified</t>
        </is>
      </c>
      <c r="H2193" t="inlineStr">
        <is>
          <t>"Notice Inviting Tender for Purchase of Firewall, Server and Network Switch (Tender No.:
                VGL/CO/C&amp;P-IT/BD202108165 Dated: 23.05.2022)</t>
        </is>
      </c>
      <c r="K2193" t="inlineStr">
        <is>
          <t>Not found</t>
        </is>
      </c>
      <c r="L2193" t="inlineStr">
        <is>
          <t>Unknown</t>
        </is>
      </c>
      <c r="T2193" t="inlineStr">
        <is>
          <t>https://www.vgl.co.in/wp-content/uploads/2025/pdf/NIT.pdf</t>
        </is>
      </c>
      <c r="U2193" t="inlineStr">
        <is>
          <t>No</t>
        </is>
      </c>
      <c r="V2193" t="inlineStr">
        <is>
          <t>Bot tarafindan tespit edildi (2026-07-01); Bot tespit/zenginlestirme (2026-07-01); meta:score=35;priority=Low;source_type=html_link;closing_date=;equipment=Unclassified;reasons=document source,tender reference signal</t>
        </is>
      </c>
    </row>
    <row r="2194">
      <c r="A2194" t="inlineStr">
        <is>
          <t>T-1998</t>
        </is>
      </c>
      <c r="B2194" t="inlineStr">
        <is>
          <t>Vadodara Gas Limited</t>
        </is>
      </c>
      <c r="C2194" t="inlineStr">
        <is>
          <t>Vadodara Gas Limited</t>
        </is>
      </c>
      <c r="D2194" t="inlineStr">
        <is>
          <t>VGL/CO/C</t>
        </is>
      </c>
      <c r="F2194" t="inlineStr">
        <is>
          <t>New Lead</t>
        </is>
      </c>
      <c r="G2194" t="inlineStr">
        <is>
          <t>Gas-related / review</t>
        </is>
      </c>
      <c r="H2194" t="inlineStr">
        <is>
          <t>"Replies
                of Bidder's Queries of the tender for Purchase of Desktop Computers, Laptop and Printers (Tender No.:
                VGL/CO/C&amp;P-CNG/BD202102135 Dated: 16.05.2022)</t>
        </is>
      </c>
      <c r="K2194" t="inlineStr">
        <is>
          <t>Not found</t>
        </is>
      </c>
      <c r="L2194" t="inlineStr">
        <is>
          <t>Unknown</t>
        </is>
      </c>
      <c r="T2194" t="inlineStr">
        <is>
          <t>https://www.vgl.co.in/wp-content/uploads/2025/pdf/Replies_to_Bidder_s_Queries_Final.pdf</t>
        </is>
      </c>
      <c r="U2194" t="inlineStr">
        <is>
          <t>No</t>
        </is>
      </c>
      <c r="V2194" t="inlineStr">
        <is>
          <t>Bot tarafindan tespit edildi (2026-07-01); Bot tespit/zenginlestirme (2026-07-01); meta:score=50;priority=Medium;source_type=html_link;closing_date=;equipment=Gas-related / review;reasons=equipment:Gas-related / review,document source,tender reference signal</t>
        </is>
      </c>
    </row>
    <row r="2195">
      <c r="A2195" t="inlineStr">
        <is>
          <t>T-1999</t>
        </is>
      </c>
      <c r="B2195" t="inlineStr">
        <is>
          <t>Vadodara Gas Limited</t>
        </is>
      </c>
      <c r="C2195" t="inlineStr">
        <is>
          <t>Vadodara Gas Limited</t>
        </is>
      </c>
      <c r="D2195" t="inlineStr">
        <is>
          <t>Tender No.: VGL/CO/C</t>
        </is>
      </c>
      <c r="E2195" t="inlineStr">
        <is>
          <t>16/05/2022</t>
        </is>
      </c>
      <c r="F2195" t="inlineStr">
        <is>
          <t>Awarded</t>
        </is>
      </c>
      <c r="G2195" t="inlineStr">
        <is>
          <t>domestic regulator</t>
        </is>
      </c>
      <c r="H2195" t="inlineStr">
        <is>
          <t>"Notice Inviting
                Tender for Purchase of Domestic Regulator on ARC Basis for period of Two Years (Tender No.:
                VGL/CO/C&amp;P-PNG/BD202203P80 Dated: 16.05.2022)</t>
        </is>
      </c>
      <c r="K2195" t="inlineStr">
        <is>
          <t>s under appropriate category for</t>
        </is>
      </c>
      <c r="L2195" t="inlineStr">
        <is>
          <t>Unknown</t>
        </is>
      </c>
      <c r="M2195" t="n">
        <v>1.2</v>
      </c>
      <c r="T2195" t="inlineStr">
        <is>
          <t>https://www.vgl.co.in/wp-content/uploads/2025/pdf/NIT_Domestic_Regulator.pdf</t>
        </is>
      </c>
      <c r="U2195" t="inlineStr">
        <is>
          <t>No</t>
        </is>
      </c>
      <c r="V2195" t="inlineStr">
        <is>
          <t>Bot tarafindan tespit edildi (2026-07-01) | Bot enrich; date=2026-07-01; type=pdf; score=320; Bot tespit/zenginlestirme (2026-07-01); meta:score=100;priority=High;source_type=html_link;closing_date=08/06/2022;equipment=Domestic regulator;reasons=equipment:Domestic regulator,target regulator keyword,document source,tender reference signal; Bot clean extraction (2026-07-01); meta:score=100;priority=High;source_type=html_link;closing_date=08/06/2022;equipment=Domestic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96">
      <c r="A2196" t="inlineStr">
        <is>
          <t>T-2000</t>
        </is>
      </c>
      <c r="B2196" t="inlineStr">
        <is>
          <t>Vadodara Gas Limited</t>
        </is>
      </c>
      <c r="C2196" t="inlineStr">
        <is>
          <t>Vadodara Gas Limited</t>
        </is>
      </c>
      <c r="D2196" t="inlineStr">
        <is>
          <t>VGL/CO/C</t>
        </is>
      </c>
      <c r="F2196" t="inlineStr">
        <is>
          <t>New Lead</t>
        </is>
      </c>
      <c r="G2196" t="inlineStr">
        <is>
          <t>Gas-related / review</t>
        </is>
      </c>
      <c r="H2196" t="inlineStr">
        <is>
          <t>"Notice Inviting Tender for Purchase of Desktop Computers, Laptop and Printers (Tender
                No.: VGL/CO/C&amp;P-CNG/BD202102135 Dated: 16.05.2022)</t>
        </is>
      </c>
      <c r="K2196" t="inlineStr">
        <is>
          <t>Not found</t>
        </is>
      </c>
      <c r="L2196" t="inlineStr">
        <is>
          <t>Unknown</t>
        </is>
      </c>
      <c r="T2196" t="inlineStr">
        <is>
          <t>https://www.vgl.co.in/wp-content/uploads/2025/pdf/NIT1.pdf</t>
        </is>
      </c>
      <c r="U2196" t="inlineStr">
        <is>
          <t>No</t>
        </is>
      </c>
      <c r="V2196" t="inlineStr">
        <is>
          <t>Bot tarafindan tespit edildi (2026-07-01); Bot tespit/zenginlestirme (2026-07-01); meta:score=50;priority=Medium;source_type=html_link;closing_date=;equipment=Gas-related / review;reasons=equipment:Gas-related / review,document source,tender reference signal</t>
        </is>
      </c>
    </row>
    <row r="2197">
      <c r="A2197" t="inlineStr">
        <is>
          <t>T-2001</t>
        </is>
      </c>
      <c r="B2197" t="inlineStr">
        <is>
          <t>Vadodara Gas Limited</t>
        </is>
      </c>
      <c r="C2197" t="inlineStr">
        <is>
          <t>Vadodara Gas Limited</t>
        </is>
      </c>
      <c r="D2197" t="inlineStr">
        <is>
          <t>VGL/CO/C</t>
        </is>
      </c>
      <c r="F2197" t="inlineStr">
        <is>
          <t>New Lead</t>
        </is>
      </c>
      <c r="G2197" t="inlineStr">
        <is>
          <t>Irrelevant / non-target</t>
        </is>
      </c>
      <c r="H2197" t="inlineStr">
        <is>
          <t>"Replies of Bidder's Queries of the tender for Hiring of Security Services at VGL for
                Period of 24 Months (Tender No.: VGL/CO/C&amp;P-CNG/BD202203105)</t>
        </is>
      </c>
      <c r="K2197" t="inlineStr">
        <is>
          <t>Not found</t>
        </is>
      </c>
      <c r="L2197" t="inlineStr">
        <is>
          <t>Unknown</t>
        </is>
      </c>
      <c r="T2197" t="inlineStr">
        <is>
          <t>https://www.vgl.co.in/wp-content/uploads/2025/pdf/Replies_to_Bidder_s_Queries_Security.pdf</t>
        </is>
      </c>
      <c r="U2197" t="inlineStr">
        <is>
          <t>No</t>
        </is>
      </c>
      <c r="V2197" t="inlineStr">
        <is>
          <t>Bot tarafindan tespit edildi (2026-07-01); Bot tespit/zenginlestirme (2026-07-01); meta:score=;priority=Low;source_type=html_link;closing_date=;equipment=Irrelevant / non-target;reasons=irrelevant_equipment,document source,tender reference signal,non-target service</t>
        </is>
      </c>
    </row>
    <row r="2198">
      <c r="A2198" t="inlineStr">
        <is>
          <t>T-2002</t>
        </is>
      </c>
      <c r="B2198" t="inlineStr">
        <is>
          <t>Vadodara Gas Limited</t>
        </is>
      </c>
      <c r="C2198" t="inlineStr">
        <is>
          <t>Vadodara Gas Limited</t>
        </is>
      </c>
      <c r="F2198" t="inlineStr">
        <is>
          <t>New Lead</t>
        </is>
      </c>
      <c r="G2198" t="inlineStr">
        <is>
          <t>Gas-related / review</t>
        </is>
      </c>
      <c r="H2198" t="inlineStr">
        <is>
          <t>"Corrigendum-1 &amp; Replies of Bidder's Queries of the tender for Purchase of GI Pipe
                on ARC basis for Period of One Year Vide Tender No.: VGL/ CO/C&amp;P-PNG/BD202202P78</t>
        </is>
      </c>
      <c r="K2198" t="inlineStr">
        <is>
          <t>Not found</t>
        </is>
      </c>
      <c r="L2198" t="inlineStr">
        <is>
          <t>Unknown</t>
        </is>
      </c>
      <c r="T2198" t="inlineStr">
        <is>
          <t>https://www.vgl.co.in/wp-content/uploads/2025/pdf/Corrigendum-1_and_Replies_to_Bidders_Queries_GI_Pipe_BD202202P78.pdf</t>
        </is>
      </c>
      <c r="U2198" t="inlineStr">
        <is>
          <t>No</t>
        </is>
      </c>
      <c r="V2198" t="inlineStr">
        <is>
          <t>Bot tarafindan tespit edildi (2026-07-01); Bot tespit/zenginlestirme (2026-07-01); meta:score=50;priority=Medium;source_type=html_link;closing_date=;equipment=Gas-related / review;reasons=equipment:Gas-related / review,document source,tender reference signal</t>
        </is>
      </c>
    </row>
    <row r="2199">
      <c r="A2199" t="inlineStr">
        <is>
          <t>T-2003</t>
        </is>
      </c>
      <c r="B2199" t="inlineStr">
        <is>
          <t>Vadodara Gas Limited</t>
        </is>
      </c>
      <c r="C2199" t="inlineStr">
        <is>
          <t>Vadodara Gas Limited</t>
        </is>
      </c>
      <c r="D2199" t="inlineStr">
        <is>
          <t>VGL/CO/C</t>
        </is>
      </c>
      <c r="F2199" t="inlineStr">
        <is>
          <t>New Lead</t>
        </is>
      </c>
      <c r="G2199" t="inlineStr">
        <is>
          <t>Irrelevant / non-target</t>
        </is>
      </c>
      <c r="H2199" t="inlineStr">
        <is>
          <t>"Notice Inviting Tender for
                Hiring of Security Services at VGL for Period of 24 Months (Tender No.: VGL/CO/C&amp;P-CNG/BD202203105
                Dated: 23.04.2022)</t>
        </is>
      </c>
      <c r="K2199" t="inlineStr">
        <is>
          <t>Not found</t>
        </is>
      </c>
      <c r="L2199" t="inlineStr">
        <is>
          <t>Unknown</t>
        </is>
      </c>
      <c r="T2199" t="inlineStr">
        <is>
          <t>https://www.vgl.co.in/wp-content/uploads/2025/pdf/NIT_BD202203105.pdf</t>
        </is>
      </c>
      <c r="U2199" t="inlineStr">
        <is>
          <t>No</t>
        </is>
      </c>
      <c r="V2199" t="inlineStr">
        <is>
          <t>Bot tarafindan tespit edildi (2026-07-01); Bot tespit/zenginlestirme (2026-07-01); meta:score=;priority=Low;source_type=html_link;closing_date=;equipment=Irrelevant / non-target;reasons=irrelevant_equipment,document source,tender reference signal,non-target service</t>
        </is>
      </c>
    </row>
    <row r="2200">
      <c r="A2200" t="inlineStr">
        <is>
          <t>T-2004</t>
        </is>
      </c>
      <c r="B2200" t="inlineStr">
        <is>
          <t>Vadodara Gas Limited</t>
        </is>
      </c>
      <c r="C2200" t="inlineStr">
        <is>
          <t>Vadodara Gas Limited</t>
        </is>
      </c>
      <c r="D2200" t="inlineStr">
        <is>
          <t>VGL/CO/C</t>
        </is>
      </c>
      <c r="F2200" t="inlineStr">
        <is>
          <t>New Lead</t>
        </is>
      </c>
      <c r="G2200" t="inlineStr">
        <is>
          <t>Gas-related / review</t>
        </is>
      </c>
      <c r="H2200" t="inlineStr">
        <is>
          <t>"Replies of Bidder's Queries of the tender for Hiring of Services for Laying of MDPE
                Pipeline &amp; Industrial Hook-up in POR GIDC Area vide Tender No. VGL/CO/C&amp;P-PNG/BD202201S72</t>
        </is>
      </c>
      <c r="K2200" t="inlineStr">
        <is>
          <t>Not found</t>
        </is>
      </c>
      <c r="L2200" t="inlineStr">
        <is>
          <t>Unknown</t>
        </is>
      </c>
      <c r="T2200" t="inlineStr">
        <is>
          <t>https://www.vgl.co.in/wp-content/uploads/2025/pdf/Replies_to_Bidder_s_Queries_POR_GIDC.pdf</t>
        </is>
      </c>
      <c r="U2200" t="inlineStr">
        <is>
          <t>No</t>
        </is>
      </c>
      <c r="V2200" t="inlineStr">
        <is>
          <t>Bot tarafindan tespit edildi (2026-07-01); Bot tespit/zenginlestirme (2026-07-01); meta:score=50;priority=Medium;source_type=html_link;closing_date=;equipment=Gas-related / review;reasons=equipment:Gas-related / review,document source,tender reference signal</t>
        </is>
      </c>
    </row>
    <row r="2201">
      <c r="A2201" t="inlineStr">
        <is>
          <t>T-2005</t>
        </is>
      </c>
      <c r="B2201" t="inlineStr">
        <is>
          <t>Vadodara Gas Limited</t>
        </is>
      </c>
      <c r="C2201" t="inlineStr">
        <is>
          <t>Vadodara Gas Limited</t>
        </is>
      </c>
      <c r="D2201" t="inlineStr">
        <is>
          <t>VGL/CO/C</t>
        </is>
      </c>
      <c r="F2201" t="inlineStr">
        <is>
          <t>New Lead</t>
        </is>
      </c>
      <c r="G2201" t="inlineStr">
        <is>
          <t>Gas-related / review</t>
        </is>
      </c>
      <c r="H2201" t="inlineStr">
        <is>
          <t>"Notice Inviting Tender for
                Hiring of Services for Laying of MDPE Pipeline &amp; Industrial Hook-up in POR GIDC Area Vide Tender No.
                VGL/CO/C&amp;P-PNG/BD202201S72 Dated: 28.03.2022</t>
        </is>
      </c>
      <c r="K2201" t="inlineStr">
        <is>
          <t>Not found</t>
        </is>
      </c>
      <c r="L2201" t="inlineStr">
        <is>
          <t>Unknown</t>
        </is>
      </c>
      <c r="T2201" t="inlineStr">
        <is>
          <t>https://www.vgl.co.in/wp-content/uploads/2025/pdf/NIT_GIDC_POR.pdf</t>
        </is>
      </c>
      <c r="U2201" t="inlineStr">
        <is>
          <t>No</t>
        </is>
      </c>
      <c r="V2201" t="inlineStr">
        <is>
          <t>Bot tarafindan tespit edildi (2026-07-01); Bot tespit/zenginlestirme (2026-07-01); meta:score=50;priority=Medium;source_type=html_link;closing_date=;equipment=Gas-related / review;reasons=equipment:Gas-related / review,document source,tender reference signal</t>
        </is>
      </c>
    </row>
    <row r="2202">
      <c r="A2202" t="inlineStr">
        <is>
          <t>T-2006</t>
        </is>
      </c>
      <c r="B2202" t="inlineStr">
        <is>
          <t>Vadodara Gas Limited</t>
        </is>
      </c>
      <c r="C2202" t="inlineStr">
        <is>
          <t>Vadodara Gas Limited</t>
        </is>
      </c>
      <c r="D2202" t="inlineStr">
        <is>
          <t>VGL/CO/C</t>
        </is>
      </c>
      <c r="F2202" t="inlineStr">
        <is>
          <t>New Lead</t>
        </is>
      </c>
      <c r="G2202" t="inlineStr">
        <is>
          <t>Gas-related / review</t>
        </is>
      </c>
      <c r="H2202" t="inlineStr">
        <is>
          <t>"Corrigendum-1 &amp; Replies of Bidder's Queries of the tender for Purchase of MDPE Pipe
                on ARC Basis for Period of One Year vide Tender No. VGL/CO/C&amp;P-PNG/BD202201P72</t>
        </is>
      </c>
      <c r="K2202" t="inlineStr">
        <is>
          <t>Not found</t>
        </is>
      </c>
      <c r="L2202" t="inlineStr">
        <is>
          <t>Unknown</t>
        </is>
      </c>
      <c r="T2202" t="inlineStr">
        <is>
          <t>https://www.vgl.co.in/wp-content/uploads/2025/pdf/Replies_to_Bidder_s_Queries_MDPE_Pipe.pdf</t>
        </is>
      </c>
      <c r="U2202" t="inlineStr">
        <is>
          <t>No</t>
        </is>
      </c>
      <c r="V2202" t="inlineStr">
        <is>
          <t>Bot tarafindan tespit edildi (2026-07-01); Bot tespit/zenginlestirme (2026-07-01); meta:score=50;priority=Medium;source_type=html_link;closing_date=;equipment=Gas-related / review;reasons=equipment:Gas-related / review,document source,tender reference signal</t>
        </is>
      </c>
    </row>
    <row r="2203">
      <c r="A2203" t="inlineStr">
        <is>
          <t>T-2007</t>
        </is>
      </c>
      <c r="B2203" t="inlineStr">
        <is>
          <t>Vadodara Gas Limited</t>
        </is>
      </c>
      <c r="C2203" t="inlineStr">
        <is>
          <t>Vadodara Gas Limited</t>
        </is>
      </c>
      <c r="D2203" t="inlineStr">
        <is>
          <t>VGL/CO/C</t>
        </is>
      </c>
      <c r="F2203" t="inlineStr">
        <is>
          <t>New Lead</t>
        </is>
      </c>
      <c r="G2203" t="inlineStr">
        <is>
          <t>Gas-related / review</t>
        </is>
      </c>
      <c r="H2203" t="inlineStr">
        <is>
          <t>"Replies of Bidder's Queries for the tender for Purchase of Electro-Fusion Fittings on
                ARC Basis for Period of One Year vide Tender No. VGL/CO/C&amp;P-PNG/BD202112P70</t>
        </is>
      </c>
      <c r="K2203" t="inlineStr">
        <is>
          <t>Not found</t>
        </is>
      </c>
      <c r="L2203" t="inlineStr">
        <is>
          <t>Unknown</t>
        </is>
      </c>
      <c r="T2203" t="inlineStr">
        <is>
          <t>https://www.vgl.co.in/wp-content/uploads/2025/pdf/REPLIES_TO_BIDDERS_QUERIES_EF_Fitting.pdf</t>
        </is>
      </c>
      <c r="U2203" t="inlineStr">
        <is>
          <t>No</t>
        </is>
      </c>
      <c r="V2203" t="inlineStr">
        <is>
          <t>Bot tarafindan tespit edildi (2026-07-01); Bot tespit/zenginlestirme (2026-07-01); meta:score=50;priority=Medium;source_type=html_link;closing_date=;equipment=Gas-related / review;reasons=equipment:Gas-related / review,document source,tender reference signal</t>
        </is>
      </c>
    </row>
    <row r="2204">
      <c r="A2204" t="inlineStr">
        <is>
          <t>T-2008</t>
        </is>
      </c>
      <c r="B2204" t="inlineStr">
        <is>
          <t>Vadodara Gas Limited</t>
        </is>
      </c>
      <c r="C2204" t="inlineStr">
        <is>
          <t>Vadodara Gas Limited</t>
        </is>
      </c>
      <c r="F2204" t="inlineStr">
        <is>
          <t>New Lead</t>
        </is>
      </c>
      <c r="G2204" t="inlineStr">
        <is>
          <t>Unclassified</t>
        </is>
      </c>
      <c r="H2204" t="inlineStr">
        <is>
          <t>Notice Inviting Tender for
                Notice Inviting Tender for Purchase of MDPE Pipe on ARC Basis for period of one year</t>
        </is>
      </c>
      <c r="K2204" t="inlineStr">
        <is>
          <t>Not found</t>
        </is>
      </c>
      <c r="L2204" t="inlineStr">
        <is>
          <t>Unknown</t>
        </is>
      </c>
      <c r="T2204" t="inlineStr">
        <is>
          <t>https://www.vgl.co.in/wp-content/uploads/2025/pdf/NIT_MDPE_Pipe.pdf</t>
        </is>
      </c>
      <c r="U2204" t="inlineStr">
        <is>
          <t>No</t>
        </is>
      </c>
      <c r="V2204" t="inlineStr">
        <is>
          <t>Bot tarafindan tespit edildi (2026-07-01); Bot tespit/zenginlestirme (2026-07-01); meta:score=35;priority=Low;source_type=html_link;closing_date=;equipment=Unclassified;reasons=document source,tender reference signal</t>
        </is>
      </c>
    </row>
    <row r="2205">
      <c r="A2205" t="inlineStr">
        <is>
          <t>T-2009</t>
        </is>
      </c>
      <c r="B2205" t="inlineStr">
        <is>
          <t>Vadodara Gas Limited</t>
        </is>
      </c>
      <c r="C2205" t="inlineStr">
        <is>
          <t>Vadodara Gas Limited</t>
        </is>
      </c>
      <c r="D2205" t="inlineStr">
        <is>
          <t>VGL/CO/C</t>
        </is>
      </c>
      <c r="F2205" t="inlineStr">
        <is>
          <t>New Lead</t>
        </is>
      </c>
      <c r="G2205" t="inlineStr">
        <is>
          <t>Irrelevant / non-target</t>
        </is>
      </c>
      <c r="H2205" t="inlineStr">
        <is>
          <t>Corrigendum-1 &amp; Replies of Bidder's Queries for the tender for Hiring of Manpower
                for Billing, Distribution and Cash Collection of VGL’s PNG Customers at Dandiya Bazzar Gas Office
                and Ward Offices for VGL, Vadodara for a period of two years vide Tender No.:
                VGL/CO/C&amp;P-CNG/BD202111172</t>
        </is>
      </c>
      <c r="K2205" t="inlineStr">
        <is>
          <t>Not found</t>
        </is>
      </c>
      <c r="L2205" t="inlineStr">
        <is>
          <t>Unknown</t>
        </is>
      </c>
      <c r="T2205" t="inlineStr">
        <is>
          <t>https://www.vgl.co.in/wp-content/uploads/2025/pdf/Corrigedum-1___Replies_to_Bidder_s_Queries_Billing.pdf</t>
        </is>
      </c>
      <c r="U2205" t="inlineStr">
        <is>
          <t>No</t>
        </is>
      </c>
      <c r="V2205" t="inlineStr">
        <is>
          <t>Bot tarafindan tespit edildi (2026-07-01); Bot tespit/zenginlestirme (2026-07-01); meta:score=;priority=Low;source_type=html_link;closing_date=;equipment=Irrelevant / non-target;reasons=irrelevant_equipment,document source,tender reference signal,non-target service</t>
        </is>
      </c>
    </row>
    <row r="2206">
      <c r="A2206" t="inlineStr">
        <is>
          <t>T-2010</t>
        </is>
      </c>
      <c r="B2206" t="inlineStr">
        <is>
          <t>Vadodara Gas Limited</t>
        </is>
      </c>
      <c r="C2206" t="inlineStr">
        <is>
          <t>Vadodara Gas Limited</t>
        </is>
      </c>
      <c r="D2206" t="inlineStr">
        <is>
          <t>VGL/CO/C</t>
        </is>
      </c>
      <c r="F2206" t="inlineStr">
        <is>
          <t>New Lead</t>
        </is>
      </c>
      <c r="G2206" t="inlineStr">
        <is>
          <t>Gas-related / review</t>
        </is>
      </c>
      <c r="H2206" t="inlineStr">
        <is>
          <t>Corrigendum-1 &amp; Replies of Bidder's Queries for the tender for Balance Laying and
                Construction of Steel Pipeline Network &amp; Associated Works in between Manisha Circle to Airport for
                CNG &amp; City Gas Distribution Project at Vadodara vide Tender No.: VGL/CO/C&amp;P-CNG/BD202109169</t>
        </is>
      </c>
      <c r="K2206" t="inlineStr">
        <is>
          <t>Not found</t>
        </is>
      </c>
      <c r="L2206" t="inlineStr">
        <is>
          <t>Unknown</t>
        </is>
      </c>
      <c r="T2206" t="inlineStr">
        <is>
          <t>https://www.vgl.co.in/wp-content/uploads/2025/pdf/Corrgiendum-1___Replies_to_Bidder_s_Queries_Steel_Laying.pdf</t>
        </is>
      </c>
      <c r="U2206" t="inlineStr">
        <is>
          <t>No</t>
        </is>
      </c>
      <c r="V2206" t="inlineStr">
        <is>
          <t>Bot tarafindan tespit edildi (2026-07-01); Bot tespit/zenginlestirme (2026-07-01); meta:score=50;priority=Medium;source_type=html_link;closing_date=;equipment=Gas-related / review;reasons=equipment:Gas-related / review,document source,tender reference signal</t>
        </is>
      </c>
    </row>
    <row r="2207">
      <c r="A2207" t="inlineStr">
        <is>
          <t>T-2011</t>
        </is>
      </c>
      <c r="B2207" t="inlineStr">
        <is>
          <t>Vadodara Gas Limited</t>
        </is>
      </c>
      <c r="C2207" t="inlineStr">
        <is>
          <t>Vadodara Gas Limited</t>
        </is>
      </c>
      <c r="D2207" t="inlineStr">
        <is>
          <t>VGL/CO/C</t>
        </is>
      </c>
      <c r="F2207" t="inlineStr">
        <is>
          <t>New Lead</t>
        </is>
      </c>
      <c r="G2207" t="inlineStr">
        <is>
          <t>Gas-related / review</t>
        </is>
      </c>
      <c r="H2207" t="inlineStr">
        <is>
          <t>Replies of Bidder's Queries for the tender for Hiring of Services for Providing the till
                Last Mile Connectivity to Commercial &amp; Industrial Customers of Vadodara GA on ARC Basis for Period
                of One Year vide Tender No.: VGL/CO/C&amp;P-PNG/BD202111S69</t>
        </is>
      </c>
      <c r="K2207" t="inlineStr">
        <is>
          <t>Not found</t>
        </is>
      </c>
      <c r="L2207" t="inlineStr">
        <is>
          <t>Unknown</t>
        </is>
      </c>
      <c r="T2207" t="inlineStr">
        <is>
          <t>https://www.vgl.co.in/wp-content/uploads/2025/pdf/Replies_to_Bidder_s_Queries_Industrial___Commercial.pdf</t>
        </is>
      </c>
      <c r="U2207" t="inlineStr">
        <is>
          <t>No</t>
        </is>
      </c>
      <c r="V2207" t="inlineStr">
        <is>
          <t>Bot tarafindan tespit edildi (2026-07-01); Bot tespit/zenginlestirme (2026-07-01); meta:score=50;priority=Medium;source_type=html_link;closing_date=;equipment=Gas-related / review;reasons=equipment:Gas-related / review,document source,tender reference signal</t>
        </is>
      </c>
    </row>
    <row r="2208">
      <c r="A2208" t="inlineStr">
        <is>
          <t>T-2012</t>
        </is>
      </c>
      <c r="B2208" t="inlineStr">
        <is>
          <t>Vadodara Gas Limited</t>
        </is>
      </c>
      <c r="C2208" t="inlineStr">
        <is>
          <t>Vadodara Gas Limited</t>
        </is>
      </c>
      <c r="D2208" t="inlineStr">
        <is>
          <t>VGL/CO/C</t>
        </is>
      </c>
      <c r="E2208" t="inlineStr">
        <is>
          <t>10/01/2022</t>
        </is>
      </c>
      <c r="F2208" t="inlineStr">
        <is>
          <t>New Lead</t>
        </is>
      </c>
      <c r="G2208" t="inlineStr">
        <is>
          <t>Gas-related / review</t>
        </is>
      </c>
      <c r="H2208" t="inlineStr">
        <is>
          <t>Notice Inviting Tender for
                Purchase of Electro-Fusion Fitting on ARC Basis for period on One Year Vide Tender No.
                VGL/CO/C&amp;P-PNG/BD202112P70 Dated: 10/01/2022</t>
        </is>
      </c>
      <c r="K2208" t="inlineStr">
        <is>
          <t>Not found</t>
        </is>
      </c>
      <c r="L2208" t="inlineStr">
        <is>
          <t>Unknown</t>
        </is>
      </c>
      <c r="T2208" t="inlineStr">
        <is>
          <t>https://www.vgl.co.in/wp-content/uploads/2025/pdf/NIT_BD202112P70.pdf</t>
        </is>
      </c>
      <c r="U2208" t="inlineStr">
        <is>
          <t>No</t>
        </is>
      </c>
      <c r="V2208" t="inlineStr">
        <is>
          <t>Bot tarafindan tespit edildi (2026-07-01); Bot tespit/zenginlestirme (2026-07-01); meta:score=50;priority=Medium;source_type=html_link;closing_date=;equipment=Gas-related / review;reasons=equipment:Gas-related / review,document source,tender reference signal</t>
        </is>
      </c>
    </row>
    <row r="2209">
      <c r="A2209" t="inlineStr">
        <is>
          <t>T-2013</t>
        </is>
      </c>
      <c r="B2209" t="inlineStr">
        <is>
          <t>Vadodara Gas Limited</t>
        </is>
      </c>
      <c r="C2209" t="inlineStr">
        <is>
          <t>Vadodara Gas Limited</t>
        </is>
      </c>
      <c r="D2209" t="inlineStr">
        <is>
          <t>VGL/CO/C</t>
        </is>
      </c>
      <c r="E2209" t="inlineStr">
        <is>
          <t>05/01/2022</t>
        </is>
      </c>
      <c r="F2209" t="inlineStr">
        <is>
          <t>New Lead</t>
        </is>
      </c>
      <c r="G2209" t="inlineStr">
        <is>
          <t>Gas-related / review</t>
        </is>
      </c>
      <c r="H2209" t="inlineStr">
        <is>
          <t>Notice Inviting
                Tender for Services for Balance Laying and Construction of Steel Pipeline Network &amp; Associated Works
                for CNG &amp; City Gas Distribution Project at Vadodara City vide Tender No.:
                VGL/CO/C&amp;P-CNG/BD202109169 dated 05/01/2022</t>
        </is>
      </c>
      <c r="K2209" t="inlineStr">
        <is>
          <t>Not found</t>
        </is>
      </c>
      <c r="L2209" t="inlineStr">
        <is>
          <t>Unknown</t>
        </is>
      </c>
      <c r="T2209" t="inlineStr">
        <is>
          <t>https://www.vgl.co.in/wp-content/uploads/2025/pdf/NIT_BD202109169_STEEL_LAYING.pdf</t>
        </is>
      </c>
      <c r="U2209" t="inlineStr">
        <is>
          <t>No</t>
        </is>
      </c>
      <c r="V2209" t="inlineStr">
        <is>
          <t>Bot tarafindan tespit edildi (2026-07-01); Bot tespit/zenginlestirme (2026-07-01); meta:score=50;priority=Medium;source_type=html_link;closing_date=;equipment=Gas-related / review;reasons=equipment:Gas-related / review,document source,tender reference signal</t>
        </is>
      </c>
    </row>
    <row r="2210">
      <c r="A2210" t="inlineStr">
        <is>
          <t>T-2014</t>
        </is>
      </c>
      <c r="B2210" t="inlineStr">
        <is>
          <t>Vadodara Gas Limited</t>
        </is>
      </c>
      <c r="C2210" t="inlineStr">
        <is>
          <t>Vadodara Gas Limited</t>
        </is>
      </c>
      <c r="D2210" t="inlineStr">
        <is>
          <t>VGL/CO/C</t>
        </is>
      </c>
      <c r="E2210" t="inlineStr">
        <is>
          <t>04/01/2022</t>
        </is>
      </c>
      <c r="F2210" t="inlineStr">
        <is>
          <t>New Lead</t>
        </is>
      </c>
      <c r="G2210" t="inlineStr">
        <is>
          <t>Irrelevant / non-target</t>
        </is>
      </c>
      <c r="H2210" t="inlineStr">
        <is>
          <t>Notice Inviting Tender
                for Services for Hiring of Manpower for Billing, Distribution and Cash Collection of VGL’s PNG
                Customers at Dandiya Bazaar Gas Office and Ward Offices for VGL, Vadodara for a Period of Two Years vide
                Tender No.: VGL/CO/C&amp;P-CNG/BD202111172 dated 04/01/2022</t>
        </is>
      </c>
      <c r="K2210" t="inlineStr">
        <is>
          <t>Not found</t>
        </is>
      </c>
      <c r="L2210" t="inlineStr">
        <is>
          <t>Unknown</t>
        </is>
      </c>
      <c r="T2210" t="inlineStr">
        <is>
          <t>https://www.vgl.co.in/wp-content/uploads/2025/pdf/NIT_202111172_BILLING.pdf</t>
        </is>
      </c>
      <c r="U2210" t="inlineStr">
        <is>
          <t>No</t>
        </is>
      </c>
      <c r="V2210" t="inlineStr">
        <is>
          <t>Bot tarafindan tespit edildi (2026-07-01); Bot tespit/zenginlestirme (2026-07-01); meta:score=;priority=Low;source_type=html_link;closing_date=;equipment=Irrelevant / non-target;reasons=irrelevant_equipment,document source,tender reference signal,non-target service</t>
        </is>
      </c>
    </row>
    <row r="2211">
      <c r="A2211" t="inlineStr">
        <is>
          <t>T-2015</t>
        </is>
      </c>
      <c r="B2211" t="inlineStr">
        <is>
          <t>Vadodara Gas Limited</t>
        </is>
      </c>
      <c r="C2211" t="inlineStr">
        <is>
          <t>Vadodara Gas Limited</t>
        </is>
      </c>
      <c r="F2211" t="inlineStr">
        <is>
          <t>New Lead</t>
        </is>
      </c>
      <c r="G2211" t="inlineStr">
        <is>
          <t>Unclassified</t>
        </is>
      </c>
      <c r="H2211" t="inlineStr">
        <is>
          <t>Notice Inviting Tender for
                Hiring of Services for Providing the till Last Mile Connectivity to Commercial &amp; Industrial
                Customers of Vadodara GA on ARC Basis for Period of One Year.</t>
        </is>
      </c>
      <c r="K2211" t="inlineStr">
        <is>
          <t>Not found</t>
        </is>
      </c>
      <c r="L2211" t="inlineStr">
        <is>
          <t>Unknown</t>
        </is>
      </c>
      <c r="T2211" t="inlineStr">
        <is>
          <t>https://www.vgl.co.in/wp-content/uploads/2025/pdf/NIT_BD202111S69.pdf</t>
        </is>
      </c>
      <c r="U2211" t="inlineStr">
        <is>
          <t>No</t>
        </is>
      </c>
      <c r="V2211" t="inlineStr">
        <is>
          <t>Bot tarafindan tespit edildi (2026-07-01); Bot tespit/zenginlestirme (2026-07-01); meta:score=35;priority=Low;source_type=html_link;closing_date=;equipment=Unclassified;reasons=document source,tender reference signal</t>
        </is>
      </c>
    </row>
    <row r="2212">
      <c r="A2212" t="inlineStr">
        <is>
          <t>T-2016</t>
        </is>
      </c>
      <c r="B2212" t="inlineStr">
        <is>
          <t>Vadodara Gas Limited</t>
        </is>
      </c>
      <c r="C2212" t="inlineStr">
        <is>
          <t>Vadodara Gas Limited</t>
        </is>
      </c>
      <c r="F2212" t="inlineStr">
        <is>
          <t>New Lead</t>
        </is>
      </c>
      <c r="G2212" t="inlineStr">
        <is>
          <t>Unclassified</t>
        </is>
      </c>
      <c r="H2212" t="inlineStr">
        <is>
          <t>Notice Inviting Tender for
                Purchase of FRP Frames &amp; Covers of PE Valve Chambers.</t>
        </is>
      </c>
      <c r="K2212" t="inlineStr">
        <is>
          <t>Not found</t>
        </is>
      </c>
      <c r="L2212" t="inlineStr">
        <is>
          <t>Unknown</t>
        </is>
      </c>
      <c r="T2212" t="inlineStr">
        <is>
          <t>https://www.vgl.co.in/wp-content/uploads/2025/pdf/NIT_BD202112P69.pdf</t>
        </is>
      </c>
      <c r="U2212" t="inlineStr">
        <is>
          <t>No</t>
        </is>
      </c>
      <c r="V2212" t="inlineStr">
        <is>
          <t>Bot tarafindan tespit edildi (2026-07-01); Bot tespit/zenginlestirme (2026-07-01); meta:score=35;priority=Low;source_type=html_link;closing_date=;equipment=Unclassified;reasons=document source,tender reference signal</t>
        </is>
      </c>
    </row>
    <row r="2213">
      <c r="A2213" t="inlineStr">
        <is>
          <t>T-2017</t>
        </is>
      </c>
      <c r="B2213" t="inlineStr">
        <is>
          <t>Vadodara Gas Limited</t>
        </is>
      </c>
      <c r="C2213" t="inlineStr">
        <is>
          <t>Vadodara Gas Limited</t>
        </is>
      </c>
      <c r="D2213" t="inlineStr">
        <is>
          <t>VGL/CO/C</t>
        </is>
      </c>
      <c r="F2213" t="inlineStr">
        <is>
          <t>New Lead</t>
        </is>
      </c>
      <c r="G2213" t="inlineStr">
        <is>
          <t>Gas-related / review</t>
        </is>
      </c>
      <c r="H2213" t="inlineStr">
        <is>
          <t>Replies of Bidder's Queries (Additional) for the tender for Purchase of ½”
                Isolation Ball Valve on ARC Basis for period of 02 years vide Tender No.
                VGL/CO/C&amp;P-PNG/BD202111P67</t>
        </is>
      </c>
      <c r="K2213" t="inlineStr">
        <is>
          <t>Not found</t>
        </is>
      </c>
      <c r="L2213" t="inlineStr">
        <is>
          <t>Unknown</t>
        </is>
      </c>
      <c r="T2213" t="inlineStr">
        <is>
          <t>https://www.vgl.co.in/wp-content/uploads/2025/pdf/Replies_to_Bidders_Queries_Additional_Isolation_Ball_Valve.pdf</t>
        </is>
      </c>
      <c r="U2213" t="inlineStr">
        <is>
          <t>No</t>
        </is>
      </c>
      <c r="V2213" t="inlineStr">
        <is>
          <t>Bot tarafindan tespit edildi (2026-07-01); Bot tespit/zenginlestirme (2026-07-01); meta:score=50;priority=Medium;source_type=html_link;closing_date=;equipment=Gas-related / review;reasons=equipment:Gas-related / review,document source,tender reference signal</t>
        </is>
      </c>
    </row>
    <row r="2214">
      <c r="A2214" t="inlineStr">
        <is>
          <t>T-2018</t>
        </is>
      </c>
      <c r="B2214" t="inlineStr">
        <is>
          <t>Vadodara Gas Limited</t>
        </is>
      </c>
      <c r="C2214" t="inlineStr">
        <is>
          <t>Vadodara Gas Limited</t>
        </is>
      </c>
      <c r="D2214" t="inlineStr">
        <is>
          <t>VGL/CO/C</t>
        </is>
      </c>
      <c r="F2214" t="inlineStr">
        <is>
          <t>New Lead</t>
        </is>
      </c>
      <c r="G2214" t="inlineStr">
        <is>
          <t>Gas-related / review</t>
        </is>
      </c>
      <c r="H2214" t="inlineStr">
        <is>
          <t>Corrigendum-1 &amp; Replies of Bidder's Queries for the tender for Purchase of
                ½” Isolation Ball Valve on ARC Basis for period of 02 years vide Tender No.
                VGL/CO/C&amp;P-PNG/BD202111P67</t>
        </is>
      </c>
      <c r="K2214" t="inlineStr">
        <is>
          <t>Not found</t>
        </is>
      </c>
      <c r="L2214" t="inlineStr">
        <is>
          <t>Unknown</t>
        </is>
      </c>
      <c r="T2214" t="inlineStr">
        <is>
          <t>https://www.vgl.co.in/wp-content/uploads/2025/pdf/Corrigendum-1___Replies_to_Bidder_s_Queries_Isolation_Ball_Valve.pdf</t>
        </is>
      </c>
      <c r="U2214" t="inlineStr">
        <is>
          <t>No</t>
        </is>
      </c>
      <c r="V2214" t="inlineStr">
        <is>
          <t>Bot tarafindan tespit edildi (2026-07-01); Bot tespit/zenginlestirme (2026-07-01); meta:score=50;priority=Medium;source_type=html_link;closing_date=;equipment=Gas-related / review;reasons=equipment:Gas-related / review,document source,tender reference signal</t>
        </is>
      </c>
    </row>
    <row r="2215">
      <c r="A2215" t="inlineStr">
        <is>
          <t>T-2019</t>
        </is>
      </c>
      <c r="B2215" t="inlineStr">
        <is>
          <t>Vadodara Gas Limited</t>
        </is>
      </c>
      <c r="C2215" t="inlineStr">
        <is>
          <t>Vadodara Gas Limited</t>
        </is>
      </c>
      <c r="D2215" t="inlineStr">
        <is>
          <t>Tender No.: REPL/NGC/003/21</t>
        </is>
      </c>
      <c r="E2215" t="inlineStr">
        <is>
          <t>03/11/2021</t>
        </is>
      </c>
      <c r="F2215" t="inlineStr">
        <is>
          <t>Awarded</t>
        </is>
      </c>
      <c r="G2215" t="inlineStr">
        <is>
          <t>Gas-related / review</t>
        </is>
      </c>
      <c r="H2215" t="inlineStr">
        <is>
          <t>Corrigendum - 1 of the
                Tender for Hiring of CNG Engine LCV for Transportation of CNG through Mobile Cascades from Mother
                Station to DBS for a Period of Three Year vide Tender No.: REPL/NGC/003/21 Dated 03/11/2021</t>
        </is>
      </c>
      <c r="K2215" t="inlineStr">
        <is>
          <t>Not found</t>
        </is>
      </c>
      <c r="L2215" t="inlineStr">
        <is>
          <t>Unknown</t>
        </is>
      </c>
      <c r="T2215" t="inlineStr">
        <is>
          <t>https://www.vgl.co.in/wp-content/uploads/2025/pdf/Corrigendum-01_LCV.pdf</t>
        </is>
      </c>
      <c r="U2215" t="inlineStr">
        <is>
          <t>No</t>
        </is>
      </c>
      <c r="V221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6">
      <c r="A2216" t="inlineStr">
        <is>
          <t>T-2020</t>
        </is>
      </c>
      <c r="B2216" t="inlineStr">
        <is>
          <t>Vadodara Gas Limited</t>
        </is>
      </c>
      <c r="C2216" t="inlineStr">
        <is>
          <t>Vadodara Gas Limited</t>
        </is>
      </c>
      <c r="D2216" t="inlineStr">
        <is>
          <t>REPL/NGC/003/21</t>
        </is>
      </c>
      <c r="E2216" t="inlineStr">
        <is>
          <t>03/11/2021</t>
        </is>
      </c>
      <c r="F2216" t="inlineStr">
        <is>
          <t>New Lead</t>
        </is>
      </c>
      <c r="G2216" t="inlineStr">
        <is>
          <t>Gas-related / review</t>
        </is>
      </c>
      <c r="H2216" t="inlineStr">
        <is>
          <t>Replies to
                Bidders Queries of the Tender for Hiring of CNG Engine LCV for Transportation of CNG through Mobile
                Cascades from Mother Station to DBC for a Period of Three Year vide Tender No.: REPL/NGC/003/21
                Dated 03/11/2021</t>
        </is>
      </c>
      <c r="K2216" t="inlineStr">
        <is>
          <t>Not found</t>
        </is>
      </c>
      <c r="L2216" t="inlineStr">
        <is>
          <t>Unknown</t>
        </is>
      </c>
      <c r="T2216" t="inlineStr">
        <is>
          <t>https://www.vgl.co.in/wp-content/uploads/2025/pdf/Pre-Bid_Queries_Replies_LCV.pdf</t>
        </is>
      </c>
      <c r="U2216" t="inlineStr">
        <is>
          <t>No</t>
        </is>
      </c>
      <c r="V2216" t="inlineStr">
        <is>
          <t>Bot tarafindan tespit edildi (2026-07-01); Bot tespit/zenginlestirme (2026-07-01); meta:score=50;priority=Medium;source_type=html_link;closing_date=;equipment=Gas-related / review;reasons=equipment:Gas-related / review,document source,tender reference signal</t>
        </is>
      </c>
    </row>
    <row r="2217">
      <c r="A2217" t="inlineStr">
        <is>
          <t>T-2021</t>
        </is>
      </c>
      <c r="B2217" t="inlineStr">
        <is>
          <t>Vadodara Gas Limited</t>
        </is>
      </c>
      <c r="C2217" t="inlineStr">
        <is>
          <t>Vadodara Gas Limited</t>
        </is>
      </c>
      <c r="D2217" t="inlineStr">
        <is>
          <t>Tender No.: REPL/NGC/003/21</t>
        </is>
      </c>
      <c r="E2217" t="inlineStr">
        <is>
          <t>03/11/2021</t>
        </is>
      </c>
      <c r="F2217" t="inlineStr">
        <is>
          <t>Awarded</t>
        </is>
      </c>
      <c r="G2217" t="inlineStr">
        <is>
          <t>Gas-related / review</t>
        </is>
      </c>
      <c r="H2217" t="inlineStr">
        <is>
          <t>Corrigendum - 2 of the
                Tender for Hiring of CNG Engine LCV for Transportation of CNG through Mobile Cascades from Mother
                Station to DBC for a Period of Three Year vide Tender No.: REPL/NGC/003/21 Dated 03/11/2021</t>
        </is>
      </c>
      <c r="K2217" t="inlineStr">
        <is>
          <t>Not found</t>
        </is>
      </c>
      <c r="L2217" t="inlineStr">
        <is>
          <t>Unknown</t>
        </is>
      </c>
      <c r="T2217" t="inlineStr">
        <is>
          <t>https://www.vgl.co.in/wp-content/uploads/2025/pdf/Corrigendum-02_LCV.pdf</t>
        </is>
      </c>
      <c r="U2217" t="inlineStr">
        <is>
          <t>No</t>
        </is>
      </c>
      <c r="V221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8">
      <c r="A2218" t="inlineStr">
        <is>
          <t>T-2022</t>
        </is>
      </c>
      <c r="B2218" t="inlineStr">
        <is>
          <t>Vadodara Gas Limited</t>
        </is>
      </c>
      <c r="C2218" t="inlineStr">
        <is>
          <t>Vadodara Gas Limited</t>
        </is>
      </c>
      <c r="D2218" t="inlineStr">
        <is>
          <t>Tender No.: REPL/NGC/001/21</t>
        </is>
      </c>
      <c r="E2218" t="inlineStr">
        <is>
          <t>20/10/2021</t>
        </is>
      </c>
      <c r="F2218" t="inlineStr">
        <is>
          <t>Awarded</t>
        </is>
      </c>
      <c r="G2218" t="inlineStr">
        <is>
          <t>Gas-related / review</t>
        </is>
      </c>
      <c r="H2218" t="inlineStr">
        <is>
          <t>Corrigendum - 2
                of the Tender for Procurement of CNG Storage Cascades" vide Tender No.: REPL/NGC/001/21 Dated
                20/10/2021</t>
        </is>
      </c>
      <c r="K2218" t="inlineStr">
        <is>
          <t>Not found</t>
        </is>
      </c>
      <c r="L2218" t="inlineStr">
        <is>
          <t>Unknown</t>
        </is>
      </c>
      <c r="T2218" t="inlineStr">
        <is>
          <t>https://www.vgl.co.in/wp-content/uploads/2025/pdf/Corrigendum-2-d-20-10-2021.pdf</t>
        </is>
      </c>
      <c r="U2218" t="inlineStr">
        <is>
          <t>No</t>
        </is>
      </c>
      <c r="V2218"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9">
      <c r="A2219" t="inlineStr">
        <is>
          <t>T-2023</t>
        </is>
      </c>
      <c r="B2219" t="inlineStr">
        <is>
          <t>Vadodara Gas Limited</t>
        </is>
      </c>
      <c r="C2219" t="inlineStr">
        <is>
          <t>Vadodara Gas Limited</t>
        </is>
      </c>
      <c r="D2219" t="inlineStr">
        <is>
          <t>REPL/NGC/001/21</t>
        </is>
      </c>
      <c r="E2219" t="inlineStr">
        <is>
          <t>20/10/2021</t>
        </is>
      </c>
      <c r="F2219" t="inlineStr">
        <is>
          <t>New Lead</t>
        </is>
      </c>
      <c r="G2219" t="inlineStr">
        <is>
          <t>Gas-related / review</t>
        </is>
      </c>
      <c r="H2219" t="inlineStr">
        <is>
          <t>Replies to Bidders Queries along with Extension in Bid Submission Due Date of the Tender
                for Procurement of CNG Storage Cascades" vide Tender No.: REPL/NGC/001/21 Dated 20/10/2021</t>
        </is>
      </c>
      <c r="K2219" t="inlineStr">
        <is>
          <t>Not found</t>
        </is>
      </c>
      <c r="L2219" t="inlineStr">
        <is>
          <t>Unknown</t>
        </is>
      </c>
      <c r="T2219" t="inlineStr">
        <is>
          <t>https://www.vgl.co.in/wp-content/uploads/2025/pdf/Replies-to-Bidders-Queries-along-d-20-10-2021.pdf</t>
        </is>
      </c>
      <c r="U2219" t="inlineStr">
        <is>
          <t>No</t>
        </is>
      </c>
      <c r="V2219"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0">
      <c r="A2220" t="inlineStr">
        <is>
          <t>T-2024</t>
        </is>
      </c>
      <c r="B2220" t="inlineStr">
        <is>
          <t>Vadodara Gas Limited</t>
        </is>
      </c>
      <c r="C2220" t="inlineStr">
        <is>
          <t>Vadodara Gas Limited</t>
        </is>
      </c>
      <c r="F2220" t="inlineStr">
        <is>
          <t>New Lead</t>
        </is>
      </c>
      <c r="G2220" t="inlineStr">
        <is>
          <t>Unclassified</t>
        </is>
      </c>
      <c r="H2220" t="inlineStr">
        <is>
          <t>Notice Inviting Tender for
                Purchase of Rubber Hose on ARC Basis for period of Two Years.</t>
        </is>
      </c>
      <c r="K2220" t="inlineStr">
        <is>
          <t>Not found</t>
        </is>
      </c>
      <c r="L2220" t="inlineStr">
        <is>
          <t>Unknown</t>
        </is>
      </c>
      <c r="T2220" t="inlineStr">
        <is>
          <t>https://www.vgl.co.in/wp-content/uploads/2025/pdf/NIT_BD202111P68.pdf</t>
        </is>
      </c>
      <c r="U2220" t="inlineStr">
        <is>
          <t>No</t>
        </is>
      </c>
      <c r="V2220" t="inlineStr">
        <is>
          <t>Bot tarafindan tespit edildi (2026-07-01); Bot tespit/zenginlestirme (2026-07-01); meta:score=35;priority=Low;source_type=html_link;closing_date=;equipment=Unclassified;reasons=document source,tender reference signal</t>
        </is>
      </c>
    </row>
    <row r="2221">
      <c r="A2221" t="inlineStr">
        <is>
          <t>T-2025</t>
        </is>
      </c>
      <c r="B2221" t="inlineStr">
        <is>
          <t>Vadodara Gas Limited</t>
        </is>
      </c>
      <c r="C2221" t="inlineStr">
        <is>
          <t>Vadodara Gas Limited</t>
        </is>
      </c>
      <c r="F2221" t="inlineStr">
        <is>
          <t>New Lead</t>
        </is>
      </c>
      <c r="G2221" t="inlineStr">
        <is>
          <t>Unclassified</t>
        </is>
      </c>
      <c r="H2221" t="inlineStr">
        <is>
          <t>Notice Inviting Tender for
                Purchase of 1/2" Isolation Ball Valve on ARC Basis for period of Two Years.</t>
        </is>
      </c>
      <c r="K2221" t="inlineStr">
        <is>
          <t>Not found</t>
        </is>
      </c>
      <c r="L2221" t="inlineStr">
        <is>
          <t>Unknown</t>
        </is>
      </c>
      <c r="T2221" t="inlineStr">
        <is>
          <t>https://www.vgl.co.in/wp-content/uploads/2025/pdf/NIT_BD202111P67.pdf</t>
        </is>
      </c>
      <c r="U2221" t="inlineStr">
        <is>
          <t>No</t>
        </is>
      </c>
      <c r="V2221" t="inlineStr">
        <is>
          <t>Bot tarafindan tespit edildi (2026-07-01); Bot tespit/zenginlestirme (2026-07-01); meta:score=35;priority=Low;source_type=html_link;closing_date=;equipment=Unclassified;reasons=document source,tender reference signal</t>
        </is>
      </c>
    </row>
    <row r="2222">
      <c r="A2222" t="inlineStr">
        <is>
          <t>T-2026</t>
        </is>
      </c>
      <c r="B2222" t="inlineStr">
        <is>
          <t>Vadodara Gas Limited</t>
        </is>
      </c>
      <c r="C2222" t="inlineStr">
        <is>
          <t>Vadodara Gas Limited</t>
        </is>
      </c>
      <c r="D2222" t="inlineStr">
        <is>
          <t>VGL/CO/C</t>
        </is>
      </c>
      <c r="E2222" t="inlineStr">
        <is>
          <t>28/10/2021</t>
        </is>
      </c>
      <c r="F2222" t="inlineStr">
        <is>
          <t>New Lead</t>
        </is>
      </c>
      <c r="G2222" t="inlineStr">
        <is>
          <t>Gas-related / review</t>
        </is>
      </c>
      <c r="H2222" t="inlineStr">
        <is>
          <t>Demolition of Existing Compound/ Boundary Wall and Construction of New Compound/
                Boundary Wall at VGL Stores and Misc. Civil &amp; Electrical Works at VGL Stores and Nandanvan Gas
                Station vide Tender No.: VGL/CO/C&amp;P-CNG/BD202109168 Dated 28/10/2021</t>
        </is>
      </c>
      <c r="K2222" t="inlineStr">
        <is>
          <t>Not found</t>
        </is>
      </c>
      <c r="L2222" t="inlineStr">
        <is>
          <t>Unknown</t>
        </is>
      </c>
      <c r="T2222" t="inlineStr">
        <is>
          <t>https://www.vgl.co.in/wp-content/uploads/2025/pdf/Replies_to_Bidder_s_Queries_-_Compound_Wall.pdf</t>
        </is>
      </c>
      <c r="U2222" t="inlineStr">
        <is>
          <t>No</t>
        </is>
      </c>
      <c r="V2222" t="inlineStr">
        <is>
          <t>Bot tarafindan tespit edildi (2026-07-01); Bot tespit/zenginlestirme (2026-07-01); meta:score=50;priority=Medium;source_type=html_link;closing_date=;equipment=Gas-related / review;reasons=equipment:Gas-related / review,document source,tender reference signal</t>
        </is>
      </c>
    </row>
    <row r="2223">
      <c r="A2223" t="inlineStr">
        <is>
          <t>T-2027</t>
        </is>
      </c>
      <c r="B2223" t="inlineStr">
        <is>
          <t>Vadodara Gas Limited</t>
        </is>
      </c>
      <c r="C2223" t="inlineStr">
        <is>
          <t>Vadodara Gas Limited</t>
        </is>
      </c>
      <c r="D2223" t="inlineStr">
        <is>
          <t>REPL/NGC/001/21</t>
        </is>
      </c>
      <c r="E2223" t="inlineStr">
        <is>
          <t>20/10/2021</t>
        </is>
      </c>
      <c r="F2223" t="inlineStr">
        <is>
          <t>New Lead</t>
        </is>
      </c>
      <c r="G2223" t="inlineStr">
        <is>
          <t>Gas-related / review</t>
        </is>
      </c>
      <c r="H2223" t="inlineStr">
        <is>
          <t>Extension in Bid Submission Due Date of the Tender for Procurement of CNG Storage
                Cascades" vide Tender No.: REPL/NGC/001/21 Dated 20/10/2021</t>
        </is>
      </c>
      <c r="K2223" t="inlineStr">
        <is>
          <t>Not found</t>
        </is>
      </c>
      <c r="L2223" t="inlineStr">
        <is>
          <t>Unknown</t>
        </is>
      </c>
      <c r="T2223" t="inlineStr">
        <is>
          <t>https://www.vgl.co.in/wp-content/uploads/2025/pdf/EXTENSION_IN_BID_SUBMISSION_DUE_DATE_REPL_VGL_NGC_001_21.pdf</t>
        </is>
      </c>
      <c r="U2223" t="inlineStr">
        <is>
          <t>No</t>
        </is>
      </c>
      <c r="V2223"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4">
      <c r="A2224" t="inlineStr">
        <is>
          <t>T-2028</t>
        </is>
      </c>
      <c r="B2224" t="inlineStr">
        <is>
          <t>Vadodara Gas Limited</t>
        </is>
      </c>
      <c r="C2224" t="inlineStr">
        <is>
          <t>Vadodara Gas Limited</t>
        </is>
      </c>
      <c r="F2224" t="inlineStr">
        <is>
          <t>New Lead</t>
        </is>
      </c>
      <c r="G2224" t="inlineStr">
        <is>
          <t>Unclassified</t>
        </is>
      </c>
      <c r="H2224" t="inlineStr">
        <is>
          <t>Notice
                inviting tender for purchase of fire extinguishers on annual rate contract [arc] basis for a period of
                one year</t>
        </is>
      </c>
      <c r="K2224" t="inlineStr">
        <is>
          <t>Not found</t>
        </is>
      </c>
      <c r="L2224" t="inlineStr">
        <is>
          <t>Unknown</t>
        </is>
      </c>
      <c r="T2224" t="inlineStr">
        <is>
          <t>https://www.vgl.co.in/wp-content/uploads/2025/pdf/NIT_FOR_PURCHASE_OF_FIREX-nov-2021.pdf</t>
        </is>
      </c>
      <c r="U2224" t="inlineStr">
        <is>
          <t>No</t>
        </is>
      </c>
      <c r="V2224" t="inlineStr">
        <is>
          <t>Bot tarafindan tespit edildi (2026-07-01); Bot tespit/zenginlestirme (2026-07-01); meta:score=35;priority=Low;source_type=html_link;closing_date=;equipment=Unclassified;reasons=document source,tender reference signal</t>
        </is>
      </c>
    </row>
    <row r="2225">
      <c r="A2225" t="inlineStr">
        <is>
          <t>T-2029</t>
        </is>
      </c>
      <c r="B2225" t="inlineStr">
        <is>
          <t>Vadodara Gas Limited</t>
        </is>
      </c>
      <c r="C2225" t="inlineStr">
        <is>
          <t>Vadodara Gas Limited</t>
        </is>
      </c>
      <c r="F2225" t="inlineStr">
        <is>
          <t>New Lead</t>
        </is>
      </c>
      <c r="G2225" t="inlineStr">
        <is>
          <t>Gas-related / review</t>
        </is>
      </c>
      <c r="H2225" t="inlineStr">
        <is>
          <t>Notice inviting tender for
                hiring of cng engine lcv for transportation of cng through mobile cascades from mother station to dbs
                for a period of three years</t>
        </is>
      </c>
      <c r="K2225" t="inlineStr">
        <is>
          <t>Not found</t>
        </is>
      </c>
      <c r="L2225" t="inlineStr">
        <is>
          <t>Unknown</t>
        </is>
      </c>
      <c r="T2225" t="inlineStr">
        <is>
          <t>https://www.vgl.co.in/wp-content/uploads/2025/pdf/NIT-nov-2021.pdf</t>
        </is>
      </c>
      <c r="U2225" t="inlineStr">
        <is>
          <t>No</t>
        </is>
      </c>
      <c r="V2225" t="inlineStr">
        <is>
          <t>Bot tarafindan tespit edildi (2026-07-01); Bot tespit/zenginlestirme (2026-07-01); meta:score=50;priority=Medium;source_type=html_link;closing_date=;equipment=Gas-related / review;reasons=equipment:Gas-related / review,document source,tender reference signal</t>
        </is>
      </c>
    </row>
    <row r="2226">
      <c r="A2226" t="inlineStr">
        <is>
          <t>T-2030</t>
        </is>
      </c>
      <c r="B2226" t="inlineStr">
        <is>
          <t>Vadodara Gas Limited</t>
        </is>
      </c>
      <c r="C2226" t="inlineStr">
        <is>
          <t>Vadodara Gas Limited</t>
        </is>
      </c>
      <c r="D2226" t="inlineStr">
        <is>
          <t>bid submission</t>
        </is>
      </c>
      <c r="E2226" t="inlineStr">
        <is>
          <t>07/10/2021</t>
        </is>
      </c>
      <c r="F2226" t="inlineStr">
        <is>
          <t>Awarded</t>
        </is>
      </c>
      <c r="G2226" t="inlineStr">
        <is>
          <t>Gas-related / review</t>
        </is>
      </c>
      <c r="H2226" t="inlineStr">
        <is>
          <t>Corrigendum - 1 regarding
                extension in bid submission due date of the Tender for Hiring of Services for Supply, Up-gradation &amp;
                Comprehensive Maintenance of Complete CCTV Surveillance System at VGL’s CNG Stations, Vadodara for
                a period of two years" vide Tender No.: VGL/CO/C&amp;P-CNG/BD202106153 Dated 07/10/2021</t>
        </is>
      </c>
      <c r="K2226" t="inlineStr">
        <is>
          <t>Not found</t>
        </is>
      </c>
      <c r="L2226" t="inlineStr">
        <is>
          <t>Unknown</t>
        </is>
      </c>
      <c r="T2226" t="inlineStr">
        <is>
          <t>https://www.vgl.co.in/wp-content/uploads/2025/pdf/CORRIGENDUM_-_1.pdf</t>
        </is>
      </c>
      <c r="U2226" t="inlineStr">
        <is>
          <t>No</t>
        </is>
      </c>
      <c r="V2226" t="inlineStr">
        <is>
          <t>Bot tarafindan tespit edildi (2026-07-01) | Bot enrich; date=2026-07-01; type=pdf; score=240; Bot tespit/zenginlestirme (2026-07-01); meta:score=60;priority=Medium;source_type=html_link;closing_date=;equipment=Gas-related / review;reasons=equipment:Gas-related / review,document source,tender reference signal,closing date signal</t>
        </is>
      </c>
    </row>
    <row r="2227">
      <c r="A2227" t="inlineStr">
        <is>
          <t>T-2031</t>
        </is>
      </c>
      <c r="B2227" t="inlineStr">
        <is>
          <t>Vadodara Gas Limited</t>
        </is>
      </c>
      <c r="C2227" t="inlineStr">
        <is>
          <t>Vadodara Gas Limited</t>
        </is>
      </c>
      <c r="D2227" t="inlineStr">
        <is>
          <t>VGL/CO/C</t>
        </is>
      </c>
      <c r="E2227" t="inlineStr">
        <is>
          <t>28/10/2021</t>
        </is>
      </c>
      <c r="F2227" t="inlineStr">
        <is>
          <t>New Lead</t>
        </is>
      </c>
      <c r="G2227" t="inlineStr">
        <is>
          <t>Gas-related / review</t>
        </is>
      </c>
      <c r="H2227" t="inlineStr">
        <is>
          <t>Demolition of
                Existing Compound/ Boundary Wall and Construction of New Compound/ Boundary Wall at VGL Stores and Misc.
                Civil &amp; Electrical Works at VGL Stores and Nandanvan Gas Station vide Tender No.:
                VGL/CO/C&amp;P-CNG/BD202109168 Dated 28/10/2021</t>
        </is>
      </c>
      <c r="K2227" t="inlineStr">
        <is>
          <t>Not found</t>
        </is>
      </c>
      <c r="L2227" t="inlineStr">
        <is>
          <t>Unknown</t>
        </is>
      </c>
      <c r="T2227" t="inlineStr">
        <is>
          <t>https://www.vgl.co.in/wp-content/uploads/2025/pdf/NIT_BD202109168_Compound_Wall.pdf</t>
        </is>
      </c>
      <c r="U2227" t="inlineStr">
        <is>
          <t>No</t>
        </is>
      </c>
      <c r="V2227" t="inlineStr">
        <is>
          <t>Bot tarafindan tespit edildi (2026-07-01); Bot tespit/zenginlestirme (2026-07-01); meta:score=50;priority=Medium;source_type=html_link;closing_date=;equipment=Gas-related / review;reasons=equipment:Gas-related / review,document source,tender reference signal</t>
        </is>
      </c>
    </row>
    <row r="2228">
      <c r="A2228" t="inlineStr">
        <is>
          <t>T-2032</t>
        </is>
      </c>
      <c r="B2228" t="inlineStr">
        <is>
          <t>Vadodara Gas Limited</t>
        </is>
      </c>
      <c r="C2228" t="inlineStr">
        <is>
          <t>Vadodara Gas Limited</t>
        </is>
      </c>
      <c r="D2228" t="inlineStr">
        <is>
          <t>VGL/CO/C</t>
        </is>
      </c>
      <c r="F2228" t="inlineStr">
        <is>
          <t>New Lead</t>
        </is>
      </c>
      <c r="G2228" t="inlineStr">
        <is>
          <t>Gas-related / review</t>
        </is>
      </c>
      <c r="H2228" t="inlineStr">
        <is>
          <t>Corrigendum-1 regarding extension in bid submission due date of the tender for Hiring of
                Services for Consumer Complaint Center on ARC Basis for Period of 02 Years vide Tender No.
                VGL/CO/C&amp;P-PNG/BD202108S62 Dated: 06.10.2021</t>
        </is>
      </c>
      <c r="K2228" t="inlineStr">
        <is>
          <t>Not found</t>
        </is>
      </c>
      <c r="L2228" t="inlineStr">
        <is>
          <t>Unknown</t>
        </is>
      </c>
      <c r="T2228" t="inlineStr">
        <is>
          <t>https://www.vgl.co.in/wp-content/uploads/2025/pdf/Corrigendum-1_Due_Date_Extension.pdf</t>
        </is>
      </c>
      <c r="U2228" t="inlineStr">
        <is>
          <t>No</t>
        </is>
      </c>
      <c r="V222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229">
      <c r="A2229" t="inlineStr">
        <is>
          <t>T-2033</t>
        </is>
      </c>
      <c r="B2229" t="inlineStr">
        <is>
          <t>Vadodara Gas Limited</t>
        </is>
      </c>
      <c r="C2229" t="inlineStr">
        <is>
          <t>Vadodara Gas Limited</t>
        </is>
      </c>
      <c r="D2229" t="inlineStr">
        <is>
          <t>REPL/NGC/001/21</t>
        </is>
      </c>
      <c r="E2229" t="inlineStr">
        <is>
          <t>20/10/2021</t>
        </is>
      </c>
      <c r="F2229" t="inlineStr">
        <is>
          <t>New Lead</t>
        </is>
      </c>
      <c r="G2229" t="inlineStr">
        <is>
          <t>Gas-related / review</t>
        </is>
      </c>
      <c r="H2229" t="inlineStr">
        <is>
          <t>Procurement of CNG
                Storage Cascades" vide Tender No.: REPL/NGC/001/21 Dated 20/10/2021</t>
        </is>
      </c>
      <c r="K2229" t="inlineStr">
        <is>
          <t>Not found</t>
        </is>
      </c>
      <c r="L2229" t="inlineStr">
        <is>
          <t>Unknown</t>
        </is>
      </c>
      <c r="T2229" t="inlineStr">
        <is>
          <t>https://www.vgl.co.in/wp-content/uploads/2025/pdf/NIT_REPL_VGL_NGC_001_21.pdf</t>
        </is>
      </c>
      <c r="U2229" t="inlineStr">
        <is>
          <t>No</t>
        </is>
      </c>
      <c r="V2229" t="inlineStr">
        <is>
          <t>Bot tarafindan tespit edildi (2026-07-01); Bot tespit/zenginlestirme (2026-07-01); meta:score=50;priority=Medium;source_type=html_link;closing_date=;equipment=Gas-related / review;reasons=equipment:Gas-related / review,document source,tender reference signal</t>
        </is>
      </c>
    </row>
    <row r="2230">
      <c r="A2230" t="inlineStr">
        <is>
          <t>T-2034</t>
        </is>
      </c>
      <c r="B2230" t="inlineStr">
        <is>
          <t>Vadodara Gas Limited</t>
        </is>
      </c>
      <c r="C2230" t="inlineStr">
        <is>
          <t>Vadodara Gas Limited</t>
        </is>
      </c>
      <c r="D2230" t="inlineStr">
        <is>
          <t>VGL/CO/C</t>
        </is>
      </c>
      <c r="E2230" t="inlineStr">
        <is>
          <t>07/10/2021</t>
        </is>
      </c>
      <c r="F2230" t="inlineStr">
        <is>
          <t>New Lead</t>
        </is>
      </c>
      <c r="G2230" t="inlineStr">
        <is>
          <t>Gas-related / review</t>
        </is>
      </c>
      <c r="H2230" t="inlineStr">
        <is>
          <t>Hiring of Services for
                Supply, Up-gradation &amp; Comprehensive Maintenance of Complete CCTV Surveillance System at VGL’s
                CNG Stations, Vadodara for a period of two years" vide Tender No.: VGL/CO/C&amp;P-CNG/BD202106153 Dated
                07/10/2021</t>
        </is>
      </c>
      <c r="K2230" t="inlineStr">
        <is>
          <t>Not found</t>
        </is>
      </c>
      <c r="L2230" t="inlineStr">
        <is>
          <t>Unknown</t>
        </is>
      </c>
      <c r="T2230" t="inlineStr">
        <is>
          <t>https://www.vgl.co.in/wp-content/uploads/2025/pdf/NIT_202106153_CCTV.pdf</t>
        </is>
      </c>
      <c r="U2230" t="inlineStr">
        <is>
          <t>No</t>
        </is>
      </c>
      <c r="V2230" t="inlineStr">
        <is>
          <t>Bot tarafindan tespit edildi (2026-07-01); Bot tespit/zenginlestirme (2026-07-01); meta:score=50;priority=Medium;source_type=html_link;closing_date=;equipment=Gas-related / review;reasons=equipment:Gas-related / review,document source,tender reference signal</t>
        </is>
      </c>
    </row>
    <row r="2231">
      <c r="A2231" t="inlineStr">
        <is>
          <t>T-2035</t>
        </is>
      </c>
      <c r="B2231" t="inlineStr">
        <is>
          <t>Vadodara Gas Limited</t>
        </is>
      </c>
      <c r="C2231" t="inlineStr">
        <is>
          <t>Vadodara Gas Limited</t>
        </is>
      </c>
      <c r="D2231" t="inlineStr">
        <is>
          <t>bid submission</t>
        </is>
      </c>
      <c r="E2231" t="inlineStr">
        <is>
          <t>09/09/2021</t>
        </is>
      </c>
      <c r="F2231" t="inlineStr">
        <is>
          <t>Awarded</t>
        </is>
      </c>
      <c r="G2231" t="inlineStr">
        <is>
          <t>Gas-related / review</t>
        </is>
      </c>
      <c r="H2231" t="inlineStr">
        <is>
          <t>Corrigendum - 2 regarding extension in bid submission due date of the Tender for
                Purchase of 3000 WL Capacity Cascades vide Tender No.: VGL/CO/C&amp;P-CNG/BD202108161 Dated
                09/09/2021</t>
        </is>
      </c>
      <c r="K2231" t="inlineStr">
        <is>
          <t>Not found</t>
        </is>
      </c>
      <c r="L2231" t="inlineStr">
        <is>
          <t>Unknown</t>
        </is>
      </c>
      <c r="T2231" t="inlineStr">
        <is>
          <t>https://www.vgl.co.in/wp-content/uploads/2025/pdf/CORRIGENDUM_-_2_BID_DUE_DATE_EXTENSION.pdf</t>
        </is>
      </c>
      <c r="U2231" t="inlineStr">
        <is>
          <t>No</t>
        </is>
      </c>
      <c r="V2231" t="inlineStr">
        <is>
          <t>Bot tarafindan tespit edildi (2026-07-01) | closing=09/09/2021 | Bot enrich; date=2026-07-01; type=pdf; closing=09/09/2021; score=240; Bot tespit/zenginlestirme (2026-07-01); meta:score=60;priority=Medium;source_type=html_link;closing_date=09/09/2021;equipment=Gas-related / review;reasons=equipment:Gas-related / review,document source,tender reference signal,closing date signal</t>
        </is>
      </c>
    </row>
    <row r="2232">
      <c r="A2232" t="inlineStr">
        <is>
          <t>T-2036</t>
        </is>
      </c>
      <c r="B2232" t="inlineStr">
        <is>
          <t>Vadodara Gas Limited</t>
        </is>
      </c>
      <c r="C2232" t="inlineStr">
        <is>
          <t>Vadodara Gas Limited</t>
        </is>
      </c>
      <c r="D2232" t="inlineStr">
        <is>
          <t>Tender No.: VGL/CO/C</t>
        </is>
      </c>
      <c r="E2232" t="inlineStr">
        <is>
          <t>09/09/2021</t>
        </is>
      </c>
      <c r="F2232" t="inlineStr">
        <is>
          <t>Awarded</t>
        </is>
      </c>
      <c r="G2232" t="inlineStr">
        <is>
          <t>Irrelevant / non-target</t>
        </is>
      </c>
      <c r="H2232" t="inlineStr">
        <is>
          <t>Corrigendum - 1 for the Tender for Hiring of Manpower through Third Party for Peripheral
                &amp; Support Services at VGL for a period of 24 Months vide Tender No.: VGL/CO/C&amp;P-CNG/BD202103144
                Dated 09/09/2021</t>
        </is>
      </c>
      <c r="K2232" t="inlineStr">
        <is>
          <t>Not found</t>
        </is>
      </c>
      <c r="L2232" t="inlineStr">
        <is>
          <t>Unknown</t>
        </is>
      </c>
      <c r="T2232" t="inlineStr">
        <is>
          <t>https://www.vgl.co.in/wp-content/uploads/2025/pdf/CORRIGENDUM_-_1_PERIPHERAL_AND_SUPPORT_SERVICES_BD202103144.pdf</t>
        </is>
      </c>
      <c r="U2232" t="inlineStr">
        <is>
          <t>No</t>
        </is>
      </c>
      <c r="V2232" t="inlineStr">
        <is>
          <t>Bot tarafindan tespit edildi (2026-07-01) | Bot enrich; date=2026-07-01; type=pdf; score=240; Bot tespit/zenginlestirme (2026-07-01); meta:score=;priority=Low;source_type=html_link;closing_date=;equipment=Irrelevant / non-target;reasons=irrelevant_equipment,document source,tender reference signal,non-target service</t>
        </is>
      </c>
    </row>
    <row r="2233">
      <c r="A2233" t="inlineStr">
        <is>
          <t>T-2037</t>
        </is>
      </c>
      <c r="B2233" t="inlineStr">
        <is>
          <t>Vadodara Gas Limited</t>
        </is>
      </c>
      <c r="C2233" t="inlineStr">
        <is>
          <t>Vadodara Gas Limited</t>
        </is>
      </c>
      <c r="D2233" t="inlineStr">
        <is>
          <t>Tender No.: VGL/CO/C</t>
        </is>
      </c>
      <c r="E2233" t="inlineStr">
        <is>
          <t>09/09/2021</t>
        </is>
      </c>
      <c r="F2233" t="inlineStr">
        <is>
          <t>Awarded</t>
        </is>
      </c>
      <c r="G2233" t="inlineStr">
        <is>
          <t>Gas-related / review</t>
        </is>
      </c>
      <c r="H2233" t="inlineStr">
        <is>
          <t>Corrigendum - 1 for the Tender for Purchase of 3000 WL Capacity Cascades vide Tender
                No.: VGL/CO/C&amp;P-CNG/BD202108161 Dated 09/09/2021</t>
        </is>
      </c>
      <c r="K2233" t="inlineStr">
        <is>
          <t>Not found</t>
        </is>
      </c>
      <c r="L2233" t="inlineStr">
        <is>
          <t>Unknown</t>
        </is>
      </c>
      <c r="T2233" t="inlineStr">
        <is>
          <t>https://www.vgl.co.in/wp-content/uploads/2025/pdf/CORRIGENDUM_-_1_FOR_PURCHASE_OF_3000_WL_CAPACITY_CASCADES_BD202108161.pdf</t>
        </is>
      </c>
      <c r="U2233" t="inlineStr">
        <is>
          <t>No</t>
        </is>
      </c>
      <c r="V2233"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34">
      <c r="A2234" t="inlineStr">
        <is>
          <t>T-2038</t>
        </is>
      </c>
      <c r="B2234" t="inlineStr">
        <is>
          <t>Vadodara Gas Limited</t>
        </is>
      </c>
      <c r="C2234" t="inlineStr">
        <is>
          <t>Vadodara Gas Limited</t>
        </is>
      </c>
      <c r="D2234" t="inlineStr">
        <is>
          <t>VGL/CO/C</t>
        </is>
      </c>
      <c r="E2234" t="inlineStr">
        <is>
          <t>09/09/2021</t>
        </is>
      </c>
      <c r="F2234" t="inlineStr">
        <is>
          <t>New Lead</t>
        </is>
      </c>
      <c r="G2234" t="inlineStr">
        <is>
          <t>Gas-related / review</t>
        </is>
      </c>
      <c r="H2234" t="inlineStr">
        <is>
          <t>Replies to Bidder's Queries for the Tender for Purchase of 3000 WL Capacity Cascades
                vide Tender No.: VGL/CO/C&amp;P-CNG/BD202108161 Dated 09/09/2021</t>
        </is>
      </c>
      <c r="K2234" t="inlineStr">
        <is>
          <t>Not found</t>
        </is>
      </c>
      <c r="L2234" t="inlineStr">
        <is>
          <t>Unknown</t>
        </is>
      </c>
      <c r="T2234" t="inlineStr">
        <is>
          <t>https://www.vgl.co.in/wp-content/uploads/2025/pdf/REPLIES_TO_BIDDER_S_QUERIES_FOR_PURCHASE_OF_3000_WL_CAPACITY_CASCADES_BD202108161.pdf</t>
        </is>
      </c>
      <c r="U2234" t="inlineStr">
        <is>
          <t>No</t>
        </is>
      </c>
      <c r="V2234" t="inlineStr">
        <is>
          <t>Bot tarafindan tespit edildi (2026-07-01); Bot tespit/zenginlestirme (2026-07-01); meta:score=50;priority=Medium;source_type=html_link;closing_date=;equipment=Gas-related / review;reasons=equipment:Gas-related / review,document source,tender reference signal</t>
        </is>
      </c>
    </row>
    <row r="2235">
      <c r="A2235" t="inlineStr">
        <is>
          <t>T-2039</t>
        </is>
      </c>
      <c r="B2235" t="inlineStr">
        <is>
          <t>Vadodara Gas Limited</t>
        </is>
      </c>
      <c r="C2235" t="inlineStr">
        <is>
          <t>Vadodara Gas Limited</t>
        </is>
      </c>
      <c r="D2235" t="inlineStr">
        <is>
          <t>VGL/CO/C</t>
        </is>
      </c>
      <c r="F2235" t="inlineStr">
        <is>
          <t>New Lead</t>
        </is>
      </c>
      <c r="G2235" t="inlineStr">
        <is>
          <t>Gas-related / review</t>
        </is>
      </c>
      <c r="H2235" t="inlineStr">
        <is>
          <t>Replies to Bidder's Queries for the Tender for Purchase of Temperature Gauge and
                Pressure Gauge vide Tender No.: VGL/CO/C&amp;P-CNG/BD202108160</t>
        </is>
      </c>
      <c r="K2235" t="inlineStr">
        <is>
          <t>Not found</t>
        </is>
      </c>
      <c r="L2235" t="inlineStr">
        <is>
          <t>Unknown</t>
        </is>
      </c>
      <c r="T2235" t="inlineStr">
        <is>
          <t>https://www.vgl.co.in/wp-content/uploads/2025/pdf/REPLIES_TO_BIDDER_S_QUERIES_FOR_PURCHASE_OF_TEMPERATURE_GAUGE_AND_PRESSURE_GAUGE.pdf</t>
        </is>
      </c>
      <c r="U2235" t="inlineStr">
        <is>
          <t>No</t>
        </is>
      </c>
      <c r="V2235" t="inlineStr">
        <is>
          <t>Bot tarafindan tespit edildi (2026-07-01); Bot tespit/zenginlestirme (2026-07-01); meta:score=50;priority=Medium;source_type=html_link;closing_date=;equipment=Gas-related / review;reasons=equipment:Gas-related / review,document source,tender reference signal</t>
        </is>
      </c>
    </row>
    <row r="2236">
      <c r="A2236" t="inlineStr">
        <is>
          <t>T-2040</t>
        </is>
      </c>
      <c r="B2236" t="inlineStr">
        <is>
          <t>Vadodara Gas Limited</t>
        </is>
      </c>
      <c r="C2236" t="inlineStr">
        <is>
          <t>Vadodara Gas Limited</t>
        </is>
      </c>
      <c r="D2236" t="inlineStr">
        <is>
          <t>VGL/CO/C</t>
        </is>
      </c>
      <c r="F2236" t="inlineStr">
        <is>
          <t>New Lead</t>
        </is>
      </c>
      <c r="G2236" t="inlineStr">
        <is>
          <t>Irrelevant / non-target</t>
        </is>
      </c>
      <c r="H2236" t="inlineStr">
        <is>
          <t>Replies to Bidder's Queries for the Tender for Hiring of Manpower through Third Party
                for Peripheral &amp; Support Services at VGL for a period of 24 Months vide Tender No.:
                VGL/CO/C&amp;P-CNG/BD202103144</t>
        </is>
      </c>
      <c r="K2236" t="inlineStr">
        <is>
          <t>Not found</t>
        </is>
      </c>
      <c r="L2236" t="inlineStr">
        <is>
          <t>Unknown</t>
        </is>
      </c>
      <c r="T2236" t="inlineStr">
        <is>
          <t>https://www.vgl.co.in/wp-content/uploads/2025/pdf/REPLIES_TO_BIDDER_S_QUERIES_-_PERIPHERAL_AND_SUPPORT_SERVICES.pdf</t>
        </is>
      </c>
      <c r="U2236" t="inlineStr">
        <is>
          <t>No</t>
        </is>
      </c>
      <c r="V2236" t="inlineStr">
        <is>
          <t>Bot tarafindan tespit edildi (2026-07-01); Bot tespit/zenginlestirme (2026-07-01); meta:score=;priority=Low;source_type=html_link;closing_date=;equipment=Irrelevant / non-target;reasons=irrelevant_equipment,document source,tender reference signal,non-target service</t>
        </is>
      </c>
    </row>
    <row r="2237">
      <c r="A2237" t="inlineStr">
        <is>
          <t>T-2041</t>
        </is>
      </c>
      <c r="B2237" t="inlineStr">
        <is>
          <t>Vadodara Gas Limited</t>
        </is>
      </c>
      <c r="C2237" t="inlineStr">
        <is>
          <t>Vadodara Gas Limited</t>
        </is>
      </c>
      <c r="F2237" t="inlineStr">
        <is>
          <t>New Lead</t>
        </is>
      </c>
      <c r="G2237" t="inlineStr">
        <is>
          <t>Gas-related / review</t>
        </is>
      </c>
      <c r="H2237" t="inlineStr">
        <is>
          <t>Extension in bid submission due date for Annual rate Contract for Procurement of CNG CAR
                and Combo (Car - Bus) Dispenser Package.</t>
        </is>
      </c>
      <c r="K2237" t="inlineStr">
        <is>
          <t>Not found</t>
        </is>
      </c>
      <c r="L2237" t="inlineStr">
        <is>
          <t>Unknown</t>
        </is>
      </c>
      <c r="T2237" t="inlineStr">
        <is>
          <t>https://www.vgl.co.in/wp-content/uploads/2025/pdf/Extension_in_Bid_submission_Due_Date_-_Dispenser.pdf</t>
        </is>
      </c>
      <c r="U2237" t="inlineStr">
        <is>
          <t>No</t>
        </is>
      </c>
      <c r="V2237" t="inlineStr">
        <is>
          <t>Bot tarafindan tespit edildi (2026-07-01); Bot tespit/zenginlestirme (2026-07-01); meta:score=45;priority=Medium;source_type=html_link;closing_date=;equipment=Gas-related / review;reasons=equipment:Gas-related / review,document source,closing date signal</t>
        </is>
      </c>
    </row>
    <row r="2238">
      <c r="A2238" t="inlineStr">
        <is>
          <t>T-2042</t>
        </is>
      </c>
      <c r="B2238" t="inlineStr">
        <is>
          <t>Vadodara Gas Limited</t>
        </is>
      </c>
      <c r="C2238" t="inlineStr">
        <is>
          <t>Vadodara Gas Limited</t>
        </is>
      </c>
      <c r="F2238" t="inlineStr">
        <is>
          <t>New Lead</t>
        </is>
      </c>
      <c r="G2238" t="inlineStr">
        <is>
          <t>Unclassified</t>
        </is>
      </c>
      <c r="H2238" t="inlineStr">
        <is>
          <t>Purchase of Temperature Gauge and Pressure Gauge.</t>
        </is>
      </c>
      <c r="K2238" t="inlineStr">
        <is>
          <t>Not found</t>
        </is>
      </c>
      <c r="L2238" t="inlineStr">
        <is>
          <t>Unknown</t>
        </is>
      </c>
      <c r="T2238" t="inlineStr">
        <is>
          <t>https://www.vgl.co.in/wp-content/uploads/2025/pdf/NIT_FOR_PURCHASE_OF_PRESSURE_AND_TEMPERATURE_GAUGE.pdf</t>
        </is>
      </c>
      <c r="U2238" t="inlineStr">
        <is>
          <t>No</t>
        </is>
      </c>
      <c r="V2238" t="inlineStr">
        <is>
          <t>Bot tarafindan tespit edildi (2026-07-01); Bot tespit/zenginlestirme (2026-07-01); meta:score=35;priority=Low;source_type=html_link;closing_date=;equipment=Unclassified;reasons=document source,tender reference signal</t>
        </is>
      </c>
    </row>
    <row r="2239">
      <c r="A2239" t="inlineStr">
        <is>
          <t>T-2043</t>
        </is>
      </c>
      <c r="B2239" t="inlineStr">
        <is>
          <t>Vadodara Gas Limited</t>
        </is>
      </c>
      <c r="C2239" t="inlineStr">
        <is>
          <t>Vadodara Gas Limited</t>
        </is>
      </c>
      <c r="F2239" t="inlineStr">
        <is>
          <t>New Lead</t>
        </is>
      </c>
      <c r="G2239" t="inlineStr">
        <is>
          <t>Gas-related / review</t>
        </is>
      </c>
      <c r="H2239" t="inlineStr">
        <is>
          <t>Replies to Bidder's queries for Annual rate Contract for Procurement of CNG CAR and
                Combo (Car - Bus) Dispenser Package.</t>
        </is>
      </c>
      <c r="K2239" t="inlineStr">
        <is>
          <t>Not found</t>
        </is>
      </c>
      <c r="L2239" t="inlineStr">
        <is>
          <t>Unknown</t>
        </is>
      </c>
      <c r="T2239" t="inlineStr">
        <is>
          <t>https://www.vgl.co.in/wp-content/uploads/2025/pdf/REPLIES_TO_BIDDERS_QUERIES_REPL_VGL_NGD_002_21.pdf</t>
        </is>
      </c>
      <c r="U2239" t="inlineStr">
        <is>
          <t>No</t>
        </is>
      </c>
      <c r="V2239" t="inlineStr">
        <is>
          <t>Bot tarafindan tespit edildi (2026-07-01); Bot tespit/zenginlestirme (2026-07-01); meta:score=35;priority=Low;source_type=html_link;closing_date=;equipment=Gas-related / review;reasons=equipment:Gas-related / review,document source</t>
        </is>
      </c>
    </row>
    <row r="2240">
      <c r="A2240" t="inlineStr">
        <is>
          <t>T-2044</t>
        </is>
      </c>
      <c r="B2240" t="inlineStr">
        <is>
          <t>Vadodara Gas Limited</t>
        </is>
      </c>
      <c r="C2240" t="inlineStr">
        <is>
          <t>Vadodara Gas Limited</t>
        </is>
      </c>
      <c r="F2240" t="inlineStr">
        <is>
          <t>New Lead</t>
        </is>
      </c>
      <c r="G2240" t="inlineStr">
        <is>
          <t>Irrelevant / non-target</t>
        </is>
      </c>
      <c r="H2240" t="inlineStr">
        <is>
          <t>Hiring of Manpower through
                Third Party for Peripheral &amp; Support Services at VGL for a period of 24 Months</t>
        </is>
      </c>
      <c r="K2240" t="inlineStr">
        <is>
          <t>Not found</t>
        </is>
      </c>
      <c r="L2240" t="inlineStr">
        <is>
          <t>Unknown</t>
        </is>
      </c>
      <c r="T2240" t="inlineStr">
        <is>
          <t>https://www.vgl.co.in/wp-content/uploads/2025/pdf/NIT_202103144.pdf</t>
        </is>
      </c>
      <c r="U2240" t="inlineStr">
        <is>
          <t>No</t>
        </is>
      </c>
      <c r="V2240" t="inlineStr">
        <is>
          <t>Bot tarafindan tespit edildi (2026-07-01); Bot tespit/zenginlestirme (2026-07-01); meta:score=;priority=Low;source_type=html_link;closing_date=;equipment=Irrelevant / non-target;reasons=irrelevant_equipment,document source,tender reference signal,non-target service</t>
        </is>
      </c>
    </row>
    <row r="2241">
      <c r="A2241" t="inlineStr">
        <is>
          <t>T-2045</t>
        </is>
      </c>
      <c r="B2241" t="inlineStr">
        <is>
          <t>Vadodara Gas Limited</t>
        </is>
      </c>
      <c r="C2241" t="inlineStr">
        <is>
          <t>Vadodara Gas Limited</t>
        </is>
      </c>
      <c r="F2241" t="inlineStr">
        <is>
          <t>New Lead</t>
        </is>
      </c>
      <c r="G2241" t="inlineStr">
        <is>
          <t>Unclassified</t>
        </is>
      </c>
      <c r="H2241" t="inlineStr">
        <is>
          <t>Purchase of 3000 WL
                Capacity Cascades</t>
        </is>
      </c>
      <c r="K2241" t="inlineStr">
        <is>
          <t>Not found</t>
        </is>
      </c>
      <c r="L2241" t="inlineStr">
        <is>
          <t>Unknown</t>
        </is>
      </c>
      <c r="T2241" t="inlineStr">
        <is>
          <t>https://www.vgl.co.in/wp-content/uploads/2025/pdf/NIT_BD202108161_CASCADE.pdf</t>
        </is>
      </c>
      <c r="U2241" t="inlineStr">
        <is>
          <t>No</t>
        </is>
      </c>
      <c r="V2241" t="inlineStr">
        <is>
          <t>Bot tarafindan tespit edildi (2026-07-01); Bot tespit/zenginlestirme (2026-07-01); meta:score=35;priority=Low;source_type=html_link;closing_date=;equipment=Unclassified;reasons=document source,tender reference signal</t>
        </is>
      </c>
    </row>
    <row r="2242">
      <c r="A2242" t="inlineStr">
        <is>
          <t>T-2046</t>
        </is>
      </c>
      <c r="B2242" t="inlineStr">
        <is>
          <t>Vadodara Gas Limited</t>
        </is>
      </c>
      <c r="C2242" t="inlineStr">
        <is>
          <t>Vadodara Gas Limited</t>
        </is>
      </c>
      <c r="F2242" t="inlineStr">
        <is>
          <t>New Lead</t>
        </is>
      </c>
      <c r="G2242" t="inlineStr">
        <is>
          <t>Gas-related / review</t>
        </is>
      </c>
      <c r="H2242" t="inlineStr">
        <is>
          <t>NIT for Procurement of
                CNG Car and Combo (Car-Bus) Dispenser Package</t>
        </is>
      </c>
      <c r="K2242" t="inlineStr">
        <is>
          <t>Not found</t>
        </is>
      </c>
      <c r="L2242" t="inlineStr">
        <is>
          <t>Unknown</t>
        </is>
      </c>
      <c r="T2242" t="inlineStr">
        <is>
          <t>https://www.vgl.co.in/wp-content/uploads/2025/pdf/NIT_Dispenser-2021.pdf</t>
        </is>
      </c>
      <c r="U2242" t="inlineStr">
        <is>
          <t>No</t>
        </is>
      </c>
      <c r="V2242" t="inlineStr">
        <is>
          <t>Bot tarafindan tespit edildi (2026-07-01); Bot tespit/zenginlestirme (2026-07-01); meta:score=50;priority=Medium;source_type=html_link;closing_date=;equipment=Gas-related / review;reasons=equipment:Gas-related / review,document source,tender reference signal</t>
        </is>
      </c>
    </row>
    <row r="2243">
      <c r="A2243" t="inlineStr">
        <is>
          <t>T-2047</t>
        </is>
      </c>
      <c r="B2243" t="inlineStr">
        <is>
          <t>Vadodara Gas Limited</t>
        </is>
      </c>
      <c r="C2243" t="inlineStr">
        <is>
          <t>Vadodara Gas Limited</t>
        </is>
      </c>
      <c r="F2243" t="inlineStr">
        <is>
          <t>New Lead</t>
        </is>
      </c>
      <c r="G2243" t="inlineStr">
        <is>
          <t>Gas-related / review</t>
        </is>
      </c>
      <c r="H2243" t="inlineStr">
        <is>
          <t>Canopy
                &amp; other Misc. works to be carried out at VGL’s Nizampura CNG Station, Vadodara</t>
        </is>
      </c>
      <c r="K2243" t="inlineStr">
        <is>
          <t>Not found</t>
        </is>
      </c>
      <c r="L2243" t="inlineStr">
        <is>
          <t>Unknown</t>
        </is>
      </c>
      <c r="T2243" t="inlineStr">
        <is>
          <t>https://www.vgl.co.in/wp-content/uploads/2025/pdf/NIT_BD202105145_NZ_CANOPY_17_2021.pdf</t>
        </is>
      </c>
      <c r="U2243" t="inlineStr">
        <is>
          <t>No</t>
        </is>
      </c>
      <c r="V2243" t="inlineStr">
        <is>
          <t>Bot tarafindan tespit edildi (2026-07-01); Bot tespit/zenginlestirme (2026-07-01); meta:score=50;priority=Medium;source_type=html_link;closing_date=;equipment=Gas-related / review;reasons=equipment:Gas-related / review,document source,tender reference signal</t>
        </is>
      </c>
    </row>
    <row r="2244">
      <c r="A2244" t="inlineStr">
        <is>
          <t>T-2048</t>
        </is>
      </c>
      <c r="B2244" t="inlineStr">
        <is>
          <t>Vadodara Gas Limited</t>
        </is>
      </c>
      <c r="C2244" t="inlineStr">
        <is>
          <t>Vadodara Gas Limited</t>
        </is>
      </c>
      <c r="F2244" t="inlineStr">
        <is>
          <t>New Lead</t>
        </is>
      </c>
      <c r="G2244" t="inlineStr">
        <is>
          <t>Unclassified</t>
        </is>
      </c>
      <c r="H2244" t="inlineStr">
        <is>
          <t>HIRING
                OF SERVICES FOR AMC OF FIRE FIGHTING EQUIPMENTS AND PURCHASE OF CONSUMABLE SPARES FOR FIRE EXTINGUISHERS
                AT VGL, VADODARA FOR A PERIOD OF TWO YEARS</t>
        </is>
      </c>
      <c r="K2244" t="inlineStr">
        <is>
          <t>Not found</t>
        </is>
      </c>
      <c r="L2244" t="inlineStr">
        <is>
          <t>Unknown</t>
        </is>
      </c>
      <c r="T2244" t="inlineStr">
        <is>
          <t>https://www.vgl.co.in/wp-content/uploads/2025/pdf/NIT_AMC_FIRE_EXTINGUISHER_BD202106151.pdf</t>
        </is>
      </c>
      <c r="U2244" t="inlineStr">
        <is>
          <t>No</t>
        </is>
      </c>
      <c r="V2244" t="inlineStr">
        <is>
          <t>Bot tarafindan tespit edildi (2026-07-01); Bot tespit/zenginlestirme (2026-07-01); meta:score=35;priority=Low;source_type=html_link;closing_date=;equipment=Unclassified;reasons=document source,tender reference signal</t>
        </is>
      </c>
    </row>
    <row r="2245">
      <c r="A2245" t="inlineStr">
        <is>
          <t>T-2049</t>
        </is>
      </c>
      <c r="B2245" t="inlineStr">
        <is>
          <t>Vadodara Gas Limited</t>
        </is>
      </c>
      <c r="C2245" t="inlineStr">
        <is>
          <t>Vadodara Gas Limited</t>
        </is>
      </c>
      <c r="F2245" t="inlineStr">
        <is>
          <t>New Lead</t>
        </is>
      </c>
      <c r="G2245" t="inlineStr">
        <is>
          <t>RMS</t>
        </is>
      </c>
      <c r="H2245" t="inlineStr">
        <is>
          <t>Terms &amp; Condition</t>
        </is>
      </c>
      <c r="K2245" t="inlineStr">
        <is>
          <t>Not found</t>
        </is>
      </c>
      <c r="L2245" t="inlineStr">
        <is>
          <t>Unknown</t>
        </is>
      </c>
      <c r="T2245" t="inlineStr">
        <is>
          <t>https://www.vgl.co.in/terms-condition/</t>
        </is>
      </c>
      <c r="U2245" t="inlineStr">
        <is>
          <t>No</t>
        </is>
      </c>
      <c r="V2245" t="inlineStr">
        <is>
          <t>Bot tarafindan tespit edildi (2026-07-01)</t>
        </is>
      </c>
    </row>
    <row r="2246">
      <c r="A2246" t="inlineStr">
        <is>
          <t>T-2050</t>
        </is>
      </c>
      <c r="B2246" t="inlineStr">
        <is>
          <t>Vadodara Gas Limited</t>
        </is>
      </c>
      <c r="C2246" t="inlineStr">
        <is>
          <t>Vadodara Gas Limited</t>
        </is>
      </c>
      <c r="F2246" t="inlineStr">
        <is>
          <t>New Lead</t>
        </is>
      </c>
      <c r="H2246" t="inlineStr">
        <is>
          <t>Download</t>
        </is>
      </c>
      <c r="K2246" t="inlineStr">
        <is>
          <t>Not found</t>
        </is>
      </c>
      <c r="L2246" t="inlineStr">
        <is>
          <t>Unknown</t>
        </is>
      </c>
      <c r="T2246" t="inlineStr">
        <is>
          <t>https://www.vgl.co.in/download/</t>
        </is>
      </c>
      <c r="U2246" t="inlineStr">
        <is>
          <t>No</t>
        </is>
      </c>
      <c r="V2246" t="inlineStr">
        <is>
          <t>Bot tarafindan tespit edildi (2026-07-01)</t>
        </is>
      </c>
    </row>
    <row r="2247">
      <c r="A2247" t="inlineStr">
        <is>
          <t>T-2051</t>
        </is>
      </c>
      <c r="B2247" t="inlineStr">
        <is>
          <t>Aegis Gas / Aegis Logistics</t>
        </is>
      </c>
      <c r="C2247" t="inlineStr">
        <is>
          <t>Aegis Gas / Aegis Logistics</t>
        </is>
      </c>
      <c r="F2247" t="inlineStr">
        <is>
          <t>New Lead</t>
        </is>
      </c>
      <c r="H2247" t="inlineStr">
        <is>
          <t>COMMUNITY</t>
        </is>
      </c>
      <c r="K2247" t="inlineStr">
        <is>
          <t>Not found</t>
        </is>
      </c>
      <c r="L2247" t="inlineStr">
        <is>
          <t>Unknown</t>
        </is>
      </c>
      <c r="T2247" t="inlineStr">
        <is>
          <t>https://aegisindia.com/community/</t>
        </is>
      </c>
      <c r="U2247" t="inlineStr">
        <is>
          <t>No</t>
        </is>
      </c>
      <c r="V2247" t="inlineStr">
        <is>
          <t>Bot tarafindan tespit edildi (2026-07-01)</t>
        </is>
      </c>
    </row>
    <row r="2248">
      <c r="A2248" t="inlineStr">
        <is>
          <t>T-2052</t>
        </is>
      </c>
      <c r="B2248" t="inlineStr">
        <is>
          <t>Aegis Gas / Aegis Logistics</t>
        </is>
      </c>
      <c r="C2248" t="inlineStr">
        <is>
          <t>Aegis Gas / Aegis Logistics</t>
        </is>
      </c>
      <c r="F2248" t="inlineStr">
        <is>
          <t>New Lead</t>
        </is>
      </c>
      <c r="H2248" t="inlineStr">
        <is>
          <t>Investor Downloads</t>
        </is>
      </c>
      <c r="K2248" t="inlineStr">
        <is>
          <t>Not found</t>
        </is>
      </c>
      <c r="L2248" t="inlineStr">
        <is>
          <t>Unknown</t>
        </is>
      </c>
      <c r="T2248" t="inlineStr">
        <is>
          <t>https://aegisindia.com/investor-information/#investor-downloads</t>
        </is>
      </c>
      <c r="U2248" t="inlineStr">
        <is>
          <t>No</t>
        </is>
      </c>
      <c r="V2248" t="inlineStr">
        <is>
          <t>Bot tarafindan tespit edildi (2026-07-01)</t>
        </is>
      </c>
    </row>
    <row r="2249">
      <c r="A2249" t="inlineStr">
        <is>
          <t>T-2053</t>
        </is>
      </c>
      <c r="B2249" t="inlineStr">
        <is>
          <t>Aegis Gas / Aegis Logistics</t>
        </is>
      </c>
      <c r="C2249" t="inlineStr">
        <is>
          <t>Aegis Gas / Aegis Logistics</t>
        </is>
      </c>
      <c r="F2249" t="inlineStr">
        <is>
          <t>New Lead</t>
        </is>
      </c>
      <c r="H2249" t="inlineStr">
        <is>
          <t>http://uat.genuus.asia/aegisnew/community/</t>
        </is>
      </c>
      <c r="K2249" t="inlineStr">
        <is>
          <t>Not found</t>
        </is>
      </c>
      <c r="L2249" t="inlineStr">
        <is>
          <t>Unknown</t>
        </is>
      </c>
      <c r="T2249" t="inlineStr">
        <is>
          <t>http://uat.genuus.asia/aegisnew/community/</t>
        </is>
      </c>
      <c r="U2249" t="inlineStr">
        <is>
          <t>No</t>
        </is>
      </c>
      <c r="V2249" t="inlineStr">
        <is>
          <t>Bot tarafindan tespit edildi (2026-07-01)</t>
        </is>
      </c>
    </row>
    <row r="2250">
      <c r="A2250" t="inlineStr">
        <is>
          <t>T-2054</t>
        </is>
      </c>
      <c r="B2250" t="inlineStr">
        <is>
          <t>Aegis Gas / Aegis Logistics</t>
        </is>
      </c>
      <c r="C2250" t="inlineStr">
        <is>
          <t>Aegis Gas / Aegis Logistics</t>
        </is>
      </c>
      <c r="F2250" t="inlineStr">
        <is>
          <t>New Lead</t>
        </is>
      </c>
      <c r="H2250" t="inlineStr">
        <is>
          <t>Community</t>
        </is>
      </c>
      <c r="K2250" t="inlineStr">
        <is>
          <t>Not found</t>
        </is>
      </c>
      <c r="L2250" t="inlineStr">
        <is>
          <t>Unknown</t>
        </is>
      </c>
      <c r="T2250" t="inlineStr">
        <is>
          <t>http://aegisindia.com/community/</t>
        </is>
      </c>
      <c r="U2250" t="inlineStr">
        <is>
          <t>No</t>
        </is>
      </c>
      <c r="V2250" t="inlineStr">
        <is>
          <t>Bot tarafindan tespit edildi (2026-07-01)</t>
        </is>
      </c>
    </row>
    <row r="2251">
      <c r="A2251" t="inlineStr">
        <is>
          <t>T-2055</t>
        </is>
      </c>
      <c r="B2251" t="inlineStr">
        <is>
          <t>Aegis Gas / Aegis Logistics</t>
        </is>
      </c>
      <c r="C2251" t="inlineStr">
        <is>
          <t>Aegis Gas / Aegis Logistics</t>
        </is>
      </c>
      <c r="F2251" t="inlineStr">
        <is>
          <t>New Lead</t>
        </is>
      </c>
      <c r="H2251" t="inlineStr">
        <is>
          <t>Investor Downloads</t>
        </is>
      </c>
      <c r="K2251" t="inlineStr">
        <is>
          <t>Not found</t>
        </is>
      </c>
      <c r="L2251" t="inlineStr">
        <is>
          <t>Unknown</t>
        </is>
      </c>
      <c r="T2251" t="inlineStr">
        <is>
          <t>http://aegisindia.com/investor-information/#investor-downloads</t>
        </is>
      </c>
      <c r="U2251" t="inlineStr">
        <is>
          <t>No</t>
        </is>
      </c>
      <c r="V2251" t="inlineStr">
        <is>
          <t>Bot tarafindan tespit edildi (2026-07-01)</t>
        </is>
      </c>
    </row>
    <row r="2252">
      <c r="A2252" t="inlineStr">
        <is>
          <t>T-2056</t>
        </is>
      </c>
      <c r="B2252" t="inlineStr">
        <is>
          <t>Aegis Gas / Aegis Logistics</t>
        </is>
      </c>
      <c r="C2252" t="inlineStr">
        <is>
          <t>Aegis Gas / Aegis Logistics</t>
        </is>
      </c>
      <c r="F2252" t="inlineStr">
        <is>
          <t>New Lead</t>
        </is>
      </c>
      <c r="H2252" t="inlineStr">
        <is>
          <t>Tenders</t>
        </is>
      </c>
      <c r="K2252" t="inlineStr">
        <is>
          <t>Not found</t>
        </is>
      </c>
      <c r="L2252" t="inlineStr">
        <is>
          <t>Unknown</t>
        </is>
      </c>
      <c r="T2252" t="inlineStr">
        <is>
          <t>http://aegisindia.com/tenders</t>
        </is>
      </c>
      <c r="U2252" t="inlineStr">
        <is>
          <t>No</t>
        </is>
      </c>
      <c r="V2252" t="inlineStr">
        <is>
          <t>Bot tarafindan tespit edildi (2026-07-01)</t>
        </is>
      </c>
    </row>
    <row r="2253">
      <c r="A2253" t="inlineStr">
        <is>
          <t>T-2057</t>
        </is>
      </c>
      <c r="B2253" t="inlineStr">
        <is>
          <t>Reliance BP Mobility / Jio-bp gas related</t>
        </is>
      </c>
      <c r="C2253" t="inlineStr">
        <is>
          <t>Reliance BP Mobility / Jio-bp gas related</t>
        </is>
      </c>
      <c r="D2253" t="inlineStr">
        <is>
          <t>rogen</t>
        </is>
      </c>
      <c r="F2253" t="inlineStr">
        <is>
          <t>New Lead</t>
        </is>
      </c>
      <c r="G2253" t="inlineStr">
        <is>
          <t>Gas-related / review</t>
        </is>
      </c>
      <c r="H2253" t="inlineStr">
        <is>
          <t>Jio-bp pulseIndia's growing network of EV charging stations. Use our smart EV charging solutions to find a high-speed charging unit or a best EV charging station near you for a seamless drive.</t>
        </is>
      </c>
      <c r="K2253" t="inlineStr">
        <is>
          <t>Not found</t>
        </is>
      </c>
      <c r="L2253" t="inlineStr">
        <is>
          <t>Unknown</t>
        </is>
      </c>
      <c r="T2253" t="inlineStr">
        <is>
          <t>https://www.jiobp.com/products-and-services/EV-charging</t>
        </is>
      </c>
      <c r="U2253" t="inlineStr">
        <is>
          <t>No</t>
        </is>
      </c>
      <c r="V2253" t="inlineStr">
        <is>
          <t>Bot tarafindan tespit edildi (2026-07-01); Bot tespit/zenginlestirme (2026-07-01); meta:score=30;priority=Low;source_type=html_table;closing_date=;equipment=Gas-related / review;reasons=equipment:Gas-related / review,tender reference signal</t>
        </is>
      </c>
    </row>
    <row r="2254">
      <c r="A2254" t="inlineStr">
        <is>
          <t>T-2058</t>
        </is>
      </c>
      <c r="B2254" t="inlineStr">
        <is>
          <t>Reliance BP Mobility / Jio-bp gas related</t>
        </is>
      </c>
      <c r="C2254" t="inlineStr">
        <is>
          <t>Reliance BP Mobility / Jio-bp gas related</t>
        </is>
      </c>
      <c r="D2254" t="inlineStr">
        <is>
          <t>rogen</t>
        </is>
      </c>
      <c r="F2254" t="inlineStr">
        <is>
          <t>New Lead</t>
        </is>
      </c>
      <c r="G2254" t="inlineStr">
        <is>
          <t>Unclassified</t>
        </is>
      </c>
      <c r="H2254" t="inlineStr">
        <is>
          <t>Know More</t>
        </is>
      </c>
      <c r="K2254" t="inlineStr">
        <is>
          <t>Not found</t>
        </is>
      </c>
      <c r="L2254" t="inlineStr">
        <is>
          <t>Unknown</t>
        </is>
      </c>
      <c r="T2254" t="inlineStr">
        <is>
          <t>https://www.jiobp.com/products-and-services/nitrofill</t>
        </is>
      </c>
      <c r="U2254" t="inlineStr">
        <is>
          <t>No</t>
        </is>
      </c>
      <c r="V2254" t="inlineStr">
        <is>
          <t>Bot tarafindan tespit edildi (2026-07-01); Bot tespit/zenginlestirme (2026-07-01); meta:score=15;priority=Low;source_type=html_table;closing_date=;equipment=Unclassified;reasons=tender reference signal</t>
        </is>
      </c>
    </row>
    <row r="2255">
      <c r="A2255" t="inlineStr">
        <is>
          <t>T-2059</t>
        </is>
      </c>
      <c r="B2255" t="inlineStr">
        <is>
          <t>Engineers India Limited (EIL)</t>
        </is>
      </c>
      <c r="C2255" t="inlineStr">
        <is>
          <t>Engineers India Limited (EIL)</t>
        </is>
      </c>
      <c r="F2255" t="inlineStr">
        <is>
          <t>New Lead</t>
        </is>
      </c>
      <c r="H2255" t="inlineStr">
        <is>
          <t>Tenders</t>
        </is>
      </c>
      <c r="K2255" t="inlineStr">
        <is>
          <t>Not found</t>
        </is>
      </c>
      <c r="L2255" t="inlineStr">
        <is>
          <t>Unknown</t>
        </is>
      </c>
      <c r="T2255" t="inlineStr">
        <is>
          <t>https://engineersindia.com/tender</t>
        </is>
      </c>
      <c r="U2255" t="inlineStr">
        <is>
          <t>No</t>
        </is>
      </c>
      <c r="V2255" t="inlineStr">
        <is>
          <t>Bot tarafindan tespit edildi (2026-07-01)</t>
        </is>
      </c>
    </row>
    <row r="2256">
      <c r="A2256" t="inlineStr">
        <is>
          <t>T-2060</t>
        </is>
      </c>
      <c r="B2256" t="inlineStr">
        <is>
          <t>Engineers India Limited (EIL)</t>
        </is>
      </c>
      <c r="C2256" t="inlineStr">
        <is>
          <t>Engineers India Limited (EIL)</t>
        </is>
      </c>
      <c r="F2256" t="inlineStr">
        <is>
          <t>New Lead</t>
        </is>
      </c>
      <c r="H2256" t="inlineStr">
        <is>
          <t>हिंदी</t>
        </is>
      </c>
      <c r="K2256" t="inlineStr">
        <is>
          <t>Not found</t>
        </is>
      </c>
      <c r="L2256" t="inlineStr">
        <is>
          <t>Unknown</t>
        </is>
      </c>
      <c r="T2256" t="inlineStr">
        <is>
          <t>https://engineersindia.com/Language?ReturnUrl=%2Ftenders%2F&amp;handler=Return</t>
        </is>
      </c>
      <c r="U2256" t="inlineStr">
        <is>
          <t>No</t>
        </is>
      </c>
      <c r="V2256" t="inlineStr">
        <is>
          <t>Bot tarafindan tespit edildi (2026-07-01)</t>
        </is>
      </c>
    </row>
    <row r="2257">
      <c r="A2257" t="inlineStr">
        <is>
          <t>T-2061</t>
        </is>
      </c>
      <c r="B2257" t="inlineStr">
        <is>
          <t>Engineers India Limited (EIL)</t>
        </is>
      </c>
      <c r="C2257" t="inlineStr">
        <is>
          <t>Engineers India Limited (EIL)</t>
        </is>
      </c>
      <c r="F2257" t="inlineStr">
        <is>
          <t>New Lead</t>
        </is>
      </c>
      <c r="H2257" t="inlineStr">
        <is>
          <t>Live Tenders</t>
        </is>
      </c>
      <c r="K2257" t="inlineStr">
        <is>
          <t>Not found</t>
        </is>
      </c>
      <c r="L2257" t="inlineStr">
        <is>
          <t>Unknown</t>
        </is>
      </c>
      <c r="T2257" t="inlineStr">
        <is>
          <t>https://tenders.eil.co.in/NewTenders/Default.aspx</t>
        </is>
      </c>
      <c r="U2257" t="inlineStr">
        <is>
          <t>No</t>
        </is>
      </c>
      <c r="V2257" t="inlineStr">
        <is>
          <t>Bot tarafindan tespit edildi (2026-07-01)</t>
        </is>
      </c>
    </row>
    <row r="2258">
      <c r="A2258" t="inlineStr">
        <is>
          <t>T-2062</t>
        </is>
      </c>
      <c r="B2258" t="inlineStr">
        <is>
          <t>Engineers India Limited (EIL)</t>
        </is>
      </c>
      <c r="C2258" t="inlineStr">
        <is>
          <t>Engineers India Limited (EIL)</t>
        </is>
      </c>
      <c r="F2258" t="inlineStr">
        <is>
          <t>New Lead</t>
        </is>
      </c>
      <c r="H2258" t="inlineStr">
        <is>
          <t>Scheduled Pre-Tender meets</t>
        </is>
      </c>
      <c r="K2258" t="inlineStr">
        <is>
          <t>Not found</t>
        </is>
      </c>
      <c r="L2258" t="inlineStr">
        <is>
          <t>Unknown</t>
        </is>
      </c>
      <c r="T2258" t="inlineStr">
        <is>
          <t>https://tenders.eil.co.in/newtenders/PreBidMeetings</t>
        </is>
      </c>
      <c r="U2258" t="inlineStr">
        <is>
          <t>No</t>
        </is>
      </c>
      <c r="V2258" t="inlineStr">
        <is>
          <t>Bot tarafindan tespit edildi (2026-07-01)</t>
        </is>
      </c>
    </row>
    <row r="2259">
      <c r="A2259" t="inlineStr">
        <is>
          <t>T-2063</t>
        </is>
      </c>
      <c r="B2259" t="inlineStr">
        <is>
          <t>Engineers India Limited (EIL)</t>
        </is>
      </c>
      <c r="C2259" t="inlineStr">
        <is>
          <t>Engineers India Limited (EIL)</t>
        </is>
      </c>
      <c r="F2259" t="inlineStr">
        <is>
          <t>New Lead</t>
        </is>
      </c>
      <c r="H2259" t="inlineStr">
        <is>
          <t>Important Issues in EIL Procurement</t>
        </is>
      </c>
      <c r="K2259" t="inlineStr">
        <is>
          <t>Not found</t>
        </is>
      </c>
      <c r="L2259" t="inlineStr">
        <is>
          <t>Unknown</t>
        </is>
      </c>
      <c r="T2259" t="inlineStr">
        <is>
          <t>https://tenders.eil.co.in/newtenders/Home/zero.pdf</t>
        </is>
      </c>
      <c r="U2259" t="inlineStr">
        <is>
          <t>No</t>
        </is>
      </c>
      <c r="V2259" t="inlineStr">
        <is>
          <t>Bot tarafindan tespit edildi (2026-07-01)</t>
        </is>
      </c>
    </row>
    <row r="2260">
      <c r="A2260" t="inlineStr">
        <is>
          <t>T-2064</t>
        </is>
      </c>
      <c r="B2260" t="inlineStr">
        <is>
          <t>Engineers India Limited (EIL)</t>
        </is>
      </c>
      <c r="C2260" t="inlineStr">
        <is>
          <t>Engineers India Limited (EIL)</t>
        </is>
      </c>
      <c r="F2260" t="inlineStr">
        <is>
          <t>New Lead</t>
        </is>
      </c>
      <c r="H2260" t="inlineStr">
        <is>
          <t>Procurement from Micro &amp; Small Enterprises</t>
        </is>
      </c>
      <c r="K2260" t="inlineStr">
        <is>
          <t>Not found</t>
        </is>
      </c>
      <c r="L2260" t="inlineStr">
        <is>
          <t>Unknown</t>
        </is>
      </c>
      <c r="T2260" t="inlineStr">
        <is>
          <t>https://engineersindia.com/storage/2020/03/PROCUREMENT-FROM-MSES-BY-EIL.pdf</t>
        </is>
      </c>
      <c r="U2260" t="inlineStr">
        <is>
          <t>No</t>
        </is>
      </c>
      <c r="V2260" t="inlineStr">
        <is>
          <t>Bot tarafindan tespit edildi (2026-07-01)</t>
        </is>
      </c>
    </row>
    <row r="2261">
      <c r="A2261" t="inlineStr">
        <is>
          <t>T-2065</t>
        </is>
      </c>
      <c r="B2261" t="inlineStr">
        <is>
          <t>Engineers India Limited (EIL)</t>
        </is>
      </c>
      <c r="C2261" t="inlineStr">
        <is>
          <t>Engineers India Limited (EIL)</t>
        </is>
      </c>
      <c r="D2261" t="inlineStr">
        <is>
          <t>admin/Uploads/Files/20250207_FUTURE</t>
        </is>
      </c>
      <c r="F2261" t="inlineStr">
        <is>
          <t>Awarded</t>
        </is>
      </c>
      <c r="G2261" t="inlineStr">
        <is>
          <t>Unclassified</t>
        </is>
      </c>
      <c r="H2261" t="inlineStr">
        <is>
          <t>Five year Procurement Plan</t>
        </is>
      </c>
      <c r="K2261" t="inlineStr">
        <is>
          <t>Not found</t>
        </is>
      </c>
      <c r="L2261" t="inlineStr">
        <is>
          <t>Unknown</t>
        </is>
      </c>
      <c r="T2261" t="inlineStr">
        <is>
          <t>https://engineersindia.com/admin/Uploads/Files/20250207_FUTURE PROCUREMENT PLAN_EIL.pdf</t>
        </is>
      </c>
      <c r="U2261" t="inlineStr">
        <is>
          <t>No</t>
        </is>
      </c>
      <c r="V2261" t="inlineStr">
        <is>
          <t>Bot tarafindan tespit edildi (2026-07-01) | Bot enrich; date=2026-07-01; type=pdf; score=140; Bot tespit/zenginlestirme (2026-07-01); meta:score=20;priority=Low;source_type=html_link;closing_date=;equipment=Unclassified;reasons=document source</t>
        </is>
      </c>
    </row>
    <row r="2262">
      <c r="A2262" t="inlineStr">
        <is>
          <t>T-2066</t>
        </is>
      </c>
      <c r="B2262" t="inlineStr">
        <is>
          <t>Engineers India Limited (EIL)</t>
        </is>
      </c>
      <c r="C2262" t="inlineStr">
        <is>
          <t>Engineers India Limited (EIL)</t>
        </is>
      </c>
      <c r="F2262" t="inlineStr">
        <is>
          <t>New Lead</t>
        </is>
      </c>
      <c r="H2262" t="inlineStr">
        <is>
          <t>Independent External Monitors in case of issues concerning Integrity Pact</t>
        </is>
      </c>
      <c r="K2262" t="inlineStr">
        <is>
          <t>Not found</t>
        </is>
      </c>
      <c r="L2262" t="inlineStr">
        <is>
          <t>Unknown</t>
        </is>
      </c>
      <c r="T2262" t="inlineStr">
        <is>
          <t>https://tenders.eil.co.in/newtenders/Integrity_Pact</t>
        </is>
      </c>
      <c r="U2262" t="inlineStr">
        <is>
          <t>No</t>
        </is>
      </c>
      <c r="V2262" t="inlineStr">
        <is>
          <t>Bot tarafindan tespit edildi (2026-07-01)</t>
        </is>
      </c>
    </row>
    <row r="2263">
      <c r="A2263" t="inlineStr">
        <is>
          <t>T-2067</t>
        </is>
      </c>
      <c r="B2263" t="inlineStr">
        <is>
          <t>Engineers India Limited (EIL)</t>
        </is>
      </c>
      <c r="C2263" t="inlineStr">
        <is>
          <t>Engineers India Limited (EIL)</t>
        </is>
      </c>
      <c r="D2263" t="inlineStr">
        <is>
          <t>admin/Uploads/Files/EIL_Conciliation_Rules_2012.pdf</t>
        </is>
      </c>
      <c r="F2263" t="inlineStr">
        <is>
          <t>Awarded</t>
        </is>
      </c>
      <c r="G2263" t="inlineStr">
        <is>
          <t>Unclassified</t>
        </is>
      </c>
      <c r="H2263" t="inlineStr">
        <is>
          <t>Conciliation mechanism in case of Post Award Disputes through OEC (Outside Experts Committee)</t>
        </is>
      </c>
      <c r="K2263" t="inlineStr">
        <is>
          <t>Not found</t>
        </is>
      </c>
      <c r="L2263" t="inlineStr">
        <is>
          <t>Unknown</t>
        </is>
      </c>
      <c r="T2263" t="inlineStr">
        <is>
          <t>https://engineersindia.com/admin/Uploads/Files/EIL_Conciliation_Rules_2012.pdf</t>
        </is>
      </c>
      <c r="U2263" t="inlineStr">
        <is>
          <t>No</t>
        </is>
      </c>
      <c r="V2263" t="inlineStr">
        <is>
          <t>Bot tarafindan tespit edildi (2026-07-01) | Bot enrich; date=2026-07-01; type=pdf; score=140; Bot tespit/zenginlestirme (2026-07-01); meta:score=55;priority=Medium;source_type=html_link;closing_date=;equipment=Unclassified;reasons=award/result signal,document source</t>
        </is>
      </c>
    </row>
    <row r="2264">
      <c r="A2264" t="inlineStr">
        <is>
          <t>T-2068</t>
        </is>
      </c>
      <c r="B2264" t="inlineStr">
        <is>
          <t>Engineers India Limited (EIL)</t>
        </is>
      </c>
      <c r="C2264" t="inlineStr">
        <is>
          <t>Engineers India Limited (EIL)</t>
        </is>
      </c>
      <c r="D2264" t="inlineStr">
        <is>
          <t>Uploads/Files/EIL-GSTIN.pdf</t>
        </is>
      </c>
      <c r="F2264" t="inlineStr">
        <is>
          <t>Awarded</t>
        </is>
      </c>
      <c r="G2264" t="inlineStr">
        <is>
          <t>Unclassified</t>
        </is>
      </c>
      <c r="H2264" t="inlineStr">
        <is>
          <t>List of GSTIN of EIL</t>
        </is>
      </c>
      <c r="K2264" t="inlineStr">
        <is>
          <t>Not found</t>
        </is>
      </c>
      <c r="L2264" t="inlineStr">
        <is>
          <t>Unknown</t>
        </is>
      </c>
      <c r="T2264" t="inlineStr">
        <is>
          <t>https://engineersindia.com/Uploads/Files/EIL-GSTIN.pdf</t>
        </is>
      </c>
      <c r="U2264" t="inlineStr">
        <is>
          <t>No</t>
        </is>
      </c>
      <c r="V2264" t="inlineStr">
        <is>
          <t>Bot tarafindan tespit edildi (2026-07-01) | Bot enrich; date=2026-07-01; type=pdf; score=140; Bot tespit/zenginlestirme (2026-07-01); meta:score=20;priority=Low;source_type=html_link;closing_date=;equipment=Unclassified;reasons=document source</t>
        </is>
      </c>
    </row>
    <row r="2265">
      <c r="A2265" t="inlineStr">
        <is>
          <t>T-2069</t>
        </is>
      </c>
      <c r="B2265" t="inlineStr">
        <is>
          <t>Engineers India Limited (EIL)</t>
        </is>
      </c>
      <c r="C2265" t="inlineStr">
        <is>
          <t>Engineers India Limited (EIL)</t>
        </is>
      </c>
      <c r="D2265" t="inlineStr">
        <is>
          <t>pages/Composition-of-IC-in-terms-of-POSH-Act</t>
        </is>
      </c>
      <c r="F2265" t="inlineStr">
        <is>
          <t>New Lead</t>
        </is>
      </c>
      <c r="G2265" t="inlineStr">
        <is>
          <t>RMS</t>
        </is>
      </c>
      <c r="H2265" t="inlineStr">
        <is>
          <t>Composition of IC in terms of POSH Act</t>
        </is>
      </c>
      <c r="K2265" t="inlineStr">
        <is>
          <t>Not found</t>
        </is>
      </c>
      <c r="L2265" t="inlineStr">
        <is>
          <t>Unknown</t>
        </is>
      </c>
      <c r="T2265" t="inlineStr">
        <is>
          <t>https://engineersindia.com/pages/Composition-of-IC-in-terms-of-POSH-Act</t>
        </is>
      </c>
      <c r="U2265" t="inlineStr">
        <is>
          <t>No</t>
        </is>
      </c>
      <c r="V2265" t="inlineStr">
        <is>
          <t>Bot tarafindan tespit edildi (2026-07-01) | Bot enrich; date=2026-07-01; type=html; score=160</t>
        </is>
      </c>
    </row>
    <row r="2266">
      <c r="A2266" t="inlineStr">
        <is>
          <t>T-2070</t>
        </is>
      </c>
      <c r="B2266" t="inlineStr">
        <is>
          <t>Engineers India Limited (EIL)</t>
        </is>
      </c>
      <c r="C2266" t="inlineStr">
        <is>
          <t>Engineers India Limited (EIL)</t>
        </is>
      </c>
      <c r="F2266" t="inlineStr">
        <is>
          <t>New Lead</t>
        </is>
      </c>
      <c r="G2266" t="inlineStr">
        <is>
          <t>RMS</t>
        </is>
      </c>
      <c r="H2266" t="inlineStr">
        <is>
          <t>Terms &amp; Conditions</t>
        </is>
      </c>
      <c r="K2266" t="inlineStr">
        <is>
          <t>Not found</t>
        </is>
      </c>
      <c r="L2266" t="inlineStr">
        <is>
          <t>Unknown</t>
        </is>
      </c>
      <c r="T2266" t="inlineStr">
        <is>
          <t>https://engineersindia.com/Terms-&amp;-Conditions</t>
        </is>
      </c>
      <c r="U2266" t="inlineStr">
        <is>
          <t>No</t>
        </is>
      </c>
      <c r="V2266" t="inlineStr">
        <is>
          <t>Bot tarafindan tespit edildi (2026-07-01)</t>
        </is>
      </c>
    </row>
    <row r="2267">
      <c r="A2267" t="inlineStr">
        <is>
          <t>T-2071</t>
        </is>
      </c>
      <c r="B2267" t="inlineStr">
        <is>
          <t>CPPP / eProcure</t>
        </is>
      </c>
      <c r="C2267" t="inlineStr">
        <is>
          <t>CPPP / eProcure</t>
        </is>
      </c>
      <c r="F2267" t="inlineStr">
        <is>
          <t>New Lead</t>
        </is>
      </c>
      <c r="H2267" t="inlineStr">
        <is>
          <t>Active Tenders</t>
        </is>
      </c>
      <c r="K2267" t="inlineStr">
        <is>
          <t>Not found</t>
        </is>
      </c>
      <c r="L2267" t="inlineStr">
        <is>
          <t>Unknown</t>
        </is>
      </c>
      <c r="T2267" t="inlineStr">
        <is>
          <t>https://www.etenders.gov.in/eprocure/app?page=FrontEndLatestActiveTenders&amp;service=page</t>
        </is>
      </c>
      <c r="U2267" t="inlineStr">
        <is>
          <t>No</t>
        </is>
      </c>
      <c r="V2267" t="inlineStr">
        <is>
          <t>Bot tarafindan tespit edildi (2026-07-01)</t>
        </is>
      </c>
    </row>
    <row r="2268">
      <c r="A2268" t="inlineStr">
        <is>
          <t>T-2072</t>
        </is>
      </c>
      <c r="B2268" t="inlineStr">
        <is>
          <t>CPPP / eProcure</t>
        </is>
      </c>
      <c r="C2268" t="inlineStr">
        <is>
          <t>CPPP / eProcure</t>
        </is>
      </c>
      <c r="F2268" t="inlineStr">
        <is>
          <t>New Lead</t>
        </is>
      </c>
      <c r="H2268" t="inlineStr">
        <is>
          <t>Tenders by Closing Date</t>
        </is>
      </c>
      <c r="K2268" t="inlineStr">
        <is>
          <t>Not found</t>
        </is>
      </c>
      <c r="L2268" t="inlineStr">
        <is>
          <t>Unknown</t>
        </is>
      </c>
      <c r="T2268" t="inlineStr">
        <is>
          <t>https://www.etenders.gov.in/eprocure/app?page=FrontEndListTendersbyDate&amp;service=page</t>
        </is>
      </c>
      <c r="U2268" t="inlineStr">
        <is>
          <t>No</t>
        </is>
      </c>
      <c r="V2268" t="inlineStr">
        <is>
          <t>Bot tarafindan tespit edildi (2026-07-01)</t>
        </is>
      </c>
    </row>
    <row r="2269">
      <c r="A2269" t="inlineStr">
        <is>
          <t>T-2073</t>
        </is>
      </c>
      <c r="B2269" t="inlineStr">
        <is>
          <t>CPPP / eProcure</t>
        </is>
      </c>
      <c r="C2269" t="inlineStr">
        <is>
          <t>CPPP / eProcure</t>
        </is>
      </c>
      <c r="F2269" t="inlineStr">
        <is>
          <t>New Lead</t>
        </is>
      </c>
      <c r="H2269" t="inlineStr">
        <is>
          <t>Corrigendum</t>
        </is>
      </c>
      <c r="K2269" t="inlineStr">
        <is>
          <t>Not found</t>
        </is>
      </c>
      <c r="L2269" t="inlineStr">
        <is>
          <t>Unknown</t>
        </is>
      </c>
      <c r="T2269" t="inlineStr">
        <is>
          <t>https://www.etenders.gov.in/eprocure/app?page=FrontEndLatestActiveCorrigendums&amp;service=page</t>
        </is>
      </c>
      <c r="U2269" t="inlineStr">
        <is>
          <t>No</t>
        </is>
      </c>
      <c r="V2269" t="inlineStr">
        <is>
          <t>Bot tarafindan tespit edildi (2026-07-01)</t>
        </is>
      </c>
    </row>
    <row r="2270">
      <c r="A2270" t="inlineStr">
        <is>
          <t>T-2074</t>
        </is>
      </c>
      <c r="B2270" t="inlineStr">
        <is>
          <t>CPPP / eProcure</t>
        </is>
      </c>
      <c r="C2270" t="inlineStr">
        <is>
          <t>CPPP / eProcure</t>
        </is>
      </c>
      <c r="F2270" t="inlineStr">
        <is>
          <t>New Lead</t>
        </is>
      </c>
      <c r="H2270" t="inlineStr">
        <is>
          <t>Results of Tenders</t>
        </is>
      </c>
      <c r="K2270" t="inlineStr">
        <is>
          <t>Not found</t>
        </is>
      </c>
      <c r="L2270" t="inlineStr">
        <is>
          <t>Unknown</t>
        </is>
      </c>
      <c r="T2270" t="inlineStr">
        <is>
          <t>https://www.etenders.gov.in/eprocure/app?page=ResultOfTenders&amp;service=page</t>
        </is>
      </c>
      <c r="U2270" t="inlineStr">
        <is>
          <t>No</t>
        </is>
      </c>
      <c r="V2270" t="inlineStr">
        <is>
          <t>Bot tarafindan tespit edildi (2026-07-01)</t>
        </is>
      </c>
    </row>
    <row r="2271">
      <c r="A2271" t="inlineStr">
        <is>
          <t>T-2075</t>
        </is>
      </c>
      <c r="B2271" t="inlineStr">
        <is>
          <t>CPPP / eProcure</t>
        </is>
      </c>
      <c r="C2271" t="inlineStr">
        <is>
          <t>CPPP / eProcure</t>
        </is>
      </c>
      <c r="F2271" t="inlineStr">
        <is>
          <t>New Lead</t>
        </is>
      </c>
      <c r="H2271" t="inlineStr">
        <is>
          <t>MIS Reports</t>
        </is>
      </c>
      <c r="K2271" t="inlineStr">
        <is>
          <t>Not found</t>
        </is>
      </c>
      <c r="L2271" t="inlineStr">
        <is>
          <t>Unknown</t>
        </is>
      </c>
      <c r="T2271" t="inlineStr">
        <is>
          <t>https://gepnicreports.gov.in/eprocreports/etenders/</t>
        </is>
      </c>
      <c r="U2271" t="inlineStr">
        <is>
          <t>No</t>
        </is>
      </c>
      <c r="V2271" t="inlineStr">
        <is>
          <t>Bot tarafindan tespit edildi (2026-07-01)</t>
        </is>
      </c>
    </row>
    <row r="2272">
      <c r="A2272" t="inlineStr">
        <is>
          <t>T-2076</t>
        </is>
      </c>
      <c r="B2272" t="inlineStr">
        <is>
          <t>CPPP / eProcure</t>
        </is>
      </c>
      <c r="C2272" t="inlineStr">
        <is>
          <t>CPPP / eProcure</t>
        </is>
      </c>
      <c r="F2272" t="inlineStr">
        <is>
          <t>New Lead</t>
        </is>
      </c>
      <c r="H2272" t="inlineStr">
        <is>
          <t>Tenders by Location</t>
        </is>
      </c>
      <c r="K2272" t="inlineStr">
        <is>
          <t>Not found</t>
        </is>
      </c>
      <c r="L2272" t="inlineStr">
        <is>
          <t>Unknown</t>
        </is>
      </c>
      <c r="T2272" t="inlineStr">
        <is>
          <t>https://www.etenders.gov.in/eprocure/app?page=FrontEndTendersByLocation&amp;service=page</t>
        </is>
      </c>
      <c r="U2272" t="inlineStr">
        <is>
          <t>No</t>
        </is>
      </c>
      <c r="V2272" t="inlineStr">
        <is>
          <t>Bot tarafindan tespit edildi (2026-07-01)</t>
        </is>
      </c>
    </row>
    <row r="2273">
      <c r="A2273" t="inlineStr">
        <is>
          <t>T-2077</t>
        </is>
      </c>
      <c r="B2273" t="inlineStr">
        <is>
          <t>CPPP / eProcure</t>
        </is>
      </c>
      <c r="C2273" t="inlineStr">
        <is>
          <t>CPPP / eProcure</t>
        </is>
      </c>
      <c r="F2273" t="inlineStr">
        <is>
          <t>New Lead</t>
        </is>
      </c>
      <c r="H2273" t="inlineStr">
        <is>
          <t>Tenders by Organisation</t>
        </is>
      </c>
      <c r="K2273" t="inlineStr">
        <is>
          <t>Not found</t>
        </is>
      </c>
      <c r="L2273" t="inlineStr">
        <is>
          <t>Unknown</t>
        </is>
      </c>
      <c r="T2273" t="inlineStr">
        <is>
          <t>https://www.etenders.gov.in/eprocure/app?page=FrontEndTendersByOrganisation&amp;service=page</t>
        </is>
      </c>
      <c r="U2273" t="inlineStr">
        <is>
          <t>No</t>
        </is>
      </c>
      <c r="V2273" t="inlineStr">
        <is>
          <t>Bot tarafindan tespit edildi (2026-07-01)</t>
        </is>
      </c>
    </row>
    <row r="2274">
      <c r="A2274" t="inlineStr">
        <is>
          <t>T-2078</t>
        </is>
      </c>
      <c r="B2274" t="inlineStr">
        <is>
          <t>CPPP / eProcure</t>
        </is>
      </c>
      <c r="C2274" t="inlineStr">
        <is>
          <t>CPPP / eProcure</t>
        </is>
      </c>
      <c r="F2274" t="inlineStr">
        <is>
          <t>New Lead</t>
        </is>
      </c>
      <c r="H2274" t="inlineStr">
        <is>
          <t>Tenders by Classification</t>
        </is>
      </c>
      <c r="K2274" t="inlineStr">
        <is>
          <t>Not found</t>
        </is>
      </c>
      <c r="L2274" t="inlineStr">
        <is>
          <t>Unknown</t>
        </is>
      </c>
      <c r="T2274" t="inlineStr">
        <is>
          <t>https://www.etenders.gov.in/eprocure/app?page=FrontEndTendersByClassification&amp;service=page</t>
        </is>
      </c>
      <c r="U2274" t="inlineStr">
        <is>
          <t>No</t>
        </is>
      </c>
      <c r="V2274" t="inlineStr">
        <is>
          <t>Bot tarafindan tespit edildi (2026-07-01)</t>
        </is>
      </c>
    </row>
    <row r="2275">
      <c r="A2275" t="inlineStr">
        <is>
          <t>T-2079</t>
        </is>
      </c>
      <c r="B2275" t="inlineStr">
        <is>
          <t>CPPP / eProcure</t>
        </is>
      </c>
      <c r="C2275" t="inlineStr">
        <is>
          <t>CPPP / eProcure</t>
        </is>
      </c>
      <c r="F2275" t="inlineStr">
        <is>
          <t>New Lead</t>
        </is>
      </c>
      <c r="H2275" t="inlineStr">
        <is>
          <t>Tenders in Archive</t>
        </is>
      </c>
      <c r="K2275" t="inlineStr">
        <is>
          <t>Not found</t>
        </is>
      </c>
      <c r="L2275" t="inlineStr">
        <is>
          <t>Unknown</t>
        </is>
      </c>
      <c r="T2275" t="inlineStr">
        <is>
          <t>https://www.etenders.gov.in/eprocure/app?page=FrontEndTendersInArchive&amp;service=page</t>
        </is>
      </c>
      <c r="U2275" t="inlineStr">
        <is>
          <t>No</t>
        </is>
      </c>
      <c r="V2275" t="inlineStr">
        <is>
          <t>Bot tarafindan tespit edildi (2026-07-01)</t>
        </is>
      </c>
    </row>
    <row r="2276">
      <c r="A2276" t="inlineStr">
        <is>
          <t>T-2080</t>
        </is>
      </c>
      <c r="B2276" t="inlineStr">
        <is>
          <t>CPPP / eProcure</t>
        </is>
      </c>
      <c r="C2276" t="inlineStr">
        <is>
          <t>CPPP / eProcure</t>
        </is>
      </c>
      <c r="F2276" t="inlineStr">
        <is>
          <t>New Lead</t>
        </is>
      </c>
      <c r="H2276" t="inlineStr">
        <is>
          <t>Tenders Status</t>
        </is>
      </c>
      <c r="K2276" t="inlineStr">
        <is>
          <t>Not found</t>
        </is>
      </c>
      <c r="L2276" t="inlineStr">
        <is>
          <t>Unknown</t>
        </is>
      </c>
      <c r="T2276" t="inlineStr">
        <is>
          <t>https://www.etenders.gov.in/eprocure/app?page=WebTenderStatusLists&amp;service=page</t>
        </is>
      </c>
      <c r="U2276" t="inlineStr">
        <is>
          <t>No</t>
        </is>
      </c>
      <c r="V2276" t="inlineStr">
        <is>
          <t>Bot tarafindan tespit edildi (2026-07-01)</t>
        </is>
      </c>
    </row>
    <row r="2277">
      <c r="A2277" t="inlineStr">
        <is>
          <t>T-2081</t>
        </is>
      </c>
      <c r="B2277" t="inlineStr">
        <is>
          <t>CPPP / eProcure</t>
        </is>
      </c>
      <c r="C2277" t="inlineStr">
        <is>
          <t>CPPP / eProcure</t>
        </is>
      </c>
      <c r="F2277" t="inlineStr">
        <is>
          <t>New Lead</t>
        </is>
      </c>
      <c r="H2277" t="inlineStr">
        <is>
          <t>Cancelled/Retendered</t>
        </is>
      </c>
      <c r="K2277" t="inlineStr">
        <is>
          <t>Not found</t>
        </is>
      </c>
      <c r="L2277" t="inlineStr">
        <is>
          <t>Unknown</t>
        </is>
      </c>
      <c r="T2277" t="inlineStr">
        <is>
          <t>https://www.etenders.gov.in/eprocure/app?page=WebCancelledTenderLists&amp;service=page</t>
        </is>
      </c>
      <c r="U2277" t="inlineStr">
        <is>
          <t>No</t>
        </is>
      </c>
      <c r="V2277" t="inlineStr">
        <is>
          <t>Bot tarafindan tespit edildi (2026-07-01)</t>
        </is>
      </c>
    </row>
    <row r="2278">
      <c r="A2278" t="inlineStr">
        <is>
          <t>T-2082</t>
        </is>
      </c>
      <c r="B2278" t="inlineStr">
        <is>
          <t>CPPP / eProcure</t>
        </is>
      </c>
      <c r="C2278" t="inlineStr">
        <is>
          <t>CPPP / eProcure</t>
        </is>
      </c>
      <c r="F2278" t="inlineStr">
        <is>
          <t>New Lead</t>
        </is>
      </c>
      <c r="H2278" t="inlineStr">
        <is>
          <t>Downloads</t>
        </is>
      </c>
      <c r="K2278" t="inlineStr">
        <is>
          <t>Not found</t>
        </is>
      </c>
      <c r="L2278" t="inlineStr">
        <is>
          <t>Unknown</t>
        </is>
      </c>
      <c r="T2278" t="inlineStr">
        <is>
          <t>https://www.etenders.gov.in/eprocure/app?page=StandardBiddingDocuments&amp;service=page</t>
        </is>
      </c>
      <c r="U2278" t="inlineStr">
        <is>
          <t>No</t>
        </is>
      </c>
      <c r="V2278" t="inlineStr">
        <is>
          <t>Bot tarafindan tespit edildi (2026-07-01)</t>
        </is>
      </c>
    </row>
    <row r="2279">
      <c r="A2279" t="inlineStr">
        <is>
          <t>T-2083</t>
        </is>
      </c>
      <c r="B2279" t="inlineStr">
        <is>
          <t>CPPP / eProcure</t>
        </is>
      </c>
      <c r="C2279" t="inlineStr">
        <is>
          <t>CPPP / eProcure</t>
        </is>
      </c>
      <c r="F2279" t="inlineStr">
        <is>
          <t>New Lead</t>
        </is>
      </c>
      <c r="H2279" t="inlineStr">
        <is>
          <t>1. Tender for Construction of Research Scholar Girls Hostel and Transit Quarters Women at NU, SAS Campus Medziphema, Pkg. XVI. on EPC basis.</t>
        </is>
      </c>
      <c r="K2279" t="inlineStr">
        <is>
          <t>Not found</t>
        </is>
      </c>
      <c r="L2279" t="inlineStr">
        <is>
          <t>Unknown</t>
        </is>
      </c>
      <c r="T2279" t="inlineStr">
        <is>
          <t>https://www.etenders.gov.in/eprocure/app?component=%24DirectLink&amp;page=Home&amp;service=direct&amp;session=T&amp;sp=S210l%2FOrLXrxrMw2F88tzrw%3D%3D</t>
        </is>
      </c>
      <c r="U2279" t="inlineStr">
        <is>
          <t>No</t>
        </is>
      </c>
      <c r="V2279" t="inlineStr">
        <is>
          <t>Bot tarafindan tespit edildi (2026-07-01)</t>
        </is>
      </c>
    </row>
    <row r="2280">
      <c r="A2280" t="inlineStr">
        <is>
          <t>T-2084</t>
        </is>
      </c>
      <c r="B2280" t="inlineStr">
        <is>
          <t>CPPP / eProcure</t>
        </is>
      </c>
      <c r="C2280" t="inlineStr">
        <is>
          <t>CPPP / eProcure</t>
        </is>
      </c>
      <c r="F2280" t="inlineStr">
        <is>
          <t>New Lead</t>
        </is>
      </c>
      <c r="H2280" t="inlineStr">
        <is>
          <t>6. Procurement of Inside BOP for Drilling Services, Tripura Asset</t>
        </is>
      </c>
      <c r="K2280" t="inlineStr">
        <is>
          <t>Not found</t>
        </is>
      </c>
      <c r="L2280" t="inlineStr">
        <is>
          <t>Unknown</t>
        </is>
      </c>
      <c r="T2280" t="inlineStr">
        <is>
          <t>https://www.etenders.gov.in/eprocure/app?component=%24DirectLink&amp;page=Home&amp;service=direct&amp;session=T&amp;sp=SEHtgv0tkPs7WuzjZ6nMtTg%3D%3D</t>
        </is>
      </c>
      <c r="U2280" t="inlineStr">
        <is>
          <t>No</t>
        </is>
      </c>
      <c r="V2280" t="inlineStr">
        <is>
          <t>Bot tarafindan tespit edildi (2026-07-01)</t>
        </is>
      </c>
    </row>
    <row r="2281">
      <c r="A2281" t="inlineStr">
        <is>
          <t>T-2085</t>
        </is>
      </c>
      <c r="B2281" t="inlineStr">
        <is>
          <t>CPPP / eProcure</t>
        </is>
      </c>
      <c r="C2281" t="inlineStr">
        <is>
          <t>CPPP / eProcure</t>
        </is>
      </c>
      <c r="F2281" t="inlineStr">
        <is>
          <t>New Lead</t>
        </is>
      </c>
      <c r="H2281" t="inlineStr">
        <is>
          <t>7.  Providing Electrical Infrastructure in defence room at CANI, CLS Building, Port Blair (SW. Providing wiring for AC Units, extended copper pipe, and allied switchgears)</t>
        </is>
      </c>
      <c r="K2281" t="inlineStr">
        <is>
          <t>Not found</t>
        </is>
      </c>
      <c r="L2281" t="inlineStr">
        <is>
          <t>Unknown</t>
        </is>
      </c>
      <c r="T2281" t="inlineStr">
        <is>
          <t>https://www.etenders.gov.in/eprocure/app?component=%24DirectLink&amp;page=Home&amp;service=direct&amp;session=T&amp;sp=SNiEDIwkJCSQNe2A6yrGZyA%3D%3D</t>
        </is>
      </c>
      <c r="U2281" t="inlineStr">
        <is>
          <t>No</t>
        </is>
      </c>
      <c r="V2281" t="inlineStr">
        <is>
          <t>Bot tarafindan tespit edildi (2026-07-01)</t>
        </is>
      </c>
    </row>
    <row r="2282">
      <c r="A2282" t="inlineStr">
        <is>
          <t>T-2086</t>
        </is>
      </c>
      <c r="B2282" t="inlineStr">
        <is>
          <t>CPPP / eProcure</t>
        </is>
      </c>
      <c r="C2282" t="inlineStr">
        <is>
          <t>CPPP / eProcure</t>
        </is>
      </c>
      <c r="F2282" t="inlineStr">
        <is>
          <t>New Lead</t>
        </is>
      </c>
      <c r="H2282" t="inlineStr">
        <is>
          <t>1. Corrigendum-1</t>
        </is>
      </c>
      <c r="K2282" t="inlineStr">
        <is>
          <t>Not found</t>
        </is>
      </c>
      <c r="L2282" t="inlineStr">
        <is>
          <t>Unknown</t>
        </is>
      </c>
      <c r="T2282" t="inlineStr">
        <is>
          <t>https://www.etenders.gov.in/eprocure/app?component=%24DirectLink_0&amp;page=Home&amp;service=direct&amp;session=T&amp;sp=SvQ8YxZuF%2FO%2Fz9HRd9QXHFg%3D%3D</t>
        </is>
      </c>
      <c r="U2282" t="inlineStr">
        <is>
          <t>No</t>
        </is>
      </c>
      <c r="V2282" t="inlineStr">
        <is>
          <t>Bot tarafindan tespit edildi (2026-07-01)</t>
        </is>
      </c>
    </row>
    <row r="2283">
      <c r="A2283" t="inlineStr">
        <is>
          <t>T-2087</t>
        </is>
      </c>
      <c r="B2283" t="inlineStr">
        <is>
          <t>CPPP / eProcure</t>
        </is>
      </c>
      <c r="C2283" t="inlineStr">
        <is>
          <t>CPPP / eProcure</t>
        </is>
      </c>
      <c r="F2283" t="inlineStr">
        <is>
          <t>New Lead</t>
        </is>
      </c>
      <c r="H2283" t="inlineStr">
        <is>
          <t>2. Corrigendum-1</t>
        </is>
      </c>
      <c r="K2283" t="inlineStr">
        <is>
          <t>Not found</t>
        </is>
      </c>
      <c r="L2283" t="inlineStr">
        <is>
          <t>Unknown</t>
        </is>
      </c>
      <c r="T2283" t="inlineStr">
        <is>
          <t>https://www.etenders.gov.in/eprocure/app?component=%24DirectLink_0&amp;page=Home&amp;service=direct&amp;session=T&amp;sp=S%2BvSjO0tTXtaTY1P0JQumJQ%3D%3D</t>
        </is>
      </c>
      <c r="U2283" t="inlineStr">
        <is>
          <t>No</t>
        </is>
      </c>
      <c r="V2283" t="inlineStr">
        <is>
          <t>Bot tarafindan tespit edildi (2026-07-01)</t>
        </is>
      </c>
    </row>
    <row r="2284">
      <c r="A2284" t="inlineStr">
        <is>
          <t>T-2088</t>
        </is>
      </c>
      <c r="B2284" t="inlineStr">
        <is>
          <t>CPPP / eProcure</t>
        </is>
      </c>
      <c r="C2284" t="inlineStr">
        <is>
          <t>CPPP / eProcure</t>
        </is>
      </c>
      <c r="F2284" t="inlineStr">
        <is>
          <t>New Lead</t>
        </is>
      </c>
      <c r="H2284" t="inlineStr">
        <is>
          <t>3. Corrigendum_1</t>
        </is>
      </c>
      <c r="K2284" t="inlineStr">
        <is>
          <t>Not found</t>
        </is>
      </c>
      <c r="L2284" t="inlineStr">
        <is>
          <t>Unknown</t>
        </is>
      </c>
      <c r="T2284" t="inlineStr">
        <is>
          <t>https://www.etenders.gov.in/eprocure/app?component=%24DirectLink_0&amp;page=Home&amp;service=direct&amp;session=T&amp;sp=Sc5zWypQ4hcjrRT2fPtE2Ng%3D%3D</t>
        </is>
      </c>
      <c r="U2284" t="inlineStr">
        <is>
          <t>No</t>
        </is>
      </c>
      <c r="V2284" t="inlineStr">
        <is>
          <t>Bot tarafindan tespit edildi (2026-07-01)</t>
        </is>
      </c>
    </row>
    <row r="2285">
      <c r="A2285" t="inlineStr">
        <is>
          <t>T-2089</t>
        </is>
      </c>
      <c r="B2285" t="inlineStr">
        <is>
          <t>CPPP / eProcure</t>
        </is>
      </c>
      <c r="C2285" t="inlineStr">
        <is>
          <t>CPPP / eProcure</t>
        </is>
      </c>
      <c r="F2285" t="inlineStr">
        <is>
          <t>New Lead</t>
        </is>
      </c>
      <c r="H2285" t="inlineStr">
        <is>
          <t>4. Corrigendum 1</t>
        </is>
      </c>
      <c r="K2285" t="inlineStr">
        <is>
          <t>Not found</t>
        </is>
      </c>
      <c r="L2285" t="inlineStr">
        <is>
          <t>Unknown</t>
        </is>
      </c>
      <c r="T2285" t="inlineStr">
        <is>
          <t>https://www.etenders.gov.in/eprocure/app?component=%24DirectLink_0&amp;page=Home&amp;service=direct&amp;session=T&amp;sp=SvT3jvMYa8RecS6EiNvgspw%3D%3D</t>
        </is>
      </c>
      <c r="U2285" t="inlineStr">
        <is>
          <t>No</t>
        </is>
      </c>
      <c r="V2285" t="inlineStr">
        <is>
          <t>Bot tarafindan tespit edildi (2026-07-01)</t>
        </is>
      </c>
    </row>
    <row r="2286">
      <c r="A2286" t="inlineStr">
        <is>
          <t>T-2090</t>
        </is>
      </c>
      <c r="B2286" t="inlineStr">
        <is>
          <t>CPPP / eProcure</t>
        </is>
      </c>
      <c r="C2286" t="inlineStr">
        <is>
          <t>CPPP / eProcure</t>
        </is>
      </c>
      <c r="F2286" t="inlineStr">
        <is>
          <t>New Lead</t>
        </is>
      </c>
      <c r="H2286" t="inlineStr">
        <is>
          <t>6. Corrigendum No. 4</t>
        </is>
      </c>
      <c r="K2286" t="inlineStr">
        <is>
          <t>Not found</t>
        </is>
      </c>
      <c r="L2286" t="inlineStr">
        <is>
          <t>Unknown</t>
        </is>
      </c>
      <c r="T2286" t="inlineStr">
        <is>
          <t>https://www.etenders.gov.in/eprocure/app?component=%24DirectLink_0&amp;page=Home&amp;service=direct&amp;session=T&amp;sp=SdkDFGQIrWQpy4Krycc1wrA%3D%3D</t>
        </is>
      </c>
      <c r="U2286" t="inlineStr">
        <is>
          <t>No</t>
        </is>
      </c>
      <c r="V2286" t="inlineStr">
        <is>
          <t>Bot tarafindan tespit edildi (2026-07-01)</t>
        </is>
      </c>
    </row>
    <row r="2287">
      <c r="A2287" t="inlineStr">
        <is>
          <t>T-2091</t>
        </is>
      </c>
      <c r="B2287" t="inlineStr">
        <is>
          <t>CPPP / eProcure</t>
        </is>
      </c>
      <c r="C2287" t="inlineStr">
        <is>
          <t>CPPP / eProcure</t>
        </is>
      </c>
      <c r="F2287" t="inlineStr">
        <is>
          <t>New Lead</t>
        </is>
      </c>
      <c r="H2287" t="inlineStr">
        <is>
          <t>7. Corrigendum-1</t>
        </is>
      </c>
      <c r="K2287" t="inlineStr">
        <is>
          <t>Not found</t>
        </is>
      </c>
      <c r="L2287" t="inlineStr">
        <is>
          <t>Unknown</t>
        </is>
      </c>
      <c r="T2287" t="inlineStr">
        <is>
          <t>https://www.etenders.gov.in/eprocure/app?component=%24DirectLink_0&amp;page=Home&amp;service=direct&amp;session=T&amp;sp=SsClPyv%2Fd8HlNkZIbLIrEhA%3D%3D</t>
        </is>
      </c>
      <c r="U2287" t="inlineStr">
        <is>
          <t>No</t>
        </is>
      </c>
      <c r="V2287" t="inlineStr">
        <is>
          <t>Bot tarafindan tespit edildi (2026-07-01)</t>
        </is>
      </c>
    </row>
    <row r="2288">
      <c r="A2288" t="inlineStr">
        <is>
          <t>T-2092</t>
        </is>
      </c>
      <c r="B2288" t="inlineStr">
        <is>
          <t>CPPP / eProcure</t>
        </is>
      </c>
      <c r="C2288" t="inlineStr">
        <is>
          <t>CPPP / eProcure</t>
        </is>
      </c>
      <c r="F2288" t="inlineStr">
        <is>
          <t>New Lead</t>
        </is>
      </c>
      <c r="H2288" t="inlineStr">
        <is>
          <t>8. Corrigendum 29</t>
        </is>
      </c>
      <c r="K2288" t="inlineStr">
        <is>
          <t>Not found</t>
        </is>
      </c>
      <c r="L2288" t="inlineStr">
        <is>
          <t>Unknown</t>
        </is>
      </c>
      <c r="T2288" t="inlineStr">
        <is>
          <t>https://www.etenders.gov.in/eprocure/app?component=%24DirectLink_0&amp;page=Home&amp;service=direct&amp;session=T&amp;sp=SECQzNzy%2BLKIOepqOAHpJ%2FQ%3D%3D</t>
        </is>
      </c>
      <c r="U2288" t="inlineStr">
        <is>
          <t>No</t>
        </is>
      </c>
      <c r="V2288" t="inlineStr">
        <is>
          <t>Bot tarafindan tespit edildi (2026-07-01)</t>
        </is>
      </c>
    </row>
    <row r="2289">
      <c r="A2289" t="inlineStr">
        <is>
          <t>T-2093</t>
        </is>
      </c>
      <c r="B2289" t="inlineStr">
        <is>
          <t>CPPP / eProcure</t>
        </is>
      </c>
      <c r="C2289" t="inlineStr">
        <is>
          <t>CPPP / eProcure</t>
        </is>
      </c>
      <c r="F2289" t="inlineStr">
        <is>
          <t>New Lead</t>
        </is>
      </c>
      <c r="H2289" t="inlineStr">
        <is>
          <t>9. CORRIGENDUM VI</t>
        </is>
      </c>
      <c r="K2289" t="inlineStr">
        <is>
          <t>Not found</t>
        </is>
      </c>
      <c r="L2289" t="inlineStr">
        <is>
          <t>Unknown</t>
        </is>
      </c>
      <c r="T2289" t="inlineStr">
        <is>
          <t>https://www.etenders.gov.in/eprocure/app?component=%24DirectLink_0&amp;page=Home&amp;service=direct&amp;session=T&amp;sp=S%2BD7S50oEM2SimoVBlmYkOA%3D%3D</t>
        </is>
      </c>
      <c r="U2289" t="inlineStr">
        <is>
          <t>No</t>
        </is>
      </c>
      <c r="V2289" t="inlineStr">
        <is>
          <t>Bot tarafindan tespit edildi (2026-07-01)</t>
        </is>
      </c>
    </row>
    <row r="2290">
      <c r="A2290" t="inlineStr">
        <is>
          <t>T-2094</t>
        </is>
      </c>
      <c r="B2290" t="inlineStr">
        <is>
          <t>CPPP / eProcure</t>
        </is>
      </c>
      <c r="C2290" t="inlineStr">
        <is>
          <t>CPPP / eProcure</t>
        </is>
      </c>
      <c r="F2290" t="inlineStr">
        <is>
          <t>New Lead</t>
        </is>
      </c>
      <c r="H2290" t="inlineStr">
        <is>
          <t>10. Corrigendum 10</t>
        </is>
      </c>
      <c r="K2290" t="inlineStr">
        <is>
          <t>Not found</t>
        </is>
      </c>
      <c r="L2290" t="inlineStr">
        <is>
          <t>Unknown</t>
        </is>
      </c>
      <c r="T2290" t="inlineStr">
        <is>
          <t>https://www.etenders.gov.in/eprocure/app?component=%24DirectLink_0&amp;page=Home&amp;service=direct&amp;session=T&amp;sp=ShVxCC8110YOx4wlBdmot8Q%3D%3D</t>
        </is>
      </c>
      <c r="U2290" t="inlineStr">
        <is>
          <t>No</t>
        </is>
      </c>
      <c r="V2290" t="inlineStr">
        <is>
          <t>Bot tarafindan tespit edildi (2026-07-01)</t>
        </is>
      </c>
    </row>
    <row r="2291">
      <c r="A2291" t="inlineStr">
        <is>
          <t>T-2095</t>
        </is>
      </c>
      <c r="B2291" t="inlineStr">
        <is>
          <t>CPPP / eProcure</t>
        </is>
      </c>
      <c r="C2291" t="inlineStr">
        <is>
          <t>CPPP / eProcure</t>
        </is>
      </c>
      <c r="F2291" t="inlineStr">
        <is>
          <t>New Lead</t>
        </is>
      </c>
      <c r="H2291" t="inlineStr">
        <is>
          <t>Online Bidder Enrollment</t>
        </is>
      </c>
      <c r="K2291" t="inlineStr">
        <is>
          <t>Not found</t>
        </is>
      </c>
      <c r="L2291" t="inlineStr">
        <is>
          <t>Unknown</t>
        </is>
      </c>
      <c r="T2291" t="inlineStr">
        <is>
          <t>https://www.etenders.gov.in/eprocure/app?component=%24WebHomeBorder.%24WebRightMenu.%24DirectLink&amp;page=Home&amp;service=direct&amp;session=T</t>
        </is>
      </c>
      <c r="U2291" t="inlineStr">
        <is>
          <t>No</t>
        </is>
      </c>
      <c r="V2291" t="inlineStr">
        <is>
          <t>Bot tarafindan tespit edildi (2026-07-01)</t>
        </is>
      </c>
    </row>
    <row r="2292">
      <c r="A2292" t="inlineStr">
        <is>
          <t>T-2096</t>
        </is>
      </c>
      <c r="B2292" t="inlineStr">
        <is>
          <t>CPPP / eProcure</t>
        </is>
      </c>
      <c r="C2292" t="inlineStr">
        <is>
          <t>CPPP / eProcure</t>
        </is>
      </c>
      <c r="F2292" t="inlineStr">
        <is>
          <t>New Lead</t>
        </is>
      </c>
      <c r="H2292" t="inlineStr">
        <is>
          <t>Guidelines for Hassle Free Bid Submission</t>
        </is>
      </c>
      <c r="K2292" t="inlineStr">
        <is>
          <t>Not found</t>
        </is>
      </c>
      <c r="L2292" t="inlineStr">
        <is>
          <t>Unknown</t>
        </is>
      </c>
      <c r="T2292" t="inlineStr">
        <is>
          <t>https://eprocure.gov.in/cppp/hassle_free_bid_submission.pdf</t>
        </is>
      </c>
      <c r="U2292" t="inlineStr">
        <is>
          <t>No</t>
        </is>
      </c>
      <c r="V2292" t="inlineStr">
        <is>
          <t>Bot tarafindan tespit edildi (2026-07-01)</t>
        </is>
      </c>
    </row>
    <row r="2293">
      <c r="A2293" t="inlineStr">
        <is>
          <t>T-2097</t>
        </is>
      </c>
      <c r="B2293" t="inlineStr">
        <is>
          <t>CPPP / eProcure</t>
        </is>
      </c>
      <c r="C2293" t="inlineStr">
        <is>
          <t>CPPP / eProcure</t>
        </is>
      </c>
      <c r="F2293" t="inlineStr">
        <is>
          <t>New Lead</t>
        </is>
      </c>
      <c r="H2293" t="inlineStr">
        <is>
          <t>Bidders Manual Kit</t>
        </is>
      </c>
      <c r="K2293" t="inlineStr">
        <is>
          <t>Not found</t>
        </is>
      </c>
      <c r="L2293" t="inlineStr">
        <is>
          <t>Unknown</t>
        </is>
      </c>
      <c r="T2293" t="inlineStr">
        <is>
          <t>https://www.etenders.gov.in/eprocure/app?page=BiddersManualKit&amp;service=page</t>
        </is>
      </c>
      <c r="U2293" t="inlineStr">
        <is>
          <t>No</t>
        </is>
      </c>
      <c r="V2293" t="inlineStr">
        <is>
          <t>Bot tarafindan tespit edildi (2026-07-01)</t>
        </is>
      </c>
    </row>
    <row r="2294">
      <c r="A2294" t="inlineStr">
        <is>
          <t>T-2098</t>
        </is>
      </c>
      <c r="B2294" t="inlineStr">
        <is>
          <t>SAP Ariba Discovery</t>
        </is>
      </c>
      <c r="C2294" t="inlineStr">
        <is>
          <t>SAP Ariba Discovery</t>
        </is>
      </c>
      <c r="D2294" t="inlineStr">
        <is>
          <t>aw/ad/termsCenter</t>
        </is>
      </c>
      <c r="F2294" t="inlineStr">
        <is>
          <t>New Lead</t>
        </is>
      </c>
      <c r="G2294" t="inlineStr">
        <is>
          <t>RMS</t>
        </is>
      </c>
      <c r="H2294" t="inlineStr">
        <is>
          <t>Terms of Use</t>
        </is>
      </c>
      <c r="K2294" t="inlineStr">
        <is>
          <t>Not found</t>
        </is>
      </c>
      <c r="L2294" t="inlineStr">
        <is>
          <t>Unknown</t>
        </is>
      </c>
      <c r="T2294" t="inlineStr">
        <is>
          <t>https://service.ariba.com/Authenticator.aw/ad/termsCenter?tou=BNTermsCenter</t>
        </is>
      </c>
      <c r="U2294" t="inlineStr">
        <is>
          <t>No</t>
        </is>
      </c>
      <c r="V2294" t="inlineStr">
        <is>
          <t>Bot tarafindan tespit edildi (2026-07-01) | Bot enrich; date=2026-07-01; type=html; score=160</t>
        </is>
      </c>
    </row>
    <row r="2295">
      <c r="A2295" t="inlineStr">
        <is>
          <t>T-2099</t>
        </is>
      </c>
      <c r="B2295" t="inlineStr">
        <is>
          <t>GAIL India</t>
        </is>
      </c>
      <c r="C2295" t="inlineStr">
        <is>
          <t>GAIL India</t>
        </is>
      </c>
      <c r="D2295" t="inlineStr">
        <is>
          <t>TENDER CONFERENCE</t>
        </is>
      </c>
      <c r="F2295" t="inlineStr">
        <is>
          <t>New Lead</t>
        </is>
      </c>
      <c r="H2295" t="inlineStr">
        <is>
          <t>DETAILS OF PRE-TENDER CONFERENCE Authentication of BEC Documents ADDENDUM TO INSTRUCTIONS TO BIDDERS (INSTRUCTIONS FOR PARTICIPATION IN E-TENDER)</t>
        </is>
      </c>
      <c r="L2295" t="inlineStr">
        <is>
          <t>Unknown</t>
        </is>
      </c>
      <c r="T2295" t="inlineStr">
        <is>
          <t>https://gailtenders.in/Write up.pdf</t>
        </is>
      </c>
      <c r="U2295" t="inlineStr">
        <is>
          <t>No</t>
        </is>
      </c>
      <c r="V2295" t="inlineStr">
        <is>
          <t>Bot tarafindan tespit edildi; date=2026-07-01; type=pdf; score=125; pdf_conf=Low</t>
        </is>
      </c>
    </row>
    <row r="2296">
      <c r="A2296" t="inlineStr">
        <is>
          <t>T-2100</t>
        </is>
      </c>
      <c r="B2296" t="inlineStr">
        <is>
          <t>Gujarat Gas (GGL)</t>
        </is>
      </c>
      <c r="C2296" t="inlineStr">
        <is>
          <t>Gujarat Gas (GGL)</t>
        </is>
      </c>
      <c r="D2296" t="inlineStr">
        <is>
          <t>com/our-business/png-domestic</t>
        </is>
      </c>
      <c r="F2296" t="inlineStr">
        <is>
          <t>New Lead</t>
        </is>
      </c>
      <c r="G2296" t="inlineStr">
        <is>
          <t>RMS</t>
        </is>
      </c>
      <c r="H2296" t="inlineStr">
        <is>
          <t>PNG - Domestic GA Wise Roll Out Plan Inquiry For New Connection Know your Gas Bill Availability Bill Payment Terms and Conditions Tariff Card PNG Price breakup Talk to Us</t>
        </is>
      </c>
      <c r="K2296" t="inlineStr">
        <is>
          <t>Not found</t>
        </is>
      </c>
      <c r="L2296" t="inlineStr">
        <is>
          <t>Unknown</t>
        </is>
      </c>
      <c r="T2296" t="inlineStr">
        <is>
          <t>https://www.gujaratgas.com/our-business/png-domestic/</t>
        </is>
      </c>
      <c r="U2296" t="inlineStr">
        <is>
          <t>No</t>
        </is>
      </c>
      <c r="V2296" t="inlineStr">
        <is>
          <t>Bot tarafindan tespit edildi; date=2026-07-01; type=html; score=160</t>
        </is>
      </c>
    </row>
    <row r="2297">
      <c r="A2297" t="inlineStr">
        <is>
          <t>T-2101</t>
        </is>
      </c>
      <c r="B2297" t="inlineStr">
        <is>
          <t>Gujarat Gas (GGL)</t>
        </is>
      </c>
      <c r="C2297" t="inlineStr">
        <is>
          <t>Gujarat Gas (GGL)</t>
        </is>
      </c>
      <c r="D2297" t="inlineStr">
        <is>
          <t>bidders</t>
        </is>
      </c>
      <c r="F2297" t="inlineStr">
        <is>
          <t>Awarded</t>
        </is>
      </c>
      <c r="H2297" t="inlineStr">
        <is>
          <t>Vendors It is mandatory for all bidders to upload all documents/ supporting for qualification as per Bidders Qualification Criteria (BQC) on n-procure portal. Failing which, Bidder would be disqualified, as Gujarat Gas Limited (GGL) would not entertain any doc</t>
        </is>
      </c>
      <c r="K2297" t="inlineStr">
        <is>
          <t>Not found</t>
        </is>
      </c>
      <c r="L2297" t="inlineStr">
        <is>
          <t>Unknown</t>
        </is>
      </c>
      <c r="T2297" t="inlineStr">
        <is>
          <t>https://www.gujaratgas.com/pdf/steps_to_access_N_procure_site.pdf</t>
        </is>
      </c>
      <c r="U2297" t="inlineStr">
        <is>
          <t>No</t>
        </is>
      </c>
      <c r="V2297" t="inlineStr">
        <is>
          <t>Bot tarafindan tespit edildi; date=2026-07-01; type=pdf; score=160</t>
        </is>
      </c>
    </row>
    <row r="2298">
      <c r="A2298" t="inlineStr">
        <is>
          <t>T-2102</t>
        </is>
      </c>
      <c r="B2298" t="inlineStr">
        <is>
          <t>Gujarat Gas (GGL)</t>
        </is>
      </c>
      <c r="C2298" t="inlineStr">
        <is>
          <t>Gujarat Gas (GGL)</t>
        </is>
      </c>
      <c r="D2298" t="inlineStr">
        <is>
          <t>com/pdf/png_domestic_png_price_breakup.pdf</t>
        </is>
      </c>
      <c r="F2298" t="inlineStr">
        <is>
          <t>New Lead</t>
        </is>
      </c>
      <c r="H2298" t="inlineStr">
        <is>
          <t>PNG Price breakup</t>
        </is>
      </c>
      <c r="K2298" t="inlineStr">
        <is>
          <t>Not found</t>
        </is>
      </c>
      <c r="L2298" t="inlineStr">
        <is>
          <t>Unknown</t>
        </is>
      </c>
      <c r="T2298" t="inlineStr">
        <is>
          <t>https://www.gujaratgas.com/pdf/png_domestic_png_price_breakup.pdf</t>
        </is>
      </c>
      <c r="U2298" t="inlineStr">
        <is>
          <t>No</t>
        </is>
      </c>
      <c r="V2298" t="inlineStr">
        <is>
          <t>Bot tarafindan tespit edildi; date=2026-07-01; type=pdf; score=85</t>
        </is>
      </c>
    </row>
    <row r="2299">
      <c r="A2299" t="inlineStr">
        <is>
          <t>T-2103</t>
        </is>
      </c>
      <c r="B2299" t="inlineStr">
        <is>
          <t>Adani Total Gas (ATGL)</t>
        </is>
      </c>
      <c r="C2299" t="inlineStr">
        <is>
          <t>Adani Total Gas (ATGL)</t>
        </is>
      </c>
      <c r="D2299" t="inlineStr">
        <is>
          <t>media/Project/AdaniGas/Commercials/PE-PNG-Works.pdf</t>
        </is>
      </c>
      <c r="F2299" t="inlineStr">
        <is>
          <t>New Lead</t>
        </is>
      </c>
      <c r="H2299" t="inlineStr">
        <is>
          <t>View</t>
        </is>
      </c>
      <c r="K2299" t="inlineStr">
        <is>
          <t>Not found</t>
        </is>
      </c>
      <c r="L2299" t="inlineStr">
        <is>
          <t>Unknown</t>
        </is>
      </c>
      <c r="T2299" t="inlineStr">
        <is>
          <t>https://www.adanigas.com/-/media/Project/AdaniGas/Commercials/PE-PNG-Works.pdf?q=1</t>
        </is>
      </c>
      <c r="U2299" t="inlineStr">
        <is>
          <t>No</t>
        </is>
      </c>
      <c r="V2299" t="inlineStr">
        <is>
          <t>Bot tarafindan tespit edildi; date=2026-07-01; type=pdf; score=85</t>
        </is>
      </c>
    </row>
    <row r="2300">
      <c r="A2300" t="inlineStr">
        <is>
          <t>T-2104</t>
        </is>
      </c>
      <c r="B2300" t="inlineStr">
        <is>
          <t>Gasonet Services</t>
        </is>
      </c>
      <c r="C2300" t="inlineStr">
        <is>
          <t>Gasonet Services</t>
        </is>
      </c>
      <c r="D2300" t="inlineStr">
        <is>
          <t>Tender No. : GSRJL/C</t>
        </is>
      </c>
      <c r="E2300" t="inlineStr">
        <is>
          <t>2024-25/01</t>
        </is>
      </c>
      <c r="F2300" t="inlineStr">
        <is>
          <t>New Lead</t>
        </is>
      </c>
      <c r="G2300" t="inlineStr">
        <is>
          <t>CGS</t>
        </is>
      </c>
      <c r="H2300"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0" t="inlineStr">
        <is>
          <t>Not found</t>
        </is>
      </c>
      <c r="L2300" t="inlineStr">
        <is>
          <t>Unknown</t>
        </is>
      </c>
      <c r="T2300" t="inlineStr">
        <is>
          <t>https://www.gasonet.in/files/02. GCC_SEP.pdf</t>
        </is>
      </c>
      <c r="U2300" t="inlineStr">
        <is>
          <t>No</t>
        </is>
      </c>
      <c r="V230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1">
      <c r="A2301" t="inlineStr">
        <is>
          <t>T-2105</t>
        </is>
      </c>
      <c r="B2301" t="inlineStr">
        <is>
          <t>Gasonet Services</t>
        </is>
      </c>
      <c r="C2301" t="inlineStr">
        <is>
          <t>Gasonet Services</t>
        </is>
      </c>
      <c r="D2301" t="inlineStr">
        <is>
          <t>Tender No. : GSRJL/C</t>
        </is>
      </c>
      <c r="E2301" t="inlineStr">
        <is>
          <t>2024-25/01</t>
        </is>
      </c>
      <c r="F2301" t="inlineStr">
        <is>
          <t>New Lead</t>
        </is>
      </c>
      <c r="G2301" t="inlineStr">
        <is>
          <t>CGS</t>
        </is>
      </c>
      <c r="H2301"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1" t="inlineStr">
        <is>
          <t>PACKAGE ITEMS SHOULD BE CHECKED AND CORRELATED WITH VENDOR DRG. BEFORE EXECUTION. 8. IN THE ABSENCE O</t>
        </is>
      </c>
      <c r="L2301" t="inlineStr">
        <is>
          <t>Unknown</t>
        </is>
      </c>
      <c r="T2301" t="inlineStr">
        <is>
          <t>https://www.gasonet.in/files/03. Layout_Plan_SEP.pdf</t>
        </is>
      </c>
      <c r="U2301" t="inlineStr">
        <is>
          <t>No</t>
        </is>
      </c>
      <c r="V230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2">
      <c r="A2302" t="inlineStr">
        <is>
          <t>T-2106</t>
        </is>
      </c>
      <c r="B2302" t="inlineStr">
        <is>
          <t>Gasonet Services</t>
        </is>
      </c>
      <c r="C2302" t="inlineStr">
        <is>
          <t>Gasonet Services</t>
        </is>
      </c>
      <c r="D2302" t="inlineStr">
        <is>
          <t>Tender No. : GSRJL/C</t>
        </is>
      </c>
      <c r="E2302" t="inlineStr">
        <is>
          <t>2024-25/01</t>
        </is>
      </c>
      <c r="F2302" t="inlineStr">
        <is>
          <t>New Lead</t>
        </is>
      </c>
      <c r="G2302" t="inlineStr">
        <is>
          <t>CGS</t>
        </is>
      </c>
      <c r="H2302"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2" t="inlineStr">
        <is>
          <t>AND SUBMITTED FOR APPROVAL BEFORE EXECUTION OF WORK. 7. THE MINIMUM CLEAR CONCRETE COVER TO THE MAIN</t>
        </is>
      </c>
      <c r="L2302" t="inlineStr">
        <is>
          <t>Unknown</t>
        </is>
      </c>
      <c r="T2302" t="inlineStr">
        <is>
          <t>https://www.gasonet.in/files/04. Typical Drawings_SEP.pdf</t>
        </is>
      </c>
      <c r="U2302" t="inlineStr">
        <is>
          <t>No</t>
        </is>
      </c>
      <c r="V230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3">
      <c r="A2303" t="inlineStr">
        <is>
          <t>T-2107</t>
        </is>
      </c>
      <c r="B2303" t="inlineStr">
        <is>
          <t>Gasonet Services</t>
        </is>
      </c>
      <c r="C2303" t="inlineStr">
        <is>
          <t>Gasonet Services</t>
        </is>
      </c>
      <c r="D2303" t="inlineStr">
        <is>
          <t>Tender No. : GSRJL/C</t>
        </is>
      </c>
      <c r="E2303" t="inlineStr">
        <is>
          <t>2024-25/01</t>
        </is>
      </c>
      <c r="F2303" t="inlineStr">
        <is>
          <t>New Lead</t>
        </is>
      </c>
      <c r="G2303" t="inlineStr">
        <is>
          <t>CGS</t>
        </is>
      </c>
      <c r="H2303"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3" t="inlineStr">
        <is>
          <t>Not found</t>
        </is>
      </c>
      <c r="L2303" t="inlineStr">
        <is>
          <t>Unknown</t>
        </is>
      </c>
      <c r="T2303" t="inlineStr">
        <is>
          <t>https://www.gasonet.in/files/05. HSE Policy_SEP.pdf</t>
        </is>
      </c>
      <c r="U2303" t="inlineStr">
        <is>
          <t>No</t>
        </is>
      </c>
      <c r="V230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4">
      <c r="A2304" t="inlineStr">
        <is>
          <t>T-2108</t>
        </is>
      </c>
      <c r="B2304" t="inlineStr">
        <is>
          <t>Gasonet Services</t>
        </is>
      </c>
      <c r="C2304" t="inlineStr">
        <is>
          <t>Gasonet Services</t>
        </is>
      </c>
      <c r="D2304" t="inlineStr">
        <is>
          <t>Tender No. : GSRJL/C</t>
        </is>
      </c>
      <c r="E2304" t="inlineStr">
        <is>
          <t>2024-25/01</t>
        </is>
      </c>
      <c r="F2304" t="inlineStr">
        <is>
          <t>New Lead</t>
        </is>
      </c>
      <c r="G2304" t="inlineStr">
        <is>
          <t>CGS</t>
        </is>
      </c>
      <c r="H2304"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4" t="inlineStr">
        <is>
          <t>DRAWING (TYP.) FOR ODORIZER 4 NOS. - 250X250X300 POCKET FOR CANOPY SUPPORT 317</t>
        </is>
      </c>
      <c r="L2304" t="inlineStr">
        <is>
          <t>Unknown</t>
        </is>
      </c>
      <c r="T2304" t="inlineStr">
        <is>
          <t>https://www.gasonet.in/files/Typical Drawing.pdf</t>
        </is>
      </c>
      <c r="U2304" t="inlineStr">
        <is>
          <t>No</t>
        </is>
      </c>
      <c r="V2304"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station;quality_status=market_target;market_relevance=High;document_type=boq;unit_price_inr=;amount_label=;matched_terms=Regulating / metering station;reject_reasons=retail/cng station noise;scope=market_intelligence_only;excluded_scope=no_bid_or_offer_submission_automation</t>
        </is>
      </c>
    </row>
    <row r="2305">
      <c r="A2305" t="inlineStr">
        <is>
          <t>T-2109</t>
        </is>
      </c>
      <c r="B2305" t="inlineStr">
        <is>
          <t>Gasonet Services</t>
        </is>
      </c>
      <c r="C2305" t="inlineStr">
        <is>
          <t>Gasonet Services</t>
        </is>
      </c>
      <c r="D2305" t="inlineStr">
        <is>
          <t>Tender No. : GSRJL/C</t>
        </is>
      </c>
      <c r="E2305" t="inlineStr">
        <is>
          <t>2024-25/01</t>
        </is>
      </c>
      <c r="F2305" t="inlineStr">
        <is>
          <t>New Lead</t>
        </is>
      </c>
      <c r="G2305" t="inlineStr">
        <is>
          <t>CGS</t>
        </is>
      </c>
      <c r="H2305"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5" t="inlineStr">
        <is>
          <t>LIST FOR CONSUMABLE AND OTHER MATERIAL USED IN PIPELINE LAYING WORK TOTAL 20 SHEETS APPROVED VENDOR L</t>
        </is>
      </c>
      <c r="L2305" t="inlineStr">
        <is>
          <t>Unknown</t>
        </is>
      </c>
      <c r="T2305" t="inlineStr">
        <is>
          <t>https://www.gasonet.in/files/GASONET APPROVED VENDOR LIST.pdf</t>
        </is>
      </c>
      <c r="U2305" t="inlineStr">
        <is>
          <t>No</t>
        </is>
      </c>
      <c r="V2305"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meta:score=100;priority=High;source_type=html_table;closing_date=None;equipment=Gas filter station / filter equipment;quality_status=market_target;market_relevance=High;document_type=po_work_order;unit_price_inr=;amount_label=;matched_terms=Gas filter station / filter equipment;reject_reasons=civil/electrical only;scope=market_intelligence_only;excluded_scope=no_bid_or_offer_submission_automation</t>
        </is>
      </c>
    </row>
    <row r="2306">
      <c r="A2306" t="inlineStr">
        <is>
          <t>T-2110</t>
        </is>
      </c>
      <c r="B2306" t="inlineStr">
        <is>
          <t>Gasonet Services</t>
        </is>
      </c>
      <c r="C2306" t="inlineStr">
        <is>
          <t>Gasonet Services</t>
        </is>
      </c>
      <c r="D2306" t="inlineStr">
        <is>
          <t>Tender No. : GSRJL/C</t>
        </is>
      </c>
      <c r="E2306" t="inlineStr">
        <is>
          <t>2024-25/01</t>
        </is>
      </c>
      <c r="F2306" t="inlineStr">
        <is>
          <t>New Lead</t>
        </is>
      </c>
      <c r="G2306" t="inlineStr">
        <is>
          <t>CGS</t>
        </is>
      </c>
      <c r="H2306"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6" t="inlineStr">
        <is>
          <t>Not found</t>
        </is>
      </c>
      <c r="L2306" t="inlineStr">
        <is>
          <t>Unknown</t>
        </is>
      </c>
      <c r="T2306" t="inlineStr">
        <is>
          <t>https://www.gasonet.in/files/CIVIL WORK_merged.pdf</t>
        </is>
      </c>
      <c r="U2306" t="inlineStr">
        <is>
          <t>No</t>
        </is>
      </c>
      <c r="V2306"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7">
      <c r="A2307" t="inlineStr">
        <is>
          <t>T-2111</t>
        </is>
      </c>
      <c r="B2307" t="inlineStr">
        <is>
          <t>Gasonet Services</t>
        </is>
      </c>
      <c r="C2307" t="inlineStr">
        <is>
          <t>Gasonet Services</t>
        </is>
      </c>
      <c r="D2307" t="inlineStr">
        <is>
          <t>Tender No. : GSL/DD/C</t>
        </is>
      </c>
      <c r="F2307" t="inlineStr">
        <is>
          <t>New Lead</t>
        </is>
      </c>
      <c r="G2307" t="inlineStr">
        <is>
          <t>MRS</t>
        </is>
      </c>
      <c r="H2307"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7" t="inlineStr">
        <is>
          <t>Not found</t>
        </is>
      </c>
      <c r="L2307" t="inlineStr">
        <is>
          <t>Unknown</t>
        </is>
      </c>
      <c r="T2307" t="inlineStr">
        <is>
          <t>https://www.gasonet.in/files/CPBG_GSHPL.docx</t>
        </is>
      </c>
      <c r="U2307" t="inlineStr">
        <is>
          <t>No</t>
        </is>
      </c>
      <c r="V2307"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8">
      <c r="A2308" t="inlineStr">
        <is>
          <t>T-2112</t>
        </is>
      </c>
      <c r="B2308" t="inlineStr">
        <is>
          <t>Gasonet Services</t>
        </is>
      </c>
      <c r="C2308" t="inlineStr">
        <is>
          <t>Gasonet Services</t>
        </is>
      </c>
      <c r="D2308" t="inlineStr">
        <is>
          <t>Tender No. : GSL/DD/C</t>
        </is>
      </c>
      <c r="F2308" t="inlineStr">
        <is>
          <t>New Lead</t>
        </is>
      </c>
      <c r="G2308" t="inlineStr">
        <is>
          <t>MRS</t>
        </is>
      </c>
      <c r="H2308"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8" t="inlineStr">
        <is>
          <t>Not found</t>
        </is>
      </c>
      <c r="L2308" t="inlineStr">
        <is>
          <t>Unknown</t>
        </is>
      </c>
      <c r="T2308" t="inlineStr">
        <is>
          <t>https://www.gasonet.in/files/CPBG_GSRJL -19.docx</t>
        </is>
      </c>
      <c r="U2308" t="inlineStr">
        <is>
          <t>No</t>
        </is>
      </c>
      <c r="V2308"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9">
      <c r="A2309" t="inlineStr">
        <is>
          <t>T-2113</t>
        </is>
      </c>
      <c r="B2309" t="inlineStr">
        <is>
          <t>Gasonet Services</t>
        </is>
      </c>
      <c r="C2309" t="inlineStr">
        <is>
          <t>Gasonet Services</t>
        </is>
      </c>
      <c r="D2309" t="inlineStr">
        <is>
          <t>Tender No. : GSL/DD/C</t>
        </is>
      </c>
      <c r="F2309" t="inlineStr">
        <is>
          <t>New Lead</t>
        </is>
      </c>
      <c r="G2309" t="inlineStr">
        <is>
          <t>MRS</t>
        </is>
      </c>
      <c r="H2309"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9" t="inlineStr">
        <is>
          <t>Not found</t>
        </is>
      </c>
      <c r="L2309" t="inlineStr">
        <is>
          <t>Unknown</t>
        </is>
      </c>
      <c r="T2309" t="inlineStr">
        <is>
          <t>https://www.gasonet.in/files/CPBG_GSUKL.docx</t>
        </is>
      </c>
      <c r="U2309" t="inlineStr">
        <is>
          <t>No</t>
        </is>
      </c>
      <c r="V2309"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10">
      <c r="A2310" t="inlineStr">
        <is>
          <t>T-2114</t>
        </is>
      </c>
      <c r="B2310" t="inlineStr">
        <is>
          <t>Gasonet Services</t>
        </is>
      </c>
      <c r="C2310" t="inlineStr">
        <is>
          <t>Gasonet Services</t>
        </is>
      </c>
      <c r="D2310" t="inlineStr">
        <is>
          <t>Tender No. : GSRJL/C</t>
        </is>
      </c>
      <c r="E2310" t="inlineStr">
        <is>
          <t>2025-26/03</t>
        </is>
      </c>
      <c r="F2310" t="inlineStr">
        <is>
          <t>New Lead</t>
        </is>
      </c>
      <c r="G2310" t="inlineStr">
        <is>
          <t>CGS</t>
        </is>
      </c>
      <c r="H2310"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0" t="inlineStr">
        <is>
          <t>Not found</t>
        </is>
      </c>
      <c r="L2310" t="inlineStr">
        <is>
          <t>Unknown</t>
        </is>
      </c>
      <c r="T2310" t="inlineStr">
        <is>
          <t>https://www.gasonet.in/files/02-GCC.pdf</t>
        </is>
      </c>
      <c r="U2310" t="inlineStr">
        <is>
          <t>No</t>
        </is>
      </c>
      <c r="V231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1">
      <c r="A2311" t="inlineStr">
        <is>
          <t>T-2115</t>
        </is>
      </c>
      <c r="B2311" t="inlineStr">
        <is>
          <t>Gasonet Services</t>
        </is>
      </c>
      <c r="C2311" t="inlineStr">
        <is>
          <t>Gasonet Services</t>
        </is>
      </c>
      <c r="D2311" t="inlineStr">
        <is>
          <t>Tender No. : GSRJL/C</t>
        </is>
      </c>
      <c r="E2311" t="inlineStr">
        <is>
          <t>2025-26/03</t>
        </is>
      </c>
      <c r="F2311" t="inlineStr">
        <is>
          <t>New Lead</t>
        </is>
      </c>
      <c r="G2311" t="inlineStr">
        <is>
          <t>CGS</t>
        </is>
      </c>
      <c r="H2311"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1" t="inlineStr">
        <is>
          <t>SCOPE 4.2 FINAL INSPECTION DURING EXECUTION 4.3 DOCUMENTATION 4.4 STATEMENT OF FINAL BILLS ISSUE OF N</t>
        </is>
      </c>
      <c r="L2311" t="inlineStr">
        <is>
          <t>Unknown</t>
        </is>
      </c>
      <c r="T2311" t="inlineStr">
        <is>
          <t>https://www.gasonet.in/files/03-SCC &amp; SOW.pdf</t>
        </is>
      </c>
      <c r="U2311" t="inlineStr">
        <is>
          <t>No</t>
        </is>
      </c>
      <c r="V231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station;quality_status=market_target;market_relevance=High;document_type=award;unit_price_inr=;amount_label=;matched_terms=Regulating / metering station;reject_reasons=employment/corporate,non-product service,civil/electrical only;scope=market_intelligence_only;excluded_scope=no_bid_or_offer_submission_automation</t>
        </is>
      </c>
    </row>
    <row r="2312">
      <c r="A2312" t="inlineStr">
        <is>
          <t>T-2116</t>
        </is>
      </c>
      <c r="B2312" t="inlineStr">
        <is>
          <t>Gasonet Services</t>
        </is>
      </c>
      <c r="C2312" t="inlineStr">
        <is>
          <t>Gasonet Services</t>
        </is>
      </c>
      <c r="D2312" t="inlineStr">
        <is>
          <t>Tender No. : GSRJL/C</t>
        </is>
      </c>
      <c r="E2312" t="inlineStr">
        <is>
          <t>2025-26/03</t>
        </is>
      </c>
      <c r="F2312" t="inlineStr">
        <is>
          <t>New Lead</t>
        </is>
      </c>
      <c r="G2312" t="inlineStr">
        <is>
          <t>CGS</t>
        </is>
      </c>
      <c r="H2312"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2" t="inlineStr">
        <is>
          <t>ON SIMILAR LINES AND APPROVED BY THE OWNER. 6. THE MATERIAL FOR MARKERS SHALL BE AS FOLLOWING</t>
        </is>
      </c>
      <c r="L2312" t="inlineStr">
        <is>
          <t>Unknown</t>
        </is>
      </c>
      <c r="T2312" t="inlineStr">
        <is>
          <t>https://www.gasonet.in/files/04-Typical Drawing.pdf</t>
        </is>
      </c>
      <c r="U2312" t="inlineStr">
        <is>
          <t>No</t>
        </is>
      </c>
      <c r="V231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station,Gas filter station / filter equipment;reject_reasons=retail/cng station noise;scope=market_intelligence_only;excluded_scope=no_bid_or_offer_submission_automation</t>
        </is>
      </c>
    </row>
    <row r="2313">
      <c r="A2313" t="inlineStr">
        <is>
          <t>T-2117</t>
        </is>
      </c>
      <c r="B2313" t="inlineStr">
        <is>
          <t>Gasonet Services</t>
        </is>
      </c>
      <c r="C2313" t="inlineStr">
        <is>
          <t>Gasonet Services</t>
        </is>
      </c>
      <c r="D2313" t="inlineStr">
        <is>
          <t>Tender No. : GSRJL/C</t>
        </is>
      </c>
      <c r="E2313" t="inlineStr">
        <is>
          <t>2025-26/03</t>
        </is>
      </c>
      <c r="F2313" t="inlineStr">
        <is>
          <t>New Lead</t>
        </is>
      </c>
      <c r="G2313" t="inlineStr">
        <is>
          <t>CGS</t>
        </is>
      </c>
      <c r="H2313"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3" t="inlineStr">
        <is>
          <t>Not found</t>
        </is>
      </c>
      <c r="L2313" t="inlineStr">
        <is>
          <t>Unknown</t>
        </is>
      </c>
      <c r="T2313" t="inlineStr">
        <is>
          <t>https://www.gasonet.in/files/05-HSE Policy.pdf</t>
        </is>
      </c>
      <c r="U2313" t="inlineStr">
        <is>
          <t>No</t>
        </is>
      </c>
      <c r="V231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4">
      <c r="A2314" t="inlineStr">
        <is>
          <t>T-2118</t>
        </is>
      </c>
      <c r="B2314" t="inlineStr">
        <is>
          <t>Gasonet Services</t>
        </is>
      </c>
      <c r="C2314" t="inlineStr">
        <is>
          <t>Gasonet Services</t>
        </is>
      </c>
      <c r="D2314" t="inlineStr">
        <is>
          <t>Tender No. : GSRJL/C</t>
        </is>
      </c>
      <c r="E2314" t="inlineStr">
        <is>
          <t>2025-26/03</t>
        </is>
      </c>
      <c r="F2314" t="inlineStr">
        <is>
          <t>New Lead</t>
        </is>
      </c>
      <c r="G2314" t="inlineStr">
        <is>
          <t>CGS</t>
        </is>
      </c>
      <c r="H2314"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4" t="inlineStr">
        <is>
          <t>Not found</t>
        </is>
      </c>
      <c r="L2314" t="inlineStr">
        <is>
          <t>Unknown</t>
        </is>
      </c>
      <c r="T2314" t="inlineStr">
        <is>
          <t>https://www.gasonet.in/files/06-SOR - CS Pipeline Laying for Bikaner.xlsx</t>
        </is>
      </c>
      <c r="U2314" t="inlineStr">
        <is>
          <t>No</t>
        </is>
      </c>
      <c r="V2314" t="inlineStr">
        <is>
          <t>Bot tarafindan tespit edildi; date=2026-07-01; type=excel; score=295; Bot tespit/zenginlestirme (2026-07-01); meta:score=10;priority=Low;source_type=html_table;closing_date=;equipment=Irrelevant / non-target;reasons=irrelevant_equipment,station/skid keyword,document source,tender reference signal</t>
        </is>
      </c>
    </row>
    <row r="2315">
      <c r="A2315" t="inlineStr">
        <is>
          <t>T-2119</t>
        </is>
      </c>
      <c r="B2315" t="inlineStr">
        <is>
          <t>Gasonet Services</t>
        </is>
      </c>
      <c r="C2315" t="inlineStr">
        <is>
          <t>Gasonet Services</t>
        </is>
      </c>
      <c r="D2315" t="inlineStr">
        <is>
          <t>Tender- Domestic</t>
        </is>
      </c>
      <c r="F2315" t="inlineStr">
        <is>
          <t>New Lead</t>
        </is>
      </c>
      <c r="G2315" t="inlineStr">
        <is>
          <t>service regulator</t>
        </is>
      </c>
      <c r="H2315" t="inlineStr">
        <is>
          <t>14 Purchase of Domestic and Service Regulator. GCC Tender- Domestic Service Regulator Regulator Datasheet Not Applicable 22.02.2024 at 14:00 Hrs 22.02.2024 at 17:00 Hrs</t>
        </is>
      </c>
      <c r="K2315" t="inlineStr">
        <is>
          <t>Not found</t>
        </is>
      </c>
      <c r="L2315" t="inlineStr">
        <is>
          <t>Unknown</t>
        </is>
      </c>
      <c r="T2315" t="inlineStr">
        <is>
          <t>https://www.gasonet.in/files/GCC.pdf</t>
        </is>
      </c>
      <c r="U2315" t="inlineStr">
        <is>
          <t>No</t>
        </is>
      </c>
      <c r="V2315" t="inlineStr">
        <is>
          <t>Bot tarafindan tespit edildi; date=2026-07-01; type=pdf; score=205; Bot tespit/zenginlestirme (2026-07-01); meta:score=85;priority=High;source_type=html_table;closing_date=None;equipment=Service regulator;reasons=equipment:Service regulator,target regulator keyword,document source</t>
        </is>
      </c>
    </row>
    <row r="2316">
      <c r="A2316" t="inlineStr">
        <is>
          <t>T-2120</t>
        </is>
      </c>
      <c r="B2316" t="inlineStr">
        <is>
          <t>Gasonet Services</t>
        </is>
      </c>
      <c r="C2316" t="inlineStr">
        <is>
          <t>Gasonet Services</t>
        </is>
      </c>
      <c r="D2316" t="inlineStr">
        <is>
          <t>Bid Queries_Compressor</t>
        </is>
      </c>
      <c r="F2316" t="inlineStr">
        <is>
          <t>New Lead</t>
        </is>
      </c>
      <c r="G2316" t="inlineStr">
        <is>
          <t>Gas-related / review</t>
        </is>
      </c>
      <c r="H2316"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6" t="inlineStr">
        <is>
          <t>Not found</t>
        </is>
      </c>
      <c r="L2316" t="inlineStr">
        <is>
          <t>Unknown</t>
        </is>
      </c>
      <c r="T2316" t="inlineStr">
        <is>
          <t>https://www.gasonet.in/files/Technical Volume II of II Compressor.pdf</t>
        </is>
      </c>
      <c r="U2316" t="inlineStr">
        <is>
          <t>No</t>
        </is>
      </c>
      <c r="V2316" t="inlineStr">
        <is>
          <t>Bot tarafindan tespit edildi; date=2026-07-01; type=pdf; score=195; Bot tespit/zenginlestirme (2026-07-01); meta:score=35;priority=Low;source_type=html_table;closing_date=;equipment=Gas-related / review;reasons=equipment:Gas-related / review,document source</t>
        </is>
      </c>
    </row>
    <row r="2317">
      <c r="A2317" t="inlineStr">
        <is>
          <t>T-2121</t>
        </is>
      </c>
      <c r="B2317" t="inlineStr">
        <is>
          <t>Gasonet Services</t>
        </is>
      </c>
      <c r="C2317" t="inlineStr">
        <is>
          <t>Gasonet Services</t>
        </is>
      </c>
      <c r="D2317" t="inlineStr">
        <is>
          <t>Bid Queries_Compressor</t>
        </is>
      </c>
      <c r="F2317" t="inlineStr">
        <is>
          <t>New Lead</t>
        </is>
      </c>
      <c r="G2317" t="inlineStr">
        <is>
          <t>Gas-related / review</t>
        </is>
      </c>
      <c r="H2317"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7" t="inlineStr">
        <is>
          <t>Not found</t>
        </is>
      </c>
      <c r="L2317" t="inlineStr">
        <is>
          <t>Unknown</t>
        </is>
      </c>
      <c r="T2317" t="inlineStr">
        <is>
          <t>https://www.gasonet.in/files/Commercial Volume I of II Compressor.pdf</t>
        </is>
      </c>
      <c r="U2317" t="inlineStr">
        <is>
          <t>No</t>
        </is>
      </c>
      <c r="V2317" t="inlineStr">
        <is>
          <t>Bot tarafindan tespit edildi; date=2026-07-01; type=pdf; score=195; Bot tespit/zenginlestirme (2026-07-01); meta:score=35;priority=Low;source_type=html_table;closing_date=;equipment=Gas-related / review;reasons=equipment:Gas-related / review,document source</t>
        </is>
      </c>
    </row>
    <row r="2318">
      <c r="A2318" t="inlineStr">
        <is>
          <t>T-2122</t>
        </is>
      </c>
      <c r="B2318" t="inlineStr">
        <is>
          <t>Gasonet Services</t>
        </is>
      </c>
      <c r="C2318" t="inlineStr">
        <is>
          <t>Gasonet Services</t>
        </is>
      </c>
      <c r="D2318" t="inlineStr">
        <is>
          <t>Bid Queries_Compressor</t>
        </is>
      </c>
      <c r="F2318" t="inlineStr">
        <is>
          <t>New Lead</t>
        </is>
      </c>
      <c r="G2318" t="inlineStr">
        <is>
          <t>Gas-related / review</t>
        </is>
      </c>
      <c r="H2318"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8" t="inlineStr">
        <is>
          <t>Not found</t>
        </is>
      </c>
      <c r="L2318" t="inlineStr">
        <is>
          <t>Unknown</t>
        </is>
      </c>
      <c r="T2318" t="inlineStr">
        <is>
          <t>https://www.gasonet.in/files/SOR Compressor Champawat.xlsx</t>
        </is>
      </c>
      <c r="U2318" t="inlineStr">
        <is>
          <t>No</t>
        </is>
      </c>
      <c r="V2318" t="inlineStr">
        <is>
          <t>Bot tarafindan tespit edildi; date=2026-07-01; type=excel; score=195; Bot tespit/zenginlestirme (2026-07-01); meta:score=35;priority=Low;source_type=html_table;closing_date=;equipment=Gas-related / review;reasons=equipment:Gas-related / review,document source</t>
        </is>
      </c>
    </row>
    <row r="2319">
      <c r="A2319" t="inlineStr">
        <is>
          <t>T-2123</t>
        </is>
      </c>
      <c r="B2319" t="inlineStr">
        <is>
          <t>Gasonet Services</t>
        </is>
      </c>
      <c r="C2319" t="inlineStr">
        <is>
          <t>Gasonet Services</t>
        </is>
      </c>
      <c r="D2319" t="inlineStr">
        <is>
          <t>Bid Queries_Compressor</t>
        </is>
      </c>
      <c r="F2319" t="inlineStr">
        <is>
          <t>New Lead</t>
        </is>
      </c>
      <c r="G2319" t="inlineStr">
        <is>
          <t>Gas-related / review</t>
        </is>
      </c>
      <c r="H2319"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9" t="inlineStr">
        <is>
          <t>Not found</t>
        </is>
      </c>
      <c r="L2319" t="inlineStr">
        <is>
          <t>Unknown</t>
        </is>
      </c>
      <c r="T2319" t="inlineStr">
        <is>
          <t>https://www.gasonet.in/files/SOR Compressor Churu.xlsx</t>
        </is>
      </c>
      <c r="U2319" t="inlineStr">
        <is>
          <t>No</t>
        </is>
      </c>
      <c r="V2319" t="inlineStr">
        <is>
          <t>Bot tarafindan tespit edildi; date=2026-07-01; type=excel; score=195; Bot tespit/zenginlestirme (2026-07-01); meta:score=35;priority=Low;source_type=html_table;closing_date=;equipment=Gas-related / review;reasons=equipment:Gas-related / review,document source</t>
        </is>
      </c>
    </row>
    <row r="2320">
      <c r="A2320" t="inlineStr">
        <is>
          <t>T-2124</t>
        </is>
      </c>
      <c r="B2320" t="inlineStr">
        <is>
          <t>Gasonet Services</t>
        </is>
      </c>
      <c r="C2320" t="inlineStr">
        <is>
          <t>Gasonet Services</t>
        </is>
      </c>
      <c r="D2320" t="inlineStr">
        <is>
          <t>Bid Queries_Compressor</t>
        </is>
      </c>
      <c r="F2320" t="inlineStr">
        <is>
          <t>New Lead</t>
        </is>
      </c>
      <c r="G2320" t="inlineStr">
        <is>
          <t>Gas-related / review</t>
        </is>
      </c>
      <c r="H2320"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0" t="inlineStr">
        <is>
          <t>Not found</t>
        </is>
      </c>
      <c r="L2320" t="inlineStr">
        <is>
          <t>Unknown</t>
        </is>
      </c>
      <c r="T2320" t="inlineStr">
        <is>
          <t>https://www.gasonet.in/files/SOR Compressor Mandi.xlsx</t>
        </is>
      </c>
      <c r="U2320" t="inlineStr">
        <is>
          <t>No</t>
        </is>
      </c>
      <c r="V2320" t="inlineStr">
        <is>
          <t>Bot tarafindan tespit edildi; date=2026-07-01; type=excel; score=195; Bot tespit/zenginlestirme (2026-07-01); meta:score=35;priority=Low;source_type=html_table;closing_date=;equipment=Gas-related / review;reasons=equipment:Gas-related / review,document source</t>
        </is>
      </c>
    </row>
    <row r="2321">
      <c r="A2321" t="inlineStr">
        <is>
          <t>T-2125</t>
        </is>
      </c>
      <c r="B2321" t="inlineStr">
        <is>
          <t>Gasonet Services</t>
        </is>
      </c>
      <c r="C2321" t="inlineStr">
        <is>
          <t>Gasonet Services</t>
        </is>
      </c>
      <c r="D2321" t="inlineStr">
        <is>
          <t>Bid Queries_Compressor</t>
        </is>
      </c>
      <c r="F2321" t="inlineStr">
        <is>
          <t>New Lead</t>
        </is>
      </c>
      <c r="G2321" t="inlineStr">
        <is>
          <t>Gas-related / review</t>
        </is>
      </c>
      <c r="H2321"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1" t="inlineStr">
        <is>
          <t>Not found</t>
        </is>
      </c>
      <c r="L2321" t="inlineStr">
        <is>
          <t>Unknown</t>
        </is>
      </c>
      <c r="T2321" t="inlineStr">
        <is>
          <t>https://www.gasonet.in/files/SOR Compressor Pauri Garwal (Rishikesh).xlsx</t>
        </is>
      </c>
      <c r="U2321" t="inlineStr">
        <is>
          <t>No</t>
        </is>
      </c>
      <c r="V2321" t="inlineStr">
        <is>
          <t>Bot tarafindan tespit edildi; date=2026-07-01; type=excel; score=195; Bot tespit/zenginlestirme (2026-07-01); meta:score=35;priority=Low;source_type=html_table;closing_date=;equipment=Gas-related / review;reasons=equipment:Gas-related / review,document source</t>
        </is>
      </c>
    </row>
    <row r="2322">
      <c r="A2322" t="inlineStr">
        <is>
          <t>T-2126</t>
        </is>
      </c>
      <c r="B2322" t="inlineStr">
        <is>
          <t>Gasonet Services</t>
        </is>
      </c>
      <c r="C2322" t="inlineStr">
        <is>
          <t>Gasonet Services</t>
        </is>
      </c>
      <c r="D2322" t="inlineStr">
        <is>
          <t>bid queries_Dispenser</t>
        </is>
      </c>
      <c r="F2322" t="inlineStr">
        <is>
          <t>New Lead</t>
        </is>
      </c>
      <c r="G2322" t="inlineStr">
        <is>
          <t>Gas-related / review</t>
        </is>
      </c>
      <c r="H2322"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2" t="inlineStr">
        <is>
          <t>Not found</t>
        </is>
      </c>
      <c r="L2322" t="inlineStr">
        <is>
          <t>Unknown</t>
        </is>
      </c>
      <c r="T2322" t="inlineStr">
        <is>
          <t>https://www.gasonet.in/files/Technical I of II.pdf</t>
        </is>
      </c>
      <c r="U2322" t="inlineStr">
        <is>
          <t>No</t>
        </is>
      </c>
      <c r="V2322" t="inlineStr">
        <is>
          <t>Bot tarafindan tespit edildi; date=2026-07-01; type=pdf; score=195; Bot tespit/zenginlestirme (2026-07-01); meta:score=35;priority=Low;source_type=html_table;closing_date=;equipment=Gas-related / review;reasons=equipment:Gas-related / review,document source</t>
        </is>
      </c>
    </row>
    <row r="2323">
      <c r="A2323" t="inlineStr">
        <is>
          <t>T-2127</t>
        </is>
      </c>
      <c r="B2323" t="inlineStr">
        <is>
          <t>Gasonet Services</t>
        </is>
      </c>
      <c r="C2323" t="inlineStr">
        <is>
          <t>Gasonet Services</t>
        </is>
      </c>
      <c r="D2323" t="inlineStr">
        <is>
          <t>bid queries_Dispenser</t>
        </is>
      </c>
      <c r="F2323" t="inlineStr">
        <is>
          <t>New Lead</t>
        </is>
      </c>
      <c r="G2323" t="inlineStr">
        <is>
          <t>Gas-related / review</t>
        </is>
      </c>
      <c r="H2323"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3" t="inlineStr">
        <is>
          <t>Not found</t>
        </is>
      </c>
      <c r="L2323" t="inlineStr">
        <is>
          <t>Unknown</t>
        </is>
      </c>
      <c r="T2323" t="inlineStr">
        <is>
          <t>https://www.gasonet.in/files/Commercial I of II.pdf</t>
        </is>
      </c>
      <c r="U2323" t="inlineStr">
        <is>
          <t>No</t>
        </is>
      </c>
      <c r="V2323" t="inlineStr">
        <is>
          <t>Bot tarafindan tespit edildi; date=2026-07-01; type=pdf; score=195; Bot tespit/zenginlestirme (2026-07-01); meta:score=35;priority=Low;source_type=html_table;closing_date=;equipment=Gas-related / review;reasons=equipment:Gas-related / review,document source</t>
        </is>
      </c>
    </row>
    <row r="2324">
      <c r="A2324" t="inlineStr">
        <is>
          <t>T-2128</t>
        </is>
      </c>
      <c r="B2324" t="inlineStr">
        <is>
          <t>Gasonet Services</t>
        </is>
      </c>
      <c r="C2324" t="inlineStr">
        <is>
          <t>Gasonet Services</t>
        </is>
      </c>
      <c r="D2324" t="inlineStr">
        <is>
          <t>bid queries_Dispenser</t>
        </is>
      </c>
      <c r="F2324" t="inlineStr">
        <is>
          <t>New Lead</t>
        </is>
      </c>
      <c r="G2324" t="inlineStr">
        <is>
          <t>Gas-related / review</t>
        </is>
      </c>
      <c r="H2324"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4" t="inlineStr">
        <is>
          <t>Not found</t>
        </is>
      </c>
      <c r="L2324" t="inlineStr">
        <is>
          <t>Unknown</t>
        </is>
      </c>
      <c r="T2324" t="inlineStr">
        <is>
          <t>https://www.gasonet.in/files/SOR Dispenser -Pauri Garwal (Rishikesh).xlsx</t>
        </is>
      </c>
      <c r="U2324" t="inlineStr">
        <is>
          <t>No</t>
        </is>
      </c>
      <c r="V2324" t="inlineStr">
        <is>
          <t>Bot tarafindan tespit edildi; date=2026-07-01; type=excel; score=195; Bot tespit/zenginlestirme (2026-07-01); meta:score=35;priority=Low;source_type=html_table;closing_date=;equipment=Gas-related / review;reasons=equipment:Gas-related / review,document source</t>
        </is>
      </c>
    </row>
    <row r="2325">
      <c r="A2325" t="inlineStr">
        <is>
          <t>T-2129</t>
        </is>
      </c>
      <c r="B2325" t="inlineStr">
        <is>
          <t>Gasonet Services</t>
        </is>
      </c>
      <c r="C2325" t="inlineStr">
        <is>
          <t>Gasonet Services</t>
        </is>
      </c>
      <c r="D2325" t="inlineStr">
        <is>
          <t>bid queries_Dispenser</t>
        </is>
      </c>
      <c r="F2325" t="inlineStr">
        <is>
          <t>New Lead</t>
        </is>
      </c>
      <c r="G2325" t="inlineStr">
        <is>
          <t>Gas-related / review</t>
        </is>
      </c>
      <c r="H2325"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5" t="inlineStr">
        <is>
          <t>Not found</t>
        </is>
      </c>
      <c r="L2325" t="inlineStr">
        <is>
          <t>Unknown</t>
        </is>
      </c>
      <c r="T2325" t="inlineStr">
        <is>
          <t>https://www.gasonet.in/files/SOR Dispenser -Champawat.xlsx</t>
        </is>
      </c>
      <c r="U2325" t="inlineStr">
        <is>
          <t>No</t>
        </is>
      </c>
      <c r="V2325" t="inlineStr">
        <is>
          <t>Bot tarafindan tespit edildi; date=2026-07-01; type=excel; score=195; Bot tespit/zenginlestirme (2026-07-01); meta:score=35;priority=Low;source_type=html_table;closing_date=;equipment=Gas-related / review;reasons=equipment:Gas-related / review,document source</t>
        </is>
      </c>
    </row>
    <row r="2326">
      <c r="A2326" t="inlineStr">
        <is>
          <t>T-2130</t>
        </is>
      </c>
      <c r="B2326" t="inlineStr">
        <is>
          <t>Gasonet Services</t>
        </is>
      </c>
      <c r="C2326" t="inlineStr">
        <is>
          <t>Gasonet Services</t>
        </is>
      </c>
      <c r="D2326" t="inlineStr">
        <is>
          <t>bid queries_Dispenser</t>
        </is>
      </c>
      <c r="F2326" t="inlineStr">
        <is>
          <t>New Lead</t>
        </is>
      </c>
      <c r="G2326" t="inlineStr">
        <is>
          <t>Gas-related / review</t>
        </is>
      </c>
      <c r="H2326"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6" t="inlineStr">
        <is>
          <t>Not found</t>
        </is>
      </c>
      <c r="L2326" t="inlineStr">
        <is>
          <t>Unknown</t>
        </is>
      </c>
      <c r="T2326" t="inlineStr">
        <is>
          <t>https://www.gasonet.in/files/SOR Dispenser -Churu.xlsx</t>
        </is>
      </c>
      <c r="U2326" t="inlineStr">
        <is>
          <t>No</t>
        </is>
      </c>
      <c r="V2326" t="inlineStr">
        <is>
          <t>Bot tarafindan tespit edildi; date=2026-07-01; type=excel; score=195; Bot tespit/zenginlestirme (2026-07-01); meta:score=35;priority=Low;source_type=html_table;closing_date=;equipment=Gas-related / review;reasons=equipment:Gas-related / review,document source</t>
        </is>
      </c>
    </row>
    <row r="2327">
      <c r="A2327" t="inlineStr">
        <is>
          <t>T-2131</t>
        </is>
      </c>
      <c r="B2327" t="inlineStr">
        <is>
          <t>Gasonet Services</t>
        </is>
      </c>
      <c r="C2327" t="inlineStr">
        <is>
          <t>Gasonet Services</t>
        </is>
      </c>
      <c r="D2327" t="inlineStr">
        <is>
          <t>bid queries_Dispenser</t>
        </is>
      </c>
      <c r="F2327" t="inlineStr">
        <is>
          <t>New Lead</t>
        </is>
      </c>
      <c r="G2327" t="inlineStr">
        <is>
          <t>Gas-related / review</t>
        </is>
      </c>
      <c r="H2327"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7" t="inlineStr">
        <is>
          <t>Not found</t>
        </is>
      </c>
      <c r="L2327" t="inlineStr">
        <is>
          <t>Unknown</t>
        </is>
      </c>
      <c r="T2327" t="inlineStr">
        <is>
          <t>https://www.gasonet.in/files/SOR Dispenser -Mandi.xlsx</t>
        </is>
      </c>
      <c r="U2327" t="inlineStr">
        <is>
          <t>No</t>
        </is>
      </c>
      <c r="V2327" t="inlineStr">
        <is>
          <t>Bot tarafindan tespit edildi; date=2026-07-01; type=excel; score=195; Bot tespit/zenginlestirme (2026-07-01); meta:score=35;priority=Low;source_type=html_table;closing_date=;equipment=Gas-related / review;reasons=equipment:Gas-related / review,document source</t>
        </is>
      </c>
    </row>
    <row r="2328">
      <c r="A2328" t="inlineStr">
        <is>
          <t>T-2132</t>
        </is>
      </c>
      <c r="B2328" t="inlineStr">
        <is>
          <t>Gasonet Services</t>
        </is>
      </c>
      <c r="C2328" t="inlineStr">
        <is>
          <t>Gasonet Services</t>
        </is>
      </c>
      <c r="D2328" t="inlineStr">
        <is>
          <t>bid queries_Dispenser</t>
        </is>
      </c>
      <c r="F2328" t="inlineStr">
        <is>
          <t>New Lead</t>
        </is>
      </c>
      <c r="G2328" t="inlineStr">
        <is>
          <t>Gas-related / review</t>
        </is>
      </c>
      <c r="H2328"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8" t="inlineStr">
        <is>
          <t>Not found</t>
        </is>
      </c>
      <c r="L2328" t="inlineStr">
        <is>
          <t>Unknown</t>
        </is>
      </c>
      <c r="T2328" t="inlineStr">
        <is>
          <t>https://www.gasonet.in/files/Revised_SOR Dispenser -Pauri Garwal (Rishikesh).xlsx</t>
        </is>
      </c>
      <c r="U2328" t="inlineStr">
        <is>
          <t>No</t>
        </is>
      </c>
      <c r="V2328" t="inlineStr">
        <is>
          <t>Bot tarafindan tespit edildi; date=2026-07-01; type=excel; score=195; Bot tespit/zenginlestirme (2026-07-01); meta:score=35;priority=Low;source_type=html_table;closing_date=;equipment=Gas-related / review;reasons=equipment:Gas-related / review,document source</t>
        </is>
      </c>
    </row>
    <row r="2329">
      <c r="A2329" t="inlineStr">
        <is>
          <t>T-2133</t>
        </is>
      </c>
      <c r="B2329" t="inlineStr">
        <is>
          <t>Gasonet Services</t>
        </is>
      </c>
      <c r="C2329" t="inlineStr">
        <is>
          <t>Gasonet Services</t>
        </is>
      </c>
      <c r="D2329" t="inlineStr">
        <is>
          <t>bid queries_Dispenser</t>
        </is>
      </c>
      <c r="F2329" t="inlineStr">
        <is>
          <t>New Lead</t>
        </is>
      </c>
      <c r="G2329" t="inlineStr">
        <is>
          <t>Gas-related / review</t>
        </is>
      </c>
      <c r="H2329"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9" t="inlineStr">
        <is>
          <t>Not found</t>
        </is>
      </c>
      <c r="L2329" t="inlineStr">
        <is>
          <t>Unknown</t>
        </is>
      </c>
      <c r="T2329" t="inlineStr">
        <is>
          <t>https://www.gasonet.in/files/Revised_SOR Dispenser -Champawat.xlsx</t>
        </is>
      </c>
      <c r="U2329" t="inlineStr">
        <is>
          <t>No</t>
        </is>
      </c>
      <c r="V2329" t="inlineStr">
        <is>
          <t>Bot tarafindan tespit edildi; date=2026-07-01; type=excel; score=195; Bot tespit/zenginlestirme (2026-07-01); meta:score=35;priority=Low;source_type=html_table;closing_date=;equipment=Gas-related / review;reasons=equipment:Gas-related / review,document source</t>
        </is>
      </c>
    </row>
    <row r="2330">
      <c r="A2330" t="inlineStr">
        <is>
          <t>T-2134</t>
        </is>
      </c>
      <c r="B2330" t="inlineStr">
        <is>
          <t>Gasonet Services</t>
        </is>
      </c>
      <c r="C2330" t="inlineStr">
        <is>
          <t>Gasonet Services</t>
        </is>
      </c>
      <c r="D2330" t="inlineStr">
        <is>
          <t>bid queries_Dispenser</t>
        </is>
      </c>
      <c r="F2330" t="inlineStr">
        <is>
          <t>New Lead</t>
        </is>
      </c>
      <c r="G2330" t="inlineStr">
        <is>
          <t>Gas-related / review</t>
        </is>
      </c>
      <c r="H2330"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0" t="inlineStr">
        <is>
          <t>Not found</t>
        </is>
      </c>
      <c r="L2330" t="inlineStr">
        <is>
          <t>Unknown</t>
        </is>
      </c>
      <c r="T2330" t="inlineStr">
        <is>
          <t>https://www.gasonet.in/files/Revised_SOR Dispenser -Mandi.xlsx</t>
        </is>
      </c>
      <c r="U2330" t="inlineStr">
        <is>
          <t>No</t>
        </is>
      </c>
      <c r="V2330" t="inlineStr">
        <is>
          <t>Bot tarafindan tespit edildi; date=2026-07-01; type=excel; score=195; Bot tespit/zenginlestirme (2026-07-01); meta:score=35;priority=Low;source_type=html_table;closing_date=;equipment=Gas-related / review;reasons=equipment:Gas-related / review,document source</t>
        </is>
      </c>
    </row>
    <row r="2331">
      <c r="A2331" t="inlineStr">
        <is>
          <t>T-2135</t>
        </is>
      </c>
      <c r="B2331" t="inlineStr">
        <is>
          <t>Gasonet Services</t>
        </is>
      </c>
      <c r="C2331" t="inlineStr">
        <is>
          <t>Gasonet Services</t>
        </is>
      </c>
      <c r="D2331" t="inlineStr">
        <is>
          <t>bid queries_Dispenser</t>
        </is>
      </c>
      <c r="F2331" t="inlineStr">
        <is>
          <t>New Lead</t>
        </is>
      </c>
      <c r="G2331" t="inlineStr">
        <is>
          <t>Gas-related / review</t>
        </is>
      </c>
      <c r="H2331"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1" t="inlineStr">
        <is>
          <t>Not found</t>
        </is>
      </c>
      <c r="L2331" t="inlineStr">
        <is>
          <t>Unknown</t>
        </is>
      </c>
      <c r="T2331" t="inlineStr">
        <is>
          <t>https://www.gasonet.in/files/Revised_SOR Dispenser -Churu.xlsx</t>
        </is>
      </c>
      <c r="U2331" t="inlineStr">
        <is>
          <t>No</t>
        </is>
      </c>
      <c r="V2331" t="inlineStr">
        <is>
          <t>Bot tarafindan tespit edildi; date=2026-07-01; type=excel; score=195; Bot tespit/zenginlestirme (2026-07-01); meta:score=35;priority=Low;source_type=html_table;closing_date=;equipment=Gas-related / review;reasons=equipment:Gas-related / review,document source</t>
        </is>
      </c>
    </row>
    <row r="2332">
      <c r="A2332" t="inlineStr">
        <is>
          <t>T-2136</t>
        </is>
      </c>
      <c r="B2332" t="inlineStr">
        <is>
          <t>Gasonet Services</t>
        </is>
      </c>
      <c r="C2332" t="inlineStr">
        <is>
          <t>Gasonet Services</t>
        </is>
      </c>
      <c r="D2332" t="inlineStr">
        <is>
          <t>TENDER DOCUMENT</t>
        </is>
      </c>
      <c r="F2332" t="inlineStr">
        <is>
          <t>New Lead</t>
        </is>
      </c>
      <c r="G2332" t="inlineStr">
        <is>
          <t>Gas-related / review</t>
        </is>
      </c>
      <c r="H2332" t="inlineStr">
        <is>
          <t>5 Annual Rate Contract For Hiring of HCV / MCV / LCV For CNG Transportation in Himachal, Rajasthan &amp; Uttarakhand GA'S TENDER DOCUMENT HCV-MCV-LCV HIRING-Comments SOR for LCV-HCV - UK- East SOR for LCV-HCV RAJASTHAN SOR for LCV-HCV - UK - West SOR for LCV-HCV -</t>
        </is>
      </c>
      <c r="K2332" t="inlineStr">
        <is>
          <t>Not found</t>
        </is>
      </c>
      <c r="L2332" t="inlineStr">
        <is>
          <t>Unknown</t>
        </is>
      </c>
      <c r="T2332" t="inlineStr">
        <is>
          <t>https://www.gasonet.in/files/SOR for LCV-HCV - UK- East.xlsx</t>
        </is>
      </c>
      <c r="U2332" t="inlineStr">
        <is>
          <t>No</t>
        </is>
      </c>
      <c r="V2332" t="inlineStr">
        <is>
          <t>Bot tarafindan tespit edildi; date=2026-07-01; type=excel; score=195; Bot tespit/zenginlestirme (2026-07-01); meta:score=35;priority=Low;source_type=html_table;closing_date=;equipment=Gas-related / review;reasons=equipment:Gas-related / review,document source</t>
        </is>
      </c>
    </row>
    <row r="2333">
      <c r="A2333" t="inlineStr">
        <is>
          <t>T-2137</t>
        </is>
      </c>
      <c r="B2333" t="inlineStr">
        <is>
          <t>Gasonet Services</t>
        </is>
      </c>
      <c r="C2333" t="inlineStr">
        <is>
          <t>Gasonet Services</t>
        </is>
      </c>
      <c r="D2333" t="inlineStr">
        <is>
          <t>TENDER DOCUMENT</t>
        </is>
      </c>
      <c r="F2333" t="inlineStr">
        <is>
          <t>New Lead</t>
        </is>
      </c>
      <c r="G2333" t="inlineStr">
        <is>
          <t>Gas-related / review</t>
        </is>
      </c>
      <c r="H2333" t="inlineStr">
        <is>
          <t>5 Annual Rate Contract For Hiring of HCV / MCV / LCV For CNG Transportation in Himachal, Rajasthan &amp; Uttarakhand GA'S TENDER DOCUMENT HCV-MCV-LCV HIRING-Comments SOR for LCV-HCV - UK- East SOR for LCV-HCV RAJASTHAN SOR for LCV-HCV - UK - West SOR for LCV-HCV -</t>
        </is>
      </c>
      <c r="K2333" t="inlineStr">
        <is>
          <t>Not found</t>
        </is>
      </c>
      <c r="L2333" t="inlineStr">
        <is>
          <t>Unknown</t>
        </is>
      </c>
      <c r="T2333" t="inlineStr">
        <is>
          <t>https://www.gasonet.in/files/SOR for LCV-HCV RAJASTHAN.xlsx</t>
        </is>
      </c>
      <c r="U2333" t="inlineStr">
        <is>
          <t>No</t>
        </is>
      </c>
      <c r="V2333" t="inlineStr">
        <is>
          <t>Bot tarafindan tespit edildi; date=2026-07-01; type=excel; score=195; Bot tespit/zenginlestirme (2026-07-01); meta:score=35;priority=Low;source_type=html_table;closing_date=;equipment=Gas-related / review;reasons=equipment:Gas-related / review,document source</t>
        </is>
      </c>
    </row>
    <row r="2334">
      <c r="A2334" t="inlineStr">
        <is>
          <t>T-2138</t>
        </is>
      </c>
      <c r="B2334" t="inlineStr">
        <is>
          <t>Gasonet Services</t>
        </is>
      </c>
      <c r="C2334" t="inlineStr">
        <is>
          <t>Gasonet Services</t>
        </is>
      </c>
      <c r="D2334" t="inlineStr">
        <is>
          <t>TENDER DOCUMENT</t>
        </is>
      </c>
      <c r="F2334" t="inlineStr">
        <is>
          <t>New Lead</t>
        </is>
      </c>
      <c r="G2334" t="inlineStr">
        <is>
          <t>Gas-related / review</t>
        </is>
      </c>
      <c r="H2334" t="inlineStr">
        <is>
          <t>5 Annual Rate Contract For Hiring of HCV / MCV / LCV For CNG Transportation in Himachal, Rajasthan &amp; Uttarakhand GA'S TENDER DOCUMENT HCV-MCV-LCV HIRING-Comments SOR for LCV-HCV - UK- East SOR for LCV-HCV RAJASTHAN SOR for LCV-HCV - UK - West SOR for LCV-HCV -</t>
        </is>
      </c>
      <c r="K2334" t="inlineStr">
        <is>
          <t>Not found</t>
        </is>
      </c>
      <c r="L2334" t="inlineStr">
        <is>
          <t>Unknown</t>
        </is>
      </c>
      <c r="T2334" t="inlineStr">
        <is>
          <t>https://www.gasonet.in/files/SOR for LCV-HCV - UK - West.xlsx</t>
        </is>
      </c>
      <c r="U2334" t="inlineStr">
        <is>
          <t>No</t>
        </is>
      </c>
      <c r="V2334" t="inlineStr">
        <is>
          <t>Bot tarafindan tespit edildi; date=2026-07-01; type=excel; score=195; Bot tespit/zenginlestirme (2026-07-01); meta:score=35;priority=Low;source_type=html_table;closing_date=;equipment=Gas-related / review;reasons=equipment:Gas-related / review,document source</t>
        </is>
      </c>
    </row>
    <row r="2335">
      <c r="A2335" t="inlineStr">
        <is>
          <t>T-2139</t>
        </is>
      </c>
      <c r="B2335" t="inlineStr">
        <is>
          <t>Gasonet Services</t>
        </is>
      </c>
      <c r="C2335" t="inlineStr">
        <is>
          <t>Gasonet Services</t>
        </is>
      </c>
      <c r="D2335" t="inlineStr">
        <is>
          <t>TENDER DOCUMENT</t>
        </is>
      </c>
      <c r="F2335" t="inlineStr">
        <is>
          <t>New Lead</t>
        </is>
      </c>
      <c r="G2335" t="inlineStr">
        <is>
          <t>Gas-related / review</t>
        </is>
      </c>
      <c r="H2335" t="inlineStr">
        <is>
          <t>5 Annual Rate Contract For Hiring of HCV / MCV / LCV For CNG Transportation in Himachal, Rajasthan &amp; Uttarakhand GA'S TENDER DOCUMENT HCV-MCV-LCV HIRING-Comments SOR for LCV-HCV - UK- East SOR for LCV-HCV RAJASTHAN SOR for LCV-HCV - UK - West SOR for LCV-HCV -</t>
        </is>
      </c>
      <c r="K2335" t="inlineStr">
        <is>
          <t>Not found</t>
        </is>
      </c>
      <c r="L2335" t="inlineStr">
        <is>
          <t>Unknown</t>
        </is>
      </c>
      <c r="T2335" t="inlineStr">
        <is>
          <t>https://www.gasonet.in/files/Uttrakhand-East GA.xlsx</t>
        </is>
      </c>
      <c r="U2335" t="inlineStr">
        <is>
          <t>No</t>
        </is>
      </c>
      <c r="V2335" t="inlineStr">
        <is>
          <t>Bot tarafindan tespit edildi; date=2026-07-01; type=excel; score=195; Bot tespit/zenginlestirme (2026-07-01); meta:score=35;priority=Low;source_type=html_table;closing_date=;equipment=Gas-related / review;reasons=equipment:Gas-related / review,document source</t>
        </is>
      </c>
    </row>
    <row r="2336">
      <c r="A2336" t="inlineStr">
        <is>
          <t>T-2140</t>
        </is>
      </c>
      <c r="B2336" t="inlineStr">
        <is>
          <t>Gasonet Services</t>
        </is>
      </c>
      <c r="C2336" t="inlineStr">
        <is>
          <t>Gasonet Services</t>
        </is>
      </c>
      <c r="D2336" t="inlineStr">
        <is>
          <t>TENDER DOCUMENT</t>
        </is>
      </c>
      <c r="F2336" t="inlineStr">
        <is>
          <t>New Lead</t>
        </is>
      </c>
      <c r="G2336" t="inlineStr">
        <is>
          <t>Gas-related / review</t>
        </is>
      </c>
      <c r="H2336" t="inlineStr">
        <is>
          <t>5 Annual Rate Contract For Hiring of HCV / MCV / LCV For CNG Transportation in Himachal, Rajasthan &amp; Uttarakhand GA'S TENDER DOCUMENT HCV-MCV-LCV HIRING-Comments SOR for LCV-HCV - UK- East SOR for LCV-HCV RAJASTHAN SOR for LCV-HCV - UK - West SOR for LCV-HCV -</t>
        </is>
      </c>
      <c r="K2336" t="inlineStr">
        <is>
          <t>Not found</t>
        </is>
      </c>
      <c r="L2336" t="inlineStr">
        <is>
          <t>Unknown</t>
        </is>
      </c>
      <c r="T2336" t="inlineStr">
        <is>
          <t>https://www.gasonet.in/files/HP -GA.xlsx</t>
        </is>
      </c>
      <c r="U2336" t="inlineStr">
        <is>
          <t>No</t>
        </is>
      </c>
      <c r="V2336" t="inlineStr">
        <is>
          <t>Bot tarafindan tespit edildi; date=2026-07-01; type=excel; score=195; Bot tespit/zenginlestirme (2026-07-01); meta:score=35;priority=Low;source_type=html_table;closing_date=;equipment=Gas-related / review;reasons=equipment:Gas-related / review,document source</t>
        </is>
      </c>
    </row>
    <row r="2337">
      <c r="A2337" t="inlineStr">
        <is>
          <t>T-2141</t>
        </is>
      </c>
      <c r="B2337" t="inlineStr">
        <is>
          <t>Gasonet Services</t>
        </is>
      </c>
      <c r="C2337" t="inlineStr">
        <is>
          <t>Gasonet Services</t>
        </is>
      </c>
      <c r="D2337" t="inlineStr">
        <is>
          <t>TENDER DOCUMENT</t>
        </is>
      </c>
      <c r="F2337" t="inlineStr">
        <is>
          <t>New Lead</t>
        </is>
      </c>
      <c r="G2337" t="inlineStr">
        <is>
          <t>Gas-related / review</t>
        </is>
      </c>
      <c r="H2337" t="inlineStr">
        <is>
          <t>5 Annual Rate Contract For Hiring of HCV / MCV / LCV For CNG Transportation in Himachal, Rajasthan &amp; Uttarakhand GA'S TENDER DOCUMENT HCV-MCV-LCV HIRING-Comments SOR for LCV-HCV - UK- East SOR for LCV-HCV RAJASTHAN SOR for LCV-HCV - UK - West SOR for LCV-HCV -</t>
        </is>
      </c>
      <c r="K2337" t="inlineStr">
        <is>
          <t>Not found</t>
        </is>
      </c>
      <c r="L2337" t="inlineStr">
        <is>
          <t>Unknown</t>
        </is>
      </c>
      <c r="T2337" t="inlineStr">
        <is>
          <t>https://www.gasonet.in/files/Rajasthan GA.xlsx</t>
        </is>
      </c>
      <c r="U2337" t="inlineStr">
        <is>
          <t>No</t>
        </is>
      </c>
      <c r="V2337" t="inlineStr">
        <is>
          <t>Bot tarafindan tespit edildi; date=2026-07-01; type=excel; score=195; Bot tespit/zenginlestirme (2026-07-01); meta:score=35;priority=Low;source_type=html_table;closing_date=;equipment=Gas-related / review;reasons=equipment:Gas-related / review,document source</t>
        </is>
      </c>
    </row>
    <row r="2338">
      <c r="A2338" t="inlineStr">
        <is>
          <t>T-2142</t>
        </is>
      </c>
      <c r="B2338" t="inlineStr">
        <is>
          <t>Gasonet Services</t>
        </is>
      </c>
      <c r="C2338" t="inlineStr">
        <is>
          <t>Gasonet Services</t>
        </is>
      </c>
      <c r="D2338" t="inlineStr">
        <is>
          <t>TENDER DOCUMENT</t>
        </is>
      </c>
      <c r="F2338" t="inlineStr">
        <is>
          <t>New Lead</t>
        </is>
      </c>
      <c r="G2338" t="inlineStr">
        <is>
          <t>Gas-related / review</t>
        </is>
      </c>
      <c r="H2338" t="inlineStr">
        <is>
          <t>5 Annual Rate Contract For Hiring of HCV / MCV / LCV For CNG Transportation in Himachal, Rajasthan &amp; Uttarakhand GA'S TENDER DOCUMENT HCV-MCV-LCV HIRING-Comments SOR for LCV-HCV - UK- East SOR for LCV-HCV RAJASTHAN SOR for LCV-HCV - UK - West SOR for LCV-HCV -</t>
        </is>
      </c>
      <c r="K2338" t="inlineStr">
        <is>
          <t>Not found</t>
        </is>
      </c>
      <c r="L2338" t="inlineStr">
        <is>
          <t>Unknown</t>
        </is>
      </c>
      <c r="T2338" t="inlineStr">
        <is>
          <t>https://www.gasonet.in/files/Uttrakhand WEST GA.xlsx</t>
        </is>
      </c>
      <c r="U2338" t="inlineStr">
        <is>
          <t>No</t>
        </is>
      </c>
      <c r="V2338" t="inlineStr">
        <is>
          <t>Bot tarafindan tespit edildi; date=2026-07-01; type=excel; score=195; Bot tespit/zenginlestirme (2026-07-01); meta:score=35;priority=Low;source_type=html_table;closing_date=;equipment=Gas-related / review;reasons=equipment:Gas-related / review,document source</t>
        </is>
      </c>
    </row>
    <row r="2339">
      <c r="A2339" t="inlineStr">
        <is>
          <t>T-2143</t>
        </is>
      </c>
      <c r="B2339" t="inlineStr">
        <is>
          <t>Gasonet Services</t>
        </is>
      </c>
      <c r="C2339" t="inlineStr">
        <is>
          <t>Gasonet Services</t>
        </is>
      </c>
      <c r="D2339" t="inlineStr">
        <is>
          <t>Tender No. : GSL/RJ/CO/C</t>
        </is>
      </c>
      <c r="E2339" t="inlineStr">
        <is>
          <t>27-06-2025</t>
        </is>
      </c>
      <c r="F2339" t="inlineStr">
        <is>
          <t>New Lead</t>
        </is>
      </c>
      <c r="G2339" t="inlineStr">
        <is>
          <t>Gas-related / review</t>
        </is>
      </c>
      <c r="H2339" t="inlineStr">
        <is>
          <t>18 Transportation of Liquefied Natural Gas (LNG) by Road from Dahej Terminal. Tender No. : GSL/RJ/CO/C&amp;P-PROJECTS/BD202506S001 Tender Document PNGRB - Transporation GCC CPBG - GSRJL Replies to Bidder Queries 27-06-2025 at 11:30 Hrs. 10-07-2025 till 16:00 Hrs.</t>
        </is>
      </c>
      <c r="K2339" t="inlineStr">
        <is>
          <t>Not found</t>
        </is>
      </c>
      <c r="L2339" t="inlineStr">
        <is>
          <t>Unknown</t>
        </is>
      </c>
      <c r="T2339" t="inlineStr">
        <is>
          <t>https://www.gasonet.in/files/PNGRB- Transporation.pdf</t>
        </is>
      </c>
      <c r="U2339" t="inlineStr">
        <is>
          <t>No</t>
        </is>
      </c>
      <c r="V2339"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0">
      <c r="A2340" t="inlineStr">
        <is>
          <t>T-2144</t>
        </is>
      </c>
      <c r="B2340" t="inlineStr">
        <is>
          <t>Gasonet Services</t>
        </is>
      </c>
      <c r="C2340" t="inlineStr">
        <is>
          <t>Gasonet Services</t>
        </is>
      </c>
      <c r="D2340" t="inlineStr">
        <is>
          <t>Tender No. : GSL/RJ/CO/C</t>
        </is>
      </c>
      <c r="E2340" t="inlineStr">
        <is>
          <t>27-06-2025</t>
        </is>
      </c>
      <c r="F2340" t="inlineStr">
        <is>
          <t>New Lead</t>
        </is>
      </c>
      <c r="G2340" t="inlineStr">
        <is>
          <t>Gas-related / review</t>
        </is>
      </c>
      <c r="H2340" t="inlineStr">
        <is>
          <t>18 Transportation of Liquefied Natural Gas (LNG) by Road from Dahej Terminal. Tender No. : GSL/RJ/CO/C&amp;P-PROJECTS/BD202506S001 Tender Document PNGRB - Transporation GCC CPBG - GSRJL Replies to Bidder Queries 27-06-2025 at 11:30 Hrs. 10-07-2025 till 16:00 Hrs.</t>
        </is>
      </c>
      <c r="K2340" t="inlineStr">
        <is>
          <t>Not found</t>
        </is>
      </c>
      <c r="L2340" t="inlineStr">
        <is>
          <t>Unknown</t>
        </is>
      </c>
      <c r="T2340" t="inlineStr">
        <is>
          <t>https://www.gasonet.in/files/18-GCC.pdf</t>
        </is>
      </c>
      <c r="U2340" t="inlineStr">
        <is>
          <t>No</t>
        </is>
      </c>
      <c r="V2340"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1">
      <c r="A2341" t="inlineStr">
        <is>
          <t>T-2145</t>
        </is>
      </c>
      <c r="B2341" t="inlineStr">
        <is>
          <t>Gasonet Services</t>
        </is>
      </c>
      <c r="C2341" t="inlineStr">
        <is>
          <t>Gasonet Services</t>
        </is>
      </c>
      <c r="D2341" t="inlineStr">
        <is>
          <t>Tender No. : GSL/RJ/CO/C</t>
        </is>
      </c>
      <c r="E2341" t="inlineStr">
        <is>
          <t>27-06-2025</t>
        </is>
      </c>
      <c r="F2341" t="inlineStr">
        <is>
          <t>New Lead</t>
        </is>
      </c>
      <c r="G2341" t="inlineStr">
        <is>
          <t>Gas-related / review</t>
        </is>
      </c>
      <c r="H2341" t="inlineStr">
        <is>
          <t>18 Transportation of Liquefied Natural Gas (LNG) by Road from Dahej Terminal. Tender No. : GSL/RJ/CO/C&amp;P-PROJECTS/BD202506S001 Tender Document PNGRB - Transporation GCC CPBG - GSRJL Replies to Bidder Queries 27-06-2025 at 11:30 Hrs. 10-07-2025 till 16:00 Hrs.</t>
        </is>
      </c>
      <c r="K2341" t="inlineStr">
        <is>
          <t>Not found</t>
        </is>
      </c>
      <c r="L2341" t="inlineStr">
        <is>
          <t>Unknown</t>
        </is>
      </c>
      <c r="T2341" t="inlineStr">
        <is>
          <t>https://www.gasonet.in/files/CPBG_GSRJL.docx</t>
        </is>
      </c>
      <c r="U2341" t="inlineStr">
        <is>
          <t>No</t>
        </is>
      </c>
      <c r="V2341" t="inlineStr">
        <is>
          <t>Bot tarafindan tespit edildi; date=2026-07-01; type=doc; score=195; Bot tespit/zenginlestirme (2026-07-01); meta:score=50;priority=Medium;source_type=html_table;closing_date=;equipment=Gas-related / review;reasons=equipment:Gas-related / review,document source,tender reference signal</t>
        </is>
      </c>
    </row>
    <row r="2342">
      <c r="A2342" t="inlineStr">
        <is>
          <t>T-2146</t>
        </is>
      </c>
      <c r="B2342" t="inlineStr">
        <is>
          <t>Gasonet Services</t>
        </is>
      </c>
      <c r="C2342" t="inlineStr">
        <is>
          <t>Gasonet Services</t>
        </is>
      </c>
      <c r="D2342" t="inlineStr">
        <is>
          <t>Tender No. : GASONET/C</t>
        </is>
      </c>
      <c r="F2342" t="inlineStr">
        <is>
          <t>New Lead</t>
        </is>
      </c>
      <c r="G2342" t="inlineStr">
        <is>
          <t>Gas-related / review</t>
        </is>
      </c>
      <c r="H2342"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2" t="inlineStr">
        <is>
          <t>Not found</t>
        </is>
      </c>
      <c r="L2342" t="inlineStr">
        <is>
          <t>Unknown</t>
        </is>
      </c>
      <c r="T2342" t="inlineStr">
        <is>
          <t>https://www.gasonet.in/files/26-GCC.pdf</t>
        </is>
      </c>
      <c r="U2342" t="inlineStr">
        <is>
          <t>No</t>
        </is>
      </c>
      <c r="V2342"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3">
      <c r="A2343" t="inlineStr">
        <is>
          <t>T-2147</t>
        </is>
      </c>
      <c r="B2343" t="inlineStr">
        <is>
          <t>Gasonet Services</t>
        </is>
      </c>
      <c r="C2343" t="inlineStr">
        <is>
          <t>Gasonet Services</t>
        </is>
      </c>
      <c r="D2343" t="inlineStr">
        <is>
          <t>Tender No. : GASONET/C</t>
        </is>
      </c>
      <c r="F2343" t="inlineStr">
        <is>
          <t>New Lead</t>
        </is>
      </c>
      <c r="G2343" t="inlineStr">
        <is>
          <t>Gas-related / review</t>
        </is>
      </c>
      <c r="H2343"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3" t="inlineStr">
        <is>
          <t>Not found</t>
        </is>
      </c>
      <c r="L2343" t="inlineStr">
        <is>
          <t>Unknown</t>
        </is>
      </c>
      <c r="T2343" t="inlineStr">
        <is>
          <t>https://www.gasonet.in/files/26-SOR-MLC-PIPE-FITTINGS.xlsx</t>
        </is>
      </c>
      <c r="U2343" t="inlineStr">
        <is>
          <t>No</t>
        </is>
      </c>
      <c r="V2343"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4">
      <c r="A2344" t="inlineStr">
        <is>
          <t>T-2148</t>
        </is>
      </c>
      <c r="B2344" t="inlineStr">
        <is>
          <t>Gasonet Services</t>
        </is>
      </c>
      <c r="C2344" t="inlineStr">
        <is>
          <t>Gasonet Services</t>
        </is>
      </c>
      <c r="D2344" t="inlineStr">
        <is>
          <t>Tender No. : GASONET/C</t>
        </is>
      </c>
      <c r="F2344" t="inlineStr">
        <is>
          <t>New Lead</t>
        </is>
      </c>
      <c r="G2344" t="inlineStr">
        <is>
          <t>Gas-related / review</t>
        </is>
      </c>
      <c r="H2344"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4" t="inlineStr">
        <is>
          <t>Not found</t>
        </is>
      </c>
      <c r="L2344" t="inlineStr">
        <is>
          <t>Unknown</t>
        </is>
      </c>
      <c r="T2344" t="inlineStr">
        <is>
          <t>https://www.gasonet.in/files/26-SOR.pdf</t>
        </is>
      </c>
      <c r="U2344" t="inlineStr">
        <is>
          <t>No</t>
        </is>
      </c>
      <c r="V2344"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5">
      <c r="A2345" t="inlineStr">
        <is>
          <t>T-2149</t>
        </is>
      </c>
      <c r="B2345" t="inlineStr">
        <is>
          <t>Gasonet Services</t>
        </is>
      </c>
      <c r="C2345" t="inlineStr">
        <is>
          <t>Gasonet Services</t>
        </is>
      </c>
      <c r="D2345" t="inlineStr">
        <is>
          <t>Tender No. : GASONET/C</t>
        </is>
      </c>
      <c r="F2345" t="inlineStr">
        <is>
          <t>New Lead</t>
        </is>
      </c>
      <c r="G2345" t="inlineStr">
        <is>
          <t>Gas-related / review</t>
        </is>
      </c>
      <c r="H2345"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5" t="inlineStr">
        <is>
          <t>Not found</t>
        </is>
      </c>
      <c r="L2345" t="inlineStr">
        <is>
          <t>Unknown</t>
        </is>
      </c>
      <c r="T2345" t="inlineStr">
        <is>
          <t>https://www.gasonet.in/files/27-GCC.pdf</t>
        </is>
      </c>
      <c r="U2345" t="inlineStr">
        <is>
          <t>No</t>
        </is>
      </c>
      <c r="V2345"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6">
      <c r="A2346" t="inlineStr">
        <is>
          <t>T-2150</t>
        </is>
      </c>
      <c r="B2346" t="inlineStr">
        <is>
          <t>Gasonet Services</t>
        </is>
      </c>
      <c r="C2346" t="inlineStr">
        <is>
          <t>Gasonet Services</t>
        </is>
      </c>
      <c r="D2346" t="inlineStr">
        <is>
          <t>Tender No. : GASONET/C</t>
        </is>
      </c>
      <c r="F2346" t="inlineStr">
        <is>
          <t>New Lead</t>
        </is>
      </c>
      <c r="G2346" t="inlineStr">
        <is>
          <t>Gas-related / review</t>
        </is>
      </c>
      <c r="H2346"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6" t="inlineStr">
        <is>
          <t>Not found</t>
        </is>
      </c>
      <c r="L2346" t="inlineStr">
        <is>
          <t>Unknown</t>
        </is>
      </c>
      <c r="T2346" t="inlineStr">
        <is>
          <t>https://www.gasonet.in/files/27-SOR _GI-PIPE.xlsx</t>
        </is>
      </c>
      <c r="U2346" t="inlineStr">
        <is>
          <t>No</t>
        </is>
      </c>
      <c r="V2346"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7">
      <c r="A2347" t="inlineStr">
        <is>
          <t>T-2151</t>
        </is>
      </c>
      <c r="B2347" t="inlineStr">
        <is>
          <t>Gasonet Services</t>
        </is>
      </c>
      <c r="C2347" t="inlineStr">
        <is>
          <t>Gasonet Services</t>
        </is>
      </c>
      <c r="F2347" t="inlineStr">
        <is>
          <t>New Lead</t>
        </is>
      </c>
      <c r="G2347" t="inlineStr">
        <is>
          <t>Gas-related / review</t>
        </is>
      </c>
      <c r="H2347"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7" t="inlineStr">
        <is>
          <t>Not found</t>
        </is>
      </c>
      <c r="L2347" t="inlineStr">
        <is>
          <t>Unknown</t>
        </is>
      </c>
      <c r="T2347" t="inlineStr">
        <is>
          <t>https://www.gasonet.in/files/CNG CASCADE Technical Volume II of II.pdf</t>
        </is>
      </c>
      <c r="U2347" t="inlineStr">
        <is>
          <t>No</t>
        </is>
      </c>
      <c r="V2347" t="inlineStr">
        <is>
          <t>Bot tarafindan tespit edildi; date=2026-07-01; type=pdf; score=175; Bot tespit/zenginlestirme (2026-07-01); meta:score=35;priority=Low;source_type=html_table;closing_date=;equipment=Gas-related / review;reasons=equipment:Gas-related / review,document source</t>
        </is>
      </c>
    </row>
    <row r="2348">
      <c r="A2348" t="inlineStr">
        <is>
          <t>T-2152</t>
        </is>
      </c>
      <c r="B2348" t="inlineStr">
        <is>
          <t>Gasonet Services</t>
        </is>
      </c>
      <c r="C2348" t="inlineStr">
        <is>
          <t>Gasonet Services</t>
        </is>
      </c>
      <c r="F2348" t="inlineStr">
        <is>
          <t>New Lead</t>
        </is>
      </c>
      <c r="G2348" t="inlineStr">
        <is>
          <t>Gas-related / review</t>
        </is>
      </c>
      <c r="H2348"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8" t="inlineStr">
        <is>
          <t>Not found</t>
        </is>
      </c>
      <c r="L2348" t="inlineStr">
        <is>
          <t>Unknown</t>
        </is>
      </c>
      <c r="T2348" t="inlineStr">
        <is>
          <t>https://www.gasonet.in/files/CNG CASCADE Commercial Volume I of II.pdf</t>
        </is>
      </c>
      <c r="U2348" t="inlineStr">
        <is>
          <t>No</t>
        </is>
      </c>
      <c r="V2348" t="inlineStr">
        <is>
          <t>Bot tarafindan tespit edildi; date=2026-07-01; type=pdf; score=175; Bot tespit/zenginlestirme (2026-07-01); meta:score=35;priority=Low;source_type=html_table;closing_date=;equipment=Gas-related / review;reasons=equipment:Gas-related / review,document source</t>
        </is>
      </c>
    </row>
    <row r="2349">
      <c r="A2349" t="inlineStr">
        <is>
          <t>T-2153</t>
        </is>
      </c>
      <c r="B2349" t="inlineStr">
        <is>
          <t>Gasonet Services</t>
        </is>
      </c>
      <c r="C2349" t="inlineStr">
        <is>
          <t>Gasonet Services</t>
        </is>
      </c>
      <c r="F2349" t="inlineStr">
        <is>
          <t>New Lead</t>
        </is>
      </c>
      <c r="G2349" t="inlineStr">
        <is>
          <t>Gas-related / review</t>
        </is>
      </c>
      <c r="H2349"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9" t="inlineStr">
        <is>
          <t>Not found</t>
        </is>
      </c>
      <c r="L2349" t="inlineStr">
        <is>
          <t>Unknown</t>
        </is>
      </c>
      <c r="T2349" t="inlineStr">
        <is>
          <t>https://www.gasonet.in/files/SOR - Group A.xlsx</t>
        </is>
      </c>
      <c r="U2349" t="inlineStr">
        <is>
          <t>No</t>
        </is>
      </c>
      <c r="V2349" t="inlineStr">
        <is>
          <t>Bot tarafindan tespit edildi; date=2026-07-01; type=excel; score=175; Bot tespit/zenginlestirme (2026-07-01); meta:score=35;priority=Low;source_type=html_table;closing_date=;equipment=Gas-related / review;reasons=equipment:Gas-related / review,document source</t>
        </is>
      </c>
    </row>
    <row r="2350">
      <c r="A2350" t="inlineStr">
        <is>
          <t>T-2154</t>
        </is>
      </c>
      <c r="B2350" t="inlineStr">
        <is>
          <t>Gasonet Services</t>
        </is>
      </c>
      <c r="C2350" t="inlineStr">
        <is>
          <t>Gasonet Services</t>
        </is>
      </c>
      <c r="F2350" t="inlineStr">
        <is>
          <t>New Lead</t>
        </is>
      </c>
      <c r="G2350" t="inlineStr">
        <is>
          <t>Gas-related / review</t>
        </is>
      </c>
      <c r="H2350"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50" t="inlineStr">
        <is>
          <t>Not found</t>
        </is>
      </c>
      <c r="L2350" t="inlineStr">
        <is>
          <t>Unknown</t>
        </is>
      </c>
      <c r="T2350" t="inlineStr">
        <is>
          <t>https://www.gasonet.in/files/SOR - Group B.xlsx</t>
        </is>
      </c>
      <c r="U2350" t="inlineStr">
        <is>
          <t>No</t>
        </is>
      </c>
      <c r="V2350" t="inlineStr">
        <is>
          <t>Bot tarafindan tespit edildi; date=2026-07-01; type=excel; score=175; Bot tespit/zenginlestirme (2026-07-01); meta:score=35;priority=Low;source_type=html_table;closing_date=;equipment=Gas-related / review;reasons=equipment:Gas-related / review,document source</t>
        </is>
      </c>
    </row>
    <row r="2351">
      <c r="A2351" t="inlineStr">
        <is>
          <t>T-2155</t>
        </is>
      </c>
      <c r="B2351" t="inlineStr">
        <is>
          <t>Gasonet Services</t>
        </is>
      </c>
      <c r="C2351" t="inlineStr">
        <is>
          <t>Gasonet Services</t>
        </is>
      </c>
      <c r="D2351" t="inlineStr">
        <is>
          <t>Tender No. : GSRJL/C</t>
        </is>
      </c>
      <c r="E2351" t="inlineStr">
        <is>
          <t>2025-26/01</t>
        </is>
      </c>
      <c r="F2351" t="inlineStr">
        <is>
          <t>New Lead</t>
        </is>
      </c>
      <c r="G2351" t="inlineStr">
        <is>
          <t>Gas-related / review</t>
        </is>
      </c>
      <c r="H2351" t="inlineStr">
        <is>
          <t>17 Hiring Of Agency For Construction Management Services (CMS) For City Gas Distribution Projects. Tender No. : GSRJL/C&amp;P/CMS/2025-26/01 Tender Document Replies to Bidders Queries SOR 22-05-2025 at 11:00 hrs. 07-06-2025 up to 14:00 Hrs 07-06-2025 at 16:00 Hrs</t>
        </is>
      </c>
      <c r="K2351" t="inlineStr">
        <is>
          <t>Not found</t>
        </is>
      </c>
      <c r="L2351" t="inlineStr">
        <is>
          <t>Unknown</t>
        </is>
      </c>
      <c r="T2351" t="inlineStr">
        <is>
          <t>https://www.gasonet.in/files/SOR-4-6-25.xlsx</t>
        </is>
      </c>
      <c r="U2351" t="inlineStr">
        <is>
          <t>No</t>
        </is>
      </c>
      <c r="V2351" t="inlineStr">
        <is>
          <t>Bot tarafindan tespit edildi; date=2026-07-01; type=excel; score=135; Bot tespit/zenginlestirme (2026-07-01); meta:score=50;priority=Medium;source_type=html_table;closing_date=;equipment=Gas-related / review;reasons=equipment:Gas-related / review,document source,tender reference signal</t>
        </is>
      </c>
    </row>
    <row r="2352">
      <c r="A2352" t="inlineStr">
        <is>
          <t>T-2156</t>
        </is>
      </c>
      <c r="B2352" t="inlineStr">
        <is>
          <t>Gasonet Services</t>
        </is>
      </c>
      <c r="C2352" t="inlineStr">
        <is>
          <t>Gasonet Services</t>
        </is>
      </c>
      <c r="D2352" t="inlineStr">
        <is>
          <t>Tender No. : GSL/PE-BALL</t>
        </is>
      </c>
      <c r="E2352" t="inlineStr">
        <is>
          <t>2025-26/07</t>
        </is>
      </c>
      <c r="F2352" t="inlineStr">
        <is>
          <t>New Lead</t>
        </is>
      </c>
      <c r="G2352" t="inlineStr">
        <is>
          <t>Unclassified</t>
        </is>
      </c>
      <c r="H2352" t="inlineStr">
        <is>
          <t>23 GASONET/C&amp;P- PURCHASE OF THE PE BALL VALVES (TWO PURGE SYSTEM) FOR RAJASTHAN, HIMACHAL PRADESH AND UTTRAKHAND (EAST &amp; WEST ) GA Tender No. : GSL/PE-BALL VALVE /2025-26/07 Tender Document GCC SOR SOR Additional Replies to Bidders' Queries 05.12.2025 at 13:00</t>
        </is>
      </c>
      <c r="K2352" t="inlineStr">
        <is>
          <t>Not found</t>
        </is>
      </c>
      <c r="L2352" t="inlineStr">
        <is>
          <t>Unknown</t>
        </is>
      </c>
      <c r="T2352" t="inlineStr">
        <is>
          <t>https://www.gasonet.in/files/23-GCC-Works.pdf</t>
        </is>
      </c>
      <c r="U2352" t="inlineStr">
        <is>
          <t>No</t>
        </is>
      </c>
      <c r="V2352" t="inlineStr">
        <is>
          <t>Bot tarafindan tespit edildi; date=2026-07-01; type=pdf; score=135; Bot tespit/zenginlestirme (2026-07-01); meta:score=35;priority=Low;source_type=html_table;closing_date=;equipment=Unclassified;reasons=document source,tender reference signal</t>
        </is>
      </c>
    </row>
    <row r="2353">
      <c r="A2353" t="inlineStr">
        <is>
          <t>T-2157</t>
        </is>
      </c>
      <c r="B2353" t="inlineStr">
        <is>
          <t>Gasonet Services</t>
        </is>
      </c>
      <c r="C2353" t="inlineStr">
        <is>
          <t>Gasonet Services</t>
        </is>
      </c>
      <c r="D2353" t="inlineStr">
        <is>
          <t>Tender No. : GSL/PE-BALL</t>
        </is>
      </c>
      <c r="E2353" t="inlineStr">
        <is>
          <t>2025-26/07</t>
        </is>
      </c>
      <c r="F2353" t="inlineStr">
        <is>
          <t>New Lead</t>
        </is>
      </c>
      <c r="G2353" t="inlineStr">
        <is>
          <t>Unclassified</t>
        </is>
      </c>
      <c r="H2353" t="inlineStr">
        <is>
          <t>23 GASONET/C&amp;P- PURCHASE OF THE PE BALL VALVES (TWO PURGE SYSTEM) FOR RAJASTHAN, HIMACHAL PRADESH AND UTTRAKHAND (EAST &amp; WEST ) GA Tender No. : GSL/PE-BALL VALVE /2025-26/07 Tender Document GCC SOR SOR Additional Replies to Bidders' Queries 05.12.2025 at 13:00</t>
        </is>
      </c>
      <c r="K2353" t="inlineStr">
        <is>
          <t>Not found</t>
        </is>
      </c>
      <c r="L2353" t="inlineStr">
        <is>
          <t>Unknown</t>
        </is>
      </c>
      <c r="T2353" t="inlineStr">
        <is>
          <t>https://www.gasonet.in/files/23-SOR.pdf</t>
        </is>
      </c>
      <c r="U2353" t="inlineStr">
        <is>
          <t>No</t>
        </is>
      </c>
      <c r="V2353" t="inlineStr">
        <is>
          <t>Bot tarafindan tespit edildi; date=2026-07-01; type=pdf; score=135; Bot tespit/zenginlestirme (2026-07-01); meta:score=35;priority=Low;source_type=html_table;closing_date=;equipment=Unclassified;reasons=document source,tender reference signal</t>
        </is>
      </c>
    </row>
    <row r="2354">
      <c r="A2354" t="inlineStr">
        <is>
          <t>T-2158</t>
        </is>
      </c>
      <c r="B2354" t="inlineStr">
        <is>
          <t>Gasonet Services</t>
        </is>
      </c>
      <c r="C2354" t="inlineStr">
        <is>
          <t>Gasonet Services</t>
        </is>
      </c>
      <c r="D2354" t="inlineStr">
        <is>
          <t>Tender No. : GSL/PE-BALL</t>
        </is>
      </c>
      <c r="E2354" t="inlineStr">
        <is>
          <t>2025-26/07</t>
        </is>
      </c>
      <c r="F2354" t="inlineStr">
        <is>
          <t>New Lead</t>
        </is>
      </c>
      <c r="G2354" t="inlineStr">
        <is>
          <t>Unclassified</t>
        </is>
      </c>
      <c r="H2354" t="inlineStr">
        <is>
          <t>23 GASONET/C&amp;P- PURCHASE OF THE PE BALL VALVES (TWO PURGE SYSTEM) FOR RAJASTHAN, HIMACHAL PRADESH AND UTTRAKHAND (EAST &amp; WEST ) GA Tender No. : GSL/PE-BALL VALVE /2025-26/07 Tender Document GCC SOR SOR Additional Replies to Bidders' Queries 05.12.2025 at 13:00</t>
        </is>
      </c>
      <c r="K2354" t="inlineStr">
        <is>
          <t>Not found</t>
        </is>
      </c>
      <c r="L2354" t="inlineStr">
        <is>
          <t>Unknown</t>
        </is>
      </c>
      <c r="T2354" t="inlineStr">
        <is>
          <t>https://www.gasonet.in/files/23-SOR.xlsx</t>
        </is>
      </c>
      <c r="U2354" t="inlineStr">
        <is>
          <t>No</t>
        </is>
      </c>
      <c r="V2354" t="inlineStr">
        <is>
          <t>Bot tarafindan tespit edildi; date=2026-07-01; type=excel; score=135; Bot tespit/zenginlestirme (2026-07-01); meta:score=35;priority=Low;source_type=html_table;closing_date=;equipment=Unclassified;reasons=document source,tender reference signal</t>
        </is>
      </c>
    </row>
    <row r="2355">
      <c r="A2355" t="inlineStr">
        <is>
          <t>T-2159</t>
        </is>
      </c>
      <c r="B2355" t="inlineStr">
        <is>
          <t>Gasonet Services</t>
        </is>
      </c>
      <c r="C2355" t="inlineStr">
        <is>
          <t>Gasonet Services</t>
        </is>
      </c>
      <c r="D2355" t="inlineStr">
        <is>
          <t>Tender No. : GSL/PE-FITTING</t>
        </is>
      </c>
      <c r="E2355" t="inlineStr">
        <is>
          <t>2025-26/08</t>
        </is>
      </c>
      <c r="F2355" t="inlineStr">
        <is>
          <t>New Lead</t>
        </is>
      </c>
      <c r="G2355" t="inlineStr">
        <is>
          <t>Unclassified</t>
        </is>
      </c>
      <c r="H2355" t="inlineStr">
        <is>
          <t>24 GASONET/C&amp;P- PROCUREMENT OF PE FITTINGS FOR RAJASTHAN, HIMACHAL PRADESH AND UTTRAKHAND (EAST &amp; WEST ) GA. Tender No. : GSL/PE-FITTING /2025-26/08 Tender Document SOR HP GA SOR UK-W GA SOR UK-E GA SOR RJ GA Addendum-1 12.01.2026 up to 13:00 Hrs 12.01.2026 at</t>
        </is>
      </c>
      <c r="K2355" t="inlineStr">
        <is>
          <t>Not found</t>
        </is>
      </c>
      <c r="L2355" t="inlineStr">
        <is>
          <t>Unknown</t>
        </is>
      </c>
      <c r="T2355" t="inlineStr">
        <is>
          <t>https://www.gasonet.in/files/SOR_HP GA.xlsx</t>
        </is>
      </c>
      <c r="U2355" t="inlineStr">
        <is>
          <t>No</t>
        </is>
      </c>
      <c r="V2355" t="inlineStr">
        <is>
          <t>Bot tarafindan tespit edildi; date=2026-07-01; type=excel; score=135; Bot tespit/zenginlestirme (2026-07-01); meta:score=35;priority=Low;source_type=html_table;closing_date=;equipment=Unclassified;reasons=document source,tender reference signal</t>
        </is>
      </c>
    </row>
    <row r="2356">
      <c r="A2356" t="inlineStr">
        <is>
          <t>T-2160</t>
        </is>
      </c>
      <c r="B2356" t="inlineStr">
        <is>
          <t>Gasonet Services</t>
        </is>
      </c>
      <c r="C2356" t="inlineStr">
        <is>
          <t>Gasonet Services</t>
        </is>
      </c>
      <c r="D2356" t="inlineStr">
        <is>
          <t>Tender No. : GSL/PE-FITTING</t>
        </is>
      </c>
      <c r="E2356" t="inlineStr">
        <is>
          <t>2025-26/08</t>
        </is>
      </c>
      <c r="F2356" t="inlineStr">
        <is>
          <t>New Lead</t>
        </is>
      </c>
      <c r="G2356" t="inlineStr">
        <is>
          <t>Unclassified</t>
        </is>
      </c>
      <c r="H2356" t="inlineStr">
        <is>
          <t>24 GASONET/C&amp;P- PROCUREMENT OF PE FITTINGS FOR RAJASTHAN, HIMACHAL PRADESH AND UTTRAKHAND (EAST &amp; WEST ) GA. Tender No. : GSL/PE-FITTING /2025-26/08 Tender Document SOR HP GA SOR UK-W GA SOR UK-E GA SOR RJ GA Addendum-1 12.01.2026 up to 13:00 Hrs 12.01.2026 at</t>
        </is>
      </c>
      <c r="K2356" t="inlineStr">
        <is>
          <t>Not found</t>
        </is>
      </c>
      <c r="L2356" t="inlineStr">
        <is>
          <t>Unknown</t>
        </is>
      </c>
      <c r="T2356" t="inlineStr">
        <is>
          <t>https://www.gasonet.in/files/SOR_UK-W GA.xlsx</t>
        </is>
      </c>
      <c r="U2356" t="inlineStr">
        <is>
          <t>No</t>
        </is>
      </c>
      <c r="V2356" t="inlineStr">
        <is>
          <t>Bot tarafindan tespit edildi; date=2026-07-01; type=excel; score=135; Bot tespit/zenginlestirme (2026-07-01); meta:score=35;priority=Low;source_type=html_table;closing_date=;equipment=Unclassified;reasons=document source,tender reference signal</t>
        </is>
      </c>
    </row>
    <row r="2357">
      <c r="A2357" t="inlineStr">
        <is>
          <t>T-2161</t>
        </is>
      </c>
      <c r="B2357" t="inlineStr">
        <is>
          <t>Gasonet Services</t>
        </is>
      </c>
      <c r="C2357" t="inlineStr">
        <is>
          <t>Gasonet Services</t>
        </is>
      </c>
      <c r="D2357" t="inlineStr">
        <is>
          <t>Tender No. : GSL/PE-FITTING</t>
        </is>
      </c>
      <c r="E2357" t="inlineStr">
        <is>
          <t>2025-26/08</t>
        </is>
      </c>
      <c r="F2357" t="inlineStr">
        <is>
          <t>New Lead</t>
        </is>
      </c>
      <c r="G2357" t="inlineStr">
        <is>
          <t>Unclassified</t>
        </is>
      </c>
      <c r="H2357" t="inlineStr">
        <is>
          <t>24 GASONET/C&amp;P- PROCUREMENT OF PE FITTINGS FOR RAJASTHAN, HIMACHAL PRADESH AND UTTRAKHAND (EAST &amp; WEST ) GA. Tender No. : GSL/PE-FITTING /2025-26/08 Tender Document SOR HP GA SOR UK-W GA SOR UK-E GA SOR RJ GA Addendum-1 12.01.2026 up to 13:00 Hrs 12.01.2026 at</t>
        </is>
      </c>
      <c r="K2357" t="inlineStr">
        <is>
          <t>Not found</t>
        </is>
      </c>
      <c r="L2357" t="inlineStr">
        <is>
          <t>Unknown</t>
        </is>
      </c>
      <c r="T2357" t="inlineStr">
        <is>
          <t>https://www.gasonet.in/files/SOR_UK-E GA.xlsx</t>
        </is>
      </c>
      <c r="U2357" t="inlineStr">
        <is>
          <t>No</t>
        </is>
      </c>
      <c r="V2357" t="inlineStr">
        <is>
          <t>Bot tarafindan tespit edildi; date=2026-07-01; type=excel; score=135; Bot tespit/zenginlestirme (2026-07-01); meta:score=35;priority=Low;source_type=html_table;closing_date=;equipment=Unclassified;reasons=document source,tender reference signal</t>
        </is>
      </c>
    </row>
    <row r="2358">
      <c r="A2358" t="inlineStr">
        <is>
          <t>T-2162</t>
        </is>
      </c>
      <c r="B2358" t="inlineStr">
        <is>
          <t>Gasonet Services</t>
        </is>
      </c>
      <c r="C2358" t="inlineStr">
        <is>
          <t>Gasonet Services</t>
        </is>
      </c>
      <c r="D2358" t="inlineStr">
        <is>
          <t>Tender No. : GSL/PE-FITTING</t>
        </is>
      </c>
      <c r="E2358" t="inlineStr">
        <is>
          <t>2025-26/08</t>
        </is>
      </c>
      <c r="F2358" t="inlineStr">
        <is>
          <t>New Lead</t>
        </is>
      </c>
      <c r="G2358" t="inlineStr">
        <is>
          <t>Unclassified</t>
        </is>
      </c>
      <c r="H2358" t="inlineStr">
        <is>
          <t>24 GASONET/C&amp;P- PROCUREMENT OF PE FITTINGS FOR RAJASTHAN, HIMACHAL PRADESH AND UTTRAKHAND (EAST &amp; WEST ) GA. Tender No. : GSL/PE-FITTING /2025-26/08 Tender Document SOR HP GA SOR UK-W GA SOR UK-E GA SOR RJ GA Addendum-1 12.01.2026 up to 13:00 Hrs 12.01.2026 at</t>
        </is>
      </c>
      <c r="K2358" t="inlineStr">
        <is>
          <t>Not found</t>
        </is>
      </c>
      <c r="L2358" t="inlineStr">
        <is>
          <t>Unknown</t>
        </is>
      </c>
      <c r="T2358" t="inlineStr">
        <is>
          <t>https://www.gasonet.in/files/SOR_RJ GA.xlsx</t>
        </is>
      </c>
      <c r="U2358" t="inlineStr">
        <is>
          <t>No</t>
        </is>
      </c>
      <c r="V2358" t="inlineStr">
        <is>
          <t>Bot tarafindan tespit edildi; date=2026-07-01; type=excel; score=135; Bot tespit/zenginlestirme (2026-07-01); meta:score=35;priority=Low;source_type=html_table;closing_date=;equipment=Unclassified;reasons=document source,tender reference signal</t>
        </is>
      </c>
    </row>
    <row r="2359">
      <c r="A2359" t="inlineStr">
        <is>
          <t>T-2163</t>
        </is>
      </c>
      <c r="B2359" t="inlineStr">
        <is>
          <t>Gasonet Services</t>
        </is>
      </c>
      <c r="C2359" t="inlineStr">
        <is>
          <t>Gasonet Services</t>
        </is>
      </c>
      <c r="D2359" t="inlineStr">
        <is>
          <t>Tender No. : GSL/PE-FITTING</t>
        </is>
      </c>
      <c r="E2359" t="inlineStr">
        <is>
          <t>2025-26/08</t>
        </is>
      </c>
      <c r="F2359" t="inlineStr">
        <is>
          <t>New Lead</t>
        </is>
      </c>
      <c r="G2359" t="inlineStr">
        <is>
          <t>Unclassified</t>
        </is>
      </c>
      <c r="H2359" t="inlineStr">
        <is>
          <t>24 GASONET/C&amp;P- PROCUREMENT OF PE FITTINGS FOR RAJASTHAN, HIMACHAL PRADESH AND UTTRAKHAND (EAST &amp; WEST ) GA. Tender No. : GSL/PE-FITTING /2025-26/08 Tender Document SOR HP GA SOR UK-W GA SOR UK-E GA SOR RJ GA Addendum-1 12.01.2026 up to 13:00 Hrs 12.01.2026 at</t>
        </is>
      </c>
      <c r="K2359" t="inlineStr">
        <is>
          <t>Not found</t>
        </is>
      </c>
      <c r="L2359" t="inlineStr">
        <is>
          <t>Unknown</t>
        </is>
      </c>
      <c r="T2359" t="inlineStr">
        <is>
          <t>https://www.gasonet.in/files/24-ADDENDUM-1_PE-FITTING_2025-26_08_DTD-30-12_2025.pdf</t>
        </is>
      </c>
      <c r="U2359" t="inlineStr">
        <is>
          <t>No</t>
        </is>
      </c>
      <c r="V2359" t="inlineStr">
        <is>
          <t>Bot tarafindan tespit edildi; date=2026-07-01; type=pdf; score=135; Bot tespit/zenginlestirme (2026-07-01); meta:score=35;priority=Low;source_type=html_table;closing_date=;equipment=Unclassified;reasons=document source,tender reference signal</t>
        </is>
      </c>
    </row>
    <row r="2360">
      <c r="A2360" t="inlineStr">
        <is>
          <t>T-2164</t>
        </is>
      </c>
      <c r="B2360" t="inlineStr">
        <is>
          <t>Gasonet Services</t>
        </is>
      </c>
      <c r="C2360" t="inlineStr">
        <is>
          <t>Gasonet Services</t>
        </is>
      </c>
      <c r="D2360" t="inlineStr">
        <is>
          <t>files/Technical</t>
        </is>
      </c>
      <c r="E2360" t="inlineStr">
        <is>
          <t>14/12/2023</t>
        </is>
      </c>
      <c r="F2360" t="inlineStr">
        <is>
          <t>New Lead</t>
        </is>
      </c>
      <c r="G2360" t="inlineStr">
        <is>
          <t>Unclassified</t>
        </is>
      </c>
      <c r="H2360"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0" t="inlineStr">
        <is>
          <t>Not found</t>
        </is>
      </c>
      <c r="L2360" t="inlineStr">
        <is>
          <t>Unknown</t>
        </is>
      </c>
      <c r="T2360" t="inlineStr">
        <is>
          <t>https://www.gasonet.in/files/Technical Volume II of II_GSLREPL012STPL.pdf</t>
        </is>
      </c>
      <c r="U2360" t="inlineStr">
        <is>
          <t>No</t>
        </is>
      </c>
      <c r="V2360" t="inlineStr">
        <is>
          <t>Bot tarafindan tespit edildi; date=2026-07-01; type=pdf; score=125; Bot tespit/zenginlestirme (2026-07-01); meta:score=20;priority=Low;source_type=html_table;closing_date=;equipment=Unclassified;reasons=document source</t>
        </is>
      </c>
    </row>
    <row r="2361">
      <c r="A2361" t="inlineStr">
        <is>
          <t>T-2165</t>
        </is>
      </c>
      <c r="B2361" t="inlineStr">
        <is>
          <t>Gasonet Services</t>
        </is>
      </c>
      <c r="C2361" t="inlineStr">
        <is>
          <t>Gasonet Services</t>
        </is>
      </c>
      <c r="D2361" t="inlineStr">
        <is>
          <t>files/Commercial</t>
        </is>
      </c>
      <c r="E2361" t="inlineStr">
        <is>
          <t>14/12/2023</t>
        </is>
      </c>
      <c r="F2361" t="inlineStr">
        <is>
          <t>New Lead</t>
        </is>
      </c>
      <c r="G2361" t="inlineStr">
        <is>
          <t>Unclassified</t>
        </is>
      </c>
      <c r="H2361"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1" t="inlineStr">
        <is>
          <t>Not found</t>
        </is>
      </c>
      <c r="L2361" t="inlineStr">
        <is>
          <t>Unknown</t>
        </is>
      </c>
      <c r="T2361" t="inlineStr">
        <is>
          <t>https://www.gasonet.in/files/Commercial Volume I of II_GSLREPL012STPL.pdf</t>
        </is>
      </c>
      <c r="U2361" t="inlineStr">
        <is>
          <t>No</t>
        </is>
      </c>
      <c r="V2361" t="inlineStr">
        <is>
          <t>Bot tarafindan tespit edildi; date=2026-07-01; type=pdf; score=125; Bot tespit/zenginlestirme (2026-07-01); meta:score=20;priority=Low;source_type=html_table;closing_date=;equipment=Unclassified;reasons=document source</t>
        </is>
      </c>
    </row>
    <row r="2362">
      <c r="A2362" t="inlineStr">
        <is>
          <t>T-2166</t>
        </is>
      </c>
      <c r="B2362" t="inlineStr">
        <is>
          <t>Gasonet Services</t>
        </is>
      </c>
      <c r="C2362" t="inlineStr">
        <is>
          <t>Gasonet Services</t>
        </is>
      </c>
      <c r="D2362" t="inlineStr">
        <is>
          <t>files/SOR_GSLREPL012STPL.xlsx</t>
        </is>
      </c>
      <c r="E2362" t="inlineStr">
        <is>
          <t>14/12/2023</t>
        </is>
      </c>
      <c r="F2362" t="inlineStr">
        <is>
          <t>New Lead</t>
        </is>
      </c>
      <c r="G2362" t="inlineStr">
        <is>
          <t>Unclassified</t>
        </is>
      </c>
      <c r="H2362"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2" t="inlineStr">
        <is>
          <t>Not found</t>
        </is>
      </c>
      <c r="L2362" t="inlineStr">
        <is>
          <t>Unknown</t>
        </is>
      </c>
      <c r="T2362" t="inlineStr">
        <is>
          <t>https://www.gasonet.in/files/SOR_GSLREPL012STPL.xlsx</t>
        </is>
      </c>
      <c r="U2362" t="inlineStr">
        <is>
          <t>No</t>
        </is>
      </c>
      <c r="V2362" t="inlineStr">
        <is>
          <t>Bot tarafindan tespit edildi; date=2026-07-01; type=excel; score=125; Bot tespit/zenginlestirme (2026-07-01); meta:score=20;priority=Low;source_type=html_table;closing_date=;equipment=Unclassified;reasons=document source</t>
        </is>
      </c>
    </row>
    <row r="2363">
      <c r="A2363" t="inlineStr">
        <is>
          <t>T-2167</t>
        </is>
      </c>
      <c r="B2363" t="inlineStr">
        <is>
          <t>Gasonet Services</t>
        </is>
      </c>
      <c r="C2363" t="inlineStr">
        <is>
          <t>Gasonet Services</t>
        </is>
      </c>
      <c r="D2363" t="inlineStr">
        <is>
          <t>files/RPBQ_30.12.2023.pdf</t>
        </is>
      </c>
      <c r="E2363" t="inlineStr">
        <is>
          <t>14/12/2023</t>
        </is>
      </c>
      <c r="F2363" t="inlineStr">
        <is>
          <t>New Lead</t>
        </is>
      </c>
      <c r="G2363" t="inlineStr">
        <is>
          <t>Unclassified</t>
        </is>
      </c>
      <c r="H2363"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3" t="inlineStr">
        <is>
          <t>Not found</t>
        </is>
      </c>
      <c r="L2363" t="inlineStr">
        <is>
          <t>Unknown</t>
        </is>
      </c>
      <c r="T2363" t="inlineStr">
        <is>
          <t>https://www.gasonet.in/files/RPBQ_30.12.2023.pdf</t>
        </is>
      </c>
      <c r="U2363" t="inlineStr">
        <is>
          <t>No</t>
        </is>
      </c>
      <c r="V2363" t="inlineStr">
        <is>
          <t>Bot tarafindan tespit edildi; date=2026-07-01; type=pdf; score=125; Bot tespit/zenginlestirme (2026-07-01); meta:score=20;priority=Low;source_type=html_table;closing_date=;equipment=Unclassified;reasons=document source</t>
        </is>
      </c>
    </row>
    <row r="2364">
      <c r="A2364" t="inlineStr">
        <is>
          <t>T-2168</t>
        </is>
      </c>
      <c r="B2364" t="inlineStr">
        <is>
          <t>Gasonet Services</t>
        </is>
      </c>
      <c r="C2364" t="inlineStr">
        <is>
          <t>Gasonet Services</t>
        </is>
      </c>
      <c r="D2364" t="inlineStr">
        <is>
          <t>Tender No. : GSL/C</t>
        </is>
      </c>
      <c r="F2364" t="inlineStr">
        <is>
          <t>New Lead</t>
        </is>
      </c>
      <c r="G2364" t="inlineStr">
        <is>
          <t>Unclassified</t>
        </is>
      </c>
      <c r="H2364" t="inlineStr">
        <is>
          <t>21 Procurement Of Ball And Globe Valve For Bikaner And Churu Location Tender No. : GSL/C&amp;P/VALVES/BD202508P003 Tender Document QAP EMD CPBG Technical Document GCC Replies to Bidders Queries 21.08.2025 at 16:00 Hrs 21.08.2025 at 17:00 hrs.</t>
        </is>
      </c>
      <c r="K2364" t="inlineStr">
        <is>
          <t>Not found</t>
        </is>
      </c>
      <c r="L2364" t="inlineStr">
        <is>
          <t>Unknown</t>
        </is>
      </c>
      <c r="T2364" t="inlineStr">
        <is>
          <t>https://www.gasonet.in/files/QAP-Ball Valve.pdf</t>
        </is>
      </c>
      <c r="U2364" t="inlineStr">
        <is>
          <t>No</t>
        </is>
      </c>
      <c r="V2364" t="inlineStr">
        <is>
          <t>Bot tarafindan tespit edildi; date=2026-07-01; type=pdf; score=125; Bot tespit/zenginlestirme (2026-07-01); meta:score=35;priority=Low;source_type=html_table;closing_date=;equipment=Unclassified;reasons=document source,tender reference signal</t>
        </is>
      </c>
    </row>
    <row r="2365">
      <c r="A2365" t="inlineStr">
        <is>
          <t>T-2169</t>
        </is>
      </c>
      <c r="B2365" t="inlineStr">
        <is>
          <t>Gasonet Services</t>
        </is>
      </c>
      <c r="C2365" t="inlineStr">
        <is>
          <t>Gasonet Services</t>
        </is>
      </c>
      <c r="D2365" t="inlineStr">
        <is>
          <t>Tender No. : GSL/C</t>
        </is>
      </c>
      <c r="F2365" t="inlineStr">
        <is>
          <t>New Lead</t>
        </is>
      </c>
      <c r="G2365" t="inlineStr">
        <is>
          <t>Unclassified</t>
        </is>
      </c>
      <c r="H2365" t="inlineStr">
        <is>
          <t>21 Procurement Of Ball And Globe Valve For Bikaner And Churu Location Tender No. : GSL/C&amp;P/VALVES/BD202508P003 Tender Document QAP EMD CPBG Technical Document GCC Replies to Bidders Queries 21.08.2025 at 16:00 Hrs 21.08.2025 at 17:00 hrs.</t>
        </is>
      </c>
      <c r="K2365" t="inlineStr">
        <is>
          <t>Not found</t>
        </is>
      </c>
      <c r="L2365" t="inlineStr">
        <is>
          <t>Unknown</t>
        </is>
      </c>
      <c r="T2365" t="inlineStr">
        <is>
          <t>https://www.gasonet.in/files/EMD-Format.pdf</t>
        </is>
      </c>
      <c r="U2365" t="inlineStr">
        <is>
          <t>No</t>
        </is>
      </c>
      <c r="V2365" t="inlineStr">
        <is>
          <t>Bot tarafindan tespit edildi; date=2026-07-01; type=pdf; score=125; Bot tespit/zenginlestirme (2026-07-01); meta:score=35;priority=Low;source_type=html_table;closing_date=;equipment=Unclassified;reasons=document source,tender reference signal</t>
        </is>
      </c>
    </row>
    <row r="2366">
      <c r="A2366" t="inlineStr">
        <is>
          <t>T-2170</t>
        </is>
      </c>
      <c r="B2366" t="inlineStr">
        <is>
          <t>Gasonet Services</t>
        </is>
      </c>
      <c r="C2366" t="inlineStr">
        <is>
          <t>Gasonet Services</t>
        </is>
      </c>
      <c r="D2366" t="inlineStr">
        <is>
          <t>Tender No. : GSL/C</t>
        </is>
      </c>
      <c r="F2366" t="inlineStr">
        <is>
          <t>New Lead</t>
        </is>
      </c>
      <c r="G2366" t="inlineStr">
        <is>
          <t>Unclassified</t>
        </is>
      </c>
      <c r="H2366" t="inlineStr">
        <is>
          <t>21 Procurement Of Ball And Globe Valve For Bikaner And Churu Location Tender No. : GSL/C&amp;P/VALVES/BD202508P003 Tender Document QAP EMD CPBG Technical Document GCC Replies to Bidders Queries 21.08.2025 at 16:00 Hrs 21.08.2025 at 17:00 hrs.</t>
        </is>
      </c>
      <c r="K2366" t="inlineStr">
        <is>
          <t>Not found</t>
        </is>
      </c>
      <c r="L2366" t="inlineStr">
        <is>
          <t>Unknown</t>
        </is>
      </c>
      <c r="T2366" t="inlineStr">
        <is>
          <t>https://www.gasonet.in/files/CPBG- Format.pdf</t>
        </is>
      </c>
      <c r="U2366" t="inlineStr">
        <is>
          <t>No</t>
        </is>
      </c>
      <c r="V2366" t="inlineStr">
        <is>
          <t>Bot tarafindan tespit edildi; date=2026-07-01; type=pdf; score=125; Bot tespit/zenginlestirme (2026-07-01); meta:score=35;priority=Low;source_type=html_table;closing_date=;equipment=Unclassified;reasons=document source,tender reference signal</t>
        </is>
      </c>
    </row>
    <row r="2367">
      <c r="A2367" t="inlineStr">
        <is>
          <t>T-2171</t>
        </is>
      </c>
      <c r="B2367" t="inlineStr">
        <is>
          <t>Gasonet Services</t>
        </is>
      </c>
      <c r="C2367" t="inlineStr">
        <is>
          <t>Gasonet Services</t>
        </is>
      </c>
      <c r="D2367" t="inlineStr">
        <is>
          <t>Tender No. : GSL/C</t>
        </is>
      </c>
      <c r="F2367" t="inlineStr">
        <is>
          <t>New Lead</t>
        </is>
      </c>
      <c r="G2367" t="inlineStr">
        <is>
          <t>Unclassified</t>
        </is>
      </c>
      <c r="H2367" t="inlineStr">
        <is>
          <t>21 Procurement Of Ball And Globe Valve For Bikaner And Churu Location Tender No. : GSL/C&amp;P/VALVES/BD202508P003 Tender Document QAP EMD CPBG Technical Document GCC Replies to Bidders Queries 21.08.2025 at 16:00 Hrs 21.08.2025 at 17:00 hrs.</t>
        </is>
      </c>
      <c r="K2367" t="inlineStr">
        <is>
          <t>Not found</t>
        </is>
      </c>
      <c r="L2367" t="inlineStr">
        <is>
          <t>Unknown</t>
        </is>
      </c>
      <c r="T2367" t="inlineStr">
        <is>
          <t>https://www.gasonet.in/files/TechnicalDocument-BallValveGlobeValve.pdf</t>
        </is>
      </c>
      <c r="U2367" t="inlineStr">
        <is>
          <t>No</t>
        </is>
      </c>
      <c r="V2367" t="inlineStr">
        <is>
          <t>Bot tarafindan tespit edildi; date=2026-07-01; type=pdf; score=125; Bot tespit/zenginlestirme (2026-07-01); meta:score=35;priority=Low;source_type=html_table;closing_date=;equipment=Unclassified;reasons=document source,tender reference signal</t>
        </is>
      </c>
    </row>
    <row r="2368">
      <c r="A2368" t="inlineStr">
        <is>
          <t>T-2172</t>
        </is>
      </c>
      <c r="B2368" t="inlineStr">
        <is>
          <t>Gasonet Services</t>
        </is>
      </c>
      <c r="C2368" t="inlineStr">
        <is>
          <t>Gasonet Services</t>
        </is>
      </c>
      <c r="D2368" t="inlineStr">
        <is>
          <t>Tender No. : GSL/C</t>
        </is>
      </c>
      <c r="F2368" t="inlineStr">
        <is>
          <t>New Lead</t>
        </is>
      </c>
      <c r="G2368" t="inlineStr">
        <is>
          <t>Unclassified</t>
        </is>
      </c>
      <c r="H2368" t="inlineStr">
        <is>
          <t>21 Procurement Of Ball And Globe Valve For Bikaner And Churu Location Tender No. : GSL/C&amp;P/VALVES/BD202508P003 Tender Document QAP EMD CPBG Technical Document GCC Replies to Bidders Queries 21.08.2025 at 16:00 Hrs 21.08.2025 at 17:00 hrs.</t>
        </is>
      </c>
      <c r="K2368" t="inlineStr">
        <is>
          <t>Not found</t>
        </is>
      </c>
      <c r="L2368" t="inlineStr">
        <is>
          <t>Unknown</t>
        </is>
      </c>
      <c r="T2368" t="inlineStr">
        <is>
          <t>https://www.gasonet.in/files/21-GCC.pdf</t>
        </is>
      </c>
      <c r="U2368" t="inlineStr">
        <is>
          <t>No</t>
        </is>
      </c>
      <c r="V2368" t="inlineStr">
        <is>
          <t>Bot tarafindan tespit edildi; date=2026-07-01; type=pdf; score=125; Bot tespit/zenginlestirme (2026-07-01); meta:score=35;priority=Low;source_type=html_table;closing_date=;equipment=Unclassified;reasons=document source,tender reference signal</t>
        </is>
      </c>
    </row>
    <row r="2369">
      <c r="A2369" t="inlineStr">
        <is>
          <t>T-2173</t>
        </is>
      </c>
      <c r="B2369" t="inlineStr">
        <is>
          <t>Gasonet Services</t>
        </is>
      </c>
      <c r="C2369" t="inlineStr">
        <is>
          <t>Gasonet Services</t>
        </is>
      </c>
      <c r="D2369" t="inlineStr">
        <is>
          <t>Tender No. : GSL/RJ/ODORIZER/2025-26/004</t>
        </is>
      </c>
      <c r="F2369" t="inlineStr">
        <is>
          <t>New Lead</t>
        </is>
      </c>
      <c r="G2369" t="inlineStr">
        <is>
          <t>Unclassified</t>
        </is>
      </c>
      <c r="H2369" t="inlineStr">
        <is>
          <t>22 GASONET/C&amp;P- PURCHASE OF ODORIZER UNIT FOR RJ GA Tender No. : GSL/RJ/ODORIZER/2025-26/004 Tender Document QAP GCC Revised SOR Replies to Bidders Queries 26.08.2025 at 12:00 Hrs 08.09.2025 at 16:00 Hrs 08.09.2025 at 17:00 Hrs</t>
        </is>
      </c>
      <c r="K2369" t="inlineStr">
        <is>
          <t>Not found</t>
        </is>
      </c>
      <c r="L2369" t="inlineStr">
        <is>
          <t>Unknown</t>
        </is>
      </c>
      <c r="T2369" t="inlineStr">
        <is>
          <t>https://www.gasonet.in/files/22-QAP.pdf</t>
        </is>
      </c>
      <c r="U2369" t="inlineStr">
        <is>
          <t>No</t>
        </is>
      </c>
      <c r="V2369" t="inlineStr">
        <is>
          <t>Bot tarafindan tespit edildi; date=2026-07-01; type=pdf; score=125; Bot tespit/zenginlestirme (2026-07-01); meta:score=35;priority=Low;source_type=html_table;closing_date=;equipment=Unclassified;reasons=document source,tender reference signal</t>
        </is>
      </c>
    </row>
    <row r="2370">
      <c r="A2370" t="inlineStr">
        <is>
          <t>T-2174</t>
        </is>
      </c>
      <c r="B2370" t="inlineStr">
        <is>
          <t>Gasonet Services</t>
        </is>
      </c>
      <c r="C2370" t="inlineStr">
        <is>
          <t>Gasonet Services</t>
        </is>
      </c>
      <c r="D2370" t="inlineStr">
        <is>
          <t>Tender No. : GSL/RJ/ODORIZER/2025-26/004</t>
        </is>
      </c>
      <c r="F2370" t="inlineStr">
        <is>
          <t>New Lead</t>
        </is>
      </c>
      <c r="G2370" t="inlineStr">
        <is>
          <t>Unclassified</t>
        </is>
      </c>
      <c r="H2370" t="inlineStr">
        <is>
          <t>22 GASONET/C&amp;P- PURCHASE OF ODORIZER UNIT FOR RJ GA Tender No. : GSL/RJ/ODORIZER/2025-26/004 Tender Document QAP GCC Revised SOR Replies to Bidders Queries 26.08.2025 at 12:00 Hrs 08.09.2025 at 16:00 Hrs 08.09.2025 at 17:00 Hrs</t>
        </is>
      </c>
      <c r="K2370" t="inlineStr">
        <is>
          <t>Not found</t>
        </is>
      </c>
      <c r="L2370" t="inlineStr">
        <is>
          <t>Unknown</t>
        </is>
      </c>
      <c r="T2370" t="inlineStr">
        <is>
          <t>https://www.gasonet.in/files/22-GCC.pdf</t>
        </is>
      </c>
      <c r="U2370" t="inlineStr">
        <is>
          <t>No</t>
        </is>
      </c>
      <c r="V2370" t="inlineStr">
        <is>
          <t>Bot tarafindan tespit edildi; date=2026-07-01; type=pdf; score=125; Bot tespit/zenginlestirme (2026-07-01); meta:score=35;priority=Low;source_type=html_table;closing_date=;equipment=Unclassified;reasons=document source,tender reference signal</t>
        </is>
      </c>
    </row>
    <row r="2371">
      <c r="A2371" t="inlineStr">
        <is>
          <t>T-2175</t>
        </is>
      </c>
      <c r="B2371" t="inlineStr">
        <is>
          <t>Gasonet Services</t>
        </is>
      </c>
      <c r="C2371" t="inlineStr">
        <is>
          <t>Gasonet Services</t>
        </is>
      </c>
      <c r="D2371" t="inlineStr">
        <is>
          <t>Tender No. : GSL/RJ/ODORIZER/2025-26/004</t>
        </is>
      </c>
      <c r="F2371" t="inlineStr">
        <is>
          <t>New Lead</t>
        </is>
      </c>
      <c r="G2371" t="inlineStr">
        <is>
          <t>Unclassified</t>
        </is>
      </c>
      <c r="H2371" t="inlineStr">
        <is>
          <t>22 GASONET/C&amp;P- PURCHASE OF ODORIZER UNIT FOR RJ GA Tender No. : GSL/RJ/ODORIZER/2025-26/004 Tender Document QAP GCC Revised SOR Replies to Bidders Queries 26.08.2025 at 12:00 Hrs 08.09.2025 at 16:00 Hrs 08.09.2025 at 17:00 Hrs</t>
        </is>
      </c>
      <c r="K2371" t="inlineStr">
        <is>
          <t>Not found</t>
        </is>
      </c>
      <c r="L2371" t="inlineStr">
        <is>
          <t>Unknown</t>
        </is>
      </c>
      <c r="T2371" t="inlineStr">
        <is>
          <t>https://www.gasonet.in/files/22-Revised-SOR.pdf</t>
        </is>
      </c>
      <c r="U2371" t="inlineStr">
        <is>
          <t>No</t>
        </is>
      </c>
      <c r="V2371" t="inlineStr">
        <is>
          <t>Bot tarafindan tespit edildi; date=2026-07-01; type=pdf; score=125; Bot tespit/zenginlestirme (2026-07-01); meta:score=35;priority=Low;source_type=html_table;closing_date=;equipment=Unclassified;reasons=document source,tender reference signal</t>
        </is>
      </c>
    </row>
    <row r="2372">
      <c r="A2372" t="inlineStr">
        <is>
          <t>T-2176</t>
        </is>
      </c>
      <c r="B2372" t="inlineStr">
        <is>
          <t>Gasonet Services</t>
        </is>
      </c>
      <c r="C2372" t="inlineStr">
        <is>
          <t>Gasonet Services</t>
        </is>
      </c>
      <c r="D2372" t="inlineStr">
        <is>
          <t>Tender No. : GSL/CIVIL</t>
        </is>
      </c>
      <c r="F2372" t="inlineStr">
        <is>
          <t>New Lead</t>
        </is>
      </c>
      <c r="G2372" t="inlineStr">
        <is>
          <t>Unclassified</t>
        </is>
      </c>
      <c r="H2372" t="inlineStr">
        <is>
          <t>25 GASONET/C&amp;P- TENDER FOR CIVIL CONSTRUCTION WORKS FOR UK-E, UK-W AND HP GA Tender No. : GSL/CIVIL CONSTRUCTION /2025-26/010 Bidders are required to submit a filled SOR, a duly signed and stamped PDF copy with a password-protected file, along with an Excel fi</t>
        </is>
      </c>
      <c r="K2372" t="inlineStr">
        <is>
          <t>Not found</t>
        </is>
      </c>
      <c r="L2372" t="inlineStr">
        <is>
          <t>Unknown</t>
        </is>
      </c>
      <c r="T2372" t="inlineStr">
        <is>
          <t>https://www.gasonet.in/files/25-02. GCC_SEP.pdf</t>
        </is>
      </c>
      <c r="U2372" t="inlineStr">
        <is>
          <t>No</t>
        </is>
      </c>
      <c r="V2372" t="inlineStr">
        <is>
          <t>Bot tarafindan tespit edildi; date=2026-07-01; type=pdf; score=125; Bot tespit/zenginlestirme (2026-07-01); meta:score=;priority=Low;source_type=html_table;closing_date=;equipment=Unclassified;reasons=document source,tender reference signal,access/action page</t>
        </is>
      </c>
    </row>
    <row r="2373">
      <c r="A2373" t="inlineStr">
        <is>
          <t>T-2177</t>
        </is>
      </c>
      <c r="B2373" t="inlineStr">
        <is>
          <t>Gasonet Services</t>
        </is>
      </c>
      <c r="C2373" t="inlineStr">
        <is>
          <t>Gasonet Services</t>
        </is>
      </c>
      <c r="D2373" t="inlineStr">
        <is>
          <t>Tender No. : GSL/CIVIL</t>
        </is>
      </c>
      <c r="F2373" t="inlineStr">
        <is>
          <t>New Lead</t>
        </is>
      </c>
      <c r="G2373" t="inlineStr">
        <is>
          <t>Unclassified</t>
        </is>
      </c>
      <c r="H2373" t="inlineStr">
        <is>
          <t>25 GASONET/C&amp;P- TENDER FOR CIVIL CONSTRUCTION WORKS FOR UK-E, UK-W AND HP GA Tender No. : GSL/CIVIL CONSTRUCTION /2025-26/010 Bidders are required to submit a filled SOR, a duly signed and stamped PDF copy with a password-protected file, along with an Excel fi</t>
        </is>
      </c>
      <c r="K2373" t="inlineStr">
        <is>
          <t>Not found</t>
        </is>
      </c>
      <c r="L2373" t="inlineStr">
        <is>
          <t>Unknown</t>
        </is>
      </c>
      <c r="T2373" t="inlineStr">
        <is>
          <t>https://www.gasonet.in/files/25-SOR Nepali Farm Group A.xlsx</t>
        </is>
      </c>
      <c r="U2373" t="inlineStr">
        <is>
          <t>No</t>
        </is>
      </c>
      <c r="V2373" t="inlineStr">
        <is>
          <t>Bot tarafindan tespit edildi; date=2026-07-01; type=excel; score=125; Bot tespit/zenginlestirme (2026-07-01); meta:score=;priority=Low;source_type=html_table;closing_date=;equipment=Unclassified;reasons=document source,tender reference signal,access/action page</t>
        </is>
      </c>
    </row>
    <row r="2374">
      <c r="A2374" t="inlineStr">
        <is>
          <t>T-2178</t>
        </is>
      </c>
      <c r="B2374" t="inlineStr">
        <is>
          <t>Gasonet Services</t>
        </is>
      </c>
      <c r="C2374" t="inlineStr">
        <is>
          <t>Gasonet Services</t>
        </is>
      </c>
      <c r="D2374" t="inlineStr">
        <is>
          <t>Tender No. : GSL/CIVIL</t>
        </is>
      </c>
      <c r="F2374" t="inlineStr">
        <is>
          <t>New Lead</t>
        </is>
      </c>
      <c r="G2374" t="inlineStr">
        <is>
          <t>Unclassified</t>
        </is>
      </c>
      <c r="H2374" t="inlineStr">
        <is>
          <t>25 GASONET/C&amp;P- TENDER FOR CIVIL CONSTRUCTION WORKS FOR UK-E, UK-W AND HP GA Tender No. : GSL/CIVIL CONSTRUCTION /2025-26/010 Bidders are required to submit a filled SOR, a duly signed and stamped PDF copy with a password-protected file, along with an Excel fi</t>
        </is>
      </c>
      <c r="K2374" t="inlineStr">
        <is>
          <t>Not found</t>
        </is>
      </c>
      <c r="L2374" t="inlineStr">
        <is>
          <t>Unknown</t>
        </is>
      </c>
      <c r="T2374" t="inlineStr">
        <is>
          <t>https://www.gasonet.in/files/25-SOR-Rudrapur Group B.xlsx</t>
        </is>
      </c>
      <c r="U2374" t="inlineStr">
        <is>
          <t>No</t>
        </is>
      </c>
      <c r="V2374" t="inlineStr">
        <is>
          <t>Bot tarafindan tespit edildi; date=2026-07-01; type=excel; score=125; Bot tespit/zenginlestirme (2026-07-01); meta:score=;priority=Low;source_type=html_table;closing_date=;equipment=Unclassified;reasons=document source,tender reference signal,access/action page</t>
        </is>
      </c>
    </row>
    <row r="2375">
      <c r="A2375" t="inlineStr">
        <is>
          <t>T-2179</t>
        </is>
      </c>
      <c r="B2375" t="inlineStr">
        <is>
          <t>Avantika Gas</t>
        </is>
      </c>
      <c r="C2375" t="inlineStr">
        <is>
          <t>Avantika Gas</t>
        </is>
      </c>
      <c r="D2375" t="inlineStr">
        <is>
          <t>Policy</t>
        </is>
      </c>
      <c r="F2375" t="inlineStr">
        <is>
          <t>New Lead</t>
        </is>
      </c>
      <c r="G2375" t="inlineStr">
        <is>
          <t>RMS</t>
        </is>
      </c>
      <c r="H2375" t="inlineStr">
        <is>
          <t>Businesses PNG – Domestic PNG in Madhya Pradesh New Enquiry Direct Marketing Agents Availability Bill Payment Terms and Conditions Tariff Card Talk to Us Quick Synopsis – Aavantika Gas Limited(Agent Policy) – 2023 PNG – Industrial Availability Retail Selling P</t>
        </is>
      </c>
      <c r="K2375" t="inlineStr">
        <is>
          <t>Not found</t>
        </is>
      </c>
      <c r="L2375" t="inlineStr">
        <is>
          <t>Unknown</t>
        </is>
      </c>
      <c r="T2375" t="inlineStr">
        <is>
          <t>https://www.aglonline.net/businesses/</t>
        </is>
      </c>
      <c r="U2375" t="inlineStr">
        <is>
          <t>No</t>
        </is>
      </c>
      <c r="V2375" t="inlineStr">
        <is>
          <t>Bot tarafindan tespit edildi; date=2026-07-01; type=html; score=180</t>
        </is>
      </c>
    </row>
    <row r="2376">
      <c r="A2376" t="inlineStr">
        <is>
          <t>T-2180</t>
        </is>
      </c>
      <c r="B2376" t="inlineStr">
        <is>
          <t>Avantika Gas</t>
        </is>
      </c>
      <c r="C2376" t="inlineStr">
        <is>
          <t>Avantika Gas</t>
        </is>
      </c>
      <c r="D2376" t="inlineStr">
        <is>
          <t>Policy</t>
        </is>
      </c>
      <c r="F2376" t="inlineStr">
        <is>
          <t>New Lead</t>
        </is>
      </c>
      <c r="G2376" t="inlineStr">
        <is>
          <t>RMS</t>
        </is>
      </c>
      <c r="H2376" t="inlineStr">
        <is>
          <t>PNG – Domestic PNG in Madhya Pradesh New Enquiry Direct Marketing Agents Availability Bill Payment Terms and Conditions Tariff Card Talk to Us Quick Synopsis – Aavantika Gas Limited(Agent Policy) – 2023</t>
        </is>
      </c>
      <c r="K2376" t="inlineStr">
        <is>
          <t>Not found</t>
        </is>
      </c>
      <c r="L2376" t="inlineStr">
        <is>
          <t>Unknown</t>
        </is>
      </c>
      <c r="T2376" t="inlineStr">
        <is>
          <t>https://www.aglonline.net/businesses/png-domestic/</t>
        </is>
      </c>
      <c r="U2376" t="inlineStr">
        <is>
          <t>No</t>
        </is>
      </c>
      <c r="V2376" t="inlineStr">
        <is>
          <t>Bot tarafindan tespit edildi; date=2026-07-01; type=html; score=180</t>
        </is>
      </c>
    </row>
    <row r="2377">
      <c r="A2377" t="inlineStr">
        <is>
          <t>T-2181</t>
        </is>
      </c>
      <c r="B2377" t="inlineStr">
        <is>
          <t>SAP Ariba Discovery</t>
        </is>
      </c>
      <c r="C2377" t="inlineStr">
        <is>
          <t>SAP Ariba Discovery</t>
        </is>
      </c>
      <c r="D2377" t="inlineStr">
        <is>
          <t>com/agreements-sap-business-network-privacy-statement</t>
        </is>
      </c>
      <c r="F2377" t="inlineStr">
        <is>
          <t>New Lead</t>
        </is>
      </c>
      <c r="G2377" t="inlineStr">
        <is>
          <t>RMS</t>
        </is>
      </c>
      <c r="H2377" t="inlineStr">
        <is>
          <t>© 2022 SAP SE or an SAP affiliated company. All Rights Reserved. SAP Business Network Privacy Statement Security Disclosure Terms of Use</t>
        </is>
      </c>
      <c r="K2377" t="inlineStr">
        <is>
          <t>Not found</t>
        </is>
      </c>
      <c r="L2377" t="inlineStr">
        <is>
          <t>Unknown</t>
        </is>
      </c>
      <c r="T2377" t="inlineStr">
        <is>
          <t>https://www.sap.com/agreements-sap-business-network-privacy-statement</t>
        </is>
      </c>
      <c r="U2377" t="inlineStr">
        <is>
          <t>No</t>
        </is>
      </c>
      <c r="V2377" t="inlineStr">
        <is>
          <t>Bot tarafindan tespit edildi; date=2026-07-01; type=html; score=160</t>
        </is>
      </c>
    </row>
    <row r="2378">
      <c r="A2378" t="inlineStr">
        <is>
          <t>T-2182</t>
        </is>
      </c>
      <c r="B2378" t="inlineStr">
        <is>
          <t>SAP Ariba Discovery</t>
        </is>
      </c>
      <c r="C2378" t="inlineStr">
        <is>
          <t>SAP Ariba Discovery</t>
        </is>
      </c>
      <c r="D2378" t="inlineStr">
        <is>
          <t>com/about/trust-center/agreements/ariba.html</t>
        </is>
      </c>
      <c r="F2378" t="inlineStr">
        <is>
          <t>New Lead</t>
        </is>
      </c>
      <c r="G2378" t="inlineStr">
        <is>
          <t>RMS</t>
        </is>
      </c>
      <c r="H2378" t="inlineStr">
        <is>
          <t>© 2022 SAP SE or an SAP affiliated company. All Rights Reserved. SAP Business Network Privacy Statement Security Disclosure Terms of Use</t>
        </is>
      </c>
      <c r="K2378" t="inlineStr">
        <is>
          <t>Not found</t>
        </is>
      </c>
      <c r="L2378" t="inlineStr">
        <is>
          <t>Unknown</t>
        </is>
      </c>
      <c r="T2378" t="inlineStr">
        <is>
          <t>https://www.sap.com/about/trust-center/agreements/ariba.html?sort=title_asc&amp;search=ariba-security-disclosure&amp;tab=archived&amp;tag=year%3A2006&amp;tag=language%3Aenglish&amp;pdf-asset=9c68b456-307e-0010-bca6-c68f7e60039b&amp;page=1</t>
        </is>
      </c>
      <c r="U2378" t="inlineStr">
        <is>
          <t>No</t>
        </is>
      </c>
      <c r="V2378" t="inlineStr">
        <is>
          <t>Bot tarafindan tespit edildi; date=2026-07-01; type=html; score=160</t>
        </is>
      </c>
    </row>
    <row r="2379">
      <c r="A2379" t="inlineStr">
        <is>
          <t>T-2183</t>
        </is>
      </c>
      <c r="B2379" t="inlineStr">
        <is>
          <t>GAIL India</t>
        </is>
      </c>
      <c r="C2379" t="inlineStr">
        <is>
          <t>GAIL India</t>
        </is>
      </c>
      <c r="F2379" t="inlineStr">
        <is>
          <t>New Lead</t>
        </is>
      </c>
      <c r="G2379" t="inlineStr">
        <is>
          <t>Unclassified</t>
        </is>
      </c>
      <c r="H2379" t="inlineStr">
        <is>
          <t>DETAILS OF PRE-TENDER CONFERENCE Authentication of BEC Documents ADDENDUM TO INSTRUCTIONS TO BIDDERS (INSTRUCTIONS FOR PARTICIPATION IN E-TENDER)</t>
        </is>
      </c>
      <c r="K2379" t="inlineStr">
        <is>
          <t>Not found</t>
        </is>
      </c>
      <c r="L2379" t="inlineStr">
        <is>
          <t>Unknown</t>
        </is>
      </c>
      <c r="T2379" t="inlineStr">
        <is>
          <t>https://gailtenders.in/Gailtenders/Write up.pdf</t>
        </is>
      </c>
      <c r="U2379" t="inlineStr">
        <is>
          <t>No</t>
        </is>
      </c>
      <c r="V2379" t="inlineStr">
        <is>
          <t>Bot tespit/zenginlestirme (2026-07-01); meta:score=20;priority=Low;source_type=html_table;closing_date=;equipment=Unclassified;reasons=document source</t>
        </is>
      </c>
    </row>
    <row r="2380">
      <c r="A2380" t="inlineStr">
        <is>
          <t>T-2184</t>
        </is>
      </c>
      <c r="B2380" t="inlineStr">
        <is>
          <t>GAIL India</t>
        </is>
      </c>
      <c r="C2380" t="inlineStr">
        <is>
          <t>GAIL India</t>
        </is>
      </c>
      <c r="F2380" t="inlineStr">
        <is>
          <t>New Lead</t>
        </is>
      </c>
      <c r="G2380" t="inlineStr">
        <is>
          <t>Unclassified</t>
        </is>
      </c>
      <c r="H2380" t="inlineStr">
        <is>
          <t>DETAILS OF PRE-TENDER CONFERENCE Authentication of BEC Documents ADDENDUM TO INSTRUCTIONS TO BIDDERS (INSTRUCTIONS FOR PARTICIPATION IN E-TENDER)</t>
        </is>
      </c>
      <c r="K2380" t="inlineStr">
        <is>
          <t>Not found</t>
        </is>
      </c>
      <c r="L2380" t="inlineStr">
        <is>
          <t>Unknown</t>
        </is>
      </c>
      <c r="T2380" t="inlineStr">
        <is>
          <t>https://gailtenders.in/Gailtenders/AddendumtoITBeTender.pdf</t>
        </is>
      </c>
      <c r="U2380" t="inlineStr">
        <is>
          <t>No</t>
        </is>
      </c>
      <c r="V2380" t="inlineStr">
        <is>
          <t>Bot tespit/zenginlestirme (2026-07-01); meta:score=20;priority=Low;source_type=html_table;closing_date=;equipment=Unclassified;reasons=document source</t>
        </is>
      </c>
    </row>
    <row r="2381">
      <c r="A2381" t="inlineStr">
        <is>
          <t>T-2185</t>
        </is>
      </c>
      <c r="B2381" t="inlineStr">
        <is>
          <t>GAIL India</t>
        </is>
      </c>
      <c r="C2381" t="inlineStr">
        <is>
          <t>GAIL India</t>
        </is>
      </c>
      <c r="D2381" t="inlineStr">
        <is>
          <t>tifications</t>
        </is>
      </c>
      <c r="F2381" t="inlineStr">
        <is>
          <t>Docs Found</t>
        </is>
      </c>
      <c r="G2381" t="inlineStr">
        <is>
          <t>Unclassified</t>
        </is>
      </c>
      <c r="H2381"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1" t="inlineStr">
        <is>
          <t>Not found</t>
        </is>
      </c>
      <c r="L2381" t="inlineStr">
        <is>
          <t>Unknown</t>
        </is>
      </c>
      <c r="T2381" t="inlineStr">
        <is>
          <t>https://gailtenders.in/Gailtenders/pdf/APP2425002_19062024.pdf</t>
        </is>
      </c>
      <c r="U2381" t="inlineStr">
        <is>
          <t>No</t>
        </is>
      </c>
      <c r="V2381" t="inlineStr">
        <is>
          <t>Bot tespit/zenginlestirme (2026-07-01); meta:score=10;priority=Low;source_type=html_table;closing_date=;equipment=Unclassified;reasons=document source,tender reference signal,closing date signal,access/action page</t>
        </is>
      </c>
    </row>
    <row r="2382">
      <c r="A2382" t="inlineStr">
        <is>
          <t>T-2186</t>
        </is>
      </c>
      <c r="B2382" t="inlineStr">
        <is>
          <t>GAIL India</t>
        </is>
      </c>
      <c r="C2382" t="inlineStr">
        <is>
          <t>GAIL India</t>
        </is>
      </c>
      <c r="D2382" t="inlineStr">
        <is>
          <t>tifications</t>
        </is>
      </c>
      <c r="F2382" t="inlineStr">
        <is>
          <t>Awarded / Result</t>
        </is>
      </c>
      <c r="G2382" t="inlineStr">
        <is>
          <t>Unclassified</t>
        </is>
      </c>
      <c r="H2382"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2" t="inlineStr">
        <is>
          <t>Not found</t>
        </is>
      </c>
      <c r="L2382" t="inlineStr">
        <is>
          <t>Unknown</t>
        </is>
      </c>
      <c r="T2382" t="inlineStr">
        <is>
          <t>https://gailtenders.in/Gailtenders/admin/index.asp</t>
        </is>
      </c>
      <c r="U2382" t="inlineStr">
        <is>
          <t>HTML</t>
        </is>
      </c>
      <c r="V2382" t="inlineStr">
        <is>
          <t>Bot tespit/zenginlestirme (2026-07-01); meta:score=;priority=Low;source_type=html_table;closing_date=;equipment=Unclassified;reasons=tender reference signal,closing date signal,access/action page</t>
        </is>
      </c>
    </row>
    <row r="2383">
      <c r="A2383" t="inlineStr">
        <is>
          <t>T-2187</t>
        </is>
      </c>
      <c r="B2383" t="inlineStr">
        <is>
          <t>Adani Total Gas (ATGL)</t>
        </is>
      </c>
      <c r="C2383" t="inlineStr">
        <is>
          <t>Adani Total Gas (ATGL)</t>
        </is>
      </c>
      <c r="F2383" t="inlineStr">
        <is>
          <t>New Lead</t>
        </is>
      </c>
      <c r="G2383" t="inlineStr">
        <is>
          <t>Unclassified</t>
        </is>
      </c>
      <c r="H2383" t="inlineStr">
        <is>
          <t>RFP for OE and PMC View</t>
        </is>
      </c>
      <c r="K2383" t="inlineStr">
        <is>
          <t>Not found</t>
        </is>
      </c>
      <c r="L2383" t="inlineStr">
        <is>
          <t>Unknown</t>
        </is>
      </c>
      <c r="T2383" t="inlineStr">
        <is>
          <t>https://www.adanigas.com/-/media/Project/AdaniGas/Commercials/combinepdf.pdf?q=1</t>
        </is>
      </c>
      <c r="U2383" t="inlineStr">
        <is>
          <t>No</t>
        </is>
      </c>
      <c r="V2383" t="inlineStr">
        <is>
          <t>Bot tespit/zenginlestirme (2026-07-01); meta:score=35;priority=Low;source_type=html_table;closing_date=;equipment=Unclassified;reasons=document source,tender reference signal</t>
        </is>
      </c>
    </row>
    <row r="2384">
      <c r="A2384" t="inlineStr">
        <is>
          <t>T-2188</t>
        </is>
      </c>
      <c r="B2384" t="inlineStr">
        <is>
          <t>Torrent Gas</t>
        </is>
      </c>
      <c r="C2384" t="inlineStr">
        <is>
          <t>Torrent Gas</t>
        </is>
      </c>
      <c r="F2384" t="inlineStr">
        <is>
          <t>New Lead</t>
        </is>
      </c>
      <c r="G2384" t="inlineStr">
        <is>
          <t>Gas-related / review</t>
        </is>
      </c>
      <c r="H2384"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4" t="inlineStr">
        <is>
          <t>Not found</t>
        </is>
      </c>
      <c r="L2384" t="inlineStr">
        <is>
          <t>Unknown</t>
        </is>
      </c>
      <c r="T2384" t="inlineStr">
        <is>
          <t>https://www.torrentgas.com/Users/images/cms_img/Vendor Evaluation cum Registration Form.xlsx</t>
        </is>
      </c>
      <c r="U2384" t="inlineStr">
        <is>
          <t>No</t>
        </is>
      </c>
      <c r="V2384" t="inlineStr">
        <is>
          <t>Bot tespit/zenginlestirme (2026-07-01); meta:score=35;priority=Low;source_type=html_table;closing_date=;equipment=Gas-related / review;reasons=equipment:Gas-related / review,document source,quantity signal,tender reference signal,access/action page</t>
        </is>
      </c>
    </row>
    <row r="2385">
      <c r="A2385" t="inlineStr">
        <is>
          <t>T-2189</t>
        </is>
      </c>
      <c r="B2385" t="inlineStr">
        <is>
          <t>Torrent Gas</t>
        </is>
      </c>
      <c r="C2385" t="inlineStr">
        <is>
          <t>Torrent Gas</t>
        </is>
      </c>
      <c r="F2385" t="inlineStr">
        <is>
          <t>New Lead</t>
        </is>
      </c>
      <c r="G2385" t="inlineStr">
        <is>
          <t>Gas-related / review</t>
        </is>
      </c>
      <c r="H2385"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5" t="inlineStr">
        <is>
          <t>Not found</t>
        </is>
      </c>
      <c r="L2385" t="inlineStr">
        <is>
          <t>Unknown</t>
        </is>
      </c>
      <c r="T2385" t="inlineStr">
        <is>
          <t>https://www.torrentgas.com/Users/images/cms_img/Supplier code of Conduct.pdf</t>
        </is>
      </c>
      <c r="U2385" t="inlineStr">
        <is>
          <t>No</t>
        </is>
      </c>
      <c r="V2385" t="inlineStr">
        <is>
          <t>Bot tespit/zenginlestirme (2026-07-01); meta:score=35;priority=Low;source_type=html_table;closing_date=;equipment=Gas-related / review;reasons=equipment:Gas-related / review,document source,quantity signal,tender reference signal,access/action page</t>
        </is>
      </c>
    </row>
    <row r="2386">
      <c r="A2386" t="inlineStr">
        <is>
          <t>T-2190</t>
        </is>
      </c>
      <c r="B2386" t="inlineStr">
        <is>
          <t>Gasonet Services</t>
        </is>
      </c>
      <c r="C2386" t="inlineStr">
        <is>
          <t>Gasonet Services</t>
        </is>
      </c>
      <c r="D2386" t="inlineStr">
        <is>
          <t>GSL/REPL/011/LNG</t>
        </is>
      </c>
      <c r="E2386" t="inlineStr">
        <is>
          <t>29/05/2023</t>
        </is>
      </c>
      <c r="F2386" t="inlineStr">
        <is>
          <t>New Lead</t>
        </is>
      </c>
      <c r="G2386" t="inlineStr">
        <is>
          <t>Unclassified</t>
        </is>
      </c>
      <c r="H2386"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I2386" t="inlineStr">
        <is>
          <t>2</t>
        </is>
      </c>
      <c r="J2386" t="inlineStr">
        <is>
          <t>Nos</t>
        </is>
      </c>
      <c r="K2386" t="inlineStr">
        <is>
          <t>Not found</t>
        </is>
      </c>
      <c r="L2386" t="inlineStr">
        <is>
          <t>Unknown</t>
        </is>
      </c>
      <c r="T2386" t="inlineStr">
        <is>
          <t>https://www.gasonet.in/files/Technical Volume II of II (1).pdf</t>
        </is>
      </c>
      <c r="U2386" t="inlineStr">
        <is>
          <t>No</t>
        </is>
      </c>
      <c r="V2386" t="inlineStr">
        <is>
          <t>Bot tespit/zenginlestirme (2026-07-01); meta:score=55;priority=Medium;source_type=html_table;closing_date=;equipment=Unclassified;reasons=document source,quantity signal,tender reference signal</t>
        </is>
      </c>
    </row>
    <row r="2387">
      <c r="A2387" t="inlineStr">
        <is>
          <t>T-2191</t>
        </is>
      </c>
      <c r="B2387" t="inlineStr">
        <is>
          <t>Gasonet Services</t>
        </is>
      </c>
      <c r="C2387" t="inlineStr">
        <is>
          <t>Gasonet Services</t>
        </is>
      </c>
      <c r="D2387" t="inlineStr">
        <is>
          <t>GSL/REPL/011/LNG</t>
        </is>
      </c>
      <c r="E2387" t="inlineStr">
        <is>
          <t>27/05/2023</t>
        </is>
      </c>
      <c r="F2387" t="inlineStr">
        <is>
          <t>New Lead</t>
        </is>
      </c>
      <c r="G2387" t="inlineStr">
        <is>
          <t>Unclassified</t>
        </is>
      </c>
      <c r="H2387"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7" t="inlineStr">
        <is>
          <t>through another tender. 4.3 OPERATION AND COMPREHENSIVE MAINTENANCE PORTION 4.3.1</t>
        </is>
      </c>
      <c r="L2387" t="inlineStr">
        <is>
          <t>Unknown</t>
        </is>
      </c>
      <c r="M2387" t="n">
        <v>1200000</v>
      </c>
      <c r="T2387" t="inlineStr">
        <is>
          <t>https://www.gasonet.in/files/Commercial Volume I of II (1).pdf</t>
        </is>
      </c>
      <c r="U2387" t="inlineStr">
        <is>
          <t>No</t>
        </is>
      </c>
      <c r="V2387" t="inlineStr">
        <is>
          <t>Bot tespit/zenginlestirme (2026-07-01); meta:score=55;priority=Medium;source_type=html_table;closing_date=;equipment=Unclassified;reasons=document source,quantity signal,tender reference signal</t>
        </is>
      </c>
    </row>
    <row r="2388">
      <c r="A2388" t="inlineStr">
        <is>
          <t>T-2192</t>
        </is>
      </c>
      <c r="B2388" t="inlineStr">
        <is>
          <t>Gasonet Services</t>
        </is>
      </c>
      <c r="C2388" t="inlineStr">
        <is>
          <t>Gasonet Services</t>
        </is>
      </c>
      <c r="F2388" t="inlineStr">
        <is>
          <t>New Lead</t>
        </is>
      </c>
      <c r="G2388" t="inlineStr">
        <is>
          <t>Unclassified</t>
        </is>
      </c>
      <c r="H2388"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8" t="inlineStr">
        <is>
          <t>Not found</t>
        </is>
      </c>
      <c r="L2388" t="inlineStr">
        <is>
          <t>Unknown</t>
        </is>
      </c>
      <c r="T2388" t="inlineStr">
        <is>
          <t>https://www.gasonet.in/files/SOR-LNG.xlsx</t>
        </is>
      </c>
      <c r="U2388" t="inlineStr">
        <is>
          <t>No</t>
        </is>
      </c>
      <c r="V2388" t="inlineStr">
        <is>
          <t>Bot tespit/zenginlestirme (2026-07-01); meta:score=55;priority=Medium;source_type=html_table;closing_date=;equipment=Unclassified;reasons=document source,quantity signal,tender reference signal</t>
        </is>
      </c>
    </row>
    <row r="2389">
      <c r="A2389" t="inlineStr">
        <is>
          <t>T-2193</t>
        </is>
      </c>
      <c r="B2389" t="inlineStr">
        <is>
          <t>Gasonet Services</t>
        </is>
      </c>
      <c r="C2389" t="inlineStr">
        <is>
          <t>Gasonet Services</t>
        </is>
      </c>
      <c r="F2389" t="inlineStr">
        <is>
          <t>New Lead</t>
        </is>
      </c>
      <c r="G2389" t="inlineStr">
        <is>
          <t>Unclassified</t>
        </is>
      </c>
      <c r="H2389" t="inlineStr">
        <is>
          <t>15 Purchase of De-compression Unit. GCC Tender- DCU Not Applicable 26.02.2024 at 14:00 Hrs 26.02.2024 at 1700 Hrs.</t>
        </is>
      </c>
      <c r="K2389" t="inlineStr">
        <is>
          <t>Not found</t>
        </is>
      </c>
      <c r="L2389" t="inlineStr">
        <is>
          <t>Unknown</t>
        </is>
      </c>
      <c r="T2389" t="inlineStr">
        <is>
          <t>https://www.gasonet.in/files/GCC (2).pdf</t>
        </is>
      </c>
      <c r="U2389" t="inlineStr">
        <is>
          <t>No</t>
        </is>
      </c>
      <c r="V2389" t="inlineStr">
        <is>
          <t>Bot tespit/zenginlestirme (2026-07-01); meta:score=35;priority=Low;source_type=html_table;closing_date=;equipment=Unclassified;reasons=document source,tender reference signal</t>
        </is>
      </c>
    </row>
    <row r="2390">
      <c r="A2390" t="inlineStr">
        <is>
          <t>T-2194</t>
        </is>
      </c>
      <c r="B2390" t="inlineStr">
        <is>
          <t>Gasonet Services</t>
        </is>
      </c>
      <c r="C2390" t="inlineStr">
        <is>
          <t>Gasonet Services</t>
        </is>
      </c>
      <c r="F2390" t="inlineStr">
        <is>
          <t>New Lead</t>
        </is>
      </c>
      <c r="G2390" t="inlineStr">
        <is>
          <t>Unclassified</t>
        </is>
      </c>
      <c r="H2390" t="inlineStr">
        <is>
          <t>6 Procurement of API 5L 3 LPE Coated CS Line Pipe Technical volume -II Steel Pipe Commercial Volume -I Steel Pipes SOR Corrigendum-01 Corrigendum-02 Corrigendum-03 23.01.2023 @ 11:30 hrs 07.02.2023 @ 15:00 hrs 07.02.2023 @ 15:30 hrs</t>
        </is>
      </c>
      <c r="K2390" t="inlineStr">
        <is>
          <t>Not found</t>
        </is>
      </c>
      <c r="L2390" t="inlineStr">
        <is>
          <t>Unknown</t>
        </is>
      </c>
      <c r="T2390" t="inlineStr">
        <is>
          <t>https://www.gasonet.in/files/Technical volume -II Steel Pipe.pdf</t>
        </is>
      </c>
      <c r="U2390" t="inlineStr">
        <is>
          <t>No</t>
        </is>
      </c>
      <c r="V2390" t="inlineStr">
        <is>
          <t>Bot tespit/zenginlestirme (2026-07-01); meta:score=20;priority=Low;source_type=html_table;closing_date=;equipment=Unclassified;reasons=document source</t>
        </is>
      </c>
    </row>
    <row r="2391">
      <c r="A2391" t="inlineStr">
        <is>
          <t>T-2195</t>
        </is>
      </c>
      <c r="B2391" t="inlineStr">
        <is>
          <t>Gasonet Services</t>
        </is>
      </c>
      <c r="C2391" t="inlineStr">
        <is>
          <t>Gasonet Services</t>
        </is>
      </c>
      <c r="F2391" t="inlineStr">
        <is>
          <t>New Lead</t>
        </is>
      </c>
      <c r="G2391" t="inlineStr">
        <is>
          <t>Unclassified</t>
        </is>
      </c>
      <c r="H2391" t="inlineStr">
        <is>
          <t>6 Procurement of API 5L 3 LPE Coated CS Line Pipe Technical volume -II Steel Pipe Commercial Volume -I Steel Pipes SOR Corrigendum-01 Corrigendum-02 Corrigendum-03 23.01.2023 @ 11:30 hrs 07.02.2023 @ 15:00 hrs 07.02.2023 @ 15:30 hrs</t>
        </is>
      </c>
      <c r="K2391" t="inlineStr">
        <is>
          <t>Not found</t>
        </is>
      </c>
      <c r="L2391" t="inlineStr">
        <is>
          <t>Unknown</t>
        </is>
      </c>
      <c r="T2391" t="inlineStr">
        <is>
          <t>https://www.gasonet.in/files/Commercial Volume -I Steel Pipes.pdf</t>
        </is>
      </c>
      <c r="U2391" t="inlineStr">
        <is>
          <t>No</t>
        </is>
      </c>
      <c r="V2391" t="inlineStr">
        <is>
          <t>Bot tespit/zenginlestirme (2026-07-01); meta:score=20;priority=Low;source_type=html_table;closing_date=;equipment=Unclassified;reasons=document source</t>
        </is>
      </c>
    </row>
    <row r="2392">
      <c r="A2392" t="inlineStr">
        <is>
          <t>T-2196</t>
        </is>
      </c>
      <c r="B2392" t="inlineStr">
        <is>
          <t>Gasonet Services</t>
        </is>
      </c>
      <c r="C2392" t="inlineStr">
        <is>
          <t>Gasonet Services</t>
        </is>
      </c>
      <c r="F2392" t="inlineStr">
        <is>
          <t>New Lead</t>
        </is>
      </c>
      <c r="G2392" t="inlineStr">
        <is>
          <t>Unclassified</t>
        </is>
      </c>
      <c r="H2392" t="inlineStr">
        <is>
          <t>6 Procurement of API 5L 3 LPE Coated CS Line Pipe Technical volume -II Steel Pipe Commercial Volume -I Steel Pipes SOR Corrigendum-01 Corrigendum-02 Corrigendum-03 23.01.2023 @ 11:30 hrs 07.02.2023 @ 15:00 hrs 07.02.2023 @ 15:30 hrs</t>
        </is>
      </c>
      <c r="K2392" t="inlineStr">
        <is>
          <t>Not found</t>
        </is>
      </c>
      <c r="L2392" t="inlineStr">
        <is>
          <t>Unknown</t>
        </is>
      </c>
      <c r="T2392" t="inlineStr">
        <is>
          <t>https://www.gasonet.in/files/SOR.xlsx</t>
        </is>
      </c>
      <c r="U2392" t="inlineStr">
        <is>
          <t>No</t>
        </is>
      </c>
      <c r="V2392" t="inlineStr">
        <is>
          <t>Bot tespit/zenginlestirme (2026-07-01); meta:score=20;priority=Low;source_type=html_table;closing_date=;equipment=Unclassified;reasons=document source</t>
        </is>
      </c>
    </row>
    <row r="2393">
      <c r="A2393" t="inlineStr">
        <is>
          <t>T-2197</t>
        </is>
      </c>
      <c r="B2393" t="inlineStr">
        <is>
          <t>Gasonet Services</t>
        </is>
      </c>
      <c r="C2393" t="inlineStr">
        <is>
          <t>Gasonet Services</t>
        </is>
      </c>
      <c r="F2393" t="inlineStr">
        <is>
          <t>New Lead</t>
        </is>
      </c>
      <c r="G2393" t="inlineStr">
        <is>
          <t>Irrelevant / non-target</t>
        </is>
      </c>
      <c r="H2393"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3" t="inlineStr">
        <is>
          <t>Not found</t>
        </is>
      </c>
      <c r="L2393" t="inlineStr">
        <is>
          <t>Unknown</t>
        </is>
      </c>
      <c r="T2393" t="inlineStr">
        <is>
          <t>https://www.gasonet.in/files/Commercial Volume I of II_GSPL_PE 08.02.2024 (1).pdf</t>
        </is>
      </c>
      <c r="U2393" t="inlineStr">
        <is>
          <t>No</t>
        </is>
      </c>
      <c r="V2393" t="inlineStr">
        <is>
          <t>Bot tespit/zenginlestirme (2026-07-01); meta:score=;priority=Low;source_type=html_table;closing_date=;equipment=Irrelevant / non-target;reasons=irrelevant_equipment,document source</t>
        </is>
      </c>
    </row>
    <row r="2394">
      <c r="A2394" t="inlineStr">
        <is>
          <t>T-2198</t>
        </is>
      </c>
      <c r="B2394" t="inlineStr">
        <is>
          <t>Gasonet Services</t>
        </is>
      </c>
      <c r="C2394" t="inlineStr">
        <is>
          <t>Gasonet Services</t>
        </is>
      </c>
      <c r="F2394" t="inlineStr">
        <is>
          <t>New Lead</t>
        </is>
      </c>
      <c r="G2394" t="inlineStr">
        <is>
          <t>Irrelevant / non-target</t>
        </is>
      </c>
      <c r="H2394"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4" t="inlineStr">
        <is>
          <t>Not found</t>
        </is>
      </c>
      <c r="L2394" t="inlineStr">
        <is>
          <t>Unknown</t>
        </is>
      </c>
      <c r="T2394" t="inlineStr">
        <is>
          <t>https://www.gasonet.in/files/SOR_GSPL_PE_005_08.02.2024 .xlsx</t>
        </is>
      </c>
      <c r="U2394" t="inlineStr">
        <is>
          <t>No</t>
        </is>
      </c>
      <c r="V2394" t="inlineStr">
        <is>
          <t>Bot tespit/zenginlestirme (2026-07-01); meta:score=;priority=Low;source_type=html_table;closing_date=;equipment=Irrelevant / non-target;reasons=irrelevant_equipment,document source</t>
        </is>
      </c>
    </row>
    <row r="2395">
      <c r="A2395" t="inlineStr">
        <is>
          <t>T-2199</t>
        </is>
      </c>
      <c r="B2395" t="inlineStr">
        <is>
          <t>Gasonet Services</t>
        </is>
      </c>
      <c r="C2395" t="inlineStr">
        <is>
          <t>Gasonet Services</t>
        </is>
      </c>
      <c r="F2395" t="inlineStr">
        <is>
          <t>New Lead</t>
        </is>
      </c>
      <c r="G2395" t="inlineStr">
        <is>
          <t>Irrelevant / non-target</t>
        </is>
      </c>
      <c r="H2395"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5" t="inlineStr">
        <is>
          <t>Not found</t>
        </is>
      </c>
      <c r="L2395" t="inlineStr">
        <is>
          <t>Unknown</t>
        </is>
      </c>
      <c r="T2395" t="inlineStr">
        <is>
          <t>https://www.gasonet.in/files/SOR_GSPL_PE_005_Rev-01.xlsx</t>
        </is>
      </c>
      <c r="U2395" t="inlineStr">
        <is>
          <t>No</t>
        </is>
      </c>
      <c r="V2395" t="inlineStr">
        <is>
          <t>Bot tespit/zenginlestirme (2026-07-01); meta:score=;priority=Low;source_type=html_table;closing_date=;equipment=Irrelevant / non-target;reasons=irrelevant_equipment,document source</t>
        </is>
      </c>
    </row>
    <row r="2396">
      <c r="A2396" t="inlineStr">
        <is>
          <t>T-2200</t>
        </is>
      </c>
      <c r="B2396" t="inlineStr">
        <is>
          <t>Gasonet Services</t>
        </is>
      </c>
      <c r="C2396" t="inlineStr">
        <is>
          <t>Gasonet Services</t>
        </is>
      </c>
      <c r="F2396" t="inlineStr">
        <is>
          <t>New Lead</t>
        </is>
      </c>
      <c r="G2396" t="inlineStr">
        <is>
          <t>Irrelevant / non-target</t>
        </is>
      </c>
      <c r="H2396"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6" t="inlineStr">
        <is>
          <t>Not found</t>
        </is>
      </c>
      <c r="L2396" t="inlineStr">
        <is>
          <t>Unknown</t>
        </is>
      </c>
      <c r="T2396" t="inlineStr">
        <is>
          <t>https://www.gasonet.in/files/RPBQ_16.02.2024. -11pdf.pdf</t>
        </is>
      </c>
      <c r="U2396" t="inlineStr">
        <is>
          <t>No</t>
        </is>
      </c>
      <c r="V2396" t="inlineStr">
        <is>
          <t>Bot tespit/zenginlestirme (2026-07-01); meta:score=;priority=Low;source_type=html_table;closing_date=;equipment=Irrelevant / non-target;reasons=irrelevant_equipment,document source</t>
        </is>
      </c>
    </row>
    <row r="2397">
      <c r="A2397" t="inlineStr">
        <is>
          <t>T-2201</t>
        </is>
      </c>
      <c r="B2397" t="inlineStr">
        <is>
          <t>Gasonet Services</t>
        </is>
      </c>
      <c r="C2397" t="inlineStr">
        <is>
          <t>Gasonet Services</t>
        </is>
      </c>
      <c r="D2397" t="inlineStr">
        <is>
          <t>GSL/CIVIL</t>
        </is>
      </c>
      <c r="F2397" t="inlineStr">
        <is>
          <t>Docs Found</t>
        </is>
      </c>
      <c r="G2397" t="inlineStr">
        <is>
          <t>Unclassified</t>
        </is>
      </c>
      <c r="H2397"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7" t="inlineStr">
        <is>
          <t>Not found</t>
        </is>
      </c>
      <c r="L2397" t="inlineStr">
        <is>
          <t>Unknown</t>
        </is>
      </c>
      <c r="T2397" t="inlineStr">
        <is>
          <t>https://www.gasonet.in/files/25-SOR-LNG Dehar Group C.xlsx</t>
        </is>
      </c>
      <c r="U2397" t="inlineStr">
        <is>
          <t>No</t>
        </is>
      </c>
      <c r="V2397" t="inlineStr">
        <is>
          <t>Bot tespit/zenginlestirme (2026-07-01); meta:score=;priority=Low;source_type=html_table;closing_date=;equipment=Unclassified;reasons=document source,tender reference signal,access/action page</t>
        </is>
      </c>
    </row>
    <row r="2398">
      <c r="A2398" t="inlineStr">
        <is>
          <t>T-2202</t>
        </is>
      </c>
      <c r="B2398" t="inlineStr">
        <is>
          <t>Gasonet Services</t>
        </is>
      </c>
      <c r="C2398" t="inlineStr">
        <is>
          <t>Gasonet Services</t>
        </is>
      </c>
      <c r="D2398" t="inlineStr">
        <is>
          <t>GSL/CIVIL</t>
        </is>
      </c>
      <c r="F2398" t="inlineStr">
        <is>
          <t>Docs Found</t>
        </is>
      </c>
      <c r="G2398" t="inlineStr">
        <is>
          <t>Unclassified</t>
        </is>
      </c>
      <c r="H2398"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8" t="inlineStr">
        <is>
          <t>Not found</t>
        </is>
      </c>
      <c r="L2398" t="inlineStr">
        <is>
          <t>Unknown</t>
        </is>
      </c>
      <c r="T2398" t="inlineStr">
        <is>
          <t>https://www.gasonet.in/files/25-SOR-Lohaghat Group D.xlsx</t>
        </is>
      </c>
      <c r="U2398" t="inlineStr">
        <is>
          <t>No</t>
        </is>
      </c>
      <c r="V2398" t="inlineStr">
        <is>
          <t>Bot tespit/zenginlestirme (2026-07-01); meta:score=;priority=Low;source_type=html_table;closing_date=;equipment=Unclassified;reasons=document source,tender reference signal,access/action page</t>
        </is>
      </c>
    </row>
    <row r="2399">
      <c r="A2399" t="inlineStr">
        <is>
          <t>T-2203</t>
        </is>
      </c>
      <c r="B2399" t="inlineStr">
        <is>
          <t>Gasonet Services</t>
        </is>
      </c>
      <c r="C2399" t="inlineStr">
        <is>
          <t>Gasonet Services</t>
        </is>
      </c>
      <c r="D2399" t="inlineStr">
        <is>
          <t>GASONET/C</t>
        </is>
      </c>
      <c r="F2399" t="inlineStr">
        <is>
          <t>Docs Found</t>
        </is>
      </c>
      <c r="G2399" t="inlineStr">
        <is>
          <t>Unclassified</t>
        </is>
      </c>
      <c r="H2399"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399" t="inlineStr">
        <is>
          <t>Not found</t>
        </is>
      </c>
      <c r="L2399" t="inlineStr">
        <is>
          <t>Unknown</t>
        </is>
      </c>
      <c r="T2399" t="inlineStr">
        <is>
          <t>https://www.gasonet.in/files/28-SOW.pdf</t>
        </is>
      </c>
      <c r="U2399" t="inlineStr">
        <is>
          <t>No</t>
        </is>
      </c>
      <c r="V2399" t="inlineStr">
        <is>
          <t>Bot tespit/zenginlestirme (2026-07-01); meta:score=;priority=Low;source_type=html_table;closing_date=;equipment=Unclassified;reasons=document source,tender reference signal,access/action page</t>
        </is>
      </c>
    </row>
    <row r="2400">
      <c r="A2400" t="inlineStr">
        <is>
          <t>T-2204</t>
        </is>
      </c>
      <c r="B2400" t="inlineStr">
        <is>
          <t>Gasonet Services</t>
        </is>
      </c>
      <c r="C2400" t="inlineStr">
        <is>
          <t>Gasonet Services</t>
        </is>
      </c>
      <c r="D2400" t="inlineStr">
        <is>
          <t>GASONET/C</t>
        </is>
      </c>
      <c r="F2400" t="inlineStr">
        <is>
          <t>Docs Found</t>
        </is>
      </c>
      <c r="G2400" t="inlineStr">
        <is>
          <t>Unclassified</t>
        </is>
      </c>
      <c r="H2400"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0" t="inlineStr">
        <is>
          <t>Not found</t>
        </is>
      </c>
      <c r="L2400" t="inlineStr">
        <is>
          <t>Unknown</t>
        </is>
      </c>
      <c r="T2400" t="inlineStr">
        <is>
          <t>https://www.gasonet.in/files/28-GCC.pdf</t>
        </is>
      </c>
      <c r="U2400" t="inlineStr">
        <is>
          <t>No</t>
        </is>
      </c>
      <c r="V2400" t="inlineStr">
        <is>
          <t>Bot tespit/zenginlestirme (2026-07-01); meta:score=;priority=Low;source_type=html_table;closing_date=;equipment=Unclassified;reasons=document source,tender reference signal,access/action page</t>
        </is>
      </c>
    </row>
    <row r="2401">
      <c r="A2401" t="inlineStr">
        <is>
          <t>T-2205</t>
        </is>
      </c>
      <c r="B2401" t="inlineStr">
        <is>
          <t>Gasonet Services</t>
        </is>
      </c>
      <c r="C2401" t="inlineStr">
        <is>
          <t>Gasonet Services</t>
        </is>
      </c>
      <c r="D2401" t="inlineStr">
        <is>
          <t>GASONET/C</t>
        </is>
      </c>
      <c r="F2401" t="inlineStr">
        <is>
          <t>Docs Found</t>
        </is>
      </c>
      <c r="G2401" t="inlineStr">
        <is>
          <t>Unclassified</t>
        </is>
      </c>
      <c r="H2401"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1" t="inlineStr">
        <is>
          <t>Not found</t>
        </is>
      </c>
      <c r="L2401" t="inlineStr">
        <is>
          <t>Unknown</t>
        </is>
      </c>
      <c r="T2401" t="inlineStr">
        <is>
          <t>https://www.gasonet.in/files/28-SOR _VEHICLE.xlsx</t>
        </is>
      </c>
      <c r="U2401" t="inlineStr">
        <is>
          <t>No</t>
        </is>
      </c>
      <c r="V2401" t="inlineStr">
        <is>
          <t>Bot tespit/zenginlestirme (2026-07-01); meta:score=;priority=Low;source_type=html_table;closing_date=;equipment=Unclassified;reasons=document source,tender reference signal,access/action page</t>
        </is>
      </c>
    </row>
    <row r="2402">
      <c r="A2402" t="inlineStr">
        <is>
          <t>T-2206</t>
        </is>
      </c>
      <c r="B2402" t="inlineStr">
        <is>
          <t>Avantika Gas</t>
        </is>
      </c>
      <c r="C2402" t="inlineStr">
        <is>
          <t>Avantika Gas</t>
        </is>
      </c>
      <c r="D2402" t="inlineStr">
        <is>
          <t>iatives</t>
        </is>
      </c>
      <c r="F2402" t="inlineStr">
        <is>
          <t>Docs Found</t>
        </is>
      </c>
      <c r="G2402" t="inlineStr">
        <is>
          <t>Irrelevant / non-target</t>
        </is>
      </c>
      <c r="H2402" t="inlineStr">
        <is>
          <t>CSR CSR Policies CSR Initiatives Overview vision &amp; objective CSR Projects FY-2021-22 FY 2022-23 FY 2023-24</t>
        </is>
      </c>
      <c r="K2402" t="inlineStr">
        <is>
          <t>Not found</t>
        </is>
      </c>
      <c r="L2402" t="inlineStr">
        <is>
          <t>Unknown</t>
        </is>
      </c>
      <c r="T2402" t="inlineStr">
        <is>
          <t>https://www.aglonline.net/csr/</t>
        </is>
      </c>
      <c r="U2402" t="inlineStr">
        <is>
          <t>HTML</t>
        </is>
      </c>
      <c r="V2402" t="inlineStr">
        <is>
          <t>Bot tespit/zenginlestirme (2026-07-01); meta:score=;priority=Low;source_type=html_table;closing_date=;equipment=Irrelevant / non-target;reasons=irrelevant_equipment,tender reference signal,website noise</t>
        </is>
      </c>
    </row>
    <row r="2403">
      <c r="A2403" t="inlineStr">
        <is>
          <t>T-2207</t>
        </is>
      </c>
      <c r="B2403" t="inlineStr">
        <is>
          <t>Vadodara Gas Limited</t>
        </is>
      </c>
      <c r="C2403" t="inlineStr">
        <is>
          <t>Vadodara Gas Limited</t>
        </is>
      </c>
      <c r="D2403" t="inlineStr">
        <is>
          <t>iatives</t>
        </is>
      </c>
      <c r="F2403" t="inlineStr">
        <is>
          <t>Docs Found</t>
        </is>
      </c>
      <c r="G2403" t="inlineStr">
        <is>
          <t>Irrelevant / non-target</t>
        </is>
      </c>
      <c r="H2403" t="inlineStr">
        <is>
          <t>CSR CSR Policy Our CSR Initiatives</t>
        </is>
      </c>
      <c r="K2403" t="inlineStr">
        <is>
          <t>Not found</t>
        </is>
      </c>
      <c r="L2403" t="inlineStr">
        <is>
          <t>Unknown</t>
        </is>
      </c>
      <c r="T2403" t="inlineStr">
        <is>
          <t>https://www.vgl.co.in/csr/</t>
        </is>
      </c>
      <c r="U2403" t="inlineStr">
        <is>
          <t>HTML</t>
        </is>
      </c>
      <c r="V2403" t="inlineStr">
        <is>
          <t>Bot tespit/zenginlestirme (2026-07-01); meta:score=;priority=Low;source_type=html_table;closing_date=;equipment=Irrelevant / non-target;reasons=irrelevant_equipment,tender reference signal,website noise</t>
        </is>
      </c>
    </row>
    <row r="2404">
      <c r="A2404" t="inlineStr">
        <is>
          <t>T-2208</t>
        </is>
      </c>
      <c r="B2404" t="inlineStr">
        <is>
          <t>Vadodara Gas Limited</t>
        </is>
      </c>
      <c r="C2404" t="inlineStr">
        <is>
          <t>Vadodara Gas Limited</t>
        </is>
      </c>
      <c r="D2404" t="inlineStr">
        <is>
          <t>iatives</t>
        </is>
      </c>
      <c r="F2404" t="inlineStr">
        <is>
          <t>Docs Found</t>
        </is>
      </c>
      <c r="G2404" t="inlineStr">
        <is>
          <t>Irrelevant / non-target</t>
        </is>
      </c>
      <c r="H2404" t="inlineStr">
        <is>
          <t>CSR Policy Our CSR Initiatives</t>
        </is>
      </c>
      <c r="K2404" t="inlineStr">
        <is>
          <t>Not found</t>
        </is>
      </c>
      <c r="L2404" t="inlineStr">
        <is>
          <t>Unknown</t>
        </is>
      </c>
      <c r="T2404" t="inlineStr">
        <is>
          <t>https://www.vgl.co.in/csr/csr-policy/</t>
        </is>
      </c>
      <c r="U2404" t="inlineStr">
        <is>
          <t>HTML</t>
        </is>
      </c>
      <c r="V2404" t="inlineStr">
        <is>
          <t>Bot tespit/zenginlestirme (2026-07-01); meta:score=;priority=Low;source_type=html_table;closing_date=;equipment=Irrelevant / non-target;reasons=irrelevant_equipment,tender reference signal,website noise</t>
        </is>
      </c>
    </row>
    <row r="2405">
      <c r="A2405" t="inlineStr">
        <is>
          <t>T-2209</t>
        </is>
      </c>
      <c r="B2405" t="inlineStr">
        <is>
          <t>Reliance BP Mobility / Jio-bp gas related</t>
        </is>
      </c>
      <c r="C2405" t="inlineStr">
        <is>
          <t>Reliance BP Mobility / Jio-bp gas related</t>
        </is>
      </c>
      <c r="D2405" t="inlineStr">
        <is>
          <t>iative</t>
        </is>
      </c>
      <c r="F2405" t="inlineStr">
        <is>
          <t>Docs Found</t>
        </is>
      </c>
      <c r="G2405" t="inlineStr">
        <is>
          <t>Unclassified</t>
        </is>
      </c>
      <c r="H2405" t="inlineStr">
        <is>
          <t>Jio-bp aims to set up robust battery swapping infrastructure compatible with B2B and B2C segments for all e-2, e-3, and e-4 wheelers. As part of Jio-bp pulse, this initiative complements our extensive EV charging stations and fast charging units. Know More</t>
        </is>
      </c>
      <c r="K2405" t="inlineStr">
        <is>
          <t>Not found</t>
        </is>
      </c>
      <c r="L2405" t="inlineStr">
        <is>
          <t>Unknown</t>
        </is>
      </c>
      <c r="T2405" t="inlineStr">
        <is>
          <t>https://www.jiobp.com/products-and-services/EV-charging#swap</t>
        </is>
      </c>
      <c r="U2405" t="inlineStr">
        <is>
          <t>HTML</t>
        </is>
      </c>
      <c r="V2405" t="inlineStr">
        <is>
          <t>Bot tespit/zenginlestirme (2026-07-01); meta:score=35;priority=Low;source_type=html_table;closing_date=;equipment=Unclassified;reasons=quantity signal,tender reference signal</t>
        </is>
      </c>
    </row>
    <row r="2406">
      <c r="A2406" t="inlineStr">
        <is>
          <t>T-2210</t>
        </is>
      </c>
      <c r="B2406" t="inlineStr">
        <is>
          <t>Reliance BP Mobility / Jio-bp gas related</t>
        </is>
      </c>
      <c r="C2406" t="inlineStr">
        <is>
          <t>Reliance BP Mobility / Jio-bp gas related</t>
        </is>
      </c>
      <c r="D2406" t="inlineStr">
        <is>
          <t>rogen</t>
        </is>
      </c>
      <c r="F2406" t="inlineStr">
        <is>
          <t>Docs Found</t>
        </is>
      </c>
      <c r="G2406" t="inlineStr">
        <is>
          <t>Gas-related / review</t>
        </is>
      </c>
      <c r="H2406"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6" t="inlineStr">
        <is>
          <t>Not found</t>
        </is>
      </c>
      <c r="L2406" t="inlineStr">
        <is>
          <t>Unknown</t>
        </is>
      </c>
      <c r="T2406" t="inlineStr">
        <is>
          <t>https://www.jiobp.com/products-and-services/fuels-at-jio-bp</t>
        </is>
      </c>
      <c r="U2406" t="inlineStr">
        <is>
          <t>HTML</t>
        </is>
      </c>
      <c r="V2406" t="inlineStr">
        <is>
          <t>Bot tespit/zenginlestirme (2026-07-01); meta:score=30;priority=Low;source_type=html_table;closing_date=;equipment=Gas-related / review;reasons=equipment:Gas-related / review,tender reference signal</t>
        </is>
      </c>
    </row>
    <row r="2407">
      <c r="A2407" t="inlineStr">
        <is>
          <t>T-2211</t>
        </is>
      </c>
      <c r="B2407" t="inlineStr">
        <is>
          <t>Reliance BP Mobility / Jio-bp gas related</t>
        </is>
      </c>
      <c r="C2407" t="inlineStr">
        <is>
          <t>Reliance BP Mobility / Jio-bp gas related</t>
        </is>
      </c>
      <c r="D2407" t="inlineStr">
        <is>
          <t>rogen</t>
        </is>
      </c>
      <c r="F2407" t="inlineStr">
        <is>
          <t>Docs Found</t>
        </is>
      </c>
      <c r="G2407" t="inlineStr">
        <is>
          <t>Gas-related / review</t>
        </is>
      </c>
      <c r="H2407"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7" t="inlineStr">
        <is>
          <t>Not found</t>
        </is>
      </c>
      <c r="L2407" t="inlineStr">
        <is>
          <t>Unknown</t>
        </is>
      </c>
      <c r="T2407" t="inlineStr">
        <is>
          <t>https://www.jiobp.com/locate-fuel-station</t>
        </is>
      </c>
      <c r="U2407" t="inlineStr">
        <is>
          <t>HTML</t>
        </is>
      </c>
      <c r="V2407" t="inlineStr">
        <is>
          <t>Bot tespit/zenginlestirme (2026-07-01); meta:score=30;priority=Low;source_type=html_table;closing_date=;equipment=Gas-related / review;reasons=equipment:Gas-related / review,tender reference signal</t>
        </is>
      </c>
    </row>
    <row r="2408">
      <c r="A2408" t="inlineStr">
        <is>
          <t>T-2212</t>
        </is>
      </c>
      <c r="B2408" t="inlineStr">
        <is>
          <t>Reliance BP Mobility / Jio-bp gas related</t>
        </is>
      </c>
      <c r="C2408" t="inlineStr">
        <is>
          <t>Reliance BP Mobility / Jio-bp gas related</t>
        </is>
      </c>
      <c r="D2408" t="inlineStr">
        <is>
          <t>rogen</t>
        </is>
      </c>
      <c r="F2408" t="inlineStr">
        <is>
          <t>Docs Found</t>
        </is>
      </c>
      <c r="G2408" t="inlineStr">
        <is>
          <t>Gas-related / review</t>
        </is>
      </c>
      <c r="H2408"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8" t="inlineStr">
        <is>
          <t>Not found</t>
        </is>
      </c>
      <c r="L2408" t="inlineStr">
        <is>
          <t>Unknown</t>
        </is>
      </c>
      <c r="T2408" t="inlineStr">
        <is>
          <t>https://www.jiobp.com/products-and-services/rewardMeter-Program</t>
        </is>
      </c>
      <c r="U2408" t="inlineStr">
        <is>
          <t>HTML</t>
        </is>
      </c>
      <c r="V2408" t="inlineStr">
        <is>
          <t>Bot tespit/zenginlestirme (2026-07-01); meta:score=30;priority=Low;source_type=html_table;closing_date=;equipment=Gas-related / review;reasons=equipment:Gas-related / review,tender reference signal</t>
        </is>
      </c>
    </row>
    <row r="2409">
      <c r="A2409" t="inlineStr">
        <is>
          <t>T-2213</t>
        </is>
      </c>
      <c r="B2409" t="inlineStr">
        <is>
          <t>Reliance BP Mobility / Jio-bp gas related</t>
        </is>
      </c>
      <c r="C2409" t="inlineStr">
        <is>
          <t>Reliance BP Mobility / Jio-bp gas related</t>
        </is>
      </c>
      <c r="D2409" t="inlineStr">
        <is>
          <t>rogen</t>
        </is>
      </c>
      <c r="F2409" t="inlineStr">
        <is>
          <t>Docs Found</t>
        </is>
      </c>
      <c r="G2409" t="inlineStr">
        <is>
          <t>Gas-related / review</t>
        </is>
      </c>
      <c r="H2409"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9" t="inlineStr">
        <is>
          <t>Not found</t>
        </is>
      </c>
      <c r="L2409" t="inlineStr">
        <is>
          <t>Unknown</t>
        </is>
      </c>
      <c r="T2409" t="inlineStr">
        <is>
          <t>https://www.jiobp.com/products-and-services/wild-bean-cafe</t>
        </is>
      </c>
      <c r="U2409" t="inlineStr">
        <is>
          <t>HTML</t>
        </is>
      </c>
      <c r="V2409" t="inlineStr">
        <is>
          <t>Bot tespit/zenginlestirme (2026-07-01); meta:score=30;priority=Low;source_type=html_table;closing_date=;equipment=Gas-related / review;reasons=equipment:Gas-related / review,tender reference signal</t>
        </is>
      </c>
    </row>
    <row r="2410">
      <c r="A2410" t="inlineStr">
        <is>
          <t>T-2214</t>
        </is>
      </c>
      <c r="B2410" t="inlineStr">
        <is>
          <t>Reliance BP Mobility / Jio-bp gas related</t>
        </is>
      </c>
      <c r="C2410" t="inlineStr">
        <is>
          <t>Reliance BP Mobility / Jio-bp gas related</t>
        </is>
      </c>
      <c r="D2410" t="inlineStr">
        <is>
          <t>rogen</t>
        </is>
      </c>
      <c r="F2410" t="inlineStr">
        <is>
          <t>Docs Found</t>
        </is>
      </c>
      <c r="G2410" t="inlineStr">
        <is>
          <t>Gas-related / review</t>
        </is>
      </c>
      <c r="H2410"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0" t="inlineStr">
        <is>
          <t>Not found</t>
        </is>
      </c>
      <c r="L2410" t="inlineStr">
        <is>
          <t>Unknown</t>
        </is>
      </c>
      <c r="T2410" t="inlineStr">
        <is>
          <t>https://www.jiobp.com/products-and-services/castrol</t>
        </is>
      </c>
      <c r="U2410" t="inlineStr">
        <is>
          <t>HTML</t>
        </is>
      </c>
      <c r="V2410" t="inlineStr">
        <is>
          <t>Bot tespit/zenginlestirme (2026-07-01); meta:score=30;priority=Low;source_type=html_table;closing_date=;equipment=Gas-related / review;reasons=equipment:Gas-related / review,tender reference signal</t>
        </is>
      </c>
    </row>
    <row r="2411">
      <c r="A2411" t="inlineStr">
        <is>
          <t>T-2215</t>
        </is>
      </c>
      <c r="B2411" t="inlineStr">
        <is>
          <t>Reliance BP Mobility / Jio-bp gas related</t>
        </is>
      </c>
      <c r="C2411" t="inlineStr">
        <is>
          <t>Reliance BP Mobility / Jio-bp gas related</t>
        </is>
      </c>
      <c r="D2411" t="inlineStr">
        <is>
          <t>rogen</t>
        </is>
      </c>
      <c r="F2411" t="inlineStr">
        <is>
          <t>Docs Found</t>
        </is>
      </c>
      <c r="G2411" t="inlineStr">
        <is>
          <t>Gas-related / review</t>
        </is>
      </c>
      <c r="H2411"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1" t="inlineStr">
        <is>
          <t>Not found</t>
        </is>
      </c>
      <c r="L2411" t="inlineStr">
        <is>
          <t>Unknown</t>
        </is>
      </c>
      <c r="T2411" t="inlineStr">
        <is>
          <t>https://www.jiobp.com/products-and-services/trans-connect</t>
        </is>
      </c>
      <c r="U2411" t="inlineStr">
        <is>
          <t>HTML</t>
        </is>
      </c>
      <c r="V2411" t="inlineStr">
        <is>
          <t>Bot tespit/zenginlestirme (2026-07-01); meta:score=30;priority=Low;source_type=html_table;closing_date=;equipment=Gas-related / review;reasons=equipment:Gas-related / review,tender reference signal</t>
        </is>
      </c>
    </row>
    <row r="2412">
      <c r="A2412" t="inlineStr">
        <is>
          <t>T-2216</t>
        </is>
      </c>
      <c r="B2412" t="inlineStr">
        <is>
          <t>Reliance BP Mobility / Jio-bp gas related</t>
        </is>
      </c>
      <c r="C2412" t="inlineStr">
        <is>
          <t>Reliance BP Mobility / Jio-bp gas related</t>
        </is>
      </c>
      <c r="D2412" t="inlineStr">
        <is>
          <t>rogen</t>
        </is>
      </c>
      <c r="F2412" t="inlineStr">
        <is>
          <t>Docs Found</t>
        </is>
      </c>
      <c r="G2412" t="inlineStr">
        <is>
          <t>Gas-related / review</t>
        </is>
      </c>
      <c r="H2412"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2" t="inlineStr">
        <is>
          <t>Not found</t>
        </is>
      </c>
      <c r="L2412" t="inlineStr">
        <is>
          <t>Unknown</t>
        </is>
      </c>
      <c r="T2412" t="inlineStr">
        <is>
          <t>https://www.jiobp.com/products-and-services/fuel4u</t>
        </is>
      </c>
      <c r="U2412" t="inlineStr">
        <is>
          <t>HTML</t>
        </is>
      </c>
      <c r="V2412" t="inlineStr">
        <is>
          <t>Bot tespit/zenginlestirme (2026-07-01); meta:score=30;priority=Low;source_type=html_table;closing_date=;equipment=Gas-related / review;reasons=equipment:Gas-related / review,tender reference signal</t>
        </is>
      </c>
    </row>
    <row r="2413">
      <c r="A2413" t="inlineStr">
        <is>
          <t>T-2217</t>
        </is>
      </c>
      <c r="B2413" t="inlineStr">
        <is>
          <t>Reliance BP Mobility / Jio-bp gas related</t>
        </is>
      </c>
      <c r="C2413" t="inlineStr">
        <is>
          <t>Reliance BP Mobility / Jio-bp gas related</t>
        </is>
      </c>
      <c r="D2413" t="inlineStr">
        <is>
          <t>rogen</t>
        </is>
      </c>
      <c r="F2413" t="inlineStr">
        <is>
          <t>Docs Found</t>
        </is>
      </c>
      <c r="G2413" t="inlineStr">
        <is>
          <t>Gas-related / review</t>
        </is>
      </c>
      <c r="H2413"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3" t="inlineStr">
        <is>
          <t>Not found</t>
        </is>
      </c>
      <c r="L2413" t="inlineStr">
        <is>
          <t>Unknown</t>
        </is>
      </c>
      <c r="T2413" t="inlineStr">
        <is>
          <t>https://www.jiobp.com/disclaimer</t>
        </is>
      </c>
      <c r="U2413" t="inlineStr">
        <is>
          <t>HTML</t>
        </is>
      </c>
      <c r="V2413" t="inlineStr">
        <is>
          <t>Bot tespit/zenginlestirme (2026-07-01); meta:score=30;priority=Low;source_type=html_table;closing_date=;equipment=Gas-related / review;reasons=equipment:Gas-related / review,tender reference signal</t>
        </is>
      </c>
    </row>
    <row r="2414">
      <c r="A2414" t="inlineStr">
        <is>
          <t>T-2218</t>
        </is>
      </c>
      <c r="B2414" t="inlineStr">
        <is>
          <t>CPPP / eProcure</t>
        </is>
      </c>
      <c r="C2414" t="inlineStr">
        <is>
          <t>CPPP / eProcure</t>
        </is>
      </c>
      <c r="D2414" t="inlineStr">
        <is>
          <t>4/2026-27T/ship</t>
        </is>
      </c>
      <c r="F2414" t="inlineStr">
        <is>
          <t>Docs Found</t>
        </is>
      </c>
      <c r="G2414" t="inlineStr">
        <is>
          <t>Unclassified</t>
        </is>
      </c>
      <c r="H2414" t="inlineStr">
        <is>
          <t>5. Bid Auto Extn Corrigendum NIT-4/2026-27T/ship 11-Jul-2026 03:30 PM 13-Jul-2026 03:30 PM</t>
        </is>
      </c>
      <c r="K2414" t="inlineStr">
        <is>
          <t>Not found</t>
        </is>
      </c>
      <c r="L2414" t="inlineStr">
        <is>
          <t>Unknown</t>
        </is>
      </c>
      <c r="T2414" t="inlineStr">
        <is>
          <t>https://www.etenders.gov.in/eprocure/app?component=%24DirectLink_0&amp;page=Home&amp;service=direct&amp;session=T&amp;sp=SGS84MMK8iO9W3%2FM7DfuRJg%3D%3D</t>
        </is>
      </c>
      <c r="U2414" t="inlineStr">
        <is>
          <t>HTML</t>
        </is>
      </c>
      <c r="V2414" t="inlineStr">
        <is>
          <t>Bot tespit/zenginlestirme (2026-07-01); meta:score=15;priority=Low;source_type=html_table;closing_date=;equipment=Unclassified;reasons=tender reference signal</t>
        </is>
      </c>
    </row>
    <row r="2415">
      <c r="A2415" t="inlineStr">
        <is>
          <t>T-2219</t>
        </is>
      </c>
      <c r="B2415" t="inlineStr">
        <is>
          <t>CPPP / eProcure</t>
        </is>
      </c>
      <c r="C2415" t="inlineStr">
        <is>
          <t>CPPP / eProcure</t>
        </is>
      </c>
      <c r="D2415" t="inlineStr">
        <is>
          <t>319/RO-PATNA/NHAI/2026-27</t>
        </is>
      </c>
      <c r="F2415" t="inlineStr">
        <is>
          <t>Docs Found</t>
        </is>
      </c>
      <c r="G2415" t="inlineStr">
        <is>
          <t>Unclassified</t>
        </is>
      </c>
      <c r="H2415" t="inlineStr">
        <is>
          <t>8. Corrigendum 3 NIT No- 319/RO-PATNA/NHAI/2026-27 09-Jul-2026 12:00 PM 10-Jul-2026 12:30 PM</t>
        </is>
      </c>
      <c r="K2415" t="inlineStr">
        <is>
          <t>Not found</t>
        </is>
      </c>
      <c r="L2415" t="inlineStr">
        <is>
          <t>Unknown</t>
        </is>
      </c>
      <c r="T2415" t="inlineStr">
        <is>
          <t>https://www.etenders.gov.in/eprocure/app?component=%24DirectLink_0&amp;page=Home&amp;service=direct&amp;session=T&amp;sp=SaCb8vZjn4pIi1MEpxhBuEQ%3D%3D</t>
        </is>
      </c>
      <c r="U2415" t="inlineStr">
        <is>
          <t>HTML</t>
        </is>
      </c>
      <c r="V2415" t="inlineStr">
        <is>
          <t>Bot tespit/zenginlestirme (2026-07-01); meta:score=15;priority=Low;source_type=html_table;closing_date=;equipment=Unclassified;reasons=tender reference signal</t>
        </is>
      </c>
    </row>
    <row r="2416">
      <c r="A2416" t="inlineStr">
        <is>
          <t>T-2220</t>
        </is>
      </c>
      <c r="B2416" t="inlineStr">
        <is>
          <t>CPPP / eProcure</t>
        </is>
      </c>
      <c r="C2416" t="inlineStr">
        <is>
          <t>CPPP / eProcure</t>
        </is>
      </c>
      <c r="D2416" t="inlineStr">
        <is>
          <t>PY/8437/047/2026/VACUUMPUMP</t>
        </is>
      </c>
      <c r="F2416" t="inlineStr">
        <is>
          <t>Docs Found</t>
        </is>
      </c>
      <c r="G2416" t="inlineStr">
        <is>
          <t>Unclassified</t>
        </is>
      </c>
      <c r="H2416" t="inlineStr">
        <is>
          <t>1. Vacuum Pump and accessories for COLTRIMS Experimental Setup PY/8437/047/2026/VACUUMPUMP 22-Jul-2026 03:00 PM 23-Jul-2026 03:00 PM</t>
        </is>
      </c>
      <c r="K2416" t="inlineStr">
        <is>
          <t>Not found</t>
        </is>
      </c>
      <c r="L2416" t="inlineStr">
        <is>
          <t>Unknown</t>
        </is>
      </c>
      <c r="T2416" t="inlineStr">
        <is>
          <t>https://www.etenders.gov.in/eprocure/app?component=%24DirectLink&amp;page=Home&amp;service=direct&amp;session=T&amp;sp=S3kXrXpueiKQ%2Fw%2F%2BmnTxFIg%3D%3D</t>
        </is>
      </c>
      <c r="U2416" t="inlineStr">
        <is>
          <t>HTML</t>
        </is>
      </c>
      <c r="V2416" t="inlineStr">
        <is>
          <t>Bot tespit/zenginlestirme (2026-07-01); meta:score=;priority=Low;source_type=html_table;closing_date=;equipment=Unclassified;reasons=</t>
        </is>
      </c>
    </row>
    <row r="2417">
      <c r="A2417" t="inlineStr">
        <is>
          <t>T-2221</t>
        </is>
      </c>
      <c r="B2417" t="inlineStr">
        <is>
          <t>CPPP / eProcure</t>
        </is>
      </c>
      <c r="C2417" t="inlineStr">
        <is>
          <t>CPPP / eProcure</t>
        </is>
      </c>
      <c r="D2417" t="inlineStr">
        <is>
          <t>ILP/AD2/ADF110/26-27/TE-0767</t>
        </is>
      </c>
      <c r="F2417" t="inlineStr">
        <is>
          <t>Docs Found</t>
        </is>
      </c>
      <c r="G2417" t="inlineStr">
        <is>
          <t>Unclassified</t>
        </is>
      </c>
      <c r="H2417" t="inlineStr">
        <is>
          <t>6. SUPPLY OF CASTINGS ILP/AD2/ADF110/26-27/TE-0767 07-Jul-2026 03:00 PM 08-Jul-2026 03:00 PM</t>
        </is>
      </c>
      <c r="K2417" t="inlineStr">
        <is>
          <t>Not found</t>
        </is>
      </c>
      <c r="L2417" t="inlineStr">
        <is>
          <t>Unknown</t>
        </is>
      </c>
      <c r="T2417" t="inlineStr">
        <is>
          <t>https://www.etenders.gov.in/eprocure/app?component=%24DirectLink&amp;page=Home&amp;service=direct&amp;session=T&amp;sp=S6AAKevZnfDleXbWQoLPycQ%3D%3D</t>
        </is>
      </c>
      <c r="U2417" t="inlineStr">
        <is>
          <t>HTML</t>
        </is>
      </c>
      <c r="V2417" t="inlineStr">
        <is>
          <t>Bot tespit/zenginlestirme (2026-07-01); meta:score=;priority=Low;source_type=html_table;closing_date=;equipment=Unclassified;reasons=</t>
        </is>
      </c>
    </row>
    <row r="2418">
      <c r="A2418" t="inlineStr">
        <is>
          <t>T-2222</t>
        </is>
      </c>
      <c r="B2418" t="inlineStr">
        <is>
          <t>CPPP / eProcure</t>
        </is>
      </c>
      <c r="C2418" t="inlineStr">
        <is>
          <t>CPPP / eProcure</t>
        </is>
      </c>
      <c r="D2418" t="inlineStr">
        <is>
          <t>IPRCL/BBS/T/SECL/SCSK/260</t>
        </is>
      </c>
      <c r="F2418" t="inlineStr">
        <is>
          <t>Awarded / Result</t>
        </is>
      </c>
      <c r="G2418" t="inlineStr">
        <is>
          <t>Unclassified</t>
        </is>
      </c>
      <c r="H2418" t="inlineStr">
        <is>
          <t>8. Construction of one loading platform at Surakachhar siding on the opposite side of the existing platform with minor modification of track for facilitating loading of opencast mines of Korba Area IPRCL/BBS/T/SECL/SCSK/260 22-Jul-2026 11:00 AM 23-Jul-2026 11:30 AM</t>
        </is>
      </c>
      <c r="K2418" t="inlineStr">
        <is>
          <t>Not found</t>
        </is>
      </c>
      <c r="L2418" t="inlineStr">
        <is>
          <t>Unknown</t>
        </is>
      </c>
      <c r="T2418" t="inlineStr">
        <is>
          <t>https://www.etenders.gov.in/eprocure/app?component=%24DirectLink&amp;page=Home&amp;service=direct&amp;session=T&amp;sp=SXkcXLkTOhyGCBuAN5JTxVg%3D%3D</t>
        </is>
      </c>
      <c r="U2418" t="inlineStr">
        <is>
          <t>HTML</t>
        </is>
      </c>
      <c r="V2418" t="inlineStr">
        <is>
          <t>Bot tespit/zenginlestirme (2026-07-01); meta:score=;priority=Low;source_type=html_table;closing_date=;equipment=Unclassified;reasons=</t>
        </is>
      </c>
    </row>
    <row r="2419">
      <c r="A2419" t="inlineStr">
        <is>
          <t>T-2223</t>
        </is>
      </c>
      <c r="B2419" t="inlineStr">
        <is>
          <t>CPPP / eProcure</t>
        </is>
      </c>
      <c r="C2419" t="inlineStr">
        <is>
          <t>CPPP / eProcure</t>
        </is>
      </c>
      <c r="D2419" t="inlineStr">
        <is>
          <t>ILP/SC2/ADP139/51/TE-0750</t>
        </is>
      </c>
      <c r="F2419" t="inlineStr">
        <is>
          <t>Docs Found</t>
        </is>
      </c>
      <c r="G2419" t="inlineStr">
        <is>
          <t>Unclassified</t>
        </is>
      </c>
      <c r="H2419" t="inlineStr">
        <is>
          <t>9. SUPPLY OF O RING ILP/SC2/ADP139/51/TE-0750 06-Jul-2026 04:00 PM 07-Jul-2026 04:00 PM</t>
        </is>
      </c>
      <c r="K2419" t="inlineStr">
        <is>
          <t>Not found</t>
        </is>
      </c>
      <c r="L2419" t="inlineStr">
        <is>
          <t>Unknown</t>
        </is>
      </c>
      <c r="T2419" t="inlineStr">
        <is>
          <t>https://www.etenders.gov.in/eprocure/app?component=%24DirectLink&amp;page=Home&amp;service=direct&amp;session=T&amp;sp=S1S4l0nN3nnM58lnxHgBTUw%3D%3D</t>
        </is>
      </c>
      <c r="U2419" t="inlineStr">
        <is>
          <t>HTML</t>
        </is>
      </c>
      <c r="V2419" t="inlineStr">
        <is>
          <t>Bot tespit/zenginlestirme (2026-07-01); meta:score=;priority=Low;source_type=html_table;closing_date=;equipment=Unclassified;reasons=</t>
        </is>
      </c>
    </row>
    <row r="2420">
      <c r="A2420" t="inlineStr">
        <is>
          <t>T-2224</t>
        </is>
      </c>
      <c r="B2420" t="inlineStr">
        <is>
          <t>CPPP / eProcure</t>
        </is>
      </c>
      <c r="C2420" t="inlineStr">
        <is>
          <t>CPPP / eProcure</t>
        </is>
      </c>
      <c r="D2420" t="inlineStr">
        <is>
          <t>NHAI/RO/MUM/Dhule/AE/2026/14</t>
        </is>
      </c>
      <c r="F2420" t="inlineStr">
        <is>
          <t>Docs Found</t>
        </is>
      </c>
      <c r="G2420" t="inlineStr">
        <is>
          <t>Unclassified</t>
        </is>
      </c>
      <c r="H2420" t="inlineStr">
        <is>
          <t>3. Corrigendum NHAI/RO/MUM/Dhule/AE/2026/14 09-Jul-2026 03:00 PM 10-Jul-2026 04:00 PM</t>
        </is>
      </c>
      <c r="K2420" t="inlineStr">
        <is>
          <t>Not found</t>
        </is>
      </c>
      <c r="L2420" t="inlineStr">
        <is>
          <t>Unknown</t>
        </is>
      </c>
      <c r="T2420" t="inlineStr">
        <is>
          <t>https://www.etenders.gov.in/eprocure/app?component=%24DirectLink_0&amp;page=Home&amp;service=direct&amp;session=T&amp;sp=SxQC2sP%2BQd9V%2B4GBIiVdNsQ%3D%3D</t>
        </is>
      </c>
      <c r="U2420" t="inlineStr">
        <is>
          <t>HTML</t>
        </is>
      </c>
      <c r="V2420" t="inlineStr">
        <is>
          <t>Bot tespit/zenginlestirme (2026-07-01); meta:score=;priority=Low;source_type=html_table;closing_date=;equipment=Unclassified;reasons=</t>
        </is>
      </c>
    </row>
    <row r="2421">
      <c r="A2421" t="inlineStr">
        <is>
          <t>T-2225</t>
        </is>
      </c>
      <c r="B2421" t="inlineStr">
        <is>
          <t>CPPP / eProcure</t>
        </is>
      </c>
      <c r="C2421" t="inlineStr">
        <is>
          <t>CPPP / eProcure</t>
        </is>
      </c>
      <c r="D2421" t="inlineStr">
        <is>
          <t>AAI/PAT/comml/IBS/2026</t>
        </is>
      </c>
      <c r="F2421" t="inlineStr">
        <is>
          <t>Docs Found</t>
        </is>
      </c>
      <c r="G2421" t="inlineStr">
        <is>
          <t>Unclassified</t>
        </is>
      </c>
      <c r="H2421" t="inlineStr">
        <is>
          <t>4. Bid Auto Extn Corrigendum AAI/PAT/comml/IBS/2026 08-Jul-2026 04:00 PM 09-Jul-2026 04:00 PM</t>
        </is>
      </c>
      <c r="K2421" t="inlineStr">
        <is>
          <t>Not found</t>
        </is>
      </c>
      <c r="L2421" t="inlineStr">
        <is>
          <t>Unknown</t>
        </is>
      </c>
      <c r="T2421" t="inlineStr">
        <is>
          <t>https://www.etenders.gov.in/eprocure/app?component=%24DirectLink_0&amp;page=Home&amp;service=direct&amp;session=T&amp;sp=ScAPF7bJ2xfOf5udxP9sLBA%3D%3D</t>
        </is>
      </c>
      <c r="U2421" t="inlineStr">
        <is>
          <t>HTML</t>
        </is>
      </c>
      <c r="V2421" t="inlineStr">
        <is>
          <t>Bot tespit/zenginlestirme (2026-07-01); meta:score=;priority=Low;source_type=html_table;closing_date=;equipment=Unclassified;reasons=</t>
        </is>
      </c>
    </row>
    <row r="2422">
      <c r="A2422" t="inlineStr">
        <is>
          <t>T-2226</t>
        </is>
      </c>
      <c r="B2422" t="inlineStr">
        <is>
          <t>CPPP / eProcure</t>
        </is>
      </c>
      <c r="C2422" t="inlineStr">
        <is>
          <t>CPPP / eProcure</t>
        </is>
      </c>
      <c r="D2422" t="inlineStr">
        <is>
          <t>CHIAL/COMML/MEC/2026-27</t>
        </is>
      </c>
      <c r="F2422" t="inlineStr">
        <is>
          <t>Docs Found</t>
        </is>
      </c>
      <c r="G2422" t="inlineStr">
        <is>
          <t>Unclassified</t>
        </is>
      </c>
      <c r="H2422" t="inlineStr">
        <is>
          <t>6. Bid Auto Extn Corrigendum CHIAL/COMML/MEC/2026-27 08-Jul-2026 04:00 PM 09-Jul-2026 04:00 PM</t>
        </is>
      </c>
      <c r="K2422" t="inlineStr">
        <is>
          <t>Not found</t>
        </is>
      </c>
      <c r="L2422" t="inlineStr">
        <is>
          <t>Unknown</t>
        </is>
      </c>
      <c r="T2422" t="inlineStr">
        <is>
          <t>https://www.etenders.gov.in/eprocure/app?component=%24DirectLink_0&amp;page=Home&amp;service=direct&amp;session=T&amp;sp=SJX6JY1zY9N3fpG7c5UkrFA%3D%3D</t>
        </is>
      </c>
      <c r="U2422" t="inlineStr">
        <is>
          <t>HTML</t>
        </is>
      </c>
      <c r="V2422" t="inlineStr">
        <is>
          <t>Bot tespit/zenginlestirme (2026-07-01); meta:score=;priority=Low;source_type=html_table;closing_date=;equipment=Unclassified;reasons=</t>
        </is>
      </c>
    </row>
    <row r="2423">
      <c r="A2423" t="inlineStr">
        <is>
          <t>T-2227</t>
        </is>
      </c>
      <c r="B2423" t="inlineStr">
        <is>
          <t>CPPP / eProcure</t>
        </is>
      </c>
      <c r="C2423" t="inlineStr">
        <is>
          <t>CPPP / eProcure</t>
        </is>
      </c>
      <c r="D2423" t="inlineStr">
        <is>
          <t>HVF/TE/13025/CEO/2026-27/16</t>
        </is>
      </c>
      <c r="E2423" t="inlineStr">
        <is>
          <t>2026-27/16</t>
        </is>
      </c>
      <c r="F2423" t="inlineStr">
        <is>
          <t>Docs Found</t>
        </is>
      </c>
      <c r="G2423" t="inlineStr">
        <is>
          <t>Unclassified</t>
        </is>
      </c>
      <c r="H2423" t="inlineStr">
        <is>
          <t>9. Bid Auto Extn Corrigendum HVF/TE/13025/CEO/2026-27/16 08-Jul-2026 02:00 PM 09-Jul-2026 10:00 AM</t>
        </is>
      </c>
      <c r="K2423" t="inlineStr">
        <is>
          <t>Not found</t>
        </is>
      </c>
      <c r="L2423" t="inlineStr">
        <is>
          <t>Unknown</t>
        </is>
      </c>
      <c r="T2423" t="inlineStr">
        <is>
          <t>https://www.etenders.gov.in/eprocure/app?component=%24DirectLink_0&amp;page=Home&amp;service=direct&amp;session=T&amp;sp=Sa2ifZDql6eG0MaHXFM0ajg%3D%3D</t>
        </is>
      </c>
      <c r="U2423" t="inlineStr">
        <is>
          <t>HTML</t>
        </is>
      </c>
      <c r="V2423" t="inlineStr">
        <is>
          <t>Bot tespit/zenginlestirme (2026-07-01); meta:score=;priority=Low;source_type=html_table;closing_date=;equipment=Unclassified;reasons=</t>
        </is>
      </c>
    </row>
    <row r="2424">
      <c r="A2424" t="inlineStr">
        <is>
          <t>T-2228</t>
        </is>
      </c>
      <c r="B2424" t="inlineStr">
        <is>
          <t>Bharat Petroleum (BPCL CGD)</t>
        </is>
      </c>
      <c r="C2424" t="inlineStr">
        <is>
          <t>Bharat Petroleum (BPCL CGD)</t>
        </is>
      </c>
      <c r="D2424" t="inlineStr">
        <is>
          <t>ation</t>
        </is>
      </c>
      <c r="F2424" t="inlineStr">
        <is>
          <t>Docs Found</t>
        </is>
      </c>
      <c r="G2424" t="inlineStr">
        <is>
          <t>Unclassified</t>
        </is>
      </c>
      <c r="H2424" t="inlineStr">
        <is>
          <t>Promotion of Health and Sanitation</t>
        </is>
      </c>
      <c r="K2424" t="inlineStr">
        <is>
          <t>Not found</t>
        </is>
      </c>
      <c r="L2424" t="inlineStr">
        <is>
          <t>Unknown</t>
        </is>
      </c>
      <c r="T2424" t="inlineStr">
        <is>
          <t>https://www.bharatpetroleum.in/Bharat-Petroleum-For/Refineries/Bina-Refinery/Promotion-of-Health-and-Sanitation.aspx</t>
        </is>
      </c>
      <c r="U2424" t="inlineStr">
        <is>
          <t>HTML</t>
        </is>
      </c>
      <c r="V2424" t="inlineStr">
        <is>
          <t>Bot tespit/zenginlestirme (2026-07-01); meta:score=15;priority=Low;source_type=html_link;closing_date=;equipment=Unclassified;reasons=tender reference signal</t>
        </is>
      </c>
    </row>
    <row r="2425">
      <c r="A2425" t="inlineStr">
        <is>
          <t>T-2229</t>
        </is>
      </c>
      <c r="B2425" t="inlineStr">
        <is>
          <t>Bharat Petroleum (BPCL CGD)</t>
        </is>
      </c>
      <c r="C2425" t="inlineStr">
        <is>
          <t>Bharat Petroleum (BPCL CGD)</t>
        </is>
      </c>
      <c r="D2425" t="inlineStr">
        <is>
          <t>ation</t>
        </is>
      </c>
      <c r="F2425" t="inlineStr">
        <is>
          <t>Docs Found</t>
        </is>
      </c>
      <c r="G2425" t="inlineStr">
        <is>
          <t>Irrelevant / non-target</t>
        </is>
      </c>
      <c r="H2425" t="inlineStr">
        <is>
          <t>Refineries Mumbai Refinery(MR) Performance Process and Technology Our Products Sustainability Future Plans and Projects Awards Health and Safety Corporate Responsibility Kochi Refinery Overview History Performance Refining Capacity Future Plans Technology Projects Energy Conservation Process Innovation Environment Ambient Air Quality Report IREP Awards and Recognition Health and Safety CSR Your Corner KR Bina Refinery Products Health Safety and Environment Awards and Accolades CSR Contact Details Promotion of Sports and Culture Promotion of Education and Skill Development Rural Development and Environment Sustainability Promotion of Health and Sanitation</t>
        </is>
      </c>
      <c r="K2425" t="inlineStr">
        <is>
          <t>Not found</t>
        </is>
      </c>
      <c r="L2425" t="inlineStr">
        <is>
          <t>Unknown</t>
        </is>
      </c>
      <c r="T2425" t="inlineStr">
        <is>
          <t>https://www.bharatpetroleum.in/Bharat-Petroleum-For/Refineries.aspx</t>
        </is>
      </c>
      <c r="U2425" t="inlineStr">
        <is>
          <t>HTML</t>
        </is>
      </c>
      <c r="V2425" t="inlineStr">
        <is>
          <t>Bot tespit/zenginlestirme (2026-07-01); meta:score=;priority=Low;source_type=html_table;closing_date=;equipment=Irrelevant / non-target;reasons=irrelevant_equipment,tender reference signal,website noise</t>
        </is>
      </c>
    </row>
    <row r="2426">
      <c r="A2426" t="inlineStr">
        <is>
          <t>T-2230</t>
        </is>
      </c>
      <c r="B2426" t="inlineStr">
        <is>
          <t>Bharat Petroleum (BPCL CGD)</t>
        </is>
      </c>
      <c r="C2426" t="inlineStr">
        <is>
          <t>Bharat Petroleum (BPCL CGD)</t>
        </is>
      </c>
      <c r="D2426" t="inlineStr">
        <is>
          <t>ation</t>
        </is>
      </c>
      <c r="F2426" t="inlineStr">
        <is>
          <t>Docs Found</t>
        </is>
      </c>
      <c r="G2426" t="inlineStr">
        <is>
          <t>Irrelevant / non-target</t>
        </is>
      </c>
      <c r="H2426" t="inlineStr">
        <is>
          <t>Bina Refinery Products Health Safety and Environment Awards and Accolades CSR Contact Details Promotion of Sports and Culture Promotion of Education and Skill Development Rural Development and Environment Sustainability Promotion of Health and Sanitation</t>
        </is>
      </c>
      <c r="K2426" t="inlineStr">
        <is>
          <t>Not found</t>
        </is>
      </c>
      <c r="L2426" t="inlineStr">
        <is>
          <t>Unknown</t>
        </is>
      </c>
      <c r="T2426" t="inlineStr">
        <is>
          <t>https://www.bharatpetroleum.in/Bharat-Petroleum-For/Refineries/Bina-Refinery.aspx</t>
        </is>
      </c>
      <c r="U2426" t="inlineStr">
        <is>
          <t>HTML</t>
        </is>
      </c>
      <c r="V2426" t="inlineStr">
        <is>
          <t>Bot tespit/zenginlestirme (2026-07-01); meta:score=;priority=Low;source_type=html_table;closing_date=;equipment=Irrelevant / non-target;reasons=irrelevant_equipment,tender reference signal,website noise</t>
        </is>
      </c>
    </row>
    <row r="2427">
      <c r="A2427" t="inlineStr">
        <is>
          <t>T-2231</t>
        </is>
      </c>
      <c r="B2427" t="inlineStr">
        <is>
          <t>Bharat Petroleum (BPCL CGD)</t>
        </is>
      </c>
      <c r="C2427" t="inlineStr">
        <is>
          <t>Bharat Petroleum (BPCL CGD)</t>
        </is>
      </c>
      <c r="D2427" t="inlineStr">
        <is>
          <t>ation</t>
        </is>
      </c>
      <c r="F2427" t="inlineStr">
        <is>
          <t>Docs Found</t>
        </is>
      </c>
      <c r="G2427" t="inlineStr">
        <is>
          <t>Irrelevant / non-target</t>
        </is>
      </c>
      <c r="H2427" t="inlineStr">
        <is>
          <t>CSR Thrust Areas Education Environment Sustainability Health and Sanitation Skill Development Community Development</t>
        </is>
      </c>
      <c r="K2427" t="inlineStr">
        <is>
          <t>Not found</t>
        </is>
      </c>
      <c r="L2427" t="inlineStr">
        <is>
          <t>Unknown</t>
        </is>
      </c>
      <c r="T2427" t="inlineStr">
        <is>
          <t>https://www.bharatpetroleum.in/social-responsibility/csr-thrust-areas.aspx</t>
        </is>
      </c>
      <c r="U2427" t="inlineStr">
        <is>
          <t>HTML</t>
        </is>
      </c>
      <c r="V2427" t="inlineStr">
        <is>
          <t>Bot tespit/zenginlestirme (2026-07-01); meta:score=;priority=Low;source_type=html_table;closing_date=;equipment=Irrelevant / non-target;reasons=irrelevant_equipment,tender reference signal,website noise</t>
        </is>
      </c>
    </row>
    <row r="2428">
      <c r="A2428" t="inlineStr">
        <is>
          <t>T-2232</t>
        </is>
      </c>
      <c r="B2428" t="inlineStr">
        <is>
          <t>Bharat Petroleum (BPCL CGD)</t>
        </is>
      </c>
      <c r="C2428" t="inlineStr">
        <is>
          <t>Bharat Petroleum (BPCL CGD)</t>
        </is>
      </c>
      <c r="D2428" t="inlineStr">
        <is>
          <t>ation</t>
        </is>
      </c>
      <c r="F2428" t="inlineStr">
        <is>
          <t>Docs Found</t>
        </is>
      </c>
      <c r="G2428" t="inlineStr">
        <is>
          <t>Irrelevant / non-target</t>
        </is>
      </c>
      <c r="H2428" t="inlineStr">
        <is>
          <t>Health and Sanitation</t>
        </is>
      </c>
      <c r="K2428" t="inlineStr">
        <is>
          <t>Not found</t>
        </is>
      </c>
      <c r="L2428" t="inlineStr">
        <is>
          <t>Unknown</t>
        </is>
      </c>
      <c r="T2428" t="inlineStr">
        <is>
          <t>https://www.bharatpetroleum.in/CSR/CSR-Thrust-Areas/Health-and-Sanitation.aspx</t>
        </is>
      </c>
      <c r="U2428" t="inlineStr">
        <is>
          <t>HTML</t>
        </is>
      </c>
      <c r="V2428" t="inlineStr">
        <is>
          <t>Bot tespit/zenginlestirme (2026-07-01); meta:score=;priority=Low;source_type=html_link;closing_date=;equipment=Irrelevant / non-target;reasons=irrelevant_equipment,tender reference signal,website noise</t>
        </is>
      </c>
    </row>
    <row r="2429">
      <c r="A2429" t="inlineStr">
        <is>
          <t>T-2233</t>
        </is>
      </c>
      <c r="B2429" t="inlineStr">
        <is>
          <t>CPPP / eProcure</t>
        </is>
      </c>
      <c r="C2429" t="inlineStr">
        <is>
          <t>CPPP / eProcure</t>
        </is>
      </c>
      <c r="D2429" t="inlineStr">
        <is>
          <t>HLL/HR/Tender-HRMS/2026-05</t>
        </is>
      </c>
      <c r="F2429" t="inlineStr">
        <is>
          <t>Docs Found</t>
        </is>
      </c>
      <c r="G2429" t="inlineStr">
        <is>
          <t>Regulating station</t>
        </is>
      </c>
      <c r="H2429" t="inlineStr">
        <is>
          <t>1. Date Amendment 3 HLL/HR/Tender-HRMS/2026-05 11-Jul-2026 03:00 PM 13-Jul-2026 03:30 PM</t>
        </is>
      </c>
      <c r="K2429" t="inlineStr">
        <is>
          <t>Not found</t>
        </is>
      </c>
      <c r="L2429" t="inlineStr">
        <is>
          <t>Unknown</t>
        </is>
      </c>
      <c r="T2429" t="inlineStr">
        <is>
          <t>https://www.etenders.gov.in/eprocure/app?component=%24DirectLink_0&amp;page=Home&amp;service=direct&amp;session=T&amp;sp=SAlkSZ0md7Nf%2BjYt7Y8%2Fl1w%3D%3D</t>
        </is>
      </c>
      <c r="U2429" t="inlineStr">
        <is>
          <t>HTML</t>
        </is>
      </c>
      <c r="V2429" t="inlineStr">
        <is>
          <t>Bot tespit/zenginlestirme (2026-07-01); meta:score=60;priority=Medium;source_type=html_table;closing_date=;equipment=Regulating station;reasons=equipment:Regulating station,station/skid keyword</t>
        </is>
      </c>
    </row>
    <row r="2430">
      <c r="A2430" t="inlineStr">
        <is>
          <t>T-2234</t>
        </is>
      </c>
      <c r="B2430" t="inlineStr">
        <is>
          <t>CPPP / eProcure</t>
        </is>
      </c>
      <c r="C2430" t="inlineStr">
        <is>
          <t>CPPP / eProcure</t>
        </is>
      </c>
      <c r="D2430" t="inlineStr">
        <is>
          <t>EOI/0400/0389/2026/07-1</t>
        </is>
      </c>
      <c r="E2430" t="inlineStr">
        <is>
          <t>2026/07-1</t>
        </is>
      </c>
      <c r="F2430" t="inlineStr">
        <is>
          <t>Docs Found</t>
        </is>
      </c>
      <c r="G2430" t="inlineStr">
        <is>
          <t>Unclassified</t>
        </is>
      </c>
      <c r="H2430" t="inlineStr">
        <is>
          <t>4. Global Expression of Interest (EoI) for Selection of Technology Partners for Joint R AND D / Co-Production / System Integration for Business Development in Indian and Overseas Markets C-2(b)/EOI/0400/0389/2026/07-1 15-Jul-2026 02:30 PM 15-Jul-2026 03:00 PM</t>
        </is>
      </c>
      <c r="K2430" t="inlineStr">
        <is>
          <t>Not found</t>
        </is>
      </c>
      <c r="L2430" t="inlineStr">
        <is>
          <t>Unknown</t>
        </is>
      </c>
      <c r="T2430" t="inlineStr">
        <is>
          <t>https://www.etenders.gov.in/eprocure/app?component=%24DirectLink&amp;page=Home&amp;service=direct&amp;session=T&amp;sp=S%2BLbYNLuM6vdhhUNE0Daybw%3D%3D</t>
        </is>
      </c>
      <c r="U2430" t="inlineStr">
        <is>
          <t>HTML</t>
        </is>
      </c>
      <c r="V2430" t="inlineStr">
        <is>
          <t>Bot tespit/zenginlestirme (2026-07-01); meta:score=15;priority=Low;source_type=html_table;closing_date=;equipment=Unclassified;reasons=tender reference signal</t>
        </is>
      </c>
    </row>
    <row r="2431">
      <c r="A2431" t="inlineStr">
        <is>
          <t>T-2235</t>
        </is>
      </c>
      <c r="B2431" t="inlineStr">
        <is>
          <t>CPPP / eProcure</t>
        </is>
      </c>
      <c r="C2431" t="inlineStr">
        <is>
          <t>CPPP / eProcure</t>
        </is>
      </c>
      <c r="D2431" t="inlineStr">
        <is>
          <t>HLL/PSD/RBD/2026-27/TENDER/33</t>
        </is>
      </c>
      <c r="F2431" t="inlineStr">
        <is>
          <t>Docs Found</t>
        </is>
      </c>
      <c r="G2431" t="inlineStr">
        <is>
          <t>Unclassified</t>
        </is>
      </c>
      <c r="H2431" t="inlineStr">
        <is>
          <t>1. HLL/PSD/RBD/2026-27/TENDER/33 HLL/PSD/RBD/2026-27/TENDER/33 08-Jul-2026 03:00 PM 09-Jul-2026 03:00 PM</t>
        </is>
      </c>
      <c r="K2431" t="inlineStr">
        <is>
          <t>Not found</t>
        </is>
      </c>
      <c r="L2431" t="inlineStr">
        <is>
          <t>Unknown</t>
        </is>
      </c>
      <c r="T2431" t="inlineStr">
        <is>
          <t>https://www.etenders.gov.in/eprocure/app?component=%24DirectLink&amp;page=Home&amp;service=direct&amp;session=T&amp;sp=SXKl9xLCxH0DD6sNklN1ddg%3D%3D</t>
        </is>
      </c>
      <c r="U2431" t="inlineStr">
        <is>
          <t>HTML</t>
        </is>
      </c>
      <c r="V2431" t="inlineStr">
        <is>
          <t>Bot tespit/zenginlestirme (2026-07-01); meta:score=;priority=Low;source_type=html_table;closing_date=;equipment=Unclassified;reasons=</t>
        </is>
      </c>
    </row>
    <row r="2432">
      <c r="A2432" t="inlineStr">
        <is>
          <t>T-2236</t>
        </is>
      </c>
      <c r="B2432" t="inlineStr">
        <is>
          <t>CPPP / eProcure</t>
        </is>
      </c>
      <c r="C2432" t="inlineStr">
        <is>
          <t>CPPP / eProcure</t>
        </is>
      </c>
      <c r="D2432" t="inlineStr">
        <is>
          <t>OSD/ASW/1034/2026</t>
        </is>
      </c>
      <c r="E2432" t="inlineStr">
        <is>
          <t>01-07-2026</t>
        </is>
      </c>
      <c r="F2432" t="inlineStr">
        <is>
          <t>Docs Found</t>
        </is>
      </c>
      <c r="G2432" t="inlineStr">
        <is>
          <t>Unclassified</t>
        </is>
      </c>
      <c r="H2432" t="inlineStr">
        <is>
          <t>2. SB-OSD/ASW/1034/2026 Dtd 01-07-2026 SB-OSD/ASW/1034/2026 Dtd 01-07-2026 07-Jul-2026 03:00 PM 08-Jul-2026 03:30 PM</t>
        </is>
      </c>
      <c r="K2432" t="inlineStr">
        <is>
          <t>Not found</t>
        </is>
      </c>
      <c r="L2432" t="inlineStr">
        <is>
          <t>Unknown</t>
        </is>
      </c>
      <c r="T2432" t="inlineStr">
        <is>
          <t>https://www.etenders.gov.in/eprocure/app?component=%24DirectLink&amp;page=Home&amp;service=direct&amp;session=T&amp;sp=SXmTrsnI7TmXzOWibg4E5Cw%3D%3D</t>
        </is>
      </c>
      <c r="U2432" t="inlineStr">
        <is>
          <t>HTML</t>
        </is>
      </c>
      <c r="V2432" t="inlineStr">
        <is>
          <t>Bot tespit/zenginlestirme (2026-07-01); meta:score=;priority=Low;source_type=html_table;closing_date=;equipment=Unclassified;reasons=</t>
        </is>
      </c>
    </row>
    <row r="2433">
      <c r="A2433" t="inlineStr">
        <is>
          <t>T-2237</t>
        </is>
      </c>
      <c r="B2433" t="inlineStr">
        <is>
          <t>CPPP / eProcure</t>
        </is>
      </c>
      <c r="C2433" t="inlineStr">
        <is>
          <t>CPPP / eProcure</t>
        </is>
      </c>
      <c r="D2433" t="inlineStr">
        <is>
          <t>NHAI/RO-CHD/2026-2027/LUD/09</t>
        </is>
      </c>
      <c r="F2433" t="inlineStr">
        <is>
          <t>Docs Found</t>
        </is>
      </c>
      <c r="G2433" t="inlineStr">
        <is>
          <t>Unclassified</t>
        </is>
      </c>
      <c r="H2433" t="inlineStr">
        <is>
          <t>7. Supervision Consultant Services during Operation and Maintenance of four lanes with paved shoulders of Moga-Tallewal section of NH-71 (New NH-703) from km 77.950 to km 116.600 in the state of Punjab. NHAI/RO-CHD/2026-2027/LUD/09 29-Jul-2026 11:00 AM 30-Jul-2026 11:30 AM</t>
        </is>
      </c>
      <c r="K2433" t="inlineStr">
        <is>
          <t>Not found</t>
        </is>
      </c>
      <c r="L2433" t="inlineStr">
        <is>
          <t>Unknown</t>
        </is>
      </c>
      <c r="T2433" t="inlineStr">
        <is>
          <t>https://www.etenders.gov.in/eprocure/app?component=%24DirectLink&amp;page=Home&amp;service=direct&amp;session=T&amp;sp=S7c%2FP7nf1wyXnDag1keuJfg%3D%3D</t>
        </is>
      </c>
      <c r="U2433" t="inlineStr">
        <is>
          <t>HTML</t>
        </is>
      </c>
      <c r="V2433" t="inlineStr">
        <is>
          <t>Bot tespit/zenginlestirme (2026-07-01); meta:score=;priority=Low;source_type=html_table;closing_date=;equipment=Unclassified;reasons=</t>
        </is>
      </c>
    </row>
    <row r="2434">
      <c r="A2434" t="inlineStr">
        <is>
          <t>T-2238</t>
        </is>
      </c>
      <c r="B2434" t="inlineStr">
        <is>
          <t>CPPP / eProcure</t>
        </is>
      </c>
      <c r="C2434" t="inlineStr">
        <is>
          <t>CPPP / eProcure</t>
        </is>
      </c>
      <c r="D2434" t="inlineStr">
        <is>
          <t>NHAI/13013/547/CO/26-27/EQ</t>
        </is>
      </c>
      <c r="F2434" t="inlineStr">
        <is>
          <t>Docs Found</t>
        </is>
      </c>
      <c r="G2434" t="inlineStr">
        <is>
          <t>Unclassified</t>
        </is>
      </c>
      <c r="H2434" t="inlineStr">
        <is>
          <t>9. Engagement of user fee agency through EQ at Sundra FP at Km 41.850 Gunjangarh FP at Km 114.730 and Khuiyala FP of NH-70 in Rajasthan NHAI/13013/547/CO/26-27/EQ/ Sundra Gunjangarh n Khuiyala FP 08-Jul-2026 11:00 AM 09-Jul-2026 11:30 AM</t>
        </is>
      </c>
      <c r="K2434" t="inlineStr">
        <is>
          <t>Not found</t>
        </is>
      </c>
      <c r="L2434" t="inlineStr">
        <is>
          <t>Unknown</t>
        </is>
      </c>
      <c r="T2434" t="inlineStr">
        <is>
          <t>https://www.etenders.gov.in/eprocure/app?component=%24DirectLink&amp;page=Home&amp;service=direct&amp;session=T&amp;sp=SD0C%2FtWtxywnP0U47a1d%2F2g%3D%3D</t>
        </is>
      </c>
      <c r="U2434" t="inlineStr">
        <is>
          <t>HTML</t>
        </is>
      </c>
      <c r="V2434" t="inlineStr">
        <is>
          <t>Bot tespit/zenginlestirme (2026-07-01); meta:score=;priority=Low;source_type=html_table;closing_date=;equipment=Unclassified;reasons=</t>
        </is>
      </c>
    </row>
    <row r="2435">
      <c r="A2435" t="inlineStr">
        <is>
          <t>T-2239</t>
        </is>
      </c>
      <c r="B2435" t="inlineStr">
        <is>
          <t>CPPP / eProcure</t>
        </is>
      </c>
      <c r="C2435" t="inlineStr">
        <is>
          <t>CPPP / eProcure</t>
        </is>
      </c>
      <c r="D2435" t="inlineStr">
        <is>
          <t>GM/AFK/EO/PRC/30/2026-27</t>
        </is>
      </c>
      <c r="F2435" t="inlineStr">
        <is>
          <t>Docs Found</t>
        </is>
      </c>
      <c r="G2435" t="inlineStr">
        <is>
          <t>Unclassified</t>
        </is>
      </c>
      <c r="H2435" t="inlineStr">
        <is>
          <t>3. Bid Auto Extn Corrigendum GM/AFK/EO/PRC/30/2026-27 04-Jul-2026 05:00 PM 07-Jul-2026 09:00 AM</t>
        </is>
      </c>
      <c r="K2435" t="inlineStr">
        <is>
          <t>Not found</t>
        </is>
      </c>
      <c r="L2435" t="inlineStr">
        <is>
          <t>Unknown</t>
        </is>
      </c>
      <c r="T2435" t="inlineStr">
        <is>
          <t>https://www.etenders.gov.in/eprocure/app?component=%24DirectLink_0&amp;page=Home&amp;service=direct&amp;session=T&amp;sp=SXZZFOnOQXz%2FSEc%2BRKQ8d5g%3D%3D</t>
        </is>
      </c>
      <c r="U2435" t="inlineStr">
        <is>
          <t>HTML</t>
        </is>
      </c>
      <c r="V2435" t="inlineStr">
        <is>
          <t>Bot tespit/zenginlestirme (2026-07-01); meta:score=;priority=Low;source_type=html_table;closing_date=;equipment=Unclassified;reasons=</t>
        </is>
      </c>
    </row>
    <row r="2436">
      <c r="A2436" t="inlineStr">
        <is>
          <t>T-2240</t>
        </is>
      </c>
      <c r="B2436" t="inlineStr">
        <is>
          <t>CPPP / eProcure</t>
        </is>
      </c>
      <c r="C2436" t="inlineStr">
        <is>
          <t>CPPP / eProcure</t>
        </is>
      </c>
      <c r="D2436" t="inlineStr">
        <is>
          <t>ESD/L-488/2026</t>
        </is>
      </c>
      <c r="F2436" t="inlineStr">
        <is>
          <t>Docs Found</t>
        </is>
      </c>
      <c r="G2436" t="inlineStr">
        <is>
          <t>Unclassified</t>
        </is>
      </c>
      <c r="H2436" t="inlineStr">
        <is>
          <t>4. Bid Auto Extn Corrigendum ESD/L-488/2026 08-Jul-2026 05:00 PM 10-Jul-2026 11:00 AM</t>
        </is>
      </c>
      <c r="K2436" t="inlineStr">
        <is>
          <t>Not found</t>
        </is>
      </c>
      <c r="L2436" t="inlineStr">
        <is>
          <t>Unknown</t>
        </is>
      </c>
      <c r="T2436" t="inlineStr">
        <is>
          <t>https://www.etenders.gov.in/eprocure/app?component=%24DirectLink_0&amp;page=Home&amp;service=direct&amp;session=T&amp;sp=SWM5pyzJWiRBZqX8YsFBc%2Fg%3D%3D</t>
        </is>
      </c>
      <c r="U2436" t="inlineStr">
        <is>
          <t>HTML</t>
        </is>
      </c>
      <c r="V2436" t="inlineStr">
        <is>
          <t>Bot tespit/zenginlestirme (2026-07-01); meta:score=;priority=Low;source_type=html_table;closing_date=;equipment=Unclassified;reasons=</t>
        </is>
      </c>
    </row>
    <row r="2437">
      <c r="A2437" t="inlineStr">
        <is>
          <t>T-2241</t>
        </is>
      </c>
      <c r="B2437" t="inlineStr">
        <is>
          <t>CPPP / eProcure</t>
        </is>
      </c>
      <c r="C2437" t="inlineStr">
        <is>
          <t>CPPP / eProcure</t>
        </is>
      </c>
      <c r="D2437" t="inlineStr">
        <is>
          <t>JPL/CnM/LT/2627/1200008330</t>
        </is>
      </c>
      <c r="F2437" t="inlineStr">
        <is>
          <t>Docs Found</t>
        </is>
      </c>
      <c r="G2437" t="inlineStr">
        <is>
          <t>Unclassified</t>
        </is>
      </c>
      <c r="H2437" t="inlineStr">
        <is>
          <t>5. Bid Auto Extn Corrigendum JPL/CnM/LT/2627/1200008330 06-Jul-2026 05:00 PM 07-Jul-2026 10:30 AM</t>
        </is>
      </c>
      <c r="K2437" t="inlineStr">
        <is>
          <t>Not found</t>
        </is>
      </c>
      <c r="L2437" t="inlineStr">
        <is>
          <t>Unknown</t>
        </is>
      </c>
      <c r="T2437" t="inlineStr">
        <is>
          <t>https://www.etenders.gov.in/eprocure/app?component=%24DirectLink_0&amp;page=Home&amp;service=direct&amp;session=T&amp;sp=SKsFMJ1TY3EZw28kkteeEaw%3D%3D</t>
        </is>
      </c>
      <c r="U2437" t="inlineStr">
        <is>
          <t>HTML</t>
        </is>
      </c>
      <c r="V2437" t="inlineStr">
        <is>
          <t>Bot tespit/zenginlestirme (2026-07-01); meta:score=;priority=Low;source_type=html_table;closing_date=;equipment=Unclassified;reasons=</t>
        </is>
      </c>
    </row>
    <row r="2438">
      <c r="A2438" t="inlineStr">
        <is>
          <t>T-2242</t>
        </is>
      </c>
      <c r="B2438" t="inlineStr">
        <is>
          <t>CPPP / eProcure</t>
        </is>
      </c>
      <c r="C2438" t="inlineStr">
        <is>
          <t>CPPP / eProcure</t>
        </is>
      </c>
      <c r="D2438" t="inlineStr">
        <is>
          <t>AAI/ASR/COMML/SP/2026/16</t>
        </is>
      </c>
      <c r="F2438" t="inlineStr">
        <is>
          <t>Docs Found</t>
        </is>
      </c>
      <c r="G2438" t="inlineStr">
        <is>
          <t>Unclassified</t>
        </is>
      </c>
      <c r="H2438" t="inlineStr">
        <is>
          <t>6. Bid Auto Extn Corrigendum AAI/ASR/COMML/SP/2026/16 08-Jul-2026 05:00 PM 09-Jul-2026 05:00 PM</t>
        </is>
      </c>
      <c r="K2438" t="inlineStr">
        <is>
          <t>Not found</t>
        </is>
      </c>
      <c r="L2438" t="inlineStr">
        <is>
          <t>Unknown</t>
        </is>
      </c>
      <c r="T2438" t="inlineStr">
        <is>
          <t>https://www.etenders.gov.in/eprocure/app?component=%24DirectLink_0&amp;page=Home&amp;service=direct&amp;session=T&amp;sp=SOZAQlLbnN2kIFRMl086LMg%3D%3D</t>
        </is>
      </c>
      <c r="U2438" t="inlineStr">
        <is>
          <t>HTML</t>
        </is>
      </c>
      <c r="V2438" t="inlineStr">
        <is>
          <t>Bot tespit/zenginlestirme (2026-07-01); meta:score=;priority=Low;source_type=html_table;closing_date=;equipment=Unclassified;reasons=</t>
        </is>
      </c>
    </row>
    <row r="2439">
      <c r="A2439" t="inlineStr">
        <is>
          <t>T-2243</t>
        </is>
      </c>
      <c r="B2439" t="inlineStr">
        <is>
          <t>GAIL India</t>
        </is>
      </c>
      <c r="C2439" t="inlineStr">
        <is>
          <t>GAIL India</t>
        </is>
      </c>
      <c r="F2439" t="inlineStr">
        <is>
          <t>New Lead</t>
        </is>
      </c>
      <c r="G2439" t="inlineStr">
        <is>
          <t>Unclassified</t>
        </is>
      </c>
      <c r="H243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39" t="inlineStr">
        <is>
          <t>Not found</t>
        </is>
      </c>
      <c r="L2439" t="inlineStr">
        <is>
          <t>Unknown</t>
        </is>
      </c>
      <c r="T2439" t="inlineStr">
        <is>
          <t>https://gailtenders.in/Gailtenders/general_url.asp?val=1&amp;inb=1</t>
        </is>
      </c>
      <c r="U2439" t="inlineStr">
        <is>
          <t>HTML</t>
        </is>
      </c>
      <c r="V2439" t="inlineStr">
        <is>
          <t>Bot tespit/zenginlestirme (2026-07-01); meta:score=35;priority=Low;source_type=html_table;closing_date=;equipment=Unclassified;reasons=award/result signal</t>
        </is>
      </c>
    </row>
    <row r="2440">
      <c r="A2440" t="inlineStr">
        <is>
          <t>T-2244</t>
        </is>
      </c>
      <c r="B2440" t="inlineStr">
        <is>
          <t>GAIL India</t>
        </is>
      </c>
      <c r="C2440" t="inlineStr">
        <is>
          <t>GAIL India</t>
        </is>
      </c>
      <c r="F2440" t="inlineStr">
        <is>
          <t>New Lead</t>
        </is>
      </c>
      <c r="G2440" t="inlineStr">
        <is>
          <t>Unclassified</t>
        </is>
      </c>
      <c r="H244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0" t="inlineStr">
        <is>
          <t>Not found</t>
        </is>
      </c>
      <c r="L2440" t="inlineStr">
        <is>
          <t>Unknown</t>
        </is>
      </c>
      <c r="T2440" t="inlineStr">
        <is>
          <t>https://gailtenders.in/Gailtenders/general_url.asp?val=2&amp;inb=1</t>
        </is>
      </c>
      <c r="U2440" t="inlineStr">
        <is>
          <t>HTML</t>
        </is>
      </c>
      <c r="V2440" t="inlineStr">
        <is>
          <t>Bot tespit/zenginlestirme (2026-07-01); meta:score=35;priority=Low;source_type=html_table;closing_date=;equipment=Unclassified;reasons=award/result signal</t>
        </is>
      </c>
    </row>
    <row r="2441">
      <c r="A2441" t="inlineStr">
        <is>
          <t>T-2245</t>
        </is>
      </c>
      <c r="B2441" t="inlineStr">
        <is>
          <t>GAIL India</t>
        </is>
      </c>
      <c r="C2441" t="inlineStr">
        <is>
          <t>GAIL India</t>
        </is>
      </c>
      <c r="F2441" t="inlineStr">
        <is>
          <t>New Lead</t>
        </is>
      </c>
      <c r="G2441" t="inlineStr">
        <is>
          <t>Unclassified</t>
        </is>
      </c>
      <c r="H244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1" t="inlineStr">
        <is>
          <t>Not found</t>
        </is>
      </c>
      <c r="L2441" t="inlineStr">
        <is>
          <t>Unknown</t>
        </is>
      </c>
      <c r="T2441" t="inlineStr">
        <is>
          <t>https://gailtenders.in/Gailtenders/general_url.asp?val=3&amp;inb=1</t>
        </is>
      </c>
      <c r="U2441" t="inlineStr">
        <is>
          <t>HTML</t>
        </is>
      </c>
      <c r="V2441" t="inlineStr">
        <is>
          <t>Bot tespit/zenginlestirme (2026-07-01); meta:score=35;priority=Low;source_type=html_table;closing_date=;equipment=Unclassified;reasons=award/result signal</t>
        </is>
      </c>
    </row>
    <row r="2442">
      <c r="A2442" t="inlineStr">
        <is>
          <t>T-2246</t>
        </is>
      </c>
      <c r="B2442" t="inlineStr">
        <is>
          <t>GAIL India</t>
        </is>
      </c>
      <c r="C2442" t="inlineStr">
        <is>
          <t>GAIL India</t>
        </is>
      </c>
      <c r="F2442" t="inlineStr">
        <is>
          <t>New Lead</t>
        </is>
      </c>
      <c r="G2442" t="inlineStr">
        <is>
          <t>Unclassified</t>
        </is>
      </c>
      <c r="H244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2" t="inlineStr">
        <is>
          <t>Not found</t>
        </is>
      </c>
      <c r="L2442" t="inlineStr">
        <is>
          <t>Unknown</t>
        </is>
      </c>
      <c r="T2442" t="inlineStr">
        <is>
          <t>https://gailtenders.in/Gailtenders/general_url.asp?val=4&amp;inb=1</t>
        </is>
      </c>
      <c r="U2442" t="inlineStr">
        <is>
          <t>HTML</t>
        </is>
      </c>
      <c r="V2442" t="inlineStr">
        <is>
          <t>Bot tespit/zenginlestirme (2026-07-01); meta:score=35;priority=Low;source_type=html_table;closing_date=;equipment=Unclassified;reasons=award/result signal</t>
        </is>
      </c>
    </row>
    <row r="2443">
      <c r="A2443" t="inlineStr">
        <is>
          <t>T-2247</t>
        </is>
      </c>
      <c r="B2443" t="inlineStr">
        <is>
          <t>GAIL India</t>
        </is>
      </c>
      <c r="C2443" t="inlineStr">
        <is>
          <t>GAIL India</t>
        </is>
      </c>
      <c r="F2443" t="inlineStr">
        <is>
          <t>New Lead</t>
        </is>
      </c>
      <c r="G2443" t="inlineStr">
        <is>
          <t>Unclassified</t>
        </is>
      </c>
      <c r="H244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3" t="inlineStr">
        <is>
          <t>Not found</t>
        </is>
      </c>
      <c r="L2443" t="inlineStr">
        <is>
          <t>Unknown</t>
        </is>
      </c>
      <c r="T2443" t="inlineStr">
        <is>
          <t>https://gailtenders.in/Gailtenders/general_url.asp?val=5&amp;inb=1</t>
        </is>
      </c>
      <c r="U2443" t="inlineStr">
        <is>
          <t>HTML</t>
        </is>
      </c>
      <c r="V2443" t="inlineStr">
        <is>
          <t>Bot tespit/zenginlestirme (2026-07-01); meta:score=35;priority=Low;source_type=html_table;closing_date=;equipment=Unclassified;reasons=award/result signal</t>
        </is>
      </c>
    </row>
    <row r="2444">
      <c r="A2444" t="inlineStr">
        <is>
          <t>T-2248</t>
        </is>
      </c>
      <c r="B2444" t="inlineStr">
        <is>
          <t>GAIL India</t>
        </is>
      </c>
      <c r="C2444" t="inlineStr">
        <is>
          <t>GAIL India</t>
        </is>
      </c>
      <c r="F2444" t="inlineStr">
        <is>
          <t>New Lead</t>
        </is>
      </c>
      <c r="G2444" t="inlineStr">
        <is>
          <t>Unclassified</t>
        </is>
      </c>
      <c r="H244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4" t="inlineStr">
        <is>
          <t>Not found</t>
        </is>
      </c>
      <c r="L2444" t="inlineStr">
        <is>
          <t>Unknown</t>
        </is>
      </c>
      <c r="T2444" t="inlineStr">
        <is>
          <t>https://gailtenders.in/Gailtenders/general_url.asp?val=6&amp;inb=1</t>
        </is>
      </c>
      <c r="U2444" t="inlineStr">
        <is>
          <t>HTML</t>
        </is>
      </c>
      <c r="V2444" t="inlineStr">
        <is>
          <t>Bot tespit/zenginlestirme (2026-07-01); meta:score=35;priority=Low;source_type=html_table;closing_date=;equipment=Unclassified;reasons=award/result signal</t>
        </is>
      </c>
    </row>
    <row r="2445">
      <c r="A2445" t="inlineStr">
        <is>
          <t>T-2249</t>
        </is>
      </c>
      <c r="B2445" t="inlineStr">
        <is>
          <t>GAIL India</t>
        </is>
      </c>
      <c r="C2445" t="inlineStr">
        <is>
          <t>GAIL India</t>
        </is>
      </c>
      <c r="F2445" t="inlineStr">
        <is>
          <t>New Lead</t>
        </is>
      </c>
      <c r="G2445" t="inlineStr">
        <is>
          <t>Unclassified</t>
        </is>
      </c>
      <c r="H2445"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5" t="inlineStr">
        <is>
          <t>Not found</t>
        </is>
      </c>
      <c r="L2445" t="inlineStr">
        <is>
          <t>Unknown</t>
        </is>
      </c>
      <c r="T2445" t="inlineStr">
        <is>
          <t>https://gailtenders.in/Gailtenders/general_url.asp?val=7&amp;inb=1</t>
        </is>
      </c>
      <c r="U2445" t="inlineStr">
        <is>
          <t>HTML</t>
        </is>
      </c>
      <c r="V2445" t="inlineStr">
        <is>
          <t>Bot tespit/zenginlestirme (2026-07-01); meta:score=35;priority=Low;source_type=html_table;closing_date=;equipment=Unclassified;reasons=award/result signal</t>
        </is>
      </c>
    </row>
    <row r="2446">
      <c r="A2446" t="inlineStr">
        <is>
          <t>T-2250</t>
        </is>
      </c>
      <c r="B2446" t="inlineStr">
        <is>
          <t>GAIL India</t>
        </is>
      </c>
      <c r="C2446" t="inlineStr">
        <is>
          <t>GAIL India</t>
        </is>
      </c>
      <c r="F2446" t="inlineStr">
        <is>
          <t>New Lead</t>
        </is>
      </c>
      <c r="G2446" t="inlineStr">
        <is>
          <t>Unclassified</t>
        </is>
      </c>
      <c r="H2446"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6" t="inlineStr">
        <is>
          <t>Not found</t>
        </is>
      </c>
      <c r="L2446" t="inlineStr">
        <is>
          <t>Unknown</t>
        </is>
      </c>
      <c r="T2446" t="inlineStr">
        <is>
          <t>https://gailtenders.in/Gailtenders/general_url.asp?val=8&amp;inb=1</t>
        </is>
      </c>
      <c r="U2446" t="inlineStr">
        <is>
          <t>HTML</t>
        </is>
      </c>
      <c r="V2446" t="inlineStr">
        <is>
          <t>Bot tespit/zenginlestirme (2026-07-01); meta:score=35;priority=Low;source_type=html_table;closing_date=;equipment=Unclassified;reasons=award/result signal</t>
        </is>
      </c>
    </row>
    <row r="2447">
      <c r="A2447" t="inlineStr">
        <is>
          <t>T-2251</t>
        </is>
      </c>
      <c r="B2447" t="inlineStr">
        <is>
          <t>GAIL India</t>
        </is>
      </c>
      <c r="C2447" t="inlineStr">
        <is>
          <t>GAIL India</t>
        </is>
      </c>
      <c r="F2447" t="inlineStr">
        <is>
          <t>New Lead</t>
        </is>
      </c>
      <c r="G2447" t="inlineStr">
        <is>
          <t>Unclassified</t>
        </is>
      </c>
      <c r="H2447"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7" t="inlineStr">
        <is>
          <t>Not found</t>
        </is>
      </c>
      <c r="L2447" t="inlineStr">
        <is>
          <t>Unknown</t>
        </is>
      </c>
      <c r="T2447" t="inlineStr">
        <is>
          <t>https://gailtenders.in/Gailtenders/general_url.asp?val=9&amp;inb=1</t>
        </is>
      </c>
      <c r="U2447" t="inlineStr">
        <is>
          <t>HTML</t>
        </is>
      </c>
      <c r="V2447" t="inlineStr">
        <is>
          <t>Bot tespit/zenginlestirme (2026-07-01); meta:score=35;priority=Low;source_type=html_table;closing_date=;equipment=Unclassified;reasons=award/result signal</t>
        </is>
      </c>
    </row>
    <row r="2448">
      <c r="A2448" t="inlineStr">
        <is>
          <t>T-2252</t>
        </is>
      </c>
      <c r="B2448" t="inlineStr">
        <is>
          <t>GAIL India</t>
        </is>
      </c>
      <c r="C2448" t="inlineStr">
        <is>
          <t>GAIL India</t>
        </is>
      </c>
      <c r="F2448" t="inlineStr">
        <is>
          <t>New Lead</t>
        </is>
      </c>
      <c r="G2448" t="inlineStr">
        <is>
          <t>Unclassified</t>
        </is>
      </c>
      <c r="H2448"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8" t="inlineStr">
        <is>
          <t>Not found</t>
        </is>
      </c>
      <c r="L2448" t="inlineStr">
        <is>
          <t>Unknown</t>
        </is>
      </c>
      <c r="T2448" t="inlineStr">
        <is>
          <t>https://gailtenders.in/Gailtenders/general_url.asp?val=10&amp;inb=1</t>
        </is>
      </c>
      <c r="U2448" t="inlineStr">
        <is>
          <t>HTML</t>
        </is>
      </c>
      <c r="V2448" t="inlineStr">
        <is>
          <t>Bot tespit/zenginlestirme (2026-07-01); meta:score=35;priority=Low;source_type=html_table;closing_date=;equipment=Unclassified;reasons=award/result signal</t>
        </is>
      </c>
    </row>
    <row r="2449">
      <c r="A2449" t="inlineStr">
        <is>
          <t>T-2253</t>
        </is>
      </c>
      <c r="B2449" t="inlineStr">
        <is>
          <t>GAIL India</t>
        </is>
      </c>
      <c r="C2449" t="inlineStr">
        <is>
          <t>GAIL India</t>
        </is>
      </c>
      <c r="F2449" t="inlineStr">
        <is>
          <t>New Lead</t>
        </is>
      </c>
      <c r="G2449" t="inlineStr">
        <is>
          <t>Unclassified</t>
        </is>
      </c>
      <c r="H244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9" t="inlineStr">
        <is>
          <t>Not found</t>
        </is>
      </c>
      <c r="L2449" t="inlineStr">
        <is>
          <t>Unknown</t>
        </is>
      </c>
      <c r="T2449" t="inlineStr">
        <is>
          <t>https://gailtenders.in/Gailtenders/general_url.asp?val=12&amp;inb=1</t>
        </is>
      </c>
      <c r="U2449" t="inlineStr">
        <is>
          <t>HTML</t>
        </is>
      </c>
      <c r="V2449" t="inlineStr">
        <is>
          <t>Bot tespit/zenginlestirme (2026-07-01); meta:score=35;priority=Low;source_type=html_table;closing_date=;equipment=Unclassified;reasons=award/result signal</t>
        </is>
      </c>
    </row>
    <row r="2450">
      <c r="A2450" t="inlineStr">
        <is>
          <t>T-2254</t>
        </is>
      </c>
      <c r="B2450" t="inlineStr">
        <is>
          <t>GAIL India</t>
        </is>
      </c>
      <c r="C2450" t="inlineStr">
        <is>
          <t>GAIL India</t>
        </is>
      </c>
      <c r="F2450" t="inlineStr">
        <is>
          <t>New Lead</t>
        </is>
      </c>
      <c r="G2450" t="inlineStr">
        <is>
          <t>Unclassified</t>
        </is>
      </c>
      <c r="H245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0" t="inlineStr">
        <is>
          <t>Not found</t>
        </is>
      </c>
      <c r="L2450" t="inlineStr">
        <is>
          <t>Unknown</t>
        </is>
      </c>
      <c r="T2450" t="inlineStr">
        <is>
          <t>https://gailtenders.in/Gailtenders/general_url.asp?val=11&amp;inb=1</t>
        </is>
      </c>
      <c r="U2450" t="inlineStr">
        <is>
          <t>HTML</t>
        </is>
      </c>
      <c r="V2450" t="inlineStr">
        <is>
          <t>Bot tespit/zenginlestirme (2026-07-01); meta:score=35;priority=Low;source_type=html_table;closing_date=;equipment=Unclassified;reasons=award/result signal</t>
        </is>
      </c>
    </row>
    <row r="2451">
      <c r="A2451" t="inlineStr">
        <is>
          <t>T-2255</t>
        </is>
      </c>
      <c r="B2451" t="inlineStr">
        <is>
          <t>GAIL India</t>
        </is>
      </c>
      <c r="C2451" t="inlineStr">
        <is>
          <t>GAIL India</t>
        </is>
      </c>
      <c r="F2451" t="inlineStr">
        <is>
          <t>New Lead</t>
        </is>
      </c>
      <c r="G2451" t="inlineStr">
        <is>
          <t>Unclassified</t>
        </is>
      </c>
      <c r="H245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1" t="inlineStr">
        <is>
          <t>Not found</t>
        </is>
      </c>
      <c r="L2451" t="inlineStr">
        <is>
          <t>Unknown</t>
        </is>
      </c>
      <c r="T2451" t="inlineStr">
        <is>
          <t>https://gailtenders.in/Gailtenders/location_wise_report.asp</t>
        </is>
      </c>
      <c r="U2451" t="inlineStr">
        <is>
          <t>HTML</t>
        </is>
      </c>
      <c r="V2451" t="inlineStr">
        <is>
          <t>Bot tespit/zenginlestirme (2026-07-01); meta:score=35;priority=Low;source_type=html_table;closing_date=;equipment=Unclassified;reasons=award/result signal</t>
        </is>
      </c>
    </row>
    <row r="2452">
      <c r="A2452" t="inlineStr">
        <is>
          <t>T-2256</t>
        </is>
      </c>
      <c r="B2452" t="inlineStr">
        <is>
          <t>GAIL India</t>
        </is>
      </c>
      <c r="C2452" t="inlineStr">
        <is>
          <t>GAIL India</t>
        </is>
      </c>
      <c r="F2452" t="inlineStr">
        <is>
          <t>New Lead</t>
        </is>
      </c>
      <c r="G2452" t="inlineStr">
        <is>
          <t>Unclassified</t>
        </is>
      </c>
      <c r="H245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2" t="inlineStr">
        <is>
          <t>Not found</t>
        </is>
      </c>
      <c r="L2452" t="inlineStr">
        <is>
          <t>Unknown</t>
        </is>
      </c>
      <c r="T2452" t="inlineStr">
        <is>
          <t>https://gailtenders.in/Gailtenders/category_wise_report.asp</t>
        </is>
      </c>
      <c r="U2452" t="inlineStr">
        <is>
          <t>HTML</t>
        </is>
      </c>
      <c r="V2452" t="inlineStr">
        <is>
          <t>Bot tespit/zenginlestirme (2026-07-01); meta:score=35;priority=Low;source_type=html_table;closing_date=;equipment=Unclassified;reasons=award/result signal</t>
        </is>
      </c>
    </row>
    <row r="2453">
      <c r="A2453" t="inlineStr">
        <is>
          <t>T-2257</t>
        </is>
      </c>
      <c r="B2453" t="inlineStr">
        <is>
          <t>GAIL India</t>
        </is>
      </c>
      <c r="C2453" t="inlineStr">
        <is>
          <t>GAIL India</t>
        </is>
      </c>
      <c r="F2453" t="inlineStr">
        <is>
          <t>New Lead</t>
        </is>
      </c>
      <c r="G2453" t="inlineStr">
        <is>
          <t>Unclassified</t>
        </is>
      </c>
      <c r="H245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3" t="inlineStr">
        <is>
          <t>Not found</t>
        </is>
      </c>
      <c r="L2453" t="inlineStr">
        <is>
          <t>Unknown</t>
        </is>
      </c>
      <c r="T2453" t="inlineStr">
        <is>
          <t>https://gailtenders.in/Gailtenders/general_url.asp?val=4&amp;inb=2</t>
        </is>
      </c>
      <c r="U2453" t="inlineStr">
        <is>
          <t>HTML</t>
        </is>
      </c>
      <c r="V2453" t="inlineStr">
        <is>
          <t>Bot tespit/zenginlestirme (2026-07-01); meta:score=35;priority=Low;source_type=html_table;closing_date=;equipment=Unclassified;reasons=award/result signal</t>
        </is>
      </c>
    </row>
    <row r="2454">
      <c r="A2454" t="inlineStr">
        <is>
          <t>T-2258</t>
        </is>
      </c>
      <c r="B2454" t="inlineStr">
        <is>
          <t>GAIL India</t>
        </is>
      </c>
      <c r="C2454" t="inlineStr">
        <is>
          <t>GAIL India</t>
        </is>
      </c>
      <c r="F2454" t="inlineStr">
        <is>
          <t>Awarded / Result</t>
        </is>
      </c>
      <c r="G2454" t="inlineStr">
        <is>
          <t>Unclassified</t>
        </is>
      </c>
      <c r="H245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4" t="inlineStr">
        <is>
          <t>Not found</t>
        </is>
      </c>
      <c r="L2454" t="inlineStr">
        <is>
          <t>Unknown</t>
        </is>
      </c>
      <c r="T2454" t="inlineStr">
        <is>
          <t>https://gailtenders.in/Gailtenders/admin/AOC_param.asp</t>
        </is>
      </c>
      <c r="U2454" t="inlineStr">
        <is>
          <t>HTML</t>
        </is>
      </c>
      <c r="V2454" t="inlineStr">
        <is>
          <t>Bot tespit/zenginlestirme (2026-07-01); meta:score=35;priority=Low;source_type=html_table;closing_date=;equipment=Unclassified;reasons=award/result signal</t>
        </is>
      </c>
    </row>
    <row r="2455">
      <c r="A2455" t="inlineStr">
        <is>
          <t>T-2259</t>
        </is>
      </c>
      <c r="B2455" t="inlineStr">
        <is>
          <t>GAIL India</t>
        </is>
      </c>
      <c r="C2455" t="inlineStr">
        <is>
          <t>GAIL India</t>
        </is>
      </c>
      <c r="F2455" t="inlineStr">
        <is>
          <t>New Lead</t>
        </is>
      </c>
      <c r="G2455" t="inlineStr">
        <is>
          <t>Unclassified</t>
        </is>
      </c>
      <c r="H2455" t="inlineStr">
        <is>
          <t>Wednesday, July 1, 2026 E-Tenders</t>
        </is>
      </c>
      <c r="K2455" t="inlineStr">
        <is>
          <t>Not found</t>
        </is>
      </c>
      <c r="L2455" t="inlineStr">
        <is>
          <t>Unknown</t>
        </is>
      </c>
      <c r="T2455" t="inlineStr">
        <is>
          <t>https://gailtenders.in/Gailtenders/Home.asp</t>
        </is>
      </c>
      <c r="U2455" t="inlineStr">
        <is>
          <t>HTML</t>
        </is>
      </c>
      <c r="V2455" t="inlineStr">
        <is>
          <t>Bot tespit/zenginlestirme (2026-07-01); meta:score=;priority=Low;source_type=html_table;closing_date=;equipment=Unclassified;reasons=</t>
        </is>
      </c>
    </row>
    <row r="2456">
      <c r="A2456" t="inlineStr">
        <is>
          <t>T-2260</t>
        </is>
      </c>
      <c r="B2456" t="inlineStr">
        <is>
          <t>GAIL India</t>
        </is>
      </c>
      <c r="C2456" t="inlineStr">
        <is>
          <t>GAIL India</t>
        </is>
      </c>
      <c r="F2456" t="inlineStr">
        <is>
          <t>New Lead</t>
        </is>
      </c>
      <c r="G2456" t="inlineStr">
        <is>
          <t>Unclassified</t>
        </is>
      </c>
      <c r="H2456" t="inlineStr">
        <is>
          <t>Wednesday, July 1, 2026 E-Tenders</t>
        </is>
      </c>
      <c r="K2456" t="inlineStr">
        <is>
          <t>Not found</t>
        </is>
      </c>
      <c r="L2456" t="inlineStr">
        <is>
          <t>Unknown</t>
        </is>
      </c>
      <c r="T2456" t="inlineStr">
        <is>
          <t>https://gailtenders.in/Gailtenders/tenderarchives_old.asp</t>
        </is>
      </c>
      <c r="U2456" t="inlineStr">
        <is>
          <t>HTML</t>
        </is>
      </c>
      <c r="V2456" t="inlineStr">
        <is>
          <t>Bot tespit/zenginlestirme (2026-07-01); meta:score=;priority=Low;source_type=html_table;closing_date=;equipment=Unclassified;reasons=</t>
        </is>
      </c>
    </row>
    <row r="2457">
      <c r="A2457" t="inlineStr">
        <is>
          <t>T-2261</t>
        </is>
      </c>
      <c r="B2457" t="inlineStr">
        <is>
          <t>GAIL India</t>
        </is>
      </c>
      <c r="C2457" t="inlineStr">
        <is>
          <t>GAIL India</t>
        </is>
      </c>
      <c r="F2457" t="inlineStr">
        <is>
          <t>New Lead</t>
        </is>
      </c>
      <c r="G2457" t="inlineStr">
        <is>
          <t>Unclassified</t>
        </is>
      </c>
      <c r="H2457" t="inlineStr">
        <is>
          <t>DETAILS OF PRE-TENDER CONFERENCE Authentication of BEC Documents ADDENDUM TO INSTRUCTIONS TO BIDDERS (INSTRUCTIONS FOR PARTICIPATION IN E-TENDER)</t>
        </is>
      </c>
      <c r="K2457" t="inlineStr">
        <is>
          <t>Not found</t>
        </is>
      </c>
      <c r="L2457" t="inlineStr">
        <is>
          <t>Unknown</t>
        </is>
      </c>
      <c r="T2457" t="inlineStr">
        <is>
          <t>https://gailtenders.in/Gailtenders/new2.asp</t>
        </is>
      </c>
      <c r="U2457" t="inlineStr">
        <is>
          <t>HTML</t>
        </is>
      </c>
      <c r="V2457" t="inlineStr">
        <is>
          <t>Bot tespit/zenginlestirme (2026-07-01); meta:score=;priority=Low;source_type=html_table;closing_date=;equipment=Unclassified;reasons=</t>
        </is>
      </c>
    </row>
    <row r="2458">
      <c r="A2458" t="inlineStr">
        <is>
          <t>T-2262</t>
        </is>
      </c>
      <c r="B2458" t="inlineStr">
        <is>
          <t>GAIL India</t>
        </is>
      </c>
      <c r="C2458" t="inlineStr">
        <is>
          <t>GAIL India</t>
        </is>
      </c>
      <c r="F2458" t="inlineStr">
        <is>
          <t>New Lead</t>
        </is>
      </c>
      <c r="G2458" t="inlineStr">
        <is>
          <t>Unclassified</t>
        </is>
      </c>
      <c r="H2458" t="inlineStr">
        <is>
          <t>General Conditions of Contracts (GCCs) | Corporate Website | Corporate Intranet | Corporate Email | Archived PTC</t>
        </is>
      </c>
      <c r="K2458" t="inlineStr">
        <is>
          <t>Not found</t>
        </is>
      </c>
      <c r="L2458" t="inlineStr">
        <is>
          <t>Unknown</t>
        </is>
      </c>
      <c r="T2458" t="inlineStr">
        <is>
          <t>https://gailtenders.in/Gailtenders/gccs.asp</t>
        </is>
      </c>
      <c r="U2458" t="inlineStr">
        <is>
          <t>HTML</t>
        </is>
      </c>
      <c r="V2458" t="inlineStr">
        <is>
          <t>Bot tespit/zenginlestirme (2026-07-01); meta:score=;priority=Low;source_type=html_table;closing_date=;equipment=Unclassified;reasons=</t>
        </is>
      </c>
    </row>
    <row r="2459">
      <c r="A2459" t="inlineStr">
        <is>
          <t>T-2263</t>
        </is>
      </c>
      <c r="B2459" t="inlineStr">
        <is>
          <t>GAIL India</t>
        </is>
      </c>
      <c r="C2459" t="inlineStr">
        <is>
          <t>GAIL India</t>
        </is>
      </c>
      <c r="F2459" t="inlineStr">
        <is>
          <t>New Lead</t>
        </is>
      </c>
      <c r="G2459" t="inlineStr">
        <is>
          <t>Unclassified</t>
        </is>
      </c>
      <c r="H2459" t="inlineStr">
        <is>
          <t>General Conditions of Contracts (GCCs) | Corporate Website | Corporate Intranet | Corporate Email | Archived PTC</t>
        </is>
      </c>
      <c r="K2459" t="inlineStr">
        <is>
          <t>Not found</t>
        </is>
      </c>
      <c r="L2459" t="inlineStr">
        <is>
          <t>Unknown</t>
        </is>
      </c>
      <c r="T2459" t="inlineStr">
        <is>
          <t>http://www.gailonline.com</t>
        </is>
      </c>
      <c r="U2459" t="inlineStr">
        <is>
          <t>HTML</t>
        </is>
      </c>
      <c r="V2459" t="inlineStr">
        <is>
          <t>Bot tespit/zenginlestirme (2026-07-01); meta:score=;priority=Low;source_type=html_table;closing_date=;equipment=Unclassified;reasons=</t>
        </is>
      </c>
    </row>
    <row r="2460">
      <c r="A2460" t="inlineStr">
        <is>
          <t>T-2264</t>
        </is>
      </c>
      <c r="B2460" t="inlineStr">
        <is>
          <t>GAIL India</t>
        </is>
      </c>
      <c r="C2460" t="inlineStr">
        <is>
          <t>GAIL India</t>
        </is>
      </c>
      <c r="F2460" t="inlineStr">
        <is>
          <t>New Lead</t>
        </is>
      </c>
      <c r="G2460" t="inlineStr">
        <is>
          <t>Unclassified</t>
        </is>
      </c>
      <c r="H2460" t="inlineStr">
        <is>
          <t>General Conditions of Contracts (GCCs) | Corporate Website | Corporate Intranet | Corporate Email | Archived PTC</t>
        </is>
      </c>
      <c r="K2460" t="inlineStr">
        <is>
          <t>Not found</t>
        </is>
      </c>
      <c r="L2460" t="inlineStr">
        <is>
          <t>Unknown</t>
        </is>
      </c>
      <c r="T2460" t="inlineStr">
        <is>
          <t>https://mygail.gail.co.in</t>
        </is>
      </c>
      <c r="U2460" t="inlineStr">
        <is>
          <t>HTML</t>
        </is>
      </c>
      <c r="V2460" t="inlineStr">
        <is>
          <t>Bot tespit/zenginlestirme (2026-07-01); meta:score=;priority=Low;source_type=html_table;closing_date=;equipment=Unclassified;reasons=</t>
        </is>
      </c>
    </row>
    <row r="2461">
      <c r="A2461" t="inlineStr">
        <is>
          <t>T-2265</t>
        </is>
      </c>
      <c r="B2461" t="inlineStr">
        <is>
          <t>GAIL India</t>
        </is>
      </c>
      <c r="C2461" t="inlineStr">
        <is>
          <t>GAIL India</t>
        </is>
      </c>
      <c r="F2461" t="inlineStr">
        <is>
          <t>New Lead</t>
        </is>
      </c>
      <c r="G2461" t="inlineStr">
        <is>
          <t>Unclassified</t>
        </is>
      </c>
      <c r="H2461" t="inlineStr">
        <is>
          <t>General Conditions of Contracts (GCCs) | Corporate Website | Corporate Intranet | Corporate Email | Archived PTC</t>
        </is>
      </c>
      <c r="K2461" t="inlineStr">
        <is>
          <t>Not found</t>
        </is>
      </c>
      <c r="L2461" t="inlineStr">
        <is>
          <t>Unknown</t>
        </is>
      </c>
      <c r="T2461" t="inlineStr">
        <is>
          <t>https://mail.gail.co.in/</t>
        </is>
      </c>
      <c r="U2461" t="inlineStr">
        <is>
          <t>HTML</t>
        </is>
      </c>
      <c r="V2461" t="inlineStr">
        <is>
          <t>Bot tespit/zenginlestirme (2026-07-01); meta:score=;priority=Low;source_type=html_table;closing_date=;equipment=Unclassified;reasons=</t>
        </is>
      </c>
    </row>
    <row r="2462">
      <c r="A2462" t="inlineStr">
        <is>
          <t>T-2266</t>
        </is>
      </c>
      <c r="B2462" t="inlineStr">
        <is>
          <t>GAIL India</t>
        </is>
      </c>
      <c r="C2462" t="inlineStr">
        <is>
          <t>GAIL India</t>
        </is>
      </c>
      <c r="F2462" t="inlineStr">
        <is>
          <t>New Lead</t>
        </is>
      </c>
      <c r="G2462" t="inlineStr">
        <is>
          <t>Unclassified</t>
        </is>
      </c>
      <c r="H2462" t="inlineStr">
        <is>
          <t>General Conditions of Contracts (GCCs) | Corporate Website | Corporate Intranet | Corporate Email | Archived PTC</t>
        </is>
      </c>
      <c r="K2462" t="inlineStr">
        <is>
          <t>Not found</t>
        </is>
      </c>
      <c r="L2462" t="inlineStr">
        <is>
          <t>Unknown</t>
        </is>
      </c>
      <c r="T2462" t="inlineStr">
        <is>
          <t>https://gailtenders.in/Gailtenders/ptc_arch.asp</t>
        </is>
      </c>
      <c r="U2462" t="inlineStr">
        <is>
          <t>HTML</t>
        </is>
      </c>
      <c r="V2462" t="inlineStr">
        <is>
          <t>Bot tespit/zenginlestirme (2026-07-01); meta:score=;priority=Low;source_type=html_table;closing_date=;equipment=Unclassified;reasons=</t>
        </is>
      </c>
    </row>
    <row r="2463">
      <c r="A2463" t="inlineStr">
        <is>
          <t>T-2267</t>
        </is>
      </c>
      <c r="B2463" t="inlineStr">
        <is>
          <t>GAIL India</t>
        </is>
      </c>
      <c r="C2463" t="inlineStr">
        <is>
          <t>GAIL India</t>
        </is>
      </c>
      <c r="F2463" t="inlineStr">
        <is>
          <t>New Lead</t>
        </is>
      </c>
      <c r="G2463" t="inlineStr">
        <is>
          <t>Unclassified</t>
        </is>
      </c>
      <c r="H2463" t="inlineStr">
        <is>
          <t>Reverse Auction Training Videos Vendor Invoice Management System</t>
        </is>
      </c>
      <c r="K2463" t="inlineStr">
        <is>
          <t>Not found</t>
        </is>
      </c>
      <c r="L2463" t="inlineStr">
        <is>
          <t>Unknown</t>
        </is>
      </c>
      <c r="T2463" t="inlineStr">
        <is>
          <t>https://gailtenders.in/Gailtenders/video_training.asp</t>
        </is>
      </c>
      <c r="U2463" t="inlineStr">
        <is>
          <t>HTML</t>
        </is>
      </c>
      <c r="V2463" t="inlineStr">
        <is>
          <t>Bot tespit/zenginlestirme (2026-07-01); meta:score=;priority=Low;source_type=html_table;closing_date=;equipment=Unclassified;reasons=</t>
        </is>
      </c>
    </row>
    <row r="2464">
      <c r="A2464" t="inlineStr">
        <is>
          <t>T-2268</t>
        </is>
      </c>
      <c r="B2464" t="inlineStr">
        <is>
          <t>Bharat Petroleum (BPCL CGD)</t>
        </is>
      </c>
      <c r="C2464" t="inlineStr">
        <is>
          <t>Bharat Petroleum (BPCL CGD)</t>
        </is>
      </c>
      <c r="F2464" t="inlineStr">
        <is>
          <t>New Lead</t>
        </is>
      </c>
      <c r="G2464" t="inlineStr">
        <is>
          <t>Unclassified</t>
        </is>
      </c>
      <c r="H2464" t="inlineStr">
        <is>
          <t>Tenders View Tenders View Tenders Awarded GeM Tenders View Project Completion Details</t>
        </is>
      </c>
      <c r="K2464" t="inlineStr">
        <is>
          <t>Not found</t>
        </is>
      </c>
      <c r="L2464" t="inlineStr">
        <is>
          <t>Unknown</t>
        </is>
      </c>
      <c r="T2464" t="inlineStr">
        <is>
          <t>https://www.bharatpetroleum.in/tenders/tenders.aspx</t>
        </is>
      </c>
      <c r="U2464" t="inlineStr">
        <is>
          <t>HTML</t>
        </is>
      </c>
      <c r="V2464" t="inlineStr">
        <is>
          <t>Bot tespit/zenginlestirme (2026-07-01); meta:score=35;priority=Low;source_type=html_table;closing_date=;equipment=Unclassified;reasons=award/result signal</t>
        </is>
      </c>
    </row>
    <row r="2465">
      <c r="A2465" t="inlineStr">
        <is>
          <t>T-2269</t>
        </is>
      </c>
      <c r="B2465" t="inlineStr">
        <is>
          <t>Bharat Petroleum (BPCL CGD)</t>
        </is>
      </c>
      <c r="C2465" t="inlineStr">
        <is>
          <t>Bharat Petroleum (BPCL CGD)</t>
        </is>
      </c>
      <c r="F2465" t="inlineStr">
        <is>
          <t>Awarded / Result</t>
        </is>
      </c>
      <c r="G2465" t="inlineStr">
        <is>
          <t>Unclassified</t>
        </is>
      </c>
      <c r="H2465" t="inlineStr">
        <is>
          <t>View Tenders Awarded</t>
        </is>
      </c>
      <c r="K2465" t="inlineStr">
        <is>
          <t>Not found</t>
        </is>
      </c>
      <c r="L2465" t="inlineStr">
        <is>
          <t>Unknown</t>
        </is>
      </c>
      <c r="T2465" t="inlineStr">
        <is>
          <t>https://www.bharatpetroleum.in/tenders/view-tenders-awarded.aspx</t>
        </is>
      </c>
      <c r="U2465" t="inlineStr">
        <is>
          <t>HTML</t>
        </is>
      </c>
      <c r="V2465" t="inlineStr">
        <is>
          <t>Bot tespit/zenginlestirme (2026-07-01); meta:score=35;priority=Low;source_type=html_link;closing_date=;equipment=Unclassified;reasons=award/result signal</t>
        </is>
      </c>
    </row>
    <row r="2466">
      <c r="A2466" t="inlineStr">
        <is>
          <t>T-2270</t>
        </is>
      </c>
      <c r="B2466" t="inlineStr">
        <is>
          <t>Bharat Petroleum (BPCL CGD)</t>
        </is>
      </c>
      <c r="C2466" t="inlineStr">
        <is>
          <t>Bharat Petroleum (BPCL CGD)</t>
        </is>
      </c>
      <c r="F2466" t="inlineStr">
        <is>
          <t>New Lead</t>
        </is>
      </c>
      <c r="G2466" t="inlineStr">
        <is>
          <t>Gas-related / review</t>
        </is>
      </c>
      <c r="H2466" t="inlineStr">
        <is>
          <t>MoPNG eSEVA</t>
        </is>
      </c>
      <c r="K2466" t="inlineStr">
        <is>
          <t>Not found</t>
        </is>
      </c>
      <c r="L2466" t="inlineStr">
        <is>
          <t>Unknown</t>
        </is>
      </c>
      <c r="T2466" t="inlineStr">
        <is>
          <t>https://bharatpetroleum.in/mopng-eseva.aspx</t>
        </is>
      </c>
      <c r="U2466" t="inlineStr">
        <is>
          <t>HTML</t>
        </is>
      </c>
      <c r="V2466" t="inlineStr">
        <is>
          <t>Bot tespit/zenginlestirme (2026-07-01); meta:score=15;priority=Low;source_type=html_link;closing_date=;equipment=Gas-related / review;reasons=equipment:Gas-related / review</t>
        </is>
      </c>
    </row>
    <row r="2467">
      <c r="A2467" t="inlineStr">
        <is>
          <t>T-2271</t>
        </is>
      </c>
      <c r="B2467" t="inlineStr">
        <is>
          <t>Bharat Petroleum (BPCL CGD)</t>
        </is>
      </c>
      <c r="C2467" t="inlineStr">
        <is>
          <t>Bharat Petroleum (BPCL CGD)</t>
        </is>
      </c>
      <c r="F2467" t="inlineStr">
        <is>
          <t>New Lead</t>
        </is>
      </c>
      <c r="G2467" t="inlineStr">
        <is>
          <t>Gas-related / review</t>
        </is>
      </c>
      <c r="H2467" t="inlineStr">
        <is>
          <t>Bharatgas Our Journey Domestic Commercial Bharat Metal Cutting Gas Bharatgas Mini My Bharatgas Become A Distributor</t>
        </is>
      </c>
      <c r="K2467" t="inlineStr">
        <is>
          <t>Not found</t>
        </is>
      </c>
      <c r="L2467" t="inlineStr">
        <is>
          <t>Unknown</t>
        </is>
      </c>
      <c r="T2467" t="inlineStr">
        <is>
          <t>https://www.bharatpetroleum.in/Bharat-Petroleum-For/Our-Businesses/Bharatgas.aspx</t>
        </is>
      </c>
      <c r="U2467" t="inlineStr">
        <is>
          <t>HTML</t>
        </is>
      </c>
      <c r="V2467" t="inlineStr">
        <is>
          <t>Bot tespit/zenginlestirme (2026-07-01); meta:score=15;priority=Low;source_type=html_table;closing_date=;equipment=Gas-related / review;reasons=equipment:Gas-related / review</t>
        </is>
      </c>
    </row>
    <row r="2468">
      <c r="A2468" t="inlineStr">
        <is>
          <t>T-2272</t>
        </is>
      </c>
      <c r="B2468" t="inlineStr">
        <is>
          <t>Bharat Petroleum (BPCL CGD)</t>
        </is>
      </c>
      <c r="C2468" t="inlineStr">
        <is>
          <t>Bharat Petroleum (BPCL CGD)</t>
        </is>
      </c>
      <c r="F2468" t="inlineStr">
        <is>
          <t>New Lead</t>
        </is>
      </c>
      <c r="G2468" t="inlineStr">
        <is>
          <t>Gas-related / review</t>
        </is>
      </c>
      <c r="H2468" t="inlineStr">
        <is>
          <t>Bharat Metal Cutting Gas</t>
        </is>
      </c>
      <c r="K2468" t="inlineStr">
        <is>
          <t>Not found</t>
        </is>
      </c>
      <c r="L2468" t="inlineStr">
        <is>
          <t>Unknown</t>
        </is>
      </c>
      <c r="T2468" t="inlineStr">
        <is>
          <t>https://www.bharatpetroleum.in/Bharat-Petroleum-For/Our-Businesses/Bharatgas/Bharat-Metal-Cutting-Gas.aspx</t>
        </is>
      </c>
      <c r="U2468" t="inlineStr">
        <is>
          <t>HTML</t>
        </is>
      </c>
      <c r="V2468" t="inlineStr">
        <is>
          <t>Bot tespit/zenginlestirme (2026-07-01); meta:score=15;priority=Low;source_type=html_link;closing_date=;equipment=Gas-related / review;reasons=equipment:Gas-related / review</t>
        </is>
      </c>
    </row>
    <row r="2469">
      <c r="A2469" t="inlineStr">
        <is>
          <t>T-2273</t>
        </is>
      </c>
      <c r="B2469" t="inlineStr">
        <is>
          <t>Bharat Petroleum (BPCL CGD)</t>
        </is>
      </c>
      <c r="C2469" t="inlineStr">
        <is>
          <t>Bharat Petroleum (BPCL CGD)</t>
        </is>
      </c>
      <c r="F2469" t="inlineStr">
        <is>
          <t>New Lead</t>
        </is>
      </c>
      <c r="G2469" t="inlineStr">
        <is>
          <t>Gas-related / review</t>
        </is>
      </c>
      <c r="H2469" t="inlineStr">
        <is>
          <t>Gas Natural Gas Liquefied Natural Gas Compressed Natural Gas BPCLs Gas Portfolio City Gas Distribution Natural Gas for your Industry Joint Ventures Gas at BPCL Empanelment of LNG supplier Notices and Advisory from PNGRB ​Help Document for Domestic Piped Natural Gas</t>
        </is>
      </c>
      <c r="K2469" t="inlineStr">
        <is>
          <t>Not found</t>
        </is>
      </c>
      <c r="L2469" t="inlineStr">
        <is>
          <t>Unknown</t>
        </is>
      </c>
      <c r="T2469" t="inlineStr">
        <is>
          <t>https://www.bharatpetroleum.in/Bharat-Petroleum-For/Our-Businesses/Gas.aspx</t>
        </is>
      </c>
      <c r="U2469" t="inlineStr">
        <is>
          <t>HTML</t>
        </is>
      </c>
      <c r="V2469" t="inlineStr">
        <is>
          <t>Bot tespit/zenginlestirme (2026-07-01); meta:score=15;priority=Low;source_type=html_table;closing_date=;equipment=Gas-related / review;reasons=equipment:Gas-related / review</t>
        </is>
      </c>
    </row>
    <row r="2470">
      <c r="A2470" t="inlineStr">
        <is>
          <t>T-2274</t>
        </is>
      </c>
      <c r="B2470" t="inlineStr">
        <is>
          <t>Bharat Petroleum (BPCL CGD)</t>
        </is>
      </c>
      <c r="C2470" t="inlineStr">
        <is>
          <t>Bharat Petroleum (BPCL CGD)</t>
        </is>
      </c>
      <c r="F2470" t="inlineStr">
        <is>
          <t>New Lead</t>
        </is>
      </c>
      <c r="G2470" t="inlineStr">
        <is>
          <t>Gas-related / review</t>
        </is>
      </c>
      <c r="H2470" t="inlineStr">
        <is>
          <t>Natural Gas</t>
        </is>
      </c>
      <c r="K2470" t="inlineStr">
        <is>
          <t>Not found</t>
        </is>
      </c>
      <c r="L2470" t="inlineStr">
        <is>
          <t>Unknown</t>
        </is>
      </c>
      <c r="T2470" t="inlineStr">
        <is>
          <t>https://www.bharatpetroleum.in/Bharat-Petroleum-For/Our-Businesses/Gas/Natural-Gas.aspx</t>
        </is>
      </c>
      <c r="U2470" t="inlineStr">
        <is>
          <t>HTML</t>
        </is>
      </c>
      <c r="V2470" t="inlineStr">
        <is>
          <t>Bot tespit/zenginlestirme (2026-07-01); meta:score=15;priority=Low;source_type=html_link;closing_date=;equipment=Gas-related / review;reasons=equipment:Gas-related / review</t>
        </is>
      </c>
    </row>
    <row r="2471">
      <c r="A2471" t="inlineStr">
        <is>
          <t>T-2275</t>
        </is>
      </c>
      <c r="B2471" t="inlineStr">
        <is>
          <t>Bharat Petroleum (BPCL CGD)</t>
        </is>
      </c>
      <c r="C2471" t="inlineStr">
        <is>
          <t>Bharat Petroleum (BPCL CGD)</t>
        </is>
      </c>
      <c r="F2471" t="inlineStr">
        <is>
          <t>New Lead</t>
        </is>
      </c>
      <c r="G2471" t="inlineStr">
        <is>
          <t>Gas-related / review</t>
        </is>
      </c>
      <c r="H2471" t="inlineStr">
        <is>
          <t>Liquefied Natural Gas</t>
        </is>
      </c>
      <c r="K2471" t="inlineStr">
        <is>
          <t>Not found</t>
        </is>
      </c>
      <c r="L2471" t="inlineStr">
        <is>
          <t>Unknown</t>
        </is>
      </c>
      <c r="T2471" t="inlineStr">
        <is>
          <t>https://www.bharatpetroleum.in/Bharat-Petroleum-For/Our-Businesses/Gas/Liquefied-Natural-Gas.aspx</t>
        </is>
      </c>
      <c r="U2471" t="inlineStr">
        <is>
          <t>HTML</t>
        </is>
      </c>
      <c r="V2471" t="inlineStr">
        <is>
          <t>Bot tespit/zenginlestirme (2026-07-01); meta:score=15;priority=Low;source_type=html_link;closing_date=;equipment=Gas-related / review;reasons=equipment:Gas-related / review</t>
        </is>
      </c>
    </row>
    <row r="2472">
      <c r="A2472" t="inlineStr">
        <is>
          <t>T-2276</t>
        </is>
      </c>
      <c r="B2472" t="inlineStr">
        <is>
          <t>Bharat Petroleum (BPCL CGD)</t>
        </is>
      </c>
      <c r="C2472" t="inlineStr">
        <is>
          <t>Bharat Petroleum (BPCL CGD)</t>
        </is>
      </c>
      <c r="F2472" t="inlineStr">
        <is>
          <t>New Lead</t>
        </is>
      </c>
      <c r="G2472" t="inlineStr">
        <is>
          <t>Gas-related / review</t>
        </is>
      </c>
      <c r="H2472" t="inlineStr">
        <is>
          <t>Compressed Natural Gas</t>
        </is>
      </c>
      <c r="K2472" t="inlineStr">
        <is>
          <t>Not found</t>
        </is>
      </c>
      <c r="L2472" t="inlineStr">
        <is>
          <t>Unknown</t>
        </is>
      </c>
      <c r="T2472" t="inlineStr">
        <is>
          <t>https://www.bharatpetroleum.in/Bharat-Petroleum-For/Our-Businesses/Gas/Compressed-Natural-Gas.aspx</t>
        </is>
      </c>
      <c r="U2472" t="inlineStr">
        <is>
          <t>HTML</t>
        </is>
      </c>
      <c r="V2472" t="inlineStr">
        <is>
          <t>Bot tespit/zenginlestirme (2026-07-01); meta:score=15;priority=Low;source_type=html_link;closing_date=;equipment=Gas-related / review;reasons=equipment:Gas-related / review</t>
        </is>
      </c>
    </row>
    <row r="2473">
      <c r="A2473" t="inlineStr">
        <is>
          <t>T-2277</t>
        </is>
      </c>
      <c r="B2473" t="inlineStr">
        <is>
          <t>Bharat Petroleum (BPCL CGD)</t>
        </is>
      </c>
      <c r="C2473" t="inlineStr">
        <is>
          <t>Bharat Petroleum (BPCL CGD)</t>
        </is>
      </c>
      <c r="F2473" t="inlineStr">
        <is>
          <t>New Lead</t>
        </is>
      </c>
      <c r="G2473" t="inlineStr">
        <is>
          <t>Gas-related / review</t>
        </is>
      </c>
      <c r="H2473" t="inlineStr">
        <is>
          <t>BPCLs Gas Portfolio</t>
        </is>
      </c>
      <c r="K2473" t="inlineStr">
        <is>
          <t>Not found</t>
        </is>
      </c>
      <c r="L2473" t="inlineStr">
        <is>
          <t>Unknown</t>
        </is>
      </c>
      <c r="T2473" t="inlineStr">
        <is>
          <t>https://www.bharatpetroleum.in/Our-Businesses/Gas/BPCLs-Gas-Portfolio.aspx</t>
        </is>
      </c>
      <c r="U2473" t="inlineStr">
        <is>
          <t>HTML</t>
        </is>
      </c>
      <c r="V2473" t="inlineStr">
        <is>
          <t>Bot tespit/zenginlestirme (2026-07-01); meta:score=15;priority=Low;source_type=html_link;closing_date=;equipment=Gas-related / review;reasons=equipment:Gas-related / review</t>
        </is>
      </c>
    </row>
    <row r="2474">
      <c r="A2474" t="inlineStr">
        <is>
          <t>T-2278</t>
        </is>
      </c>
      <c r="B2474" t="inlineStr">
        <is>
          <t>Bharat Petroleum (BPCL CGD)</t>
        </is>
      </c>
      <c r="C2474" t="inlineStr">
        <is>
          <t>Bharat Petroleum (BPCL CGD)</t>
        </is>
      </c>
      <c r="F2474" t="inlineStr">
        <is>
          <t>New Lead</t>
        </is>
      </c>
      <c r="G2474" t="inlineStr">
        <is>
          <t>Gas-related / review</t>
        </is>
      </c>
      <c r="H2474" t="inlineStr">
        <is>
          <t>City Gas Distribution</t>
        </is>
      </c>
      <c r="K2474" t="inlineStr">
        <is>
          <t>Not found</t>
        </is>
      </c>
      <c r="L2474" t="inlineStr">
        <is>
          <t>Unknown</t>
        </is>
      </c>
      <c r="T2474" t="inlineStr">
        <is>
          <t>https://www.bharatpetroleum.in/Bharat-Petroleum-For/Our-Businesses/Gas/City-Gas-Distribution.aspx</t>
        </is>
      </c>
      <c r="U2474" t="inlineStr">
        <is>
          <t>HTML</t>
        </is>
      </c>
      <c r="V2474" t="inlineStr">
        <is>
          <t>Bot tespit/zenginlestirme (2026-07-01); meta:score=15;priority=Low;source_type=html_link;closing_date=;equipment=Gas-related / review;reasons=equipment:Gas-related / review</t>
        </is>
      </c>
    </row>
    <row r="2475">
      <c r="A2475" t="inlineStr">
        <is>
          <t>T-2279</t>
        </is>
      </c>
      <c r="B2475" t="inlineStr">
        <is>
          <t>Bharat Petroleum (BPCL CGD)</t>
        </is>
      </c>
      <c r="C2475" t="inlineStr">
        <is>
          <t>Bharat Petroleum (BPCL CGD)</t>
        </is>
      </c>
      <c r="F2475" t="inlineStr">
        <is>
          <t>New Lead</t>
        </is>
      </c>
      <c r="G2475" t="inlineStr">
        <is>
          <t>Gas-related / review</t>
        </is>
      </c>
      <c r="H2475" t="inlineStr">
        <is>
          <t>Natural Gas for your Industry</t>
        </is>
      </c>
      <c r="K2475" t="inlineStr">
        <is>
          <t>Not found</t>
        </is>
      </c>
      <c r="L2475" t="inlineStr">
        <is>
          <t>Unknown</t>
        </is>
      </c>
      <c r="T2475" t="inlineStr">
        <is>
          <t>https://www.bharatpetroleum.in/Bharat-Petroleum-For/Our-Businesses/Gas/Natural-Gas-for-your-Industry.aspx</t>
        </is>
      </c>
      <c r="U2475" t="inlineStr">
        <is>
          <t>HTML</t>
        </is>
      </c>
      <c r="V2475" t="inlineStr">
        <is>
          <t>Bot tespit/zenginlestirme (2026-07-01); meta:score=15;priority=Low;source_type=html_link;closing_date=;equipment=Gas-related / review;reasons=equipment:Gas-related / review</t>
        </is>
      </c>
    </row>
    <row r="2476">
      <c r="A2476" t="inlineStr">
        <is>
          <t>T-2280</t>
        </is>
      </c>
      <c r="B2476" t="inlineStr">
        <is>
          <t>Bharat Petroleum (BPCL CGD)</t>
        </is>
      </c>
      <c r="C2476" t="inlineStr">
        <is>
          <t>Bharat Petroleum (BPCL CGD)</t>
        </is>
      </c>
      <c r="F2476" t="inlineStr">
        <is>
          <t>New Lead</t>
        </is>
      </c>
      <c r="G2476" t="inlineStr">
        <is>
          <t>Gas-related / review</t>
        </is>
      </c>
      <c r="H2476" t="inlineStr">
        <is>
          <t>Joint Ventures</t>
        </is>
      </c>
      <c r="K2476" t="inlineStr">
        <is>
          <t>Not found</t>
        </is>
      </c>
      <c r="L2476" t="inlineStr">
        <is>
          <t>Unknown</t>
        </is>
      </c>
      <c r="T2476" t="inlineStr">
        <is>
          <t>https://www.bharatpetroleum.in/Bharat-Petroleum-For/Our-Businesses/Gas/Joint-Ventures.aspx</t>
        </is>
      </c>
      <c r="U2476" t="inlineStr">
        <is>
          <t>HTML</t>
        </is>
      </c>
      <c r="V2476" t="inlineStr">
        <is>
          <t>Bot tespit/zenginlestirme (2026-07-01); meta:score=15;priority=Low;source_type=html_link;closing_date=;equipment=Gas-related / review;reasons=equipment:Gas-related / review</t>
        </is>
      </c>
    </row>
    <row r="2477">
      <c r="A2477" t="inlineStr">
        <is>
          <t>T-2281</t>
        </is>
      </c>
      <c r="B2477" t="inlineStr">
        <is>
          <t>Bharat Petroleum (BPCL CGD)</t>
        </is>
      </c>
      <c r="C2477" t="inlineStr">
        <is>
          <t>Bharat Petroleum (BPCL CGD)</t>
        </is>
      </c>
      <c r="F2477" t="inlineStr">
        <is>
          <t>New Lead</t>
        </is>
      </c>
      <c r="G2477" t="inlineStr">
        <is>
          <t>Gas-related / review</t>
        </is>
      </c>
      <c r="H2477" t="inlineStr">
        <is>
          <t>Gas at BPCL</t>
        </is>
      </c>
      <c r="K2477" t="inlineStr">
        <is>
          <t>Not found</t>
        </is>
      </c>
      <c r="L2477" t="inlineStr">
        <is>
          <t>Unknown</t>
        </is>
      </c>
      <c r="T2477" t="inlineStr">
        <is>
          <t>https://www.bharatpetroleum.in/Bharat-Petroleum-For/Our-Businesses/Gas/Gas-at-BPCL.aspx</t>
        </is>
      </c>
      <c r="U2477" t="inlineStr">
        <is>
          <t>HTML</t>
        </is>
      </c>
      <c r="V2477" t="inlineStr">
        <is>
          <t>Bot tespit/zenginlestirme (2026-07-01); meta:score=15;priority=Low;source_type=html_link;closing_date=;equipment=Gas-related / review;reasons=equipment:Gas-related / review</t>
        </is>
      </c>
    </row>
    <row r="2478">
      <c r="A2478" t="inlineStr">
        <is>
          <t>T-2282</t>
        </is>
      </c>
      <c r="B2478" t="inlineStr">
        <is>
          <t>Bharat Petroleum (BPCL CGD)</t>
        </is>
      </c>
      <c r="C2478" t="inlineStr">
        <is>
          <t>Bharat Petroleum (BPCL CGD)</t>
        </is>
      </c>
      <c r="F2478" t="inlineStr">
        <is>
          <t>New Lead</t>
        </is>
      </c>
      <c r="G2478" t="inlineStr">
        <is>
          <t>Gas-related / review</t>
        </is>
      </c>
      <c r="H2478" t="inlineStr">
        <is>
          <t>Empanelment of LNG supplier</t>
        </is>
      </c>
      <c r="K2478" t="inlineStr">
        <is>
          <t>Not found</t>
        </is>
      </c>
      <c r="L2478" t="inlineStr">
        <is>
          <t>Unknown</t>
        </is>
      </c>
      <c r="T2478" t="inlineStr">
        <is>
          <t>https://www.bharatpetroleum.in/Bharat-Petroleum-For/Our-Businesses/Gas/Empanelment-of-LNG-supplier.aspx</t>
        </is>
      </c>
      <c r="U2478" t="inlineStr">
        <is>
          <t>HTML</t>
        </is>
      </c>
      <c r="V2478" t="inlineStr">
        <is>
          <t>Bot tespit/zenginlestirme (2026-07-01); meta:score=15;priority=Low;source_type=html_link;closing_date=;equipment=Gas-related / review;reasons=equipment:Gas-related / review</t>
        </is>
      </c>
    </row>
    <row r="2479">
      <c r="A2479" t="inlineStr">
        <is>
          <t>T-2283</t>
        </is>
      </c>
      <c r="B2479" t="inlineStr">
        <is>
          <t>Bharat Petroleum (BPCL CGD)</t>
        </is>
      </c>
      <c r="C2479" t="inlineStr">
        <is>
          <t>Bharat Petroleum (BPCL CGD)</t>
        </is>
      </c>
      <c r="F2479" t="inlineStr">
        <is>
          <t>New Lead</t>
        </is>
      </c>
      <c r="G2479" t="inlineStr">
        <is>
          <t>Gas-related / review</t>
        </is>
      </c>
      <c r="H2479" t="inlineStr">
        <is>
          <t>Notices and Advisory from PNGRB</t>
        </is>
      </c>
      <c r="K2479" t="inlineStr">
        <is>
          <t>Not found</t>
        </is>
      </c>
      <c r="L2479" t="inlineStr">
        <is>
          <t>Unknown</t>
        </is>
      </c>
      <c r="T2479" t="inlineStr">
        <is>
          <t>https://www.bharatpetroleum.in/Our-Businesses/Gas/Notices-and-Advisory-from-PNGRB.aspx</t>
        </is>
      </c>
      <c r="U2479" t="inlineStr">
        <is>
          <t>HTML</t>
        </is>
      </c>
      <c r="V2479" t="inlineStr">
        <is>
          <t>Bot tespit/zenginlestirme (2026-07-01); meta:score=15;priority=Low;source_type=html_link;closing_date=;equipment=Gas-related / review;reasons=equipment:Gas-related / review</t>
        </is>
      </c>
    </row>
    <row r="2480">
      <c r="A2480" t="inlineStr">
        <is>
          <t>T-2284</t>
        </is>
      </c>
      <c r="B2480" t="inlineStr">
        <is>
          <t>Bharat Petroleum (BPCL CGD)</t>
        </is>
      </c>
      <c r="C2480" t="inlineStr">
        <is>
          <t>Bharat Petroleum (BPCL CGD)</t>
        </is>
      </c>
      <c r="F2480" t="inlineStr">
        <is>
          <t>New Lead</t>
        </is>
      </c>
      <c r="G2480" t="inlineStr">
        <is>
          <t>Gas-related / review</t>
        </is>
      </c>
      <c r="H2480" t="inlineStr">
        <is>
          <t>​Help Document for Domestic Piped Natural Gas</t>
        </is>
      </c>
      <c r="K2480" t="inlineStr">
        <is>
          <t>Not found</t>
        </is>
      </c>
      <c r="L2480" t="inlineStr">
        <is>
          <t>Unknown</t>
        </is>
      </c>
      <c r="T2480" t="inlineStr">
        <is>
          <t>https://www.bharatpetroleum.in/Our-Businesses/Gas/Domestic-Piped-Natural-Gas.aspx</t>
        </is>
      </c>
      <c r="U2480" t="inlineStr">
        <is>
          <t>HTML</t>
        </is>
      </c>
      <c r="V2480" t="inlineStr">
        <is>
          <t>Bot tespit/zenginlestirme (2026-07-01); meta:score=15;priority=Low;source_type=html_link;closing_date=;equipment=Gas-related / review;reasons=equipment:Gas-related / review</t>
        </is>
      </c>
    </row>
    <row r="2481">
      <c r="A2481" t="inlineStr">
        <is>
          <t>T-2285</t>
        </is>
      </c>
      <c r="B2481" t="inlineStr">
        <is>
          <t>Bharat Petroleum (BPCL CGD)</t>
        </is>
      </c>
      <c r="C2481" t="inlineStr">
        <is>
          <t>Bharat Petroleum (BPCL CGD)</t>
        </is>
      </c>
      <c r="F2481" t="inlineStr">
        <is>
          <t>Awarded / Result</t>
        </is>
      </c>
      <c r="G2481" t="inlineStr">
        <is>
          <t>Unclassified</t>
        </is>
      </c>
      <c r="H2481" t="inlineStr">
        <is>
          <t>Awards and Recognition</t>
        </is>
      </c>
      <c r="K2481" t="inlineStr">
        <is>
          <t>Not found</t>
        </is>
      </c>
      <c r="L2481" t="inlineStr">
        <is>
          <t>Unknown</t>
        </is>
      </c>
      <c r="T2481" t="inlineStr">
        <is>
          <t>https://www.bharatpetroleum.in/Bharat-Petroleum-For/Refineries/Kochi-Refinery/Awards-and-Recognition.aspx</t>
        </is>
      </c>
      <c r="U2481" t="inlineStr">
        <is>
          <t>HTML</t>
        </is>
      </c>
      <c r="V2481" t="inlineStr">
        <is>
          <t>Bot tespit/zenginlestirme (2026-07-01); meta:score=15;priority=Low;source_type=html_link;closing_date=;equipment=Unclassified;reasons=tender reference signal</t>
        </is>
      </c>
    </row>
    <row r="2482">
      <c r="A2482" t="inlineStr">
        <is>
          <t>T-2286</t>
        </is>
      </c>
      <c r="B2482" t="inlineStr">
        <is>
          <t>Bharat Petroleum (BPCL CGD)</t>
        </is>
      </c>
      <c r="C2482" t="inlineStr">
        <is>
          <t>Bharat Petroleum (BPCL CGD)</t>
        </is>
      </c>
      <c r="F2482" t="inlineStr">
        <is>
          <t>Awarded / Result</t>
        </is>
      </c>
      <c r="G2482" t="inlineStr">
        <is>
          <t>Unclassified</t>
        </is>
      </c>
      <c r="H2482" t="inlineStr">
        <is>
          <t>Awards and Recognitions</t>
        </is>
      </c>
      <c r="K2482" t="inlineStr">
        <is>
          <t>Not found</t>
        </is>
      </c>
      <c r="L2482" t="inlineStr">
        <is>
          <t>Unknown</t>
        </is>
      </c>
      <c r="T2482" t="inlineStr">
        <is>
          <t>https://www.bharatpetroleum.in/Sustainability/Awards-and-Recognitions.aspx</t>
        </is>
      </c>
      <c r="U2482" t="inlineStr">
        <is>
          <t>HTML</t>
        </is>
      </c>
      <c r="V2482" t="inlineStr">
        <is>
          <t>Bot tespit/zenginlestirme (2026-07-01); meta:score=15;priority=Low;source_type=html_link;closing_date=;equipment=Unclassified;reasons=tender reference signal</t>
        </is>
      </c>
    </row>
    <row r="2483">
      <c r="A2483" t="inlineStr">
        <is>
          <t>T-2287</t>
        </is>
      </c>
      <c r="B2483" t="inlineStr">
        <is>
          <t>Bharat Petroleum (BPCL CGD)</t>
        </is>
      </c>
      <c r="C2483" t="inlineStr">
        <is>
          <t>Bharat Petroleum (BPCL CGD)</t>
        </is>
      </c>
      <c r="F2483" t="inlineStr">
        <is>
          <t>New Lead</t>
        </is>
      </c>
      <c r="G2483" t="inlineStr">
        <is>
          <t>Gas-related / review</t>
        </is>
      </c>
      <c r="H2483" t="inlineStr">
        <is>
          <t>Gas</t>
        </is>
      </c>
      <c r="K2483" t="inlineStr">
        <is>
          <t>Not found</t>
        </is>
      </c>
      <c r="L2483" t="inlineStr">
        <is>
          <t>Unknown</t>
        </is>
      </c>
      <c r="T2483" t="inlineStr">
        <is>
          <t>https://bharatpetroleum.in/our-businesses/gas.aspx</t>
        </is>
      </c>
      <c r="U2483" t="inlineStr">
        <is>
          <t>HTML</t>
        </is>
      </c>
      <c r="V2483" t="inlineStr">
        <is>
          <t>Bot tespit/zenginlestirme (2026-07-01); meta:score=15;priority=Low;source_type=html_link;closing_date=;equipment=Gas-related / review;reasons=equipment:Gas-related / review</t>
        </is>
      </c>
    </row>
    <row r="2484">
      <c r="A2484" t="inlineStr">
        <is>
          <t>T-2288</t>
        </is>
      </c>
      <c r="B2484" t="inlineStr">
        <is>
          <t>Bharat Petroleum (BPCL CGD)</t>
        </is>
      </c>
      <c r="C2484" t="inlineStr">
        <is>
          <t>Bharat Petroleum (BPCL CGD)</t>
        </is>
      </c>
      <c r="F2484" t="inlineStr">
        <is>
          <t>New Lead</t>
        </is>
      </c>
      <c r="G2484" t="inlineStr">
        <is>
          <t>Unclassified</t>
        </is>
      </c>
      <c r="H2484" t="inlineStr">
        <is>
          <t>Screen Reader</t>
        </is>
      </c>
      <c r="K2484" t="inlineStr">
        <is>
          <t>Not found</t>
        </is>
      </c>
      <c r="L2484" t="inlineStr">
        <is>
          <t>Unknown</t>
        </is>
      </c>
      <c r="T2484" t="inlineStr">
        <is>
          <t>https://bharatpetroleum.in/screen-reader-access.aspx</t>
        </is>
      </c>
      <c r="U2484" t="inlineStr">
        <is>
          <t>HTML</t>
        </is>
      </c>
      <c r="V2484" t="inlineStr">
        <is>
          <t>Bot tespit/zenginlestirme (2026-07-01); meta:score=;priority=Low;source_type=html_link;closing_date=;equipment=Unclassified;reasons=</t>
        </is>
      </c>
    </row>
    <row r="2485">
      <c r="A2485" t="inlineStr">
        <is>
          <t>T-2289</t>
        </is>
      </c>
      <c r="B2485" t="inlineStr">
        <is>
          <t>Bharat Petroleum (BPCL CGD)</t>
        </is>
      </c>
      <c r="C2485" t="inlineStr">
        <is>
          <t>Bharat Petroleum (BPCL CGD)</t>
        </is>
      </c>
      <c r="F2485" t="inlineStr">
        <is>
          <t>New Lead</t>
        </is>
      </c>
      <c r="G2485" t="inlineStr">
        <is>
          <t>Unclassified</t>
        </is>
      </c>
      <c r="H2485" t="inlineStr">
        <is>
          <t>BPCL GROUP</t>
        </is>
      </c>
      <c r="K2485" t="inlineStr">
        <is>
          <t>Not found</t>
        </is>
      </c>
      <c r="L2485" t="inlineStr">
        <is>
          <t>Unknown</t>
        </is>
      </c>
      <c r="T2485" t="inlineStr">
        <is>
          <t>https://bharatpetroleum.in/Our-Businesses/bpcl-group.aspx</t>
        </is>
      </c>
      <c r="U2485" t="inlineStr">
        <is>
          <t>HTML</t>
        </is>
      </c>
      <c r="V2485" t="inlineStr">
        <is>
          <t>Bot tespit/zenginlestirme (2026-07-01); meta:score=;priority=Low;source_type=html_link;closing_date=;equipment=Unclassified;reasons=</t>
        </is>
      </c>
    </row>
    <row r="2486">
      <c r="A2486" t="inlineStr">
        <is>
          <t>T-2290</t>
        </is>
      </c>
      <c r="B2486" t="inlineStr">
        <is>
          <t>Bharat Petroleum (BPCL CGD)</t>
        </is>
      </c>
      <c r="C2486" t="inlineStr">
        <is>
          <t>Bharat Petroleum (BPCL CGD)</t>
        </is>
      </c>
      <c r="F2486" t="inlineStr">
        <is>
          <t>New Lead</t>
        </is>
      </c>
      <c r="G2486" t="inlineStr">
        <is>
          <t>Unclassified</t>
        </is>
      </c>
      <c r="H2486" t="inlineStr">
        <is>
          <t>ebharatgas.com</t>
        </is>
      </c>
      <c r="K2486" t="inlineStr">
        <is>
          <t>Not found</t>
        </is>
      </c>
      <c r="L2486" t="inlineStr">
        <is>
          <t>Unknown</t>
        </is>
      </c>
      <c r="T2486" t="inlineStr">
        <is>
          <t>http://ebharatgas.com</t>
        </is>
      </c>
      <c r="U2486" t="inlineStr">
        <is>
          <t>HTML</t>
        </is>
      </c>
      <c r="V2486" t="inlineStr">
        <is>
          <t>Bot tespit/zenginlestirme (2026-07-01); meta:score=;priority=Low;source_type=html_link;closing_date=;equipment=Unclassified;reasons=</t>
        </is>
      </c>
    </row>
    <row r="2487">
      <c r="A2487" t="inlineStr">
        <is>
          <t>T-2291</t>
        </is>
      </c>
      <c r="B2487" t="inlineStr">
        <is>
          <t>Bharat Petroleum (BPCL CGD)</t>
        </is>
      </c>
      <c r="C2487" t="inlineStr">
        <is>
          <t>Bharat Petroleum (BPCL CGD)</t>
        </is>
      </c>
      <c r="F2487" t="inlineStr">
        <is>
          <t>New Lead</t>
        </is>
      </c>
      <c r="G2487" t="inlineStr">
        <is>
          <t>Unclassified</t>
        </is>
      </c>
      <c r="H2487" t="inlineStr">
        <is>
          <t>https://econnect.bpcl.in</t>
        </is>
      </c>
      <c r="K2487" t="inlineStr">
        <is>
          <t>Not found</t>
        </is>
      </c>
      <c r="L2487" t="inlineStr">
        <is>
          <t>Unknown</t>
        </is>
      </c>
      <c r="T2487" t="inlineStr">
        <is>
          <t>https://econnect.bpcl.in/</t>
        </is>
      </c>
      <c r="U2487" t="inlineStr">
        <is>
          <t>HTML</t>
        </is>
      </c>
      <c r="V2487" t="inlineStr">
        <is>
          <t>Bot tespit/zenginlestirme (2026-07-01); meta:score=;priority=Low;source_type=html_link;closing_date=;equipment=Unclassified;reasons=</t>
        </is>
      </c>
    </row>
    <row r="2488">
      <c r="A2488" t="inlineStr">
        <is>
          <t>T-2292</t>
        </is>
      </c>
      <c r="B2488" t="inlineStr">
        <is>
          <t>Bharat Petroleum (BPCL CGD)</t>
        </is>
      </c>
      <c r="C2488" t="inlineStr">
        <is>
          <t>Bharat Petroleum (BPCL CGD)</t>
        </is>
      </c>
      <c r="F2488" t="inlineStr">
        <is>
          <t>New Lead</t>
        </is>
      </c>
      <c r="G2488" t="inlineStr">
        <is>
          <t>Unclassified</t>
        </is>
      </c>
      <c r="H2488" t="inlineStr">
        <is>
          <t>mysmartfleet.com</t>
        </is>
      </c>
      <c r="K2488" t="inlineStr">
        <is>
          <t>Not found</t>
        </is>
      </c>
      <c r="L2488" t="inlineStr">
        <is>
          <t>Unknown</t>
        </is>
      </c>
      <c r="T2488" t="inlineStr">
        <is>
          <t>http://mysmartfleet.com</t>
        </is>
      </c>
      <c r="U2488" t="inlineStr">
        <is>
          <t>HTML</t>
        </is>
      </c>
      <c r="V2488" t="inlineStr">
        <is>
          <t>Bot tespit/zenginlestirme (2026-07-01); meta:score=;priority=Low;source_type=html_link;closing_date=;equipment=Unclassified;reasons=</t>
        </is>
      </c>
    </row>
    <row r="2489">
      <c r="A2489" t="inlineStr">
        <is>
          <t>T-2293</t>
        </is>
      </c>
      <c r="B2489" t="inlineStr">
        <is>
          <t>Bharat Petroleum (BPCL CGD)</t>
        </is>
      </c>
      <c r="C2489" t="inlineStr">
        <is>
          <t>Bharat Petroleum (BPCL CGD)</t>
        </is>
      </c>
      <c r="F2489" t="inlineStr">
        <is>
          <t>New Lead</t>
        </is>
      </c>
      <c r="G2489" t="inlineStr">
        <is>
          <t>Unclassified</t>
        </is>
      </c>
      <c r="H2489" t="inlineStr">
        <is>
          <t>petrobonus.com</t>
        </is>
      </c>
      <c r="K2489" t="inlineStr">
        <is>
          <t>Not found</t>
        </is>
      </c>
      <c r="L2489" t="inlineStr">
        <is>
          <t>Unknown</t>
        </is>
      </c>
      <c r="T2489" t="inlineStr">
        <is>
          <t>http://petrobonus.com/</t>
        </is>
      </c>
      <c r="U2489" t="inlineStr">
        <is>
          <t>HTML</t>
        </is>
      </c>
      <c r="V2489" t="inlineStr">
        <is>
          <t>Bot tespit/zenginlestirme (2026-07-01); meta:score=;priority=Low;source_type=html_link;closing_date=;equipment=Unclassified;reasons=</t>
        </is>
      </c>
    </row>
    <row r="2490">
      <c r="A2490" t="inlineStr">
        <is>
          <t>T-2294</t>
        </is>
      </c>
      <c r="B2490" t="inlineStr">
        <is>
          <t>Bharat Petroleum (BPCL CGD)</t>
        </is>
      </c>
      <c r="C2490" t="inlineStr">
        <is>
          <t>Bharat Petroleum (BPCL CGD)</t>
        </is>
      </c>
      <c r="F2490" t="inlineStr">
        <is>
          <t>New Lead</t>
        </is>
      </c>
      <c r="G2490" t="inlineStr">
        <is>
          <t>Unclassified</t>
        </is>
      </c>
      <c r="H2490" t="inlineStr">
        <is>
          <t>BPCL Startups</t>
        </is>
      </c>
      <c r="K2490" t="inlineStr">
        <is>
          <t>Not found</t>
        </is>
      </c>
      <c r="L2490" t="inlineStr">
        <is>
          <t>Unknown</t>
        </is>
      </c>
      <c r="T2490" t="inlineStr">
        <is>
          <t>https://startup.bpcl.in/</t>
        </is>
      </c>
      <c r="U2490" t="inlineStr">
        <is>
          <t>HTML</t>
        </is>
      </c>
      <c r="V2490" t="inlineStr">
        <is>
          <t>Bot tespit/zenginlestirme (2026-07-01); meta:score=;priority=Low;source_type=html_link;closing_date=;equipment=Unclassified;reasons=</t>
        </is>
      </c>
    </row>
    <row r="2491">
      <c r="A2491" t="inlineStr">
        <is>
          <t>T-2295</t>
        </is>
      </c>
      <c r="B2491" t="inlineStr">
        <is>
          <t>Bharat Petroleum (BPCL CGD)</t>
        </is>
      </c>
      <c r="C2491" t="inlineStr">
        <is>
          <t>Bharat Petroleum (BPCL CGD)</t>
        </is>
      </c>
      <c r="F2491" t="inlineStr">
        <is>
          <t>New Lead</t>
        </is>
      </c>
      <c r="G2491" t="inlineStr">
        <is>
          <t>Unclassified</t>
        </is>
      </c>
      <c r="H2491" t="inlineStr">
        <is>
          <t>bharatpetroresources.in</t>
        </is>
      </c>
      <c r="K2491" t="inlineStr">
        <is>
          <t>Not found</t>
        </is>
      </c>
      <c r="L2491" t="inlineStr">
        <is>
          <t>Unknown</t>
        </is>
      </c>
      <c r="T2491" t="inlineStr">
        <is>
          <t>https://bharatpetroresources.in/</t>
        </is>
      </c>
      <c r="U2491" t="inlineStr">
        <is>
          <t>HTML</t>
        </is>
      </c>
      <c r="V2491" t="inlineStr">
        <is>
          <t>Bot tespit/zenginlestirme (2026-07-01); meta:score=;priority=Low;source_type=html_link;closing_date=;equipment=Unclassified;reasons=</t>
        </is>
      </c>
    </row>
    <row r="2492">
      <c r="A2492" t="inlineStr">
        <is>
          <t>T-2296</t>
        </is>
      </c>
      <c r="B2492" t="inlineStr">
        <is>
          <t>Bharat Petroleum (BPCL CGD)</t>
        </is>
      </c>
      <c r="C2492" t="inlineStr">
        <is>
          <t>Bharat Petroleum (BPCL CGD)</t>
        </is>
      </c>
      <c r="F2492" t="inlineStr">
        <is>
          <t>New Lead</t>
        </is>
      </c>
      <c r="G2492" t="inlineStr">
        <is>
          <t>Unclassified</t>
        </is>
      </c>
      <c r="H2492" t="inlineStr">
        <is>
          <t>Customer Care</t>
        </is>
      </c>
      <c r="K2492" t="inlineStr">
        <is>
          <t>Not found</t>
        </is>
      </c>
      <c r="L2492" t="inlineStr">
        <is>
          <t>Unknown</t>
        </is>
      </c>
      <c r="T2492" t="inlineStr">
        <is>
          <t>https://bharatpetroleum.in/customer-care.aspx</t>
        </is>
      </c>
      <c r="U2492" t="inlineStr">
        <is>
          <t>HTML</t>
        </is>
      </c>
      <c r="V2492" t="inlineStr">
        <is>
          <t>Bot tespit/zenginlestirme (2026-07-01); meta:score=;priority=Low;source_type=html_link;closing_date=;equipment=Unclassified;reasons=</t>
        </is>
      </c>
    </row>
    <row r="2493">
      <c r="A2493" t="inlineStr">
        <is>
          <t>T-2297</t>
        </is>
      </c>
      <c r="B2493" t="inlineStr">
        <is>
          <t>Bharat Petroleum (BPCL CGD)</t>
        </is>
      </c>
      <c r="C2493" t="inlineStr">
        <is>
          <t>Bharat Petroleum (BPCL CGD)</t>
        </is>
      </c>
      <c r="F2493" t="inlineStr">
        <is>
          <t>New Lead</t>
        </is>
      </c>
      <c r="G2493" t="inlineStr">
        <is>
          <t>Unclassified</t>
        </is>
      </c>
      <c r="H2493" t="inlineStr">
        <is>
          <t>SmartLine</t>
        </is>
      </c>
      <c r="K2493" t="inlineStr">
        <is>
          <t>Not found</t>
        </is>
      </c>
      <c r="L2493" t="inlineStr">
        <is>
          <t>Unknown</t>
        </is>
      </c>
      <c r="T2493" t="inlineStr">
        <is>
          <t>https://bharatpetroleum.in/smartline.aspx</t>
        </is>
      </c>
      <c r="U2493" t="inlineStr">
        <is>
          <t>HTML</t>
        </is>
      </c>
      <c r="V2493" t="inlineStr">
        <is>
          <t>Bot tespit/zenginlestirme (2026-07-01); meta:score=;priority=Low;source_type=html_link;closing_date=;equipment=Unclassified;reasons=</t>
        </is>
      </c>
    </row>
    <row r="2494">
      <c r="A2494" t="inlineStr">
        <is>
          <t>T-2298</t>
        </is>
      </c>
      <c r="B2494" t="inlineStr">
        <is>
          <t>Bharat Petroleum (BPCL CGD)</t>
        </is>
      </c>
      <c r="C2494" t="inlineStr">
        <is>
          <t>Bharat Petroleum (BPCL CGD)</t>
        </is>
      </c>
      <c r="F2494" t="inlineStr">
        <is>
          <t>New Lead</t>
        </is>
      </c>
      <c r="G2494" t="inlineStr">
        <is>
          <t>Unclassified</t>
        </is>
      </c>
      <c r="H2494" t="inlineStr">
        <is>
          <t>Locate Us</t>
        </is>
      </c>
      <c r="K2494" t="inlineStr">
        <is>
          <t>Not found</t>
        </is>
      </c>
      <c r="L2494" t="inlineStr">
        <is>
          <t>Unknown</t>
        </is>
      </c>
      <c r="T2494" t="inlineStr">
        <is>
          <t>https://www.mysmartfleet.com/en-us/SitePages/LocateUs.aspx</t>
        </is>
      </c>
      <c r="U2494" t="inlineStr">
        <is>
          <t>HTML</t>
        </is>
      </c>
      <c r="V2494" t="inlineStr">
        <is>
          <t>Bot tespit/zenginlestirme (2026-07-01); meta:score=;priority=Low;source_type=html_link;closing_date=;equipment=Unclassified;reasons=</t>
        </is>
      </c>
    </row>
    <row r="2495">
      <c r="A2495" t="inlineStr">
        <is>
          <t>T-2299</t>
        </is>
      </c>
      <c r="B2495" t="inlineStr">
        <is>
          <t>Bharat Petroleum (BPCL CGD)</t>
        </is>
      </c>
      <c r="C2495" t="inlineStr">
        <is>
          <t>Bharat Petroleum (BPCL CGD)</t>
        </is>
      </c>
      <c r="F2495" t="inlineStr">
        <is>
          <t>New Lead</t>
        </is>
      </c>
      <c r="G2495" t="inlineStr">
        <is>
          <t>Unclassified</t>
        </is>
      </c>
      <c r="H2495" t="inlineStr">
        <is>
          <t>https://www.instagram.com/bpclimited/</t>
        </is>
      </c>
      <c r="K2495" t="inlineStr">
        <is>
          <t>Not found</t>
        </is>
      </c>
      <c r="L2495" t="inlineStr">
        <is>
          <t>Unknown</t>
        </is>
      </c>
      <c r="T2495" t="inlineStr">
        <is>
          <t>https://www.instagram.com/bpclimited/</t>
        </is>
      </c>
      <c r="U2495" t="inlineStr">
        <is>
          <t>HTML</t>
        </is>
      </c>
      <c r="V2495" t="inlineStr">
        <is>
          <t>Bot tespit/zenginlestirme (2026-07-01); meta:score=;priority=Low;source_type=html_link;closing_date=;equipment=Unclassified;reasons=</t>
        </is>
      </c>
    </row>
    <row r="2496">
      <c r="A2496" t="inlineStr">
        <is>
          <t>T-2300</t>
        </is>
      </c>
      <c r="B2496" t="inlineStr">
        <is>
          <t>Bharat Petroleum (BPCL CGD)</t>
        </is>
      </c>
      <c r="C2496" t="inlineStr">
        <is>
          <t>Bharat Petroleum (BPCL CGD)</t>
        </is>
      </c>
      <c r="F2496" t="inlineStr">
        <is>
          <t>New Lead</t>
        </is>
      </c>
      <c r="G2496" t="inlineStr">
        <is>
          <t>Unclassified</t>
        </is>
      </c>
      <c r="H2496" t="inlineStr">
        <is>
          <t>tel:1906</t>
        </is>
      </c>
      <c r="K2496" t="inlineStr">
        <is>
          <t>Not found</t>
        </is>
      </c>
      <c r="L2496" t="inlineStr">
        <is>
          <t>Unknown</t>
        </is>
      </c>
      <c r="T2496" t="inlineStr">
        <is>
          <t>tel:1906</t>
        </is>
      </c>
      <c r="U2496" t="inlineStr">
        <is>
          <t>HTML</t>
        </is>
      </c>
      <c r="V2496" t="inlineStr">
        <is>
          <t>Bot tespit/zenginlestirme (2026-07-01); meta:score=;priority=Low;source_type=html_link;closing_date=;equipment=Unclassified;reasons=</t>
        </is>
      </c>
    </row>
    <row r="2497">
      <c r="A2497" t="inlineStr">
        <is>
          <t>T-2301</t>
        </is>
      </c>
      <c r="B2497" t="inlineStr">
        <is>
          <t>Bharat Petroleum (BPCL CGD)</t>
        </is>
      </c>
      <c r="C2497" t="inlineStr">
        <is>
          <t>Bharat Petroleum (BPCL CGD)</t>
        </is>
      </c>
      <c r="F2497" t="inlineStr">
        <is>
          <t>New Lead</t>
        </is>
      </c>
      <c r="G2497" t="inlineStr">
        <is>
          <t>Unclassified</t>
        </is>
      </c>
      <c r="H2497" t="inlineStr">
        <is>
          <t>Home</t>
        </is>
      </c>
      <c r="K2497" t="inlineStr">
        <is>
          <t>Not found</t>
        </is>
      </c>
      <c r="L2497" t="inlineStr">
        <is>
          <t>Unknown</t>
        </is>
      </c>
      <c r="T2497" t="inlineStr">
        <is>
          <t>https://www.bharatpetroleum.in/</t>
        </is>
      </c>
      <c r="U2497" t="inlineStr">
        <is>
          <t>HTML</t>
        </is>
      </c>
      <c r="V2497" t="inlineStr">
        <is>
          <t>Bot tespit/zenginlestirme (2026-07-01); meta:score=;priority=Low;source_type=html_link;closing_date=;equipment=Unclassified;reasons=</t>
        </is>
      </c>
    </row>
    <row r="2498">
      <c r="A2498" t="inlineStr">
        <is>
          <t>T-2302</t>
        </is>
      </c>
      <c r="B2498" t="inlineStr">
        <is>
          <t>Bharat Petroleum (BPCL CGD)</t>
        </is>
      </c>
      <c r="C2498" t="inlineStr">
        <is>
          <t>Bharat Petroleum (BPCL CGD)</t>
        </is>
      </c>
      <c r="F2498" t="inlineStr">
        <is>
          <t>New Lead</t>
        </is>
      </c>
      <c r="G2498" t="inlineStr">
        <is>
          <t>Unclassified</t>
        </is>
      </c>
      <c r="H2498" t="inlineStr">
        <is>
          <t>About BPCL Our Journey Board of Directors Vision and Values Awards and Accolades Our Policies Audit BPCL Infoline Ministry Updates Journals Video Gallery Media Kit Organisational Chart</t>
        </is>
      </c>
      <c r="K2498" t="inlineStr">
        <is>
          <t>Not found</t>
        </is>
      </c>
      <c r="L2498" t="inlineStr">
        <is>
          <t>Unknown</t>
        </is>
      </c>
      <c r="T2498" t="inlineStr">
        <is>
          <t>https://www.bharatpetroleum.in/about-bpcl/our-journey.aspx</t>
        </is>
      </c>
      <c r="U2498" t="inlineStr">
        <is>
          <t>HTML</t>
        </is>
      </c>
      <c r="V2498" t="inlineStr">
        <is>
          <t>Bot tespit/zenginlestirme (2026-07-01); meta:score=;priority=Low;source_type=html_table;closing_date=;equipment=Unclassified;reasons=</t>
        </is>
      </c>
    </row>
    <row r="2499">
      <c r="A2499" t="inlineStr">
        <is>
          <t>T-2303</t>
        </is>
      </c>
      <c r="B2499" t="inlineStr">
        <is>
          <t>Bharat Petroleum (BPCL CGD)</t>
        </is>
      </c>
      <c r="C2499" t="inlineStr">
        <is>
          <t>Bharat Petroleum (BPCL CGD)</t>
        </is>
      </c>
      <c r="F2499" t="inlineStr">
        <is>
          <t>New Lead</t>
        </is>
      </c>
      <c r="G2499" t="inlineStr">
        <is>
          <t>Unclassified</t>
        </is>
      </c>
      <c r="H2499" t="inlineStr">
        <is>
          <t>Board of Directors</t>
        </is>
      </c>
      <c r="K2499" t="inlineStr">
        <is>
          <t>Not found</t>
        </is>
      </c>
      <c r="L2499" t="inlineStr">
        <is>
          <t>Unknown</t>
        </is>
      </c>
      <c r="T2499" t="inlineStr">
        <is>
          <t>https://www.bharatpetroleum.in/about-bpcl/board-of-directors.aspx</t>
        </is>
      </c>
      <c r="U2499" t="inlineStr">
        <is>
          <t>HTML</t>
        </is>
      </c>
      <c r="V2499" t="inlineStr">
        <is>
          <t>Bot tespit/zenginlestirme (2026-07-01); meta:score=;priority=Low;source_type=html_link;closing_date=;equipment=Unclassified;reasons=</t>
        </is>
      </c>
    </row>
    <row r="2500">
      <c r="A2500" t="inlineStr">
        <is>
          <t>T-2304</t>
        </is>
      </c>
      <c r="B2500" t="inlineStr">
        <is>
          <t>Bharat Petroleum (BPCL CGD)</t>
        </is>
      </c>
      <c r="C2500" t="inlineStr">
        <is>
          <t>Bharat Petroleum (BPCL CGD)</t>
        </is>
      </c>
      <c r="F2500" t="inlineStr">
        <is>
          <t>New Lead</t>
        </is>
      </c>
      <c r="G2500" t="inlineStr">
        <is>
          <t>Unclassified</t>
        </is>
      </c>
      <c r="H2500" t="inlineStr">
        <is>
          <t>Vision and Values</t>
        </is>
      </c>
      <c r="K2500" t="inlineStr">
        <is>
          <t>Not found</t>
        </is>
      </c>
      <c r="L2500" t="inlineStr">
        <is>
          <t>Unknown</t>
        </is>
      </c>
      <c r="T2500" t="inlineStr">
        <is>
          <t>https://www.bharatpetroleum.in/about-bpcl/vision-and-values.aspx</t>
        </is>
      </c>
      <c r="U2500" t="inlineStr">
        <is>
          <t>HTML</t>
        </is>
      </c>
      <c r="V2500" t="inlineStr">
        <is>
          <t>Bot tespit/zenginlestirme (2026-07-01); meta:score=;priority=Low;source_type=html_link;closing_date=;equipment=Unclassified;reasons=</t>
        </is>
      </c>
    </row>
    <row r="2501">
      <c r="A2501" t="inlineStr">
        <is>
          <t>T-2305</t>
        </is>
      </c>
      <c r="B2501" t="inlineStr">
        <is>
          <t>Bharat Petroleum (BPCL CGD)</t>
        </is>
      </c>
      <c r="C2501" t="inlineStr">
        <is>
          <t>Bharat Petroleum (BPCL CGD)</t>
        </is>
      </c>
      <c r="F2501" t="inlineStr">
        <is>
          <t>Awarded / Result</t>
        </is>
      </c>
      <c r="G2501" t="inlineStr">
        <is>
          <t>Unclassified</t>
        </is>
      </c>
      <c r="H2501" t="inlineStr">
        <is>
          <t>Awards and Accolades</t>
        </is>
      </c>
      <c r="K2501" t="inlineStr">
        <is>
          <t>Not found</t>
        </is>
      </c>
      <c r="L2501" t="inlineStr">
        <is>
          <t>Unknown</t>
        </is>
      </c>
      <c r="T2501" t="inlineStr">
        <is>
          <t>https://www.bharatpetroleum.in/about-bpcl/awards-and-accolades.aspx</t>
        </is>
      </c>
      <c r="U2501" t="inlineStr">
        <is>
          <t>HTML</t>
        </is>
      </c>
      <c r="V2501" t="inlineStr">
        <is>
          <t>Bot tespit/zenginlestirme (2026-07-01); meta:score=;priority=Low;source_type=html_link;closing_date=;equipment=Unclassified;reasons=</t>
        </is>
      </c>
    </row>
    <row r="2502">
      <c r="A2502" t="inlineStr">
        <is>
          <t>T-2306</t>
        </is>
      </c>
      <c r="B2502" t="inlineStr">
        <is>
          <t>Bharat Petroleum (BPCL CGD)</t>
        </is>
      </c>
      <c r="C2502" t="inlineStr">
        <is>
          <t>Bharat Petroleum (BPCL CGD)</t>
        </is>
      </c>
      <c r="F2502" t="inlineStr">
        <is>
          <t>New Lead</t>
        </is>
      </c>
      <c r="G2502" t="inlineStr">
        <is>
          <t>Unclassified</t>
        </is>
      </c>
      <c r="H2502" t="inlineStr">
        <is>
          <t>Our Policies</t>
        </is>
      </c>
      <c r="K2502" t="inlineStr">
        <is>
          <t>Not found</t>
        </is>
      </c>
      <c r="L2502" t="inlineStr">
        <is>
          <t>Unknown</t>
        </is>
      </c>
      <c r="T2502" t="inlineStr">
        <is>
          <t>https://www.bharatpetroleum.in/about-bpcl/our-policies.aspx</t>
        </is>
      </c>
      <c r="U2502" t="inlineStr">
        <is>
          <t>HTML</t>
        </is>
      </c>
      <c r="V2502" t="inlineStr">
        <is>
          <t>Bot tespit/zenginlestirme (2026-07-01); meta:score=;priority=Low;source_type=html_link;closing_date=;equipment=Unclassified;reasons=</t>
        </is>
      </c>
    </row>
    <row r="2503">
      <c r="A2503" t="inlineStr">
        <is>
          <t>T-2307</t>
        </is>
      </c>
      <c r="B2503" t="inlineStr">
        <is>
          <t>Bharat Petroleum (BPCL CGD)</t>
        </is>
      </c>
      <c r="C2503" t="inlineStr">
        <is>
          <t>Bharat Petroleum (BPCL CGD)</t>
        </is>
      </c>
      <c r="F2503" t="inlineStr">
        <is>
          <t>New Lead</t>
        </is>
      </c>
      <c r="G2503" t="inlineStr">
        <is>
          <t>Unclassified</t>
        </is>
      </c>
      <c r="H2503" t="inlineStr">
        <is>
          <t>Audit</t>
        </is>
      </c>
      <c r="K2503" t="inlineStr">
        <is>
          <t>Not found</t>
        </is>
      </c>
      <c r="L2503" t="inlineStr">
        <is>
          <t>Unknown</t>
        </is>
      </c>
      <c r="T2503" t="inlineStr">
        <is>
          <t>https://www.bharatpetroleum.in/about-bpcl/audit.aspx</t>
        </is>
      </c>
      <c r="U2503" t="inlineStr">
        <is>
          <t>HTML</t>
        </is>
      </c>
      <c r="V2503" t="inlineStr">
        <is>
          <t>Bot tespit/zenginlestirme (2026-07-01); meta:score=;priority=Low;source_type=html_link;closing_date=;equipment=Unclassified;reasons=</t>
        </is>
      </c>
    </row>
    <row r="2504">
      <c r="A2504" t="inlineStr">
        <is>
          <t>T-2308</t>
        </is>
      </c>
      <c r="B2504" t="inlineStr">
        <is>
          <t>Bharat Petroleum (BPCL CGD)</t>
        </is>
      </c>
      <c r="C2504" t="inlineStr">
        <is>
          <t>Bharat Petroleum (BPCL CGD)</t>
        </is>
      </c>
      <c r="F2504" t="inlineStr">
        <is>
          <t>New Lead</t>
        </is>
      </c>
      <c r="G2504" t="inlineStr">
        <is>
          <t>Unclassified</t>
        </is>
      </c>
      <c r="H2504" t="inlineStr">
        <is>
          <t>BPCL Infoline</t>
        </is>
      </c>
      <c r="K2504" t="inlineStr">
        <is>
          <t>Not found</t>
        </is>
      </c>
      <c r="L2504" t="inlineStr">
        <is>
          <t>Unknown</t>
        </is>
      </c>
      <c r="T2504" t="inlineStr">
        <is>
          <t>https://www.bharatpetroleum.in/bpcl-infoline-all.aspx</t>
        </is>
      </c>
      <c r="U2504" t="inlineStr">
        <is>
          <t>HTML</t>
        </is>
      </c>
      <c r="V2504" t="inlineStr">
        <is>
          <t>Bot tespit/zenginlestirme (2026-07-01); meta:score=;priority=Low;source_type=html_link;closing_date=;equipment=Unclassified;reasons=</t>
        </is>
      </c>
    </row>
    <row r="2505">
      <c r="A2505" t="inlineStr">
        <is>
          <t>T-2309</t>
        </is>
      </c>
      <c r="B2505" t="inlineStr">
        <is>
          <t>Bharat Petroleum (BPCL CGD)</t>
        </is>
      </c>
      <c r="C2505" t="inlineStr">
        <is>
          <t>Bharat Petroleum (BPCL CGD)</t>
        </is>
      </c>
      <c r="F2505" t="inlineStr">
        <is>
          <t>New Lead</t>
        </is>
      </c>
      <c r="G2505" t="inlineStr">
        <is>
          <t>Unclassified</t>
        </is>
      </c>
      <c r="H2505" t="inlineStr">
        <is>
          <t>Ministry Updates</t>
        </is>
      </c>
      <c r="K2505" t="inlineStr">
        <is>
          <t>Not found</t>
        </is>
      </c>
      <c r="L2505" t="inlineStr">
        <is>
          <t>Unknown</t>
        </is>
      </c>
      <c r="T2505" t="inlineStr">
        <is>
          <t>https://www.bharatpetroleum.in/About-BPCL/Ministry-Updates.aspx</t>
        </is>
      </c>
      <c r="U2505" t="inlineStr">
        <is>
          <t>HTML</t>
        </is>
      </c>
      <c r="V2505" t="inlineStr">
        <is>
          <t>Bot tespit/zenginlestirme (2026-07-01); meta:score=;priority=Low;source_type=html_link;closing_date=;equipment=Unclassified;reasons=</t>
        </is>
      </c>
    </row>
    <row r="2506">
      <c r="A2506" t="inlineStr">
        <is>
          <t>T-2310</t>
        </is>
      </c>
      <c r="B2506" t="inlineStr">
        <is>
          <t>Bharat Petroleum (BPCL CGD)</t>
        </is>
      </c>
      <c r="C2506" t="inlineStr">
        <is>
          <t>Bharat Petroleum (BPCL CGD)</t>
        </is>
      </c>
      <c r="F2506" t="inlineStr">
        <is>
          <t>New Lead</t>
        </is>
      </c>
      <c r="G2506" t="inlineStr">
        <is>
          <t>Unclassified</t>
        </is>
      </c>
      <c r="H2506" t="inlineStr">
        <is>
          <t>Journals</t>
        </is>
      </c>
      <c r="K2506" t="inlineStr">
        <is>
          <t>Not found</t>
        </is>
      </c>
      <c r="L2506" t="inlineStr">
        <is>
          <t>Unknown</t>
        </is>
      </c>
      <c r="T2506" t="inlineStr">
        <is>
          <t>https://www.bharatpetroleum.in/BPCL-Journals-All.aspx</t>
        </is>
      </c>
      <c r="U2506" t="inlineStr">
        <is>
          <t>HTML</t>
        </is>
      </c>
      <c r="V2506" t="inlineStr">
        <is>
          <t>Bot tespit/zenginlestirme (2026-07-01); meta:score=;priority=Low;source_type=html_link;closing_date=;equipment=Unclassified;reasons=</t>
        </is>
      </c>
    </row>
    <row r="2507">
      <c r="A2507" t="inlineStr">
        <is>
          <t>T-2311</t>
        </is>
      </c>
      <c r="B2507" t="inlineStr">
        <is>
          <t>Bharat Petroleum (BPCL CGD)</t>
        </is>
      </c>
      <c r="C2507" t="inlineStr">
        <is>
          <t>Bharat Petroleum (BPCL CGD)</t>
        </is>
      </c>
      <c r="F2507" t="inlineStr">
        <is>
          <t>New Lead</t>
        </is>
      </c>
      <c r="G2507" t="inlineStr">
        <is>
          <t>Unclassified</t>
        </is>
      </c>
      <c r="H2507" t="inlineStr">
        <is>
          <t>Video Gallery</t>
        </is>
      </c>
      <c r="K2507" t="inlineStr">
        <is>
          <t>Not found</t>
        </is>
      </c>
      <c r="L2507" t="inlineStr">
        <is>
          <t>Unknown</t>
        </is>
      </c>
      <c r="T2507" t="inlineStr">
        <is>
          <t>https://www.bharatpetroleum.in/about-bpcl/video-gallery.aspx</t>
        </is>
      </c>
      <c r="U2507" t="inlineStr">
        <is>
          <t>HTML</t>
        </is>
      </c>
      <c r="V2507" t="inlineStr">
        <is>
          <t>Bot tespit/zenginlestirme (2026-07-01); meta:score=;priority=Low;source_type=html_link;closing_date=;equipment=Unclassified;reasons=</t>
        </is>
      </c>
    </row>
    <row r="2508">
      <c r="A2508" t="inlineStr">
        <is>
          <t>T-2312</t>
        </is>
      </c>
      <c r="B2508" t="inlineStr">
        <is>
          <t>Bharat Petroleum (BPCL CGD)</t>
        </is>
      </c>
      <c r="C2508" t="inlineStr">
        <is>
          <t>Bharat Petroleum (BPCL CGD)</t>
        </is>
      </c>
      <c r="F2508" t="inlineStr">
        <is>
          <t>New Lead</t>
        </is>
      </c>
      <c r="G2508" t="inlineStr">
        <is>
          <t>Unclassified</t>
        </is>
      </c>
      <c r="H2508" t="inlineStr">
        <is>
          <t>Media Kit</t>
        </is>
      </c>
      <c r="K2508" t="inlineStr">
        <is>
          <t>Not found</t>
        </is>
      </c>
      <c r="L2508" t="inlineStr">
        <is>
          <t>Unknown</t>
        </is>
      </c>
      <c r="T2508" t="inlineStr">
        <is>
          <t>https://www.bharatpetroleum.in/About-BPCL/Media-Kit.aspx</t>
        </is>
      </c>
      <c r="U2508" t="inlineStr">
        <is>
          <t>HTML</t>
        </is>
      </c>
      <c r="V2508" t="inlineStr">
        <is>
          <t>Bot tespit/zenginlestirme (2026-07-01); meta:score=;priority=Low;source_type=html_link;closing_date=;equipment=Unclassified;reasons=</t>
        </is>
      </c>
    </row>
    <row r="2509">
      <c r="A2509" t="inlineStr">
        <is>
          <t>T-2313</t>
        </is>
      </c>
      <c r="B2509" t="inlineStr">
        <is>
          <t>Bharat Petroleum (BPCL CGD)</t>
        </is>
      </c>
      <c r="C2509" t="inlineStr">
        <is>
          <t>Bharat Petroleum (BPCL CGD)</t>
        </is>
      </c>
      <c r="F2509" t="inlineStr">
        <is>
          <t>New Lead</t>
        </is>
      </c>
      <c r="G2509" t="inlineStr">
        <is>
          <t>Unclassified</t>
        </is>
      </c>
      <c r="H2509" t="inlineStr">
        <is>
          <t>Organisational Chart</t>
        </is>
      </c>
      <c r="K2509" t="inlineStr">
        <is>
          <t>Not found</t>
        </is>
      </c>
      <c r="L2509" t="inlineStr">
        <is>
          <t>Unknown</t>
        </is>
      </c>
      <c r="T2509" t="inlineStr">
        <is>
          <t>https://www.bharatpetroleum.in/About-BPCL/Organisational-Chart.aspx</t>
        </is>
      </c>
      <c r="U2509" t="inlineStr">
        <is>
          <t>HTML</t>
        </is>
      </c>
      <c r="V2509" t="inlineStr">
        <is>
          <t>Bot tespit/zenginlestirme (2026-07-01); meta:score=;priority=Low;source_type=html_link;closing_date=;equipment=Unclassified;reasons=</t>
        </is>
      </c>
    </row>
    <row r="2510">
      <c r="A2510" t="inlineStr">
        <is>
          <t>T-2314</t>
        </is>
      </c>
      <c r="B2510" t="inlineStr">
        <is>
          <t>Bharat Petroleum (BPCL CGD)</t>
        </is>
      </c>
      <c r="C2510" t="inlineStr">
        <is>
          <t>Bharat Petroleum (BPCL CGD)</t>
        </is>
      </c>
      <c r="F2510" t="inlineStr">
        <is>
          <t>New Lead</t>
        </is>
      </c>
      <c r="G2510" t="inlineStr">
        <is>
          <t>Irrelevant / non-target</t>
        </is>
      </c>
      <c r="H2510" t="inlineStr">
        <is>
          <t>Our Businesses Fuels and Services Pure For Sure SmartFleet Speed Fuels Speed 97 UFill PetroCard BPCL SBI Card SmartDrive Door to Door Delivery Beyond Fuels MAK Quik Ghar Biofuels Petro Prices Retail Outlet List Marketing Discipline Guidelines BeCafe eDrive Bharatgas Our Journey Domestic Commercial Bharat Metal Cutting Gas Bharatgas Mini My Bharatgas Become A Distributor MAK Lubricants About MAK Lubricants Automobile Lubricants Industrial Lubricants R and D Centre MAK QOC Centre Infrastructure MAK Connect Partner with MAK Proficiency Testing Joint Ventures MAK Lubricant Solutions MAK SERVE Aviation Services About Aviation Products Services Joint Ventures Gas Natural Gas Liquefied Natural Gas Compressed Natural Gas BPCLs Gas Portfolio City Gas Distribution Natural Gas for your Industry Joint Ventures Gas at BPCL Empanelment of LNG supplier Notices and Advisory from PNGRB ​Help Document for Domestic Piped Natural Gas Industrial and Commercial Industrial Fuel LPG Bitumens Solvent White-Oil</t>
        </is>
      </c>
      <c r="K2510" t="inlineStr">
        <is>
          <t>Not found</t>
        </is>
      </c>
      <c r="L2510" t="inlineStr">
        <is>
          <t>Unknown</t>
        </is>
      </c>
      <c r="T2510" t="inlineStr">
        <is>
          <t>https://www.bharatpetroleum.in/Bharat-Petroleum-For/Our-Businesses.aspx</t>
        </is>
      </c>
      <c r="U2510" t="inlineStr">
        <is>
          <t>HTML</t>
        </is>
      </c>
      <c r="V2510" t="inlineStr">
        <is>
          <t>Bot tespit/zenginlestirme (2026-07-01); meta:score=;priority=Low;source_type=html_table;closing_date=;equipment=Irrelevant / non-target;reasons=irrelevant_equipment</t>
        </is>
      </c>
    </row>
    <row r="2511">
      <c r="A2511" t="inlineStr">
        <is>
          <t>T-2315</t>
        </is>
      </c>
      <c r="B2511" t="inlineStr">
        <is>
          <t>Bharat Petroleum (BPCL CGD)</t>
        </is>
      </c>
      <c r="C2511" t="inlineStr">
        <is>
          <t>Bharat Petroleum (BPCL CGD)</t>
        </is>
      </c>
      <c r="F2511" t="inlineStr">
        <is>
          <t>New Lead</t>
        </is>
      </c>
      <c r="G2511" t="inlineStr">
        <is>
          <t>Unclassified</t>
        </is>
      </c>
      <c r="H2511" t="inlineStr">
        <is>
          <t>Fuels and Services Pure For Sure SmartFleet Speed Fuels Speed 97 UFill PetroCard BPCL SBI Card SmartDrive Door to Door Delivery Beyond Fuels MAK Quik Ghar Biofuels Petro Prices Retail Outlet List Marketing Discipline Guidelines BeCafe eDrive</t>
        </is>
      </c>
      <c r="K2511" t="inlineStr">
        <is>
          <t>Not found</t>
        </is>
      </c>
      <c r="L2511" t="inlineStr">
        <is>
          <t>Unknown</t>
        </is>
      </c>
      <c r="T2511" t="inlineStr">
        <is>
          <t>https://www.bharatpetroleum.in/Bharat-Petroleum-For/Our-Businesses/Fuels-and-Services.aspx</t>
        </is>
      </c>
      <c r="U2511" t="inlineStr">
        <is>
          <t>HTML</t>
        </is>
      </c>
      <c r="V2511" t="inlineStr">
        <is>
          <t>Bot tespit/zenginlestirme (2026-07-01); meta:score=;priority=Low;source_type=html_table;closing_date=;equipment=Unclassified;reasons=</t>
        </is>
      </c>
    </row>
    <row r="2512">
      <c r="A2512" t="inlineStr">
        <is>
          <t>T-2316</t>
        </is>
      </c>
      <c r="B2512" t="inlineStr">
        <is>
          <t>Bharat Petroleum (BPCL CGD)</t>
        </is>
      </c>
      <c r="C2512" t="inlineStr">
        <is>
          <t>Bharat Petroleum (BPCL CGD)</t>
        </is>
      </c>
      <c r="F2512" t="inlineStr">
        <is>
          <t>New Lead</t>
        </is>
      </c>
      <c r="G2512" t="inlineStr">
        <is>
          <t>Unclassified</t>
        </is>
      </c>
      <c r="H2512" t="inlineStr">
        <is>
          <t>Pure For Sure</t>
        </is>
      </c>
      <c r="K2512" t="inlineStr">
        <is>
          <t>Not found</t>
        </is>
      </c>
      <c r="L2512" t="inlineStr">
        <is>
          <t>Unknown</t>
        </is>
      </c>
      <c r="T2512" t="inlineStr">
        <is>
          <t>https://www.bharatpetroleum.in/Bharat-Petroleum-For/Our-Businesses/Fuels-and-Services/Pure-For-Sure.aspx</t>
        </is>
      </c>
      <c r="U2512" t="inlineStr">
        <is>
          <t>HTML</t>
        </is>
      </c>
      <c r="V2512" t="inlineStr">
        <is>
          <t>Bot tespit/zenginlestirme (2026-07-01); meta:score=;priority=Low;source_type=html_link;closing_date=;equipment=Unclassified;reasons=</t>
        </is>
      </c>
    </row>
    <row r="2513">
      <c r="A2513" t="inlineStr">
        <is>
          <t>T-2317</t>
        </is>
      </c>
      <c r="B2513" t="inlineStr">
        <is>
          <t>Bharat Petroleum (BPCL CGD)</t>
        </is>
      </c>
      <c r="C2513" t="inlineStr">
        <is>
          <t>Bharat Petroleum (BPCL CGD)</t>
        </is>
      </c>
      <c r="F2513" t="inlineStr">
        <is>
          <t>New Lead</t>
        </is>
      </c>
      <c r="G2513" t="inlineStr">
        <is>
          <t>Unclassified</t>
        </is>
      </c>
      <c r="H2513" t="inlineStr">
        <is>
          <t>SmartFleet</t>
        </is>
      </c>
      <c r="K2513" t="inlineStr">
        <is>
          <t>Not found</t>
        </is>
      </c>
      <c r="L2513" t="inlineStr">
        <is>
          <t>Unknown</t>
        </is>
      </c>
      <c r="T2513" t="inlineStr">
        <is>
          <t>https://mysmartfleet.com/</t>
        </is>
      </c>
      <c r="U2513" t="inlineStr">
        <is>
          <t>HTML</t>
        </is>
      </c>
      <c r="V2513" t="inlineStr">
        <is>
          <t>Bot tespit/zenginlestirme (2026-07-01); meta:score=;priority=Low;source_type=html_link;closing_date=;equipment=Unclassified;reasons=</t>
        </is>
      </c>
    </row>
    <row r="2514">
      <c r="A2514" t="inlineStr">
        <is>
          <t>T-2318</t>
        </is>
      </c>
      <c r="B2514" t="inlineStr">
        <is>
          <t>Bharat Petroleum (BPCL CGD)</t>
        </is>
      </c>
      <c r="C2514" t="inlineStr">
        <is>
          <t>Bharat Petroleum (BPCL CGD)</t>
        </is>
      </c>
      <c r="F2514" t="inlineStr">
        <is>
          <t>New Lead</t>
        </is>
      </c>
      <c r="G2514" t="inlineStr">
        <is>
          <t>Unclassified</t>
        </is>
      </c>
      <c r="H2514" t="inlineStr">
        <is>
          <t>Speed Fuels</t>
        </is>
      </c>
      <c r="K2514" t="inlineStr">
        <is>
          <t>Not found</t>
        </is>
      </c>
      <c r="L2514" t="inlineStr">
        <is>
          <t>Unknown</t>
        </is>
      </c>
      <c r="T2514" t="inlineStr">
        <is>
          <t>https://www.bharatpetroleum.in/Bharat-Petroleum-For/Our-Businesses/Fuels-and-Services/Speed-Fuels.aspx</t>
        </is>
      </c>
      <c r="U2514" t="inlineStr">
        <is>
          <t>HTML</t>
        </is>
      </c>
      <c r="V2514" t="inlineStr">
        <is>
          <t>Bot tespit/zenginlestirme (2026-07-01); meta:score=;priority=Low;source_type=html_link;closing_date=;equipment=Unclassified;reasons=</t>
        </is>
      </c>
    </row>
    <row r="2515">
      <c r="A2515" t="inlineStr">
        <is>
          <t>T-2319</t>
        </is>
      </c>
      <c r="B2515" t="inlineStr">
        <is>
          <t>Bharat Petroleum (BPCL CGD)</t>
        </is>
      </c>
      <c r="C2515" t="inlineStr">
        <is>
          <t>Bharat Petroleum (BPCL CGD)</t>
        </is>
      </c>
      <c r="F2515" t="inlineStr">
        <is>
          <t>New Lead</t>
        </is>
      </c>
      <c r="G2515" t="inlineStr">
        <is>
          <t>Unclassified</t>
        </is>
      </c>
      <c r="H2515" t="inlineStr">
        <is>
          <t>Speed 97</t>
        </is>
      </c>
      <c r="K2515" t="inlineStr">
        <is>
          <t>Not found</t>
        </is>
      </c>
      <c r="L2515" t="inlineStr">
        <is>
          <t>Unknown</t>
        </is>
      </c>
      <c r="T2515" t="inlineStr">
        <is>
          <t>https://www.bharatpetroleum.in/Bharat-Petroleum-For/Our-Businesses/Fuels-and-Services/Speed-97.aspx</t>
        </is>
      </c>
      <c r="U2515" t="inlineStr">
        <is>
          <t>HTML</t>
        </is>
      </c>
      <c r="V2515" t="inlineStr">
        <is>
          <t>Bot tespit/zenginlestirme (2026-07-01); meta:score=;priority=Low;source_type=html_link;closing_date=;equipment=Unclassified;reasons=</t>
        </is>
      </c>
    </row>
    <row r="2516">
      <c r="A2516" t="inlineStr">
        <is>
          <t>T-2320</t>
        </is>
      </c>
      <c r="B2516" t="inlineStr">
        <is>
          <t>Bharat Petroleum (BPCL CGD)</t>
        </is>
      </c>
      <c r="C2516" t="inlineStr">
        <is>
          <t>Bharat Petroleum (BPCL CGD)</t>
        </is>
      </c>
      <c r="F2516" t="inlineStr">
        <is>
          <t>New Lead</t>
        </is>
      </c>
      <c r="G2516" t="inlineStr">
        <is>
          <t>Unclassified</t>
        </is>
      </c>
      <c r="H2516" t="inlineStr">
        <is>
          <t>UFill</t>
        </is>
      </c>
      <c r="K2516" t="inlineStr">
        <is>
          <t>Not found</t>
        </is>
      </c>
      <c r="L2516" t="inlineStr">
        <is>
          <t>Unknown</t>
        </is>
      </c>
      <c r="T2516" t="inlineStr">
        <is>
          <t>https://www.bharatpetroleum.in/Bharat-Petroleum-For/Our-Businesses/Fuels-and-Services/UFill.aspx</t>
        </is>
      </c>
      <c r="U2516" t="inlineStr">
        <is>
          <t>HTML</t>
        </is>
      </c>
      <c r="V2516" t="inlineStr">
        <is>
          <t>Bot tespit/zenginlestirme (2026-07-01); meta:score=;priority=Low;source_type=html_link;closing_date=;equipment=Unclassified;reasons=</t>
        </is>
      </c>
    </row>
    <row r="2517">
      <c r="A2517" t="inlineStr">
        <is>
          <t>T-2321</t>
        </is>
      </c>
      <c r="B2517" t="inlineStr">
        <is>
          <t>Bharat Petroleum (BPCL CGD)</t>
        </is>
      </c>
      <c r="C2517" t="inlineStr">
        <is>
          <t>Bharat Petroleum (BPCL CGD)</t>
        </is>
      </c>
      <c r="F2517" t="inlineStr">
        <is>
          <t>New Lead</t>
        </is>
      </c>
      <c r="G2517" t="inlineStr">
        <is>
          <t>Unclassified</t>
        </is>
      </c>
      <c r="H2517" t="inlineStr">
        <is>
          <t>PetroCard</t>
        </is>
      </c>
      <c r="K2517" t="inlineStr">
        <is>
          <t>Not found</t>
        </is>
      </c>
      <c r="L2517" t="inlineStr">
        <is>
          <t>Unknown</t>
        </is>
      </c>
      <c r="T2517" t="inlineStr">
        <is>
          <t>https://www.bharatpetroleum.in/Bharat-Petroleum-For/Our-Businesses/Fuels-and-Services/PetroCard.aspx</t>
        </is>
      </c>
      <c r="U2517" t="inlineStr">
        <is>
          <t>HTML</t>
        </is>
      </c>
      <c r="V2517" t="inlineStr">
        <is>
          <t>Bot tespit/zenginlestirme (2026-07-01); meta:score=;priority=Low;source_type=html_link;closing_date=;equipment=Unclassified;reasons=</t>
        </is>
      </c>
    </row>
    <row r="2518">
      <c r="A2518" t="inlineStr">
        <is>
          <t>T-2322</t>
        </is>
      </c>
      <c r="B2518" t="inlineStr">
        <is>
          <t>Bharat Petroleum (BPCL CGD)</t>
        </is>
      </c>
      <c r="C2518" t="inlineStr">
        <is>
          <t>Bharat Petroleum (BPCL CGD)</t>
        </is>
      </c>
      <c r="F2518" t="inlineStr">
        <is>
          <t>New Lead</t>
        </is>
      </c>
      <c r="G2518" t="inlineStr">
        <is>
          <t>Unclassified</t>
        </is>
      </c>
      <c r="H2518" t="inlineStr">
        <is>
          <t>BPCL SBI Card</t>
        </is>
      </c>
      <c r="K2518" t="inlineStr">
        <is>
          <t>Not found</t>
        </is>
      </c>
      <c r="L2518" t="inlineStr">
        <is>
          <t>Unknown</t>
        </is>
      </c>
      <c r="T2518" t="inlineStr">
        <is>
          <t>https://www.bharatpetroleum.in/Bharat-Petroleum-For/Our-Businesses/Fuels-and-Services/BPCL-SBI-Card.aspx</t>
        </is>
      </c>
      <c r="U2518" t="inlineStr">
        <is>
          <t>HTML</t>
        </is>
      </c>
      <c r="V2518" t="inlineStr">
        <is>
          <t>Bot tespit/zenginlestirme (2026-07-01); meta:score=;priority=Low;source_type=html_link;closing_date=;equipment=Unclassified;reasons=</t>
        </is>
      </c>
    </row>
    <row r="2519">
      <c r="A2519" t="inlineStr">
        <is>
          <t>T-2323</t>
        </is>
      </c>
      <c r="B2519" t="inlineStr">
        <is>
          <t>Bharat Petroleum (BPCL CGD)</t>
        </is>
      </c>
      <c r="C2519" t="inlineStr">
        <is>
          <t>Bharat Petroleum (BPCL CGD)</t>
        </is>
      </c>
      <c r="F2519" t="inlineStr">
        <is>
          <t>New Lead</t>
        </is>
      </c>
      <c r="G2519" t="inlineStr">
        <is>
          <t>Unclassified</t>
        </is>
      </c>
      <c r="H2519" t="inlineStr">
        <is>
          <t>SmartDrive</t>
        </is>
      </c>
      <c r="K2519" t="inlineStr">
        <is>
          <t>Not found</t>
        </is>
      </c>
      <c r="L2519" t="inlineStr">
        <is>
          <t>Unknown</t>
        </is>
      </c>
      <c r="T2519" t="inlineStr">
        <is>
          <t>https://www.bharatpetroleum.in/Bharat-Petroleum-For/Our-Businesses/Fuels-and-Services/SmartDrive.aspx</t>
        </is>
      </c>
      <c r="U2519" t="inlineStr">
        <is>
          <t>HTML</t>
        </is>
      </c>
      <c r="V2519" t="inlineStr">
        <is>
          <t>Bot tespit/zenginlestirme (2026-07-01); meta:score=;priority=Low;source_type=html_link;closing_date=;equipment=Unclassified;reasons=</t>
        </is>
      </c>
    </row>
    <row r="2520">
      <c r="A2520" t="inlineStr">
        <is>
          <t>T-2324</t>
        </is>
      </c>
      <c r="B2520" t="inlineStr">
        <is>
          <t>Bharat Petroleum (BPCL CGD)</t>
        </is>
      </c>
      <c r="C2520" t="inlineStr">
        <is>
          <t>Bharat Petroleum (BPCL CGD)</t>
        </is>
      </c>
      <c r="F2520" t="inlineStr">
        <is>
          <t>New Lead</t>
        </is>
      </c>
      <c r="G2520" t="inlineStr">
        <is>
          <t>Unclassified</t>
        </is>
      </c>
      <c r="H2520" t="inlineStr">
        <is>
          <t>Door to Door Delivery</t>
        </is>
      </c>
      <c r="K2520" t="inlineStr">
        <is>
          <t>Not found</t>
        </is>
      </c>
      <c r="L2520" t="inlineStr">
        <is>
          <t>Unknown</t>
        </is>
      </c>
      <c r="T2520" t="inlineStr">
        <is>
          <t>https://www.bharatpetroleum.in/Bharat-Petroleum-For/Our-Businesses/Fuels-and-Services/Door-to-Door-Delivery.aspx</t>
        </is>
      </c>
      <c r="U2520" t="inlineStr">
        <is>
          <t>HTML</t>
        </is>
      </c>
      <c r="V2520" t="inlineStr">
        <is>
          <t>Bot tespit/zenginlestirme (2026-07-01); meta:score=;priority=Low;source_type=html_link;closing_date=;equipment=Unclassified;reasons=</t>
        </is>
      </c>
    </row>
    <row r="2521">
      <c r="A2521" t="inlineStr">
        <is>
          <t>T-2325</t>
        </is>
      </c>
      <c r="B2521" t="inlineStr">
        <is>
          <t>Bharat Petroleum (BPCL CGD)</t>
        </is>
      </c>
      <c r="C2521" t="inlineStr">
        <is>
          <t>Bharat Petroleum (BPCL CGD)</t>
        </is>
      </c>
      <c r="F2521" t="inlineStr">
        <is>
          <t>New Lead</t>
        </is>
      </c>
      <c r="G2521" t="inlineStr">
        <is>
          <t>Unclassified</t>
        </is>
      </c>
      <c r="H2521" t="inlineStr">
        <is>
          <t>Beyond Fuels</t>
        </is>
      </c>
      <c r="K2521" t="inlineStr">
        <is>
          <t>Not found</t>
        </is>
      </c>
      <c r="L2521" t="inlineStr">
        <is>
          <t>Unknown</t>
        </is>
      </c>
      <c r="T2521" t="inlineStr">
        <is>
          <t>https://www.bharatpetroleum.in/Bharat-Petroleum-For/Our-Businesses/Fuels-and-Services/BeyondFuels.aspx</t>
        </is>
      </c>
      <c r="U2521" t="inlineStr">
        <is>
          <t>HTML</t>
        </is>
      </c>
      <c r="V2521" t="inlineStr">
        <is>
          <t>Bot tespit/zenginlestirme (2026-07-01); meta:score=;priority=Low;source_type=html_link;closing_date=;equipment=Unclassified;reasons=</t>
        </is>
      </c>
    </row>
    <row r="2522">
      <c r="A2522" t="inlineStr">
        <is>
          <t>T-2326</t>
        </is>
      </c>
      <c r="B2522" t="inlineStr">
        <is>
          <t>Bharat Petroleum (BPCL CGD)</t>
        </is>
      </c>
      <c r="C2522" t="inlineStr">
        <is>
          <t>Bharat Petroleum (BPCL CGD)</t>
        </is>
      </c>
      <c r="F2522" t="inlineStr">
        <is>
          <t>New Lead</t>
        </is>
      </c>
      <c r="G2522" t="inlineStr">
        <is>
          <t>Unclassified</t>
        </is>
      </c>
      <c r="H2522" t="inlineStr">
        <is>
          <t>MAK Quik</t>
        </is>
      </c>
      <c r="K2522" t="inlineStr">
        <is>
          <t>Not found</t>
        </is>
      </c>
      <c r="L2522" t="inlineStr">
        <is>
          <t>Unknown</t>
        </is>
      </c>
      <c r="T2522" t="inlineStr">
        <is>
          <t>https://www.bharatpetroleum.in/Bharat-Petroleum-For/Our-Businesses/Fuels-and-Services/MAK-Quik.aspx</t>
        </is>
      </c>
      <c r="U2522" t="inlineStr">
        <is>
          <t>HTML</t>
        </is>
      </c>
      <c r="V2522" t="inlineStr">
        <is>
          <t>Bot tespit/zenginlestirme (2026-07-01); meta:score=;priority=Low;source_type=html_link;closing_date=;equipment=Unclassified;reasons=</t>
        </is>
      </c>
    </row>
    <row r="2523">
      <c r="A2523" t="inlineStr">
        <is>
          <t>T-2327</t>
        </is>
      </c>
      <c r="B2523" t="inlineStr">
        <is>
          <t>Bharat Petroleum (BPCL CGD)</t>
        </is>
      </c>
      <c r="C2523" t="inlineStr">
        <is>
          <t>Bharat Petroleum (BPCL CGD)</t>
        </is>
      </c>
      <c r="F2523" t="inlineStr">
        <is>
          <t>New Lead</t>
        </is>
      </c>
      <c r="G2523" t="inlineStr">
        <is>
          <t>Unclassified</t>
        </is>
      </c>
      <c r="H2523" t="inlineStr">
        <is>
          <t>Ghar</t>
        </is>
      </c>
      <c r="K2523" t="inlineStr">
        <is>
          <t>Not found</t>
        </is>
      </c>
      <c r="L2523" t="inlineStr">
        <is>
          <t>Unknown</t>
        </is>
      </c>
      <c r="T2523" t="inlineStr">
        <is>
          <t>https://www.bharatpetroleum.in/Bharat-Petroleum-For/Our-Businesses/Fuels-and-Services/Ghar.aspx</t>
        </is>
      </c>
      <c r="U2523" t="inlineStr">
        <is>
          <t>HTML</t>
        </is>
      </c>
      <c r="V2523" t="inlineStr">
        <is>
          <t>Bot tespit/zenginlestirme (2026-07-01); meta:score=;priority=Low;source_type=html_link;closing_date=;equipment=Unclassified;reasons=</t>
        </is>
      </c>
    </row>
    <row r="2524">
      <c r="A2524" t="inlineStr">
        <is>
          <t>T-2328</t>
        </is>
      </c>
      <c r="B2524" t="inlineStr">
        <is>
          <t>Bharat Petroleum (BPCL CGD)</t>
        </is>
      </c>
      <c r="C2524" t="inlineStr">
        <is>
          <t>Bharat Petroleum (BPCL CGD)</t>
        </is>
      </c>
      <c r="F2524" t="inlineStr">
        <is>
          <t>New Lead</t>
        </is>
      </c>
      <c r="G2524" t="inlineStr">
        <is>
          <t>Unclassified</t>
        </is>
      </c>
      <c r="H2524" t="inlineStr">
        <is>
          <t>Biofuels</t>
        </is>
      </c>
      <c r="K2524" t="inlineStr">
        <is>
          <t>Not found</t>
        </is>
      </c>
      <c r="L2524" t="inlineStr">
        <is>
          <t>Unknown</t>
        </is>
      </c>
      <c r="T2524" t="inlineStr">
        <is>
          <t>https://www.bharatpetroleum.in/Bharat-Petroleum-For/Our-Businesses/Fuels-and-Services/Biofuels.aspx</t>
        </is>
      </c>
      <c r="U2524" t="inlineStr">
        <is>
          <t>HTML</t>
        </is>
      </c>
      <c r="V2524" t="inlineStr">
        <is>
          <t>Bot tespit/zenginlestirme (2026-07-01); meta:score=;priority=Low;source_type=html_link;closing_date=;equipment=Unclassified;reasons=</t>
        </is>
      </c>
    </row>
    <row r="2525">
      <c r="A2525" t="inlineStr">
        <is>
          <t>T-2329</t>
        </is>
      </c>
      <c r="B2525" t="inlineStr">
        <is>
          <t>Bharat Petroleum (BPCL CGD)</t>
        </is>
      </c>
      <c r="C2525" t="inlineStr">
        <is>
          <t>Bharat Petroleum (BPCL CGD)</t>
        </is>
      </c>
      <c r="F2525" t="inlineStr">
        <is>
          <t>New Lead</t>
        </is>
      </c>
      <c r="G2525" t="inlineStr">
        <is>
          <t>Unclassified</t>
        </is>
      </c>
      <c r="H2525" t="inlineStr">
        <is>
          <t>Petro Prices</t>
        </is>
      </c>
      <c r="K2525" t="inlineStr">
        <is>
          <t>Not found</t>
        </is>
      </c>
      <c r="L2525" t="inlineStr">
        <is>
          <t>Unknown</t>
        </is>
      </c>
      <c r="T2525" t="inlineStr">
        <is>
          <t>https://www.bharatpetroleum.in/Bharat-Petroleum-For/Our-Businesses/Fuels-and-Services/Petro-Prices.aspx</t>
        </is>
      </c>
      <c r="U2525" t="inlineStr">
        <is>
          <t>HTML</t>
        </is>
      </c>
      <c r="V2525" t="inlineStr">
        <is>
          <t>Bot tespit/zenginlestirme (2026-07-01); meta:score=;priority=Low;source_type=html_link;closing_date=;equipment=Unclassified;reasons=</t>
        </is>
      </c>
    </row>
    <row r="2526">
      <c r="A2526" t="inlineStr">
        <is>
          <t>T-2330</t>
        </is>
      </c>
      <c r="B2526" t="inlineStr">
        <is>
          <t>Bharat Petroleum (BPCL CGD)</t>
        </is>
      </c>
      <c r="C2526" t="inlineStr">
        <is>
          <t>Bharat Petroleum (BPCL CGD)</t>
        </is>
      </c>
      <c r="F2526" t="inlineStr">
        <is>
          <t>New Lead</t>
        </is>
      </c>
      <c r="G2526" t="inlineStr">
        <is>
          <t>Unclassified</t>
        </is>
      </c>
      <c r="H2526" t="inlineStr">
        <is>
          <t>Retail Outlet List</t>
        </is>
      </c>
      <c r="K2526" t="inlineStr">
        <is>
          <t>Not found</t>
        </is>
      </c>
      <c r="L2526" t="inlineStr">
        <is>
          <t>Unknown</t>
        </is>
      </c>
      <c r="T2526" t="inlineStr">
        <is>
          <t>https://www.bharatpetroleum.in/Bharat-Petroleum-For/Our-Businesses/Fuels-and-Services/Retail-Outlet-List.aspx</t>
        </is>
      </c>
      <c r="U2526" t="inlineStr">
        <is>
          <t>HTML</t>
        </is>
      </c>
      <c r="V2526" t="inlineStr">
        <is>
          <t>Bot tespit/zenginlestirme (2026-07-01); meta:score=;priority=Low;source_type=html_link;closing_date=;equipment=Unclassified;reasons=</t>
        </is>
      </c>
    </row>
    <row r="2527">
      <c r="A2527" t="inlineStr">
        <is>
          <t>T-2331</t>
        </is>
      </c>
      <c r="B2527" t="inlineStr">
        <is>
          <t>Bharat Petroleum (BPCL CGD)</t>
        </is>
      </c>
      <c r="C2527" t="inlineStr">
        <is>
          <t>Bharat Petroleum (BPCL CGD)</t>
        </is>
      </c>
      <c r="F2527" t="inlineStr">
        <is>
          <t>New Lead</t>
        </is>
      </c>
      <c r="G2527" t="inlineStr">
        <is>
          <t>Unclassified</t>
        </is>
      </c>
      <c r="H2527" t="inlineStr">
        <is>
          <t>Marketing Discipline Guidelines</t>
        </is>
      </c>
      <c r="K2527" t="inlineStr">
        <is>
          <t>Not found</t>
        </is>
      </c>
      <c r="L2527" t="inlineStr">
        <is>
          <t>Unknown</t>
        </is>
      </c>
      <c r="T2527" t="inlineStr">
        <is>
          <t>https://www.bharatpetroleum.in/Bharat-Petroleum-For/Our-Businesses/Fuels-and-Services/Marketing-Discipline-Guidelines.aspx</t>
        </is>
      </c>
      <c r="U2527" t="inlineStr">
        <is>
          <t>HTML</t>
        </is>
      </c>
      <c r="V2527" t="inlineStr">
        <is>
          <t>Bot tespit/zenginlestirme (2026-07-01); meta:score=;priority=Low;source_type=html_link;closing_date=;equipment=Unclassified;reasons=</t>
        </is>
      </c>
    </row>
    <row r="2528">
      <c r="A2528" t="inlineStr">
        <is>
          <t>T-2332</t>
        </is>
      </c>
      <c r="B2528" t="inlineStr">
        <is>
          <t>Bharat Petroleum (BPCL CGD)</t>
        </is>
      </c>
      <c r="C2528" t="inlineStr">
        <is>
          <t>Bharat Petroleum (BPCL CGD)</t>
        </is>
      </c>
      <c r="F2528" t="inlineStr">
        <is>
          <t>New Lead</t>
        </is>
      </c>
      <c r="G2528" t="inlineStr">
        <is>
          <t>Unclassified</t>
        </is>
      </c>
      <c r="H2528" t="inlineStr">
        <is>
          <t>BeCafe</t>
        </is>
      </c>
      <c r="K2528" t="inlineStr">
        <is>
          <t>Not found</t>
        </is>
      </c>
      <c r="L2528" t="inlineStr">
        <is>
          <t>Unknown</t>
        </is>
      </c>
      <c r="T2528" t="inlineStr">
        <is>
          <t>https://www.bharatpetroleum.in/our-businesses/fuels-and-services/becafe.aspx</t>
        </is>
      </c>
      <c r="U2528" t="inlineStr">
        <is>
          <t>HTML</t>
        </is>
      </c>
      <c r="V2528" t="inlineStr">
        <is>
          <t>Bot tespit/zenginlestirme (2026-07-01); meta:score=;priority=Low;source_type=html_link;closing_date=;equipment=Unclassified;reasons=</t>
        </is>
      </c>
    </row>
    <row r="2529">
      <c r="A2529" t="inlineStr">
        <is>
          <t>T-2333</t>
        </is>
      </c>
      <c r="B2529" t="inlineStr">
        <is>
          <t>Bharat Petroleum (BPCL CGD)</t>
        </is>
      </c>
      <c r="C2529" t="inlineStr">
        <is>
          <t>Bharat Petroleum (BPCL CGD)</t>
        </is>
      </c>
      <c r="F2529" t="inlineStr">
        <is>
          <t>New Lead</t>
        </is>
      </c>
      <c r="G2529" t="inlineStr">
        <is>
          <t>Unclassified</t>
        </is>
      </c>
      <c r="H2529" t="inlineStr">
        <is>
          <t>eDrive</t>
        </is>
      </c>
      <c r="K2529" t="inlineStr">
        <is>
          <t>Not found</t>
        </is>
      </c>
      <c r="L2529" t="inlineStr">
        <is>
          <t>Unknown</t>
        </is>
      </c>
      <c r="T2529" t="inlineStr">
        <is>
          <t>https://www.bharatpetroleum.in/our-businesses/fuels-and-services/edrive.aspx</t>
        </is>
      </c>
      <c r="U2529" t="inlineStr">
        <is>
          <t>HTML</t>
        </is>
      </c>
      <c r="V2529" t="inlineStr">
        <is>
          <t>Bot tespit/zenginlestirme (2026-07-01); meta:score=;priority=Low;source_type=html_link;closing_date=;equipment=Unclassified;reasons=</t>
        </is>
      </c>
    </row>
    <row r="2530">
      <c r="A2530" t="inlineStr">
        <is>
          <t>T-2334</t>
        </is>
      </c>
      <c r="B2530" t="inlineStr">
        <is>
          <t>Bharat Petroleum (BPCL CGD)</t>
        </is>
      </c>
      <c r="C2530" t="inlineStr">
        <is>
          <t>Bharat Petroleum (BPCL CGD)</t>
        </is>
      </c>
      <c r="F2530" t="inlineStr">
        <is>
          <t>New Lead</t>
        </is>
      </c>
      <c r="G2530" t="inlineStr">
        <is>
          <t>Unclassified</t>
        </is>
      </c>
      <c r="H2530" t="inlineStr">
        <is>
          <t>Our Journey</t>
        </is>
      </c>
      <c r="K2530" t="inlineStr">
        <is>
          <t>Not found</t>
        </is>
      </c>
      <c r="L2530" t="inlineStr">
        <is>
          <t>Unknown</t>
        </is>
      </c>
      <c r="T2530" t="inlineStr">
        <is>
          <t>https://www.bharatpetroleum.in/Bharat-Petroleum-For/Our-Businesses/Bharatgas/Our-Journey.aspx</t>
        </is>
      </c>
      <c r="U2530" t="inlineStr">
        <is>
          <t>HTML</t>
        </is>
      </c>
      <c r="V2530" t="inlineStr">
        <is>
          <t>Bot tespit/zenginlestirme (2026-07-01); meta:score=;priority=Low;source_type=html_link;closing_date=;equipment=Unclassified;reasons=</t>
        </is>
      </c>
    </row>
    <row r="2531">
      <c r="A2531" t="inlineStr">
        <is>
          <t>T-2335</t>
        </is>
      </c>
      <c r="B2531" t="inlineStr">
        <is>
          <t>Bharat Petroleum (BPCL CGD)</t>
        </is>
      </c>
      <c r="C2531" t="inlineStr">
        <is>
          <t>Bharat Petroleum (BPCL CGD)</t>
        </is>
      </c>
      <c r="F2531" t="inlineStr">
        <is>
          <t>New Lead</t>
        </is>
      </c>
      <c r="G2531" t="inlineStr">
        <is>
          <t>Unclassified</t>
        </is>
      </c>
      <c r="H2531" t="inlineStr">
        <is>
          <t>Domestic</t>
        </is>
      </c>
      <c r="K2531" t="inlineStr">
        <is>
          <t>Not found</t>
        </is>
      </c>
      <c r="L2531" t="inlineStr">
        <is>
          <t>Unknown</t>
        </is>
      </c>
      <c r="T2531" t="inlineStr">
        <is>
          <t>https://www.bharatpetroleum.in/Bharat-Petroleum-For/Our-Businesses/Bharatgas/Domestic.aspx</t>
        </is>
      </c>
      <c r="U2531" t="inlineStr">
        <is>
          <t>HTML</t>
        </is>
      </c>
      <c r="V2531" t="inlineStr">
        <is>
          <t>Bot tespit/zenginlestirme (2026-07-01); meta:score=;priority=Low;source_type=html_link;closing_date=;equipment=Unclassified;reasons=</t>
        </is>
      </c>
    </row>
    <row r="2532">
      <c r="A2532" t="inlineStr">
        <is>
          <t>T-2336</t>
        </is>
      </c>
      <c r="B2532" t="inlineStr">
        <is>
          <t>Bharat Petroleum (BPCL CGD)</t>
        </is>
      </c>
      <c r="C2532" t="inlineStr">
        <is>
          <t>Bharat Petroleum (BPCL CGD)</t>
        </is>
      </c>
      <c r="F2532" t="inlineStr">
        <is>
          <t>New Lead</t>
        </is>
      </c>
      <c r="G2532" t="inlineStr">
        <is>
          <t>Unclassified</t>
        </is>
      </c>
      <c r="H2532" t="inlineStr">
        <is>
          <t>Commercial</t>
        </is>
      </c>
      <c r="K2532" t="inlineStr">
        <is>
          <t>Not found</t>
        </is>
      </c>
      <c r="L2532" t="inlineStr">
        <is>
          <t>Unknown</t>
        </is>
      </c>
      <c r="T2532" t="inlineStr">
        <is>
          <t>https://www.bharatpetroleum.in/Bharat-Petroleum-For/Our-Businesses/Bharatgas/Commercial.aspx</t>
        </is>
      </c>
      <c r="U2532" t="inlineStr">
        <is>
          <t>HTML</t>
        </is>
      </c>
      <c r="V2532" t="inlineStr">
        <is>
          <t>Bot tespit/zenginlestirme (2026-07-01); meta:score=;priority=Low;source_type=html_link;closing_date=;equipment=Unclassified;reasons=</t>
        </is>
      </c>
    </row>
    <row r="2533">
      <c r="A2533" t="inlineStr">
        <is>
          <t>T-2337</t>
        </is>
      </c>
      <c r="B2533" t="inlineStr">
        <is>
          <t>Bharat Petroleum (BPCL CGD)</t>
        </is>
      </c>
      <c r="C2533" t="inlineStr">
        <is>
          <t>Bharat Petroleum (BPCL CGD)</t>
        </is>
      </c>
      <c r="F2533" t="inlineStr">
        <is>
          <t>New Lead</t>
        </is>
      </c>
      <c r="G2533" t="inlineStr">
        <is>
          <t>Unclassified</t>
        </is>
      </c>
      <c r="H2533" t="inlineStr">
        <is>
          <t>Bharatgas Mini</t>
        </is>
      </c>
      <c r="K2533" t="inlineStr">
        <is>
          <t>Not found</t>
        </is>
      </c>
      <c r="L2533" t="inlineStr">
        <is>
          <t>Unknown</t>
        </is>
      </c>
      <c r="T2533" t="inlineStr">
        <is>
          <t>https://www.bharatpetroleum.in/Bharat-Petroleum-For/Our-Businesses/Bharatgas/Bharatgas-Mini.aspx</t>
        </is>
      </c>
      <c r="U2533" t="inlineStr">
        <is>
          <t>HTML</t>
        </is>
      </c>
      <c r="V2533" t="inlineStr">
        <is>
          <t>Bot tespit/zenginlestirme (2026-07-01); meta:score=;priority=Low;source_type=html_link;closing_date=;equipment=Unclassified;reasons=</t>
        </is>
      </c>
    </row>
    <row r="2534">
      <c r="A2534" t="inlineStr">
        <is>
          <t>T-2338</t>
        </is>
      </c>
      <c r="B2534" t="inlineStr">
        <is>
          <t>Bharat Petroleum (BPCL CGD)</t>
        </is>
      </c>
      <c r="C2534" t="inlineStr">
        <is>
          <t>Bharat Petroleum (BPCL CGD)</t>
        </is>
      </c>
      <c r="F2534" t="inlineStr">
        <is>
          <t>New Lead</t>
        </is>
      </c>
      <c r="G2534" t="inlineStr">
        <is>
          <t>Unclassified</t>
        </is>
      </c>
      <c r="H2534" t="inlineStr">
        <is>
          <t>My Bharatgas</t>
        </is>
      </c>
      <c r="K2534" t="inlineStr">
        <is>
          <t>Not found</t>
        </is>
      </c>
      <c r="L2534" t="inlineStr">
        <is>
          <t>Unknown</t>
        </is>
      </c>
      <c r="T2534" t="inlineStr">
        <is>
          <t>https://my.ebharatgas.com/bharatgas/LPGServices/Index</t>
        </is>
      </c>
      <c r="U2534" t="inlineStr">
        <is>
          <t>HTML</t>
        </is>
      </c>
      <c r="V2534" t="inlineStr">
        <is>
          <t>Bot tespit/zenginlestirme (2026-07-01); meta:score=;priority=Low;source_type=html_link;closing_date=;equipment=Unclassified;reasons=</t>
        </is>
      </c>
    </row>
    <row r="2535">
      <c r="A2535" t="inlineStr">
        <is>
          <t>T-2339</t>
        </is>
      </c>
      <c r="B2535" t="inlineStr">
        <is>
          <t>Bharat Petroleum (BPCL CGD)</t>
        </is>
      </c>
      <c r="C2535" t="inlineStr">
        <is>
          <t>Bharat Petroleum (BPCL CGD)</t>
        </is>
      </c>
      <c r="F2535" t="inlineStr">
        <is>
          <t>New Lead</t>
        </is>
      </c>
      <c r="G2535" t="inlineStr">
        <is>
          <t>Unclassified</t>
        </is>
      </c>
      <c r="H2535" t="inlineStr">
        <is>
          <t>Become A Distributor</t>
        </is>
      </c>
      <c r="K2535" t="inlineStr">
        <is>
          <t>Not found</t>
        </is>
      </c>
      <c r="L2535" t="inlineStr">
        <is>
          <t>Unknown</t>
        </is>
      </c>
      <c r="T2535" t="inlineStr">
        <is>
          <t>https://www.bharatpetroleum.in/Bharat-Petroleum-For/Our-Businesses/Bharatgas/Become-A-Distributor.aspx</t>
        </is>
      </c>
      <c r="U2535" t="inlineStr">
        <is>
          <t>HTML</t>
        </is>
      </c>
      <c r="V2535" t="inlineStr">
        <is>
          <t>Bot tespit/zenginlestirme (2026-07-01); meta:score=;priority=Low;source_type=html_link;closing_date=;equipment=Unclassified;reasons=</t>
        </is>
      </c>
    </row>
    <row r="2536">
      <c r="A2536" t="inlineStr">
        <is>
          <t>T-2340</t>
        </is>
      </c>
      <c r="B2536" t="inlineStr">
        <is>
          <t>Bharat Petroleum (BPCL CGD)</t>
        </is>
      </c>
      <c r="C2536" t="inlineStr">
        <is>
          <t>Bharat Petroleum (BPCL CGD)</t>
        </is>
      </c>
      <c r="F2536" t="inlineStr">
        <is>
          <t>New Lead</t>
        </is>
      </c>
      <c r="G2536" t="inlineStr">
        <is>
          <t>Irrelevant / non-target</t>
        </is>
      </c>
      <c r="H2536" t="inlineStr">
        <is>
          <t>MAK Lubricants About MAK Lubricants Automobile Lubricants Industrial Lubricants R and D Centre MAK QOC Centre Infrastructure MAK Connect Partner with MAK Proficiency Testing Joint Ventures MAK Lubricant Solutions MAK SERVE</t>
        </is>
      </c>
      <c r="K2536" t="inlineStr">
        <is>
          <t>Not found</t>
        </is>
      </c>
      <c r="L2536" t="inlineStr">
        <is>
          <t>Unknown</t>
        </is>
      </c>
      <c r="T2536" t="inlineStr">
        <is>
          <t>https://www.bharatpetroleum.in/Bharat-Petroleum-For/Our-Businesses/MAK-Lubricants.aspx</t>
        </is>
      </c>
      <c r="U2536" t="inlineStr">
        <is>
          <t>HTML</t>
        </is>
      </c>
      <c r="V2536" t="inlineStr">
        <is>
          <t>Bot tespit/zenginlestirme (2026-07-01); meta:score=;priority=Low;source_type=html_table;closing_date=;equipment=Irrelevant / non-target;reasons=irrelevant_equipment</t>
        </is>
      </c>
    </row>
    <row r="2537">
      <c r="A2537" t="inlineStr">
        <is>
          <t>T-2341</t>
        </is>
      </c>
      <c r="B2537" t="inlineStr">
        <is>
          <t>Bharat Petroleum (BPCL CGD)</t>
        </is>
      </c>
      <c r="C2537" t="inlineStr">
        <is>
          <t>Bharat Petroleum (BPCL CGD)</t>
        </is>
      </c>
      <c r="F2537" t="inlineStr">
        <is>
          <t>New Lead</t>
        </is>
      </c>
      <c r="G2537" t="inlineStr">
        <is>
          <t>Irrelevant / non-target</t>
        </is>
      </c>
      <c r="H2537" t="inlineStr">
        <is>
          <t>About MAK Lubricants</t>
        </is>
      </c>
      <c r="K2537" t="inlineStr">
        <is>
          <t>Not found</t>
        </is>
      </c>
      <c r="L2537" t="inlineStr">
        <is>
          <t>Unknown</t>
        </is>
      </c>
      <c r="T2537" t="inlineStr">
        <is>
          <t>https://www.bharatpetroleum.in/Bharat-Petroleum-For/Our-Businesses/MAK-Lubricants/About-MAK-Lubricants.aspx</t>
        </is>
      </c>
      <c r="U2537" t="inlineStr">
        <is>
          <t>HTML</t>
        </is>
      </c>
      <c r="V2537" t="inlineStr">
        <is>
          <t>Bot tespit/zenginlestirme (2026-07-01); meta:score=;priority=Low;source_type=html_link;closing_date=;equipment=Irrelevant / non-target;reasons=irrelevant_equipment</t>
        </is>
      </c>
    </row>
    <row r="2538">
      <c r="A2538" t="inlineStr">
        <is>
          <t>T-2342</t>
        </is>
      </c>
      <c r="B2538" t="inlineStr">
        <is>
          <t>Bharat Petroleum (BPCL CGD)</t>
        </is>
      </c>
      <c r="C2538" t="inlineStr">
        <is>
          <t>Bharat Petroleum (BPCL CGD)</t>
        </is>
      </c>
      <c r="F2538" t="inlineStr">
        <is>
          <t>New Lead</t>
        </is>
      </c>
      <c r="G2538" t="inlineStr">
        <is>
          <t>Irrelevant / non-target</t>
        </is>
      </c>
      <c r="H2538" t="inlineStr">
        <is>
          <t>Automobile Lubricants</t>
        </is>
      </c>
      <c r="K2538" t="inlineStr">
        <is>
          <t>Not found</t>
        </is>
      </c>
      <c r="L2538" t="inlineStr">
        <is>
          <t>Unknown</t>
        </is>
      </c>
      <c r="T2538" t="inlineStr">
        <is>
          <t>https://www.bharatpetroleum.in/Bharat-Petroleum-For/Our-Businesses/MAK-Lubricants/Automobile-Lubricants.aspx</t>
        </is>
      </c>
      <c r="U2538" t="inlineStr">
        <is>
          <t>HTML</t>
        </is>
      </c>
      <c r="V2538" t="inlineStr">
        <is>
          <t>Bot tespit/zenginlestirme (2026-07-01); meta:score=;priority=Low;source_type=html_link;closing_date=;equipment=Irrelevant / non-target;reasons=irrelevant_equipment</t>
        </is>
      </c>
    </row>
    <row r="2539">
      <c r="A2539" t="inlineStr">
        <is>
          <t>T-2343</t>
        </is>
      </c>
      <c r="B2539" t="inlineStr">
        <is>
          <t>Bharat Petroleum (BPCL CGD)</t>
        </is>
      </c>
      <c r="C2539" t="inlineStr">
        <is>
          <t>Bharat Petroleum (BPCL CGD)</t>
        </is>
      </c>
      <c r="F2539" t="inlineStr">
        <is>
          <t>New Lead</t>
        </is>
      </c>
      <c r="G2539" t="inlineStr">
        <is>
          <t>Irrelevant / non-target</t>
        </is>
      </c>
      <c r="H2539" t="inlineStr">
        <is>
          <t>Industrial Lubricants</t>
        </is>
      </c>
      <c r="K2539" t="inlineStr">
        <is>
          <t>Not found</t>
        </is>
      </c>
      <c r="L2539" t="inlineStr">
        <is>
          <t>Unknown</t>
        </is>
      </c>
      <c r="T2539" t="inlineStr">
        <is>
          <t>https://www.bharatpetroleum.in/Bharat-Petroleum-For/Our-Businesses/MAK-Lubricants/Industrial-Lubricants.aspx</t>
        </is>
      </c>
      <c r="U2539" t="inlineStr">
        <is>
          <t>HTML</t>
        </is>
      </c>
      <c r="V2539" t="inlineStr">
        <is>
          <t>Bot tespit/zenginlestirme (2026-07-01); meta:score=;priority=Low;source_type=html_link;closing_date=;equipment=Irrelevant / non-target;reasons=irrelevant_equipment</t>
        </is>
      </c>
    </row>
    <row r="2540">
      <c r="A2540" t="inlineStr">
        <is>
          <t>T-2344</t>
        </is>
      </c>
      <c r="B2540" t="inlineStr">
        <is>
          <t>Bharat Petroleum (BPCL CGD)</t>
        </is>
      </c>
      <c r="C2540" t="inlineStr">
        <is>
          <t>Bharat Petroleum (BPCL CGD)</t>
        </is>
      </c>
      <c r="F2540" t="inlineStr">
        <is>
          <t>New Lead</t>
        </is>
      </c>
      <c r="G2540" t="inlineStr">
        <is>
          <t>Irrelevant / non-target</t>
        </is>
      </c>
      <c r="H2540" t="inlineStr">
        <is>
          <t>R and D Centre</t>
        </is>
      </c>
      <c r="K2540" t="inlineStr">
        <is>
          <t>Not found</t>
        </is>
      </c>
      <c r="L2540" t="inlineStr">
        <is>
          <t>Unknown</t>
        </is>
      </c>
      <c r="T2540" t="inlineStr">
        <is>
          <t>https://www.bharatpetroleum.in/Bharat-Petroleum-For/Our-Businesses/MAK-Lubricants/R-and-D-Centre.aspx</t>
        </is>
      </c>
      <c r="U2540" t="inlineStr">
        <is>
          <t>HTML</t>
        </is>
      </c>
      <c r="V2540" t="inlineStr">
        <is>
          <t>Bot tespit/zenginlestirme (2026-07-01); meta:score=;priority=Low;source_type=html_link;closing_date=;equipment=Irrelevant / non-target;reasons=irrelevant_equipment</t>
        </is>
      </c>
    </row>
    <row r="2541">
      <c r="A2541" t="inlineStr">
        <is>
          <t>T-2345</t>
        </is>
      </c>
      <c r="B2541" t="inlineStr">
        <is>
          <t>Bharat Petroleum (BPCL CGD)</t>
        </is>
      </c>
      <c r="C2541" t="inlineStr">
        <is>
          <t>Bharat Petroleum (BPCL CGD)</t>
        </is>
      </c>
      <c r="F2541" t="inlineStr">
        <is>
          <t>New Lead</t>
        </is>
      </c>
      <c r="G2541" t="inlineStr">
        <is>
          <t>Irrelevant / non-target</t>
        </is>
      </c>
      <c r="H2541" t="inlineStr">
        <is>
          <t>MAK QOC Centre</t>
        </is>
      </c>
      <c r="K2541" t="inlineStr">
        <is>
          <t>Not found</t>
        </is>
      </c>
      <c r="L2541" t="inlineStr">
        <is>
          <t>Unknown</t>
        </is>
      </c>
      <c r="T2541" t="inlineStr">
        <is>
          <t>https://www.bharatpetroleum.in/Bharat-Petroleum-For/Our-Businesses/MAK-Lubricants/MAK-QOC-Centre.aspx</t>
        </is>
      </c>
      <c r="U2541" t="inlineStr">
        <is>
          <t>HTML</t>
        </is>
      </c>
      <c r="V2541" t="inlineStr">
        <is>
          <t>Bot tespit/zenginlestirme (2026-07-01); meta:score=;priority=Low;source_type=html_link;closing_date=;equipment=Irrelevant / non-target;reasons=irrelevant_equipment</t>
        </is>
      </c>
    </row>
    <row r="2542">
      <c r="A2542" t="inlineStr">
        <is>
          <t>T-2346</t>
        </is>
      </c>
      <c r="B2542" t="inlineStr">
        <is>
          <t>Bharat Petroleum (BPCL CGD)</t>
        </is>
      </c>
      <c r="C2542" t="inlineStr">
        <is>
          <t>Bharat Petroleum (BPCL CGD)</t>
        </is>
      </c>
      <c r="F2542" t="inlineStr">
        <is>
          <t>New Lead</t>
        </is>
      </c>
      <c r="G2542" t="inlineStr">
        <is>
          <t>Irrelevant / non-target</t>
        </is>
      </c>
      <c r="H2542" t="inlineStr">
        <is>
          <t>Infrastructure</t>
        </is>
      </c>
      <c r="K2542" t="inlineStr">
        <is>
          <t>Not found</t>
        </is>
      </c>
      <c r="L2542" t="inlineStr">
        <is>
          <t>Unknown</t>
        </is>
      </c>
      <c r="T2542" t="inlineStr">
        <is>
          <t>https://www.bharatpetroleum.in/Bharat-Petroleum-For/Our-Businesses/MAK-Lubricants/Infrastructure.aspx</t>
        </is>
      </c>
      <c r="U2542" t="inlineStr">
        <is>
          <t>HTML</t>
        </is>
      </c>
      <c r="V2542" t="inlineStr">
        <is>
          <t>Bot tespit/zenginlestirme (2026-07-01); meta:score=;priority=Low;source_type=html_link;closing_date=;equipment=Irrelevant / non-target;reasons=irrelevant_equipment</t>
        </is>
      </c>
    </row>
    <row r="2543">
      <c r="A2543" t="inlineStr">
        <is>
          <t>T-2347</t>
        </is>
      </c>
      <c r="B2543" t="inlineStr">
        <is>
          <t>Bharat Petroleum (BPCL CGD)</t>
        </is>
      </c>
      <c r="C2543" t="inlineStr">
        <is>
          <t>Bharat Petroleum (BPCL CGD)</t>
        </is>
      </c>
      <c r="F2543" t="inlineStr">
        <is>
          <t>New Lead</t>
        </is>
      </c>
      <c r="G2543" t="inlineStr">
        <is>
          <t>Irrelevant / non-target</t>
        </is>
      </c>
      <c r="H2543" t="inlineStr">
        <is>
          <t>MAK Connect</t>
        </is>
      </c>
      <c r="K2543" t="inlineStr">
        <is>
          <t>Not found</t>
        </is>
      </c>
      <c r="L2543" t="inlineStr">
        <is>
          <t>Unknown</t>
        </is>
      </c>
      <c r="T2543" t="inlineStr">
        <is>
          <t>https://www.bharatpetroleum.in/Bharat-Petroleum-For/Our-Businesses/MAK-Lubricants/MAK-Connect.aspx</t>
        </is>
      </c>
      <c r="U2543" t="inlineStr">
        <is>
          <t>HTML</t>
        </is>
      </c>
      <c r="V2543" t="inlineStr">
        <is>
          <t>Bot tespit/zenginlestirme (2026-07-01); meta:score=;priority=Low;source_type=html_link;closing_date=;equipment=Irrelevant / non-target;reasons=irrelevant_equipment</t>
        </is>
      </c>
    </row>
    <row r="2544">
      <c r="A2544" t="inlineStr">
        <is>
          <t>T-2348</t>
        </is>
      </c>
      <c r="B2544" t="inlineStr">
        <is>
          <t>Bharat Petroleum (BPCL CGD)</t>
        </is>
      </c>
      <c r="C2544" t="inlineStr">
        <is>
          <t>Bharat Petroleum (BPCL CGD)</t>
        </is>
      </c>
      <c r="F2544" t="inlineStr">
        <is>
          <t>New Lead</t>
        </is>
      </c>
      <c r="G2544" t="inlineStr">
        <is>
          <t>Irrelevant / non-target</t>
        </is>
      </c>
      <c r="H2544" t="inlineStr">
        <is>
          <t>Partner with MAK</t>
        </is>
      </c>
      <c r="K2544" t="inlineStr">
        <is>
          <t>Not found</t>
        </is>
      </c>
      <c r="L2544" t="inlineStr">
        <is>
          <t>Unknown</t>
        </is>
      </c>
      <c r="T2544" t="inlineStr">
        <is>
          <t>https://www.bharatpetroleum.in/Bharat-Petroleum-For/Our-Businesses/MAK-Lubricants/Partner-with-MAK.aspx</t>
        </is>
      </c>
      <c r="U2544" t="inlineStr">
        <is>
          <t>HTML</t>
        </is>
      </c>
      <c r="V2544" t="inlineStr">
        <is>
          <t>Bot tespit/zenginlestirme (2026-07-01); meta:score=;priority=Low;source_type=html_link;closing_date=;equipment=Irrelevant / non-target;reasons=irrelevant_equipment</t>
        </is>
      </c>
    </row>
    <row r="2545">
      <c r="A2545" t="inlineStr">
        <is>
          <t>T-2349</t>
        </is>
      </c>
      <c r="B2545" t="inlineStr">
        <is>
          <t>Bharat Petroleum (BPCL CGD)</t>
        </is>
      </c>
      <c r="C2545" t="inlineStr">
        <is>
          <t>Bharat Petroleum (BPCL CGD)</t>
        </is>
      </c>
      <c r="F2545" t="inlineStr">
        <is>
          <t>New Lead</t>
        </is>
      </c>
      <c r="G2545" t="inlineStr">
        <is>
          <t>Irrelevant / non-target</t>
        </is>
      </c>
      <c r="H2545" t="inlineStr">
        <is>
          <t>Proficiency Testing</t>
        </is>
      </c>
      <c r="K2545" t="inlineStr">
        <is>
          <t>Not found</t>
        </is>
      </c>
      <c r="L2545" t="inlineStr">
        <is>
          <t>Unknown</t>
        </is>
      </c>
      <c r="T2545" t="inlineStr">
        <is>
          <t>https://www.bharatpetroleum.in/Bharat-Petroleum-For/Our-Businesses/MAK-Lubricants/Proficiency-Testing.aspx</t>
        </is>
      </c>
      <c r="U2545" t="inlineStr">
        <is>
          <t>HTML</t>
        </is>
      </c>
      <c r="V2545" t="inlineStr">
        <is>
          <t>Bot tespit/zenginlestirme (2026-07-01); meta:score=;priority=Low;source_type=html_link;closing_date=;equipment=Irrelevant / non-target;reasons=irrelevant_equipment</t>
        </is>
      </c>
    </row>
    <row r="2546">
      <c r="A2546" t="inlineStr">
        <is>
          <t>T-2350</t>
        </is>
      </c>
      <c r="B2546" t="inlineStr">
        <is>
          <t>Bharat Petroleum (BPCL CGD)</t>
        </is>
      </c>
      <c r="C2546" t="inlineStr">
        <is>
          <t>Bharat Petroleum (BPCL CGD)</t>
        </is>
      </c>
      <c r="F2546" t="inlineStr">
        <is>
          <t>New Lead</t>
        </is>
      </c>
      <c r="G2546" t="inlineStr">
        <is>
          <t>Irrelevant / non-target</t>
        </is>
      </c>
      <c r="H2546" t="inlineStr">
        <is>
          <t>Joint Ventures</t>
        </is>
      </c>
      <c r="K2546" t="inlineStr">
        <is>
          <t>Not found</t>
        </is>
      </c>
      <c r="L2546" t="inlineStr">
        <is>
          <t>Unknown</t>
        </is>
      </c>
      <c r="T2546" t="inlineStr">
        <is>
          <t>https://www.bharatpetroleum.in/Our-Businesses/MAK-Lubricants/Joint-Ventures.aspx</t>
        </is>
      </c>
      <c r="U2546" t="inlineStr">
        <is>
          <t>HTML</t>
        </is>
      </c>
      <c r="V2546" t="inlineStr">
        <is>
          <t>Bot tespit/zenginlestirme (2026-07-01); meta:score=;priority=Low;source_type=html_link;closing_date=;equipment=Irrelevant / non-target;reasons=irrelevant_equipment</t>
        </is>
      </c>
    </row>
    <row r="2547">
      <c r="A2547" t="inlineStr">
        <is>
          <t>T-2351</t>
        </is>
      </c>
      <c r="B2547" t="inlineStr">
        <is>
          <t>Bharat Petroleum (BPCL CGD)</t>
        </is>
      </c>
      <c r="C2547" t="inlineStr">
        <is>
          <t>Bharat Petroleum (BPCL CGD)</t>
        </is>
      </c>
      <c r="F2547" t="inlineStr">
        <is>
          <t>New Lead</t>
        </is>
      </c>
      <c r="G2547" t="inlineStr">
        <is>
          <t>Irrelevant / non-target</t>
        </is>
      </c>
      <c r="H2547" t="inlineStr">
        <is>
          <t>MAK Lubricant Solutions</t>
        </is>
      </c>
      <c r="K2547" t="inlineStr">
        <is>
          <t>Not found</t>
        </is>
      </c>
      <c r="L2547" t="inlineStr">
        <is>
          <t>Unknown</t>
        </is>
      </c>
      <c r="T2547" t="inlineStr">
        <is>
          <t>https://www.bharatpetroleum.in/Bharat-Petroleum-For/Our-Businesses/MAK-Lubricants/MAK-Lubricant-Solutions.aspx</t>
        </is>
      </c>
      <c r="U2547" t="inlineStr">
        <is>
          <t>HTML</t>
        </is>
      </c>
      <c r="V2547" t="inlineStr">
        <is>
          <t>Bot tespit/zenginlestirme (2026-07-01); meta:score=;priority=Low;source_type=html_link;closing_date=;equipment=Irrelevant / non-target;reasons=irrelevant_equipment</t>
        </is>
      </c>
    </row>
    <row r="2548">
      <c r="A2548" t="inlineStr">
        <is>
          <t>T-2352</t>
        </is>
      </c>
      <c r="B2548" t="inlineStr">
        <is>
          <t>Bharat Petroleum (BPCL CGD)</t>
        </is>
      </c>
      <c r="C2548" t="inlineStr">
        <is>
          <t>Bharat Petroleum (BPCL CGD)</t>
        </is>
      </c>
      <c r="F2548" t="inlineStr">
        <is>
          <t>New Lead</t>
        </is>
      </c>
      <c r="G2548" t="inlineStr">
        <is>
          <t>Irrelevant / non-target</t>
        </is>
      </c>
      <c r="H2548" t="inlineStr">
        <is>
          <t>MAK SERVE</t>
        </is>
      </c>
      <c r="K2548" t="inlineStr">
        <is>
          <t>Not found</t>
        </is>
      </c>
      <c r="L2548" t="inlineStr">
        <is>
          <t>Unknown</t>
        </is>
      </c>
      <c r="T2548" t="inlineStr">
        <is>
          <t>https://www.bharatpetroleum.in/our-businesses/mak-lubricants/mak-serve.aspx</t>
        </is>
      </c>
      <c r="U2548" t="inlineStr">
        <is>
          <t>HTML</t>
        </is>
      </c>
      <c r="V2548" t="inlineStr">
        <is>
          <t>Bot tespit/zenginlestirme (2026-07-01); meta:score=;priority=Low;source_type=html_link;closing_date=;equipment=Irrelevant / non-target;reasons=irrelevant_equipment</t>
        </is>
      </c>
    </row>
    <row r="2549">
      <c r="A2549" t="inlineStr">
        <is>
          <t>T-2353</t>
        </is>
      </c>
      <c r="B2549" t="inlineStr">
        <is>
          <t>Bharat Petroleum (BPCL CGD)</t>
        </is>
      </c>
      <c r="C2549" t="inlineStr">
        <is>
          <t>Bharat Petroleum (BPCL CGD)</t>
        </is>
      </c>
      <c r="F2549" t="inlineStr">
        <is>
          <t>New Lead</t>
        </is>
      </c>
      <c r="G2549" t="inlineStr">
        <is>
          <t>Unclassified</t>
        </is>
      </c>
      <c r="H2549" t="inlineStr">
        <is>
          <t>Aviation Services About Aviation Products Services Joint Ventures</t>
        </is>
      </c>
      <c r="K2549" t="inlineStr">
        <is>
          <t>Not found</t>
        </is>
      </c>
      <c r="L2549" t="inlineStr">
        <is>
          <t>Unknown</t>
        </is>
      </c>
      <c r="T2549" t="inlineStr">
        <is>
          <t>https://www.bharatpetroleum.in/Our-Businesses/aviation.aspx</t>
        </is>
      </c>
      <c r="U2549" t="inlineStr">
        <is>
          <t>HTML</t>
        </is>
      </c>
      <c r="V2549" t="inlineStr">
        <is>
          <t>Bot tespit/zenginlestirme (2026-07-01); meta:score=;priority=Low;source_type=html_table;closing_date=;equipment=Unclassified;reasons=</t>
        </is>
      </c>
    </row>
    <row r="2550">
      <c r="A2550" t="inlineStr">
        <is>
          <t>T-2354</t>
        </is>
      </c>
      <c r="B2550" t="inlineStr">
        <is>
          <t>Bharat Petroleum (BPCL CGD)</t>
        </is>
      </c>
      <c r="C2550" t="inlineStr">
        <is>
          <t>Bharat Petroleum (BPCL CGD)</t>
        </is>
      </c>
      <c r="F2550" t="inlineStr">
        <is>
          <t>New Lead</t>
        </is>
      </c>
      <c r="G2550" t="inlineStr">
        <is>
          <t>Unclassified</t>
        </is>
      </c>
      <c r="H2550" t="inlineStr">
        <is>
          <t>About Aviation</t>
        </is>
      </c>
      <c r="K2550" t="inlineStr">
        <is>
          <t>Not found</t>
        </is>
      </c>
      <c r="L2550" t="inlineStr">
        <is>
          <t>Unknown</t>
        </is>
      </c>
      <c r="T2550" t="inlineStr">
        <is>
          <t>https://www.bharatpetroleum.in/Our-Businesses/Aviation-Services/About-Aviation.aspx</t>
        </is>
      </c>
      <c r="U2550" t="inlineStr">
        <is>
          <t>HTML</t>
        </is>
      </c>
      <c r="V2550" t="inlineStr">
        <is>
          <t>Bot tespit/zenginlestirme (2026-07-01); meta:score=;priority=Low;source_type=html_link;closing_date=;equipment=Unclassified;reasons=</t>
        </is>
      </c>
    </row>
    <row r="2551">
      <c r="A2551" t="inlineStr">
        <is>
          <t>T-2355</t>
        </is>
      </c>
      <c r="B2551" t="inlineStr">
        <is>
          <t>Bharat Petroleum (BPCL CGD)</t>
        </is>
      </c>
      <c r="C2551" t="inlineStr">
        <is>
          <t>Bharat Petroleum (BPCL CGD)</t>
        </is>
      </c>
      <c r="F2551" t="inlineStr">
        <is>
          <t>New Lead</t>
        </is>
      </c>
      <c r="G2551" t="inlineStr">
        <is>
          <t>Unclassified</t>
        </is>
      </c>
      <c r="H2551" t="inlineStr">
        <is>
          <t>Products</t>
        </is>
      </c>
      <c r="K2551" t="inlineStr">
        <is>
          <t>Not found</t>
        </is>
      </c>
      <c r="L2551" t="inlineStr">
        <is>
          <t>Unknown</t>
        </is>
      </c>
      <c r="T2551" t="inlineStr">
        <is>
          <t>https://www.bharatpetroleum.in/Our-Businesses/Aviation-Services/Products.aspx</t>
        </is>
      </c>
      <c r="U2551" t="inlineStr">
        <is>
          <t>HTML</t>
        </is>
      </c>
      <c r="V2551" t="inlineStr">
        <is>
          <t>Bot tespit/zenginlestirme (2026-07-01); meta:score=;priority=Low;source_type=html_link;closing_date=;equipment=Unclassified;reasons=</t>
        </is>
      </c>
    </row>
    <row r="2552">
      <c r="A2552" t="inlineStr">
        <is>
          <t>T-2356</t>
        </is>
      </c>
      <c r="B2552" t="inlineStr">
        <is>
          <t>Bharat Petroleum (BPCL CGD)</t>
        </is>
      </c>
      <c r="C2552" t="inlineStr">
        <is>
          <t>Bharat Petroleum (BPCL CGD)</t>
        </is>
      </c>
      <c r="F2552" t="inlineStr">
        <is>
          <t>New Lead</t>
        </is>
      </c>
      <c r="G2552" t="inlineStr">
        <is>
          <t>Unclassified</t>
        </is>
      </c>
      <c r="H2552" t="inlineStr">
        <is>
          <t>Services</t>
        </is>
      </c>
      <c r="K2552" t="inlineStr">
        <is>
          <t>Not found</t>
        </is>
      </c>
      <c r="L2552" t="inlineStr">
        <is>
          <t>Unknown</t>
        </is>
      </c>
      <c r="T2552" t="inlineStr">
        <is>
          <t>https://www.bharatpetroleum.in/Our-Businesses/Aviation-Services/Services.aspx</t>
        </is>
      </c>
      <c r="U2552" t="inlineStr">
        <is>
          <t>HTML</t>
        </is>
      </c>
      <c r="V2552" t="inlineStr">
        <is>
          <t>Bot tespit/zenginlestirme (2026-07-01); meta:score=;priority=Low;source_type=html_link;closing_date=;equipment=Unclassified;reasons=</t>
        </is>
      </c>
    </row>
    <row r="2553">
      <c r="A2553" t="inlineStr">
        <is>
          <t>T-2357</t>
        </is>
      </c>
      <c r="B2553" t="inlineStr">
        <is>
          <t>Bharat Petroleum (BPCL CGD)</t>
        </is>
      </c>
      <c r="C2553" t="inlineStr">
        <is>
          <t>Bharat Petroleum (BPCL CGD)</t>
        </is>
      </c>
      <c r="F2553" t="inlineStr">
        <is>
          <t>New Lead</t>
        </is>
      </c>
      <c r="G2553" t="inlineStr">
        <is>
          <t>Unclassified</t>
        </is>
      </c>
      <c r="H2553" t="inlineStr">
        <is>
          <t>Joint Ventures</t>
        </is>
      </c>
      <c r="K2553" t="inlineStr">
        <is>
          <t>Not found</t>
        </is>
      </c>
      <c r="L2553" t="inlineStr">
        <is>
          <t>Unknown</t>
        </is>
      </c>
      <c r="T2553" t="inlineStr">
        <is>
          <t>https://www.bharatpetroleum.in/our-businesses/Aviation-Services/Joint-Ventures.aspx</t>
        </is>
      </c>
      <c r="U2553" t="inlineStr">
        <is>
          <t>HTML</t>
        </is>
      </c>
      <c r="V2553" t="inlineStr">
        <is>
          <t>Bot tespit/zenginlestirme (2026-07-01); meta:score=;priority=Low;source_type=html_link;closing_date=;equipment=Unclassified;reasons=</t>
        </is>
      </c>
    </row>
    <row r="2554">
      <c r="A2554" t="inlineStr">
        <is>
          <t>T-2358</t>
        </is>
      </c>
      <c r="B2554" t="inlineStr">
        <is>
          <t>Bharat Petroleum (BPCL CGD)</t>
        </is>
      </c>
      <c r="C2554" t="inlineStr">
        <is>
          <t>Bharat Petroleum (BPCL CGD)</t>
        </is>
      </c>
      <c r="F2554" t="inlineStr">
        <is>
          <t>New Lead</t>
        </is>
      </c>
      <c r="G2554" t="inlineStr">
        <is>
          <t>Unclassified</t>
        </is>
      </c>
      <c r="H2554" t="inlineStr">
        <is>
          <t>Industrial and Commercial Industrial Fuel LPG Bitumens Solvent White-Oil Specialty Bitumen Special Products Petchem Bunkerings Petrochemical Feedstock Connect With Us</t>
        </is>
      </c>
      <c r="K2554" t="inlineStr">
        <is>
          <t>Not found</t>
        </is>
      </c>
      <c r="L2554" t="inlineStr">
        <is>
          <t>Unknown</t>
        </is>
      </c>
      <c r="T2554" t="inlineStr">
        <is>
          <t>https://www.bharatpetroleum.in/Bharat-Petroleum-For/Our-Businesses/Industrial-and-Commercial.aspx</t>
        </is>
      </c>
      <c r="U2554" t="inlineStr">
        <is>
          <t>HTML</t>
        </is>
      </c>
      <c r="V2554" t="inlineStr">
        <is>
          <t>Bot tespit/zenginlestirme (2026-07-01); meta:score=;priority=Low;source_type=html_table;closing_date=;equipment=Unclassified;reasons=</t>
        </is>
      </c>
    </row>
    <row r="2555">
      <c r="A2555" t="inlineStr">
        <is>
          <t>T-2359</t>
        </is>
      </c>
      <c r="B2555" t="inlineStr">
        <is>
          <t>Bharat Petroleum (BPCL CGD)</t>
        </is>
      </c>
      <c r="C2555" t="inlineStr">
        <is>
          <t>Bharat Petroleum (BPCL CGD)</t>
        </is>
      </c>
      <c r="F2555" t="inlineStr">
        <is>
          <t>New Lead</t>
        </is>
      </c>
      <c r="G2555" t="inlineStr">
        <is>
          <t>Unclassified</t>
        </is>
      </c>
      <c r="H2555" t="inlineStr">
        <is>
          <t>Industrial Fuel</t>
        </is>
      </c>
      <c r="K2555" t="inlineStr">
        <is>
          <t>Not found</t>
        </is>
      </c>
      <c r="L2555" t="inlineStr">
        <is>
          <t>Unknown</t>
        </is>
      </c>
      <c r="T2555" t="inlineStr">
        <is>
          <t>https://www.bharatpetroleum.in/Bharat-Petroleum-For/Our-Businesses/Industrial-and-Commercial/Industrial-Fuel.aspx</t>
        </is>
      </c>
      <c r="U2555" t="inlineStr">
        <is>
          <t>HTML</t>
        </is>
      </c>
      <c r="V2555" t="inlineStr">
        <is>
          <t>Bot tespit/zenginlestirme (2026-07-01); meta:score=;priority=Low;source_type=html_link;closing_date=;equipment=Unclassified;reasons=</t>
        </is>
      </c>
    </row>
    <row r="2556">
      <c r="A2556" t="inlineStr">
        <is>
          <t>T-2360</t>
        </is>
      </c>
      <c r="B2556" t="inlineStr">
        <is>
          <t>Bharat Petroleum (BPCL CGD)</t>
        </is>
      </c>
      <c r="C2556" t="inlineStr">
        <is>
          <t>Bharat Petroleum (BPCL CGD)</t>
        </is>
      </c>
      <c r="F2556" t="inlineStr">
        <is>
          <t>New Lead</t>
        </is>
      </c>
      <c r="G2556" t="inlineStr">
        <is>
          <t>Unclassified</t>
        </is>
      </c>
      <c r="H2556" t="inlineStr">
        <is>
          <t>LPG</t>
        </is>
      </c>
      <c r="K2556" t="inlineStr">
        <is>
          <t>Not found</t>
        </is>
      </c>
      <c r="L2556" t="inlineStr">
        <is>
          <t>Unknown</t>
        </is>
      </c>
      <c r="T2556" t="inlineStr">
        <is>
          <t>https://www.bharatpetroleum.in/Bharat-Petroleum-For/Our-Businesses/Industrial-and-Commercial/LPG.aspx</t>
        </is>
      </c>
      <c r="U2556" t="inlineStr">
        <is>
          <t>HTML</t>
        </is>
      </c>
      <c r="V2556" t="inlineStr">
        <is>
          <t>Bot tespit/zenginlestirme (2026-07-01); meta:score=;priority=Low;source_type=html_link;closing_date=;equipment=Unclassified;reasons=</t>
        </is>
      </c>
    </row>
    <row r="2557">
      <c r="A2557" t="inlineStr">
        <is>
          <t>T-2361</t>
        </is>
      </c>
      <c r="B2557" t="inlineStr">
        <is>
          <t>Bharat Petroleum (BPCL CGD)</t>
        </is>
      </c>
      <c r="C2557" t="inlineStr">
        <is>
          <t>Bharat Petroleum (BPCL CGD)</t>
        </is>
      </c>
      <c r="F2557" t="inlineStr">
        <is>
          <t>New Lead</t>
        </is>
      </c>
      <c r="G2557" t="inlineStr">
        <is>
          <t>Unclassified</t>
        </is>
      </c>
      <c r="H2557" t="inlineStr">
        <is>
          <t>Bitumens</t>
        </is>
      </c>
      <c r="K2557" t="inlineStr">
        <is>
          <t>Not found</t>
        </is>
      </c>
      <c r="L2557" t="inlineStr">
        <is>
          <t>Unknown</t>
        </is>
      </c>
      <c r="T2557" t="inlineStr">
        <is>
          <t>https://www.bharatpetroleum.in/Bharat-Petroleum-For/Our-Businesses/Industrial-and-Commercial/Bitumens.aspx</t>
        </is>
      </c>
      <c r="U2557" t="inlineStr">
        <is>
          <t>HTML</t>
        </is>
      </c>
      <c r="V2557" t="inlineStr">
        <is>
          <t>Bot tespit/zenginlestirme (2026-07-01); meta:score=;priority=Low;source_type=html_link;closing_date=;equipment=Unclassified;reasons=</t>
        </is>
      </c>
    </row>
    <row r="2558">
      <c r="A2558" t="inlineStr">
        <is>
          <t>T-2362</t>
        </is>
      </c>
      <c r="B2558" t="inlineStr">
        <is>
          <t>Bharat Petroleum (BPCL CGD)</t>
        </is>
      </c>
      <c r="C2558" t="inlineStr">
        <is>
          <t>Bharat Petroleum (BPCL CGD)</t>
        </is>
      </c>
      <c r="F2558" t="inlineStr">
        <is>
          <t>New Lead</t>
        </is>
      </c>
      <c r="G2558" t="inlineStr">
        <is>
          <t>Unclassified</t>
        </is>
      </c>
      <c r="H2558" t="inlineStr">
        <is>
          <t>Solvent</t>
        </is>
      </c>
      <c r="K2558" t="inlineStr">
        <is>
          <t>Not found</t>
        </is>
      </c>
      <c r="L2558" t="inlineStr">
        <is>
          <t>Unknown</t>
        </is>
      </c>
      <c r="T2558" t="inlineStr">
        <is>
          <t>https://www.bharatpetroleum.in/Bharat-Petroleum-For/Our-Businesses/Industrial-and-Commercial/Solvent.aspx</t>
        </is>
      </c>
      <c r="U2558" t="inlineStr">
        <is>
          <t>HTML</t>
        </is>
      </c>
      <c r="V2558" t="inlineStr">
        <is>
          <t>Bot tespit/zenginlestirme (2026-07-01); meta:score=;priority=Low;source_type=html_link;closing_date=;equipment=Unclassified;reasons=</t>
        </is>
      </c>
    </row>
    <row r="2559">
      <c r="A2559" t="inlineStr">
        <is>
          <t>T-2363</t>
        </is>
      </c>
      <c r="B2559" t="inlineStr">
        <is>
          <t>Bharat Petroleum (BPCL CGD)</t>
        </is>
      </c>
      <c r="C2559" t="inlineStr">
        <is>
          <t>Bharat Petroleum (BPCL CGD)</t>
        </is>
      </c>
      <c r="F2559" t="inlineStr">
        <is>
          <t>New Lead</t>
        </is>
      </c>
      <c r="G2559" t="inlineStr">
        <is>
          <t>Unclassified</t>
        </is>
      </c>
      <c r="H2559" t="inlineStr">
        <is>
          <t>White-Oil</t>
        </is>
      </c>
      <c r="K2559" t="inlineStr">
        <is>
          <t>Not found</t>
        </is>
      </c>
      <c r="L2559" t="inlineStr">
        <is>
          <t>Unknown</t>
        </is>
      </c>
      <c r="T2559" t="inlineStr">
        <is>
          <t>https://www.bharatpetroleum.in/Bharat-Petroleum-For/Our-Businesses/Industrial-and-Commercial/White-Oil.aspx</t>
        </is>
      </c>
      <c r="U2559" t="inlineStr">
        <is>
          <t>HTML</t>
        </is>
      </c>
      <c r="V2559" t="inlineStr">
        <is>
          <t>Bot tespit/zenginlestirme (2026-07-01); meta:score=;priority=Low;source_type=html_link;closing_date=;equipment=Unclassified;reasons=</t>
        </is>
      </c>
    </row>
    <row r="2560">
      <c r="A2560" t="inlineStr">
        <is>
          <t>T-2364</t>
        </is>
      </c>
      <c r="B2560" t="inlineStr">
        <is>
          <t>Bharat Petroleum (BPCL CGD)</t>
        </is>
      </c>
      <c r="C2560" t="inlineStr">
        <is>
          <t>Bharat Petroleum (BPCL CGD)</t>
        </is>
      </c>
      <c r="F2560" t="inlineStr">
        <is>
          <t>New Lead</t>
        </is>
      </c>
      <c r="G2560" t="inlineStr">
        <is>
          <t>Unclassified</t>
        </is>
      </c>
      <c r="H2560" t="inlineStr">
        <is>
          <t>Specialty Bitumen</t>
        </is>
      </c>
      <c r="K2560" t="inlineStr">
        <is>
          <t>Not found</t>
        </is>
      </c>
      <c r="L2560" t="inlineStr">
        <is>
          <t>Unknown</t>
        </is>
      </c>
      <c r="T2560" t="inlineStr">
        <is>
          <t>https://www.bharatpetroleum.in/Bharat-Petroleum-For/Our-Businesses/Industrial-and-Commercial/Specialty-Bitumen.aspx</t>
        </is>
      </c>
      <c r="U2560" t="inlineStr">
        <is>
          <t>HTML</t>
        </is>
      </c>
      <c r="V2560" t="inlineStr">
        <is>
          <t>Bot tespit/zenginlestirme (2026-07-01); meta:score=;priority=Low;source_type=html_link;closing_date=;equipment=Unclassified;reasons=</t>
        </is>
      </c>
    </row>
    <row r="2561">
      <c r="A2561" t="inlineStr">
        <is>
          <t>T-2365</t>
        </is>
      </c>
      <c r="B2561" t="inlineStr">
        <is>
          <t>Bharat Petroleum (BPCL CGD)</t>
        </is>
      </c>
      <c r="C2561" t="inlineStr">
        <is>
          <t>Bharat Petroleum (BPCL CGD)</t>
        </is>
      </c>
      <c r="F2561" t="inlineStr">
        <is>
          <t>New Lead</t>
        </is>
      </c>
      <c r="G2561" t="inlineStr">
        <is>
          <t>Unclassified</t>
        </is>
      </c>
      <c r="H2561" t="inlineStr">
        <is>
          <t>Special Products</t>
        </is>
      </c>
      <c r="K2561" t="inlineStr">
        <is>
          <t>Not found</t>
        </is>
      </c>
      <c r="L2561" t="inlineStr">
        <is>
          <t>Unknown</t>
        </is>
      </c>
      <c r="T2561" t="inlineStr">
        <is>
          <t>https://www.bharatpetroleum.in/Bharat-Petroleum-For/Our-Businesses/Industrial-and-Commercial/Special-Products.aspx</t>
        </is>
      </c>
      <c r="U2561" t="inlineStr">
        <is>
          <t>HTML</t>
        </is>
      </c>
      <c r="V2561" t="inlineStr">
        <is>
          <t>Bot tespit/zenginlestirme (2026-07-01); meta:score=;priority=Low;source_type=html_link;closing_date=;equipment=Unclassified;reasons=</t>
        </is>
      </c>
    </row>
    <row r="2562">
      <c r="A2562" t="inlineStr">
        <is>
          <t>T-2366</t>
        </is>
      </c>
      <c r="B2562" t="inlineStr">
        <is>
          <t>Bharat Petroleum (BPCL CGD)</t>
        </is>
      </c>
      <c r="C2562" t="inlineStr">
        <is>
          <t>Bharat Petroleum (BPCL CGD)</t>
        </is>
      </c>
      <c r="F2562" t="inlineStr">
        <is>
          <t>New Lead</t>
        </is>
      </c>
      <c r="G2562" t="inlineStr">
        <is>
          <t>Unclassified</t>
        </is>
      </c>
      <c r="H2562" t="inlineStr">
        <is>
          <t>Petchem</t>
        </is>
      </c>
      <c r="K2562" t="inlineStr">
        <is>
          <t>Not found</t>
        </is>
      </c>
      <c r="L2562" t="inlineStr">
        <is>
          <t>Unknown</t>
        </is>
      </c>
      <c r="T2562" t="inlineStr">
        <is>
          <t>https://www.bharatpetroleum.in/our-businesses/industrial-and-commercial/petchem.aspx</t>
        </is>
      </c>
      <c r="U2562" t="inlineStr">
        <is>
          <t>HTML</t>
        </is>
      </c>
      <c r="V2562" t="inlineStr">
        <is>
          <t>Bot tespit/zenginlestirme (2026-07-01); meta:score=;priority=Low;source_type=html_link;closing_date=;equipment=Unclassified;reasons=</t>
        </is>
      </c>
    </row>
    <row r="2563">
      <c r="A2563" t="inlineStr">
        <is>
          <t>T-2367</t>
        </is>
      </c>
      <c r="B2563" t="inlineStr">
        <is>
          <t>Bharat Petroleum (BPCL CGD)</t>
        </is>
      </c>
      <c r="C2563" t="inlineStr">
        <is>
          <t>Bharat Petroleum (BPCL CGD)</t>
        </is>
      </c>
      <c r="F2563" t="inlineStr">
        <is>
          <t>New Lead</t>
        </is>
      </c>
      <c r="G2563" t="inlineStr">
        <is>
          <t>Unclassified</t>
        </is>
      </c>
      <c r="H2563" t="inlineStr">
        <is>
          <t>Bunkerings</t>
        </is>
      </c>
      <c r="K2563" t="inlineStr">
        <is>
          <t>Not found</t>
        </is>
      </c>
      <c r="L2563" t="inlineStr">
        <is>
          <t>Unknown</t>
        </is>
      </c>
      <c r="T2563" t="inlineStr">
        <is>
          <t>https://www.bharatpetroleum.in/Bharat-Petroleum-For/Our-Businesses/Industrial-and-Commercial/Bunkerings.aspx</t>
        </is>
      </c>
      <c r="U2563" t="inlineStr">
        <is>
          <t>HTML</t>
        </is>
      </c>
      <c r="V2563" t="inlineStr">
        <is>
          <t>Bot tespit/zenginlestirme (2026-07-01); meta:score=;priority=Low;source_type=html_link;closing_date=;equipment=Unclassified;reasons=</t>
        </is>
      </c>
    </row>
    <row r="2564">
      <c r="A2564" t="inlineStr">
        <is>
          <t>T-2368</t>
        </is>
      </c>
      <c r="B2564" t="inlineStr">
        <is>
          <t>Bharat Petroleum (BPCL CGD)</t>
        </is>
      </c>
      <c r="C2564" t="inlineStr">
        <is>
          <t>Bharat Petroleum (BPCL CGD)</t>
        </is>
      </c>
      <c r="F2564" t="inlineStr">
        <is>
          <t>New Lead</t>
        </is>
      </c>
      <c r="G2564" t="inlineStr">
        <is>
          <t>Unclassified</t>
        </is>
      </c>
      <c r="H2564" t="inlineStr">
        <is>
          <t>Petrochemical Feedstock</t>
        </is>
      </c>
      <c r="K2564" t="inlineStr">
        <is>
          <t>Not found</t>
        </is>
      </c>
      <c r="L2564" t="inlineStr">
        <is>
          <t>Unknown</t>
        </is>
      </c>
      <c r="T2564" t="inlineStr">
        <is>
          <t>https://www.bharatpetroleum.in/Bharat-Petroleum-For/Our-Businesses/Industrial-and-Commercial/Petrochemical-Feedstock.aspx</t>
        </is>
      </c>
      <c r="U2564" t="inlineStr">
        <is>
          <t>HTML</t>
        </is>
      </c>
      <c r="V2564" t="inlineStr">
        <is>
          <t>Bot tespit/zenginlestirme (2026-07-01); meta:score=;priority=Low;source_type=html_link;closing_date=;equipment=Unclassified;reasons=</t>
        </is>
      </c>
    </row>
    <row r="2565">
      <c r="A2565" t="inlineStr">
        <is>
          <t>T-2369</t>
        </is>
      </c>
      <c r="B2565" t="inlineStr">
        <is>
          <t>Bharat Petroleum (BPCL CGD)</t>
        </is>
      </c>
      <c r="C2565" t="inlineStr">
        <is>
          <t>Bharat Petroleum (BPCL CGD)</t>
        </is>
      </c>
      <c r="F2565" t="inlineStr">
        <is>
          <t>New Lead</t>
        </is>
      </c>
      <c r="G2565" t="inlineStr">
        <is>
          <t>Unclassified</t>
        </is>
      </c>
      <c r="H2565" t="inlineStr">
        <is>
          <t>Connect With Us</t>
        </is>
      </c>
      <c r="K2565" t="inlineStr">
        <is>
          <t>Not found</t>
        </is>
      </c>
      <c r="L2565" t="inlineStr">
        <is>
          <t>Unknown</t>
        </is>
      </c>
      <c r="T2565" t="inlineStr">
        <is>
          <t>https://www.bharatpetroleum.in/Bharat-Petroleum-For/Our-Businesses/Industrial-and-Commercial/Connect-With-Us.aspx</t>
        </is>
      </c>
      <c r="U2565" t="inlineStr">
        <is>
          <t>HTML</t>
        </is>
      </c>
      <c r="V2565" t="inlineStr">
        <is>
          <t>Bot tespit/zenginlestirme (2026-07-01); meta:score=;priority=Low;source_type=html_link;closing_date=;equipment=Unclassified;reasons=</t>
        </is>
      </c>
    </row>
    <row r="2566">
      <c r="A2566" t="inlineStr">
        <is>
          <t>T-2370</t>
        </is>
      </c>
      <c r="B2566" t="inlineStr">
        <is>
          <t>Bharat Petroleum (BPCL CGD)</t>
        </is>
      </c>
      <c r="C2566" t="inlineStr">
        <is>
          <t>Bharat Petroleum (BPCL CGD)</t>
        </is>
      </c>
      <c r="F2566" t="inlineStr">
        <is>
          <t>New Lead</t>
        </is>
      </c>
      <c r="G2566" t="inlineStr">
        <is>
          <t>Unclassified</t>
        </is>
      </c>
      <c r="H2566" t="inlineStr">
        <is>
          <t>International Trade &amp; Risk Management Crude Oil Products Ship Chartering Risk Management Counterparty Registration</t>
        </is>
      </c>
      <c r="K2566" t="inlineStr">
        <is>
          <t>Not found</t>
        </is>
      </c>
      <c r="L2566" t="inlineStr">
        <is>
          <t>Unknown</t>
        </is>
      </c>
      <c r="T2566" t="inlineStr">
        <is>
          <t>https://www.bharatpetroleum.in/Bharat-Petroleum-For/Our-Businesses/International-Trade.aspx</t>
        </is>
      </c>
      <c r="U2566" t="inlineStr">
        <is>
          <t>HTML</t>
        </is>
      </c>
      <c r="V2566" t="inlineStr">
        <is>
          <t>Bot tespit/zenginlestirme (2026-07-01); meta:score=;priority=Low;source_type=html_table;closing_date=;equipment=Unclassified;reasons=</t>
        </is>
      </c>
    </row>
    <row r="2567">
      <c r="A2567" t="inlineStr">
        <is>
          <t>T-2371</t>
        </is>
      </c>
      <c r="B2567" t="inlineStr">
        <is>
          <t>Bharat Petroleum (BPCL CGD)</t>
        </is>
      </c>
      <c r="C2567" t="inlineStr">
        <is>
          <t>Bharat Petroleum (BPCL CGD)</t>
        </is>
      </c>
      <c r="F2567" t="inlineStr">
        <is>
          <t>New Lead</t>
        </is>
      </c>
      <c r="G2567" t="inlineStr">
        <is>
          <t>Unclassified</t>
        </is>
      </c>
      <c r="H2567" t="inlineStr">
        <is>
          <t>Crude Oil</t>
        </is>
      </c>
      <c r="K2567" t="inlineStr">
        <is>
          <t>Not found</t>
        </is>
      </c>
      <c r="L2567" t="inlineStr">
        <is>
          <t>Unknown</t>
        </is>
      </c>
      <c r="T2567" t="inlineStr">
        <is>
          <t>https://www.bharatpetroleum.in/Bharat-Petroleum-For/Our-Businesses/International-Trade/Crude-Imports.aspx</t>
        </is>
      </c>
      <c r="U2567" t="inlineStr">
        <is>
          <t>HTML</t>
        </is>
      </c>
      <c r="V2567" t="inlineStr">
        <is>
          <t>Bot tespit/zenginlestirme (2026-07-01); meta:score=;priority=Low;source_type=html_link;closing_date=;equipment=Unclassified;reasons=</t>
        </is>
      </c>
    </row>
    <row r="2568">
      <c r="A2568" t="inlineStr">
        <is>
          <t>T-2372</t>
        </is>
      </c>
      <c r="B2568" t="inlineStr">
        <is>
          <t>Bharat Petroleum (BPCL CGD)</t>
        </is>
      </c>
      <c r="C2568" t="inlineStr">
        <is>
          <t>Bharat Petroleum (BPCL CGD)</t>
        </is>
      </c>
      <c r="F2568" t="inlineStr">
        <is>
          <t>New Lead</t>
        </is>
      </c>
      <c r="G2568" t="inlineStr">
        <is>
          <t>Unclassified</t>
        </is>
      </c>
      <c r="H2568" t="inlineStr">
        <is>
          <t>Products</t>
        </is>
      </c>
      <c r="K2568" t="inlineStr">
        <is>
          <t>Not found</t>
        </is>
      </c>
      <c r="L2568" t="inlineStr">
        <is>
          <t>Unknown</t>
        </is>
      </c>
      <c r="T2568" t="inlineStr">
        <is>
          <t>https://www.bharatpetroleum.in/Bharat-Petroleum-For/Our-Businesses/International-Trade/Products.aspx</t>
        </is>
      </c>
      <c r="U2568" t="inlineStr">
        <is>
          <t>HTML</t>
        </is>
      </c>
      <c r="V2568" t="inlineStr">
        <is>
          <t>Bot tespit/zenginlestirme (2026-07-01); meta:score=;priority=Low;source_type=html_link;closing_date=;equipment=Unclassified;reasons=</t>
        </is>
      </c>
    </row>
    <row r="2569">
      <c r="A2569" t="inlineStr">
        <is>
          <t>T-2373</t>
        </is>
      </c>
      <c r="B2569" t="inlineStr">
        <is>
          <t>Bharat Petroleum (BPCL CGD)</t>
        </is>
      </c>
      <c r="C2569" t="inlineStr">
        <is>
          <t>Bharat Petroleum (BPCL CGD)</t>
        </is>
      </c>
      <c r="F2569" t="inlineStr">
        <is>
          <t>New Lead</t>
        </is>
      </c>
      <c r="G2569" t="inlineStr">
        <is>
          <t>Unclassified</t>
        </is>
      </c>
      <c r="H2569" t="inlineStr">
        <is>
          <t>Ship Chartering</t>
        </is>
      </c>
      <c r="K2569" t="inlineStr">
        <is>
          <t>Not found</t>
        </is>
      </c>
      <c r="L2569" t="inlineStr">
        <is>
          <t>Unknown</t>
        </is>
      </c>
      <c r="T2569" t="inlineStr">
        <is>
          <t>https://www.bharatpetroleum.in/Bharat-Petroleum-For/Our-Businesses/International-Trade/Ship-Chartering.aspx</t>
        </is>
      </c>
      <c r="U2569" t="inlineStr">
        <is>
          <t>HTML</t>
        </is>
      </c>
      <c r="V2569" t="inlineStr">
        <is>
          <t>Bot tespit/zenginlestirme (2026-07-01); meta:score=;priority=Low;source_type=html_link;closing_date=;equipment=Unclassified;reasons=</t>
        </is>
      </c>
    </row>
    <row r="2570">
      <c r="A2570" t="inlineStr">
        <is>
          <t>T-2374</t>
        </is>
      </c>
      <c r="B2570" t="inlineStr">
        <is>
          <t>Bharat Petroleum (BPCL CGD)</t>
        </is>
      </c>
      <c r="C2570" t="inlineStr">
        <is>
          <t>Bharat Petroleum (BPCL CGD)</t>
        </is>
      </c>
      <c r="F2570" t="inlineStr">
        <is>
          <t>New Lead</t>
        </is>
      </c>
      <c r="G2570" t="inlineStr">
        <is>
          <t>Unclassified</t>
        </is>
      </c>
      <c r="H2570" t="inlineStr">
        <is>
          <t>Risk Management</t>
        </is>
      </c>
      <c r="K2570" t="inlineStr">
        <is>
          <t>Not found</t>
        </is>
      </c>
      <c r="L2570" t="inlineStr">
        <is>
          <t>Unknown</t>
        </is>
      </c>
      <c r="T2570" t="inlineStr">
        <is>
          <t>https://www.bharatpetroleum.in/Bharat-Petroleum-For/Our-Businesses/International-Trade/Risk-Management.aspx</t>
        </is>
      </c>
      <c r="U2570" t="inlineStr">
        <is>
          <t>HTML</t>
        </is>
      </c>
      <c r="V2570" t="inlineStr">
        <is>
          <t>Bot tespit/zenginlestirme (2026-07-01); meta:score=;priority=Low;source_type=html_link;closing_date=;equipment=Unclassified;reasons=</t>
        </is>
      </c>
    </row>
    <row r="2571">
      <c r="A2571" t="inlineStr">
        <is>
          <t>T-2375</t>
        </is>
      </c>
      <c r="B2571" t="inlineStr">
        <is>
          <t>Bharat Petroleum (BPCL CGD)</t>
        </is>
      </c>
      <c r="C2571" t="inlineStr">
        <is>
          <t>Bharat Petroleum (BPCL CGD)</t>
        </is>
      </c>
      <c r="F2571" t="inlineStr">
        <is>
          <t>New Lead</t>
        </is>
      </c>
      <c r="G2571" t="inlineStr">
        <is>
          <t>Unclassified</t>
        </is>
      </c>
      <c r="H2571" t="inlineStr">
        <is>
          <t>Counterparty Registration</t>
        </is>
      </c>
      <c r="K2571" t="inlineStr">
        <is>
          <t>Not found</t>
        </is>
      </c>
      <c r="L2571" t="inlineStr">
        <is>
          <t>Unknown</t>
        </is>
      </c>
      <c r="T2571" t="inlineStr">
        <is>
          <t>https://www.bharatpetroleum.in/Bharat-Petroleum-For/Our-Businesses/International-Trade/Counterparty-Registration.aspx</t>
        </is>
      </c>
      <c r="U2571" t="inlineStr">
        <is>
          <t>HTML</t>
        </is>
      </c>
      <c r="V2571" t="inlineStr">
        <is>
          <t>Bot tespit/zenginlestirme (2026-07-01); meta:score=;priority=Low;source_type=html_link;closing_date=;equipment=Unclassified;reasons=</t>
        </is>
      </c>
    </row>
    <row r="2572">
      <c r="A2572" t="inlineStr">
        <is>
          <t>T-2376</t>
        </is>
      </c>
      <c r="B2572" t="inlineStr">
        <is>
          <t>Bharat Petroleum (BPCL CGD)</t>
        </is>
      </c>
      <c r="C2572" t="inlineStr">
        <is>
          <t>Bharat Petroleum (BPCL CGD)</t>
        </is>
      </c>
      <c r="F2572" t="inlineStr">
        <is>
          <t>New Lead</t>
        </is>
      </c>
      <c r="G2572" t="inlineStr">
        <is>
          <t>Unclassified</t>
        </is>
      </c>
      <c r="H2572" t="inlineStr">
        <is>
          <t>Proficiency Testing About Proficiency Testing Why Us Program Schedule and Fees Other Important Information Reference Material</t>
        </is>
      </c>
      <c r="K2572" t="inlineStr">
        <is>
          <t>Not found</t>
        </is>
      </c>
      <c r="L2572" t="inlineStr">
        <is>
          <t>Unknown</t>
        </is>
      </c>
      <c r="T2572" t="inlineStr">
        <is>
          <t>https://www.bharatpetroleum.in/Bharat-Petroleum-For/Our-Businesses/Proficiency-Testing.aspx</t>
        </is>
      </c>
      <c r="U2572" t="inlineStr">
        <is>
          <t>HTML</t>
        </is>
      </c>
      <c r="V2572" t="inlineStr">
        <is>
          <t>Bot tespit/zenginlestirme (2026-07-01); meta:score=;priority=Low;source_type=html_table;closing_date=;equipment=Unclassified;reasons=</t>
        </is>
      </c>
    </row>
    <row r="2573">
      <c r="A2573" t="inlineStr">
        <is>
          <t>T-2377</t>
        </is>
      </c>
      <c r="B2573" t="inlineStr">
        <is>
          <t>Bharat Petroleum (BPCL CGD)</t>
        </is>
      </c>
      <c r="C2573" t="inlineStr">
        <is>
          <t>Bharat Petroleum (BPCL CGD)</t>
        </is>
      </c>
      <c r="F2573" t="inlineStr">
        <is>
          <t>New Lead</t>
        </is>
      </c>
      <c r="G2573" t="inlineStr">
        <is>
          <t>Unclassified</t>
        </is>
      </c>
      <c r="H2573" t="inlineStr">
        <is>
          <t>About Proficiency Testing</t>
        </is>
      </c>
      <c r="K2573" t="inlineStr">
        <is>
          <t>Not found</t>
        </is>
      </c>
      <c r="L2573" t="inlineStr">
        <is>
          <t>Unknown</t>
        </is>
      </c>
      <c r="T2573" t="inlineStr">
        <is>
          <t>https://www.bharatpetroleum.in/Bharat-Petroleum-For/Our-Businesses/Proficiency-Testing/About-Proficiency-Testing.aspx</t>
        </is>
      </c>
      <c r="U2573" t="inlineStr">
        <is>
          <t>HTML</t>
        </is>
      </c>
      <c r="V2573" t="inlineStr">
        <is>
          <t>Bot tespit/zenginlestirme (2026-07-01); meta:score=;priority=Low;source_type=html_link;closing_date=;equipment=Unclassified;reasons=</t>
        </is>
      </c>
    </row>
    <row r="2574">
      <c r="A2574" t="inlineStr">
        <is>
          <t>T-2378</t>
        </is>
      </c>
      <c r="B2574" t="inlineStr">
        <is>
          <t>Bharat Petroleum (BPCL CGD)</t>
        </is>
      </c>
      <c r="C2574" t="inlineStr">
        <is>
          <t>Bharat Petroleum (BPCL CGD)</t>
        </is>
      </c>
      <c r="F2574" t="inlineStr">
        <is>
          <t>New Lead</t>
        </is>
      </c>
      <c r="G2574" t="inlineStr">
        <is>
          <t>Unclassified</t>
        </is>
      </c>
      <c r="H2574" t="inlineStr">
        <is>
          <t>Why Us</t>
        </is>
      </c>
      <c r="K2574" t="inlineStr">
        <is>
          <t>Not found</t>
        </is>
      </c>
      <c r="L2574" t="inlineStr">
        <is>
          <t>Unknown</t>
        </is>
      </c>
      <c r="T2574" t="inlineStr">
        <is>
          <t>https://www.bharatpetroleum.in/Bharat-Petroleum-For/Our-Businesses/Proficiency-Testing/Why-Us.aspx</t>
        </is>
      </c>
      <c r="U2574" t="inlineStr">
        <is>
          <t>HTML</t>
        </is>
      </c>
      <c r="V2574" t="inlineStr">
        <is>
          <t>Bot tespit/zenginlestirme (2026-07-01); meta:score=;priority=Low;source_type=html_link;closing_date=;equipment=Unclassified;reasons=</t>
        </is>
      </c>
    </row>
    <row r="2575">
      <c r="A2575" t="inlineStr">
        <is>
          <t>T-2379</t>
        </is>
      </c>
      <c r="B2575" t="inlineStr">
        <is>
          <t>Bharat Petroleum (BPCL CGD)</t>
        </is>
      </c>
      <c r="C2575" t="inlineStr">
        <is>
          <t>Bharat Petroleum (BPCL CGD)</t>
        </is>
      </c>
      <c r="F2575" t="inlineStr">
        <is>
          <t>New Lead</t>
        </is>
      </c>
      <c r="G2575" t="inlineStr">
        <is>
          <t>Unclassified</t>
        </is>
      </c>
      <c r="H2575" t="inlineStr">
        <is>
          <t>Program Schedule and Fees</t>
        </is>
      </c>
      <c r="K2575" t="inlineStr">
        <is>
          <t>Not found</t>
        </is>
      </c>
      <c r="L2575" t="inlineStr">
        <is>
          <t>Unknown</t>
        </is>
      </c>
      <c r="T2575" t="inlineStr">
        <is>
          <t>https://www.bharatpetroleum.in/our-businesses/proficiency-testing/program-schedule-and-fees.aspx</t>
        </is>
      </c>
      <c r="U2575" t="inlineStr">
        <is>
          <t>HTML</t>
        </is>
      </c>
      <c r="V2575" t="inlineStr">
        <is>
          <t>Bot tespit/zenginlestirme (2026-07-01); meta:score=;priority=Low;source_type=html_link;closing_date=;equipment=Unclassified;reasons=</t>
        </is>
      </c>
    </row>
    <row r="2576">
      <c r="A2576" t="inlineStr">
        <is>
          <t>T-2380</t>
        </is>
      </c>
      <c r="B2576" t="inlineStr">
        <is>
          <t>Bharat Petroleum (BPCL CGD)</t>
        </is>
      </c>
      <c r="C2576" t="inlineStr">
        <is>
          <t>Bharat Petroleum (BPCL CGD)</t>
        </is>
      </c>
      <c r="F2576" t="inlineStr">
        <is>
          <t>New Lead</t>
        </is>
      </c>
      <c r="G2576" t="inlineStr">
        <is>
          <t>Unclassified</t>
        </is>
      </c>
      <c r="H2576" t="inlineStr">
        <is>
          <t>Other Important Information</t>
        </is>
      </c>
      <c r="K2576" t="inlineStr">
        <is>
          <t>Not found</t>
        </is>
      </c>
      <c r="L2576" t="inlineStr">
        <is>
          <t>Unknown</t>
        </is>
      </c>
      <c r="T2576" t="inlineStr">
        <is>
          <t>https://www.bharatpetroleum.in/Bharat-Petroleum-For/Our-Businesses/Proficiency-Testing/Other-Important-Information.aspx</t>
        </is>
      </c>
      <c r="U2576" t="inlineStr">
        <is>
          <t>HTML</t>
        </is>
      </c>
      <c r="V2576" t="inlineStr">
        <is>
          <t>Bot tespit/zenginlestirme (2026-07-01); meta:score=;priority=Low;source_type=html_link;closing_date=;equipment=Unclassified;reasons=</t>
        </is>
      </c>
    </row>
    <row r="2577">
      <c r="A2577" t="inlineStr">
        <is>
          <t>T-2381</t>
        </is>
      </c>
      <c r="B2577" t="inlineStr">
        <is>
          <t>Bharat Petroleum (BPCL CGD)</t>
        </is>
      </c>
      <c r="C2577" t="inlineStr">
        <is>
          <t>Bharat Petroleum (BPCL CGD)</t>
        </is>
      </c>
      <c r="F2577" t="inlineStr">
        <is>
          <t>New Lead</t>
        </is>
      </c>
      <c r="G2577" t="inlineStr">
        <is>
          <t>Unclassified</t>
        </is>
      </c>
      <c r="H2577" t="inlineStr">
        <is>
          <t>Reference Material</t>
        </is>
      </c>
      <c r="K2577" t="inlineStr">
        <is>
          <t>Not found</t>
        </is>
      </c>
      <c r="L2577" t="inlineStr">
        <is>
          <t>Unknown</t>
        </is>
      </c>
      <c r="T2577" t="inlineStr">
        <is>
          <t>https://www.bharatpetroleum.in/Bharat-Petroleum-For/Our-Businesses/Proficiency-Testing/Reference-Material.aspx</t>
        </is>
      </c>
      <c r="U2577" t="inlineStr">
        <is>
          <t>HTML</t>
        </is>
      </c>
      <c r="V2577" t="inlineStr">
        <is>
          <t>Bot tespit/zenginlestirme (2026-07-01); meta:score=;priority=Low;source_type=html_link;closing_date=;equipment=Unclassified;reasons=</t>
        </is>
      </c>
    </row>
    <row r="2578">
      <c r="A2578" t="inlineStr">
        <is>
          <t>T-2382</t>
        </is>
      </c>
      <c r="B2578" t="inlineStr">
        <is>
          <t>Bharat Petroleum (BPCL CGD)</t>
        </is>
      </c>
      <c r="C2578" t="inlineStr">
        <is>
          <t>Bharat Petroleum (BPCL CGD)</t>
        </is>
      </c>
      <c r="F2578" t="inlineStr">
        <is>
          <t>New Lead</t>
        </is>
      </c>
      <c r="G2578" t="inlineStr">
        <is>
          <t>Unclassified</t>
        </is>
      </c>
      <c r="H2578" t="inlineStr">
        <is>
          <t>Pipelines About Pipelines Overview of BPCL Pipelines Bharat Petroleum Pipeline Crossing Application</t>
        </is>
      </c>
      <c r="K2578" t="inlineStr">
        <is>
          <t>Not found</t>
        </is>
      </c>
      <c r="L2578" t="inlineStr">
        <is>
          <t>Unknown</t>
        </is>
      </c>
      <c r="T2578" t="inlineStr">
        <is>
          <t>https://www.bharatpetroleum.in/Bharat-Petroleum-For/Our-Businesses/Pipelines.aspx</t>
        </is>
      </c>
      <c r="U2578" t="inlineStr">
        <is>
          <t>HTML</t>
        </is>
      </c>
      <c r="V2578" t="inlineStr">
        <is>
          <t>Bot tespit/zenginlestirme (2026-07-01); meta:score=;priority=Low;source_type=html_table;closing_date=;equipment=Unclassified;reasons=</t>
        </is>
      </c>
    </row>
    <row r="2579">
      <c r="A2579" t="inlineStr">
        <is>
          <t>T-2383</t>
        </is>
      </c>
      <c r="B2579" t="inlineStr">
        <is>
          <t>Bharat Petroleum (BPCL CGD)</t>
        </is>
      </c>
      <c r="C2579" t="inlineStr">
        <is>
          <t>Bharat Petroleum (BPCL CGD)</t>
        </is>
      </c>
      <c r="F2579" t="inlineStr">
        <is>
          <t>New Lead</t>
        </is>
      </c>
      <c r="G2579" t="inlineStr">
        <is>
          <t>Unclassified</t>
        </is>
      </c>
      <c r="H2579" t="inlineStr">
        <is>
          <t>About Pipelines</t>
        </is>
      </c>
      <c r="K2579" t="inlineStr">
        <is>
          <t>Not found</t>
        </is>
      </c>
      <c r="L2579" t="inlineStr">
        <is>
          <t>Unknown</t>
        </is>
      </c>
      <c r="T2579" t="inlineStr">
        <is>
          <t>https://www.bharatpetroleum.in/Bharat-Petroleum-For/Our-Businesses/Pipelines/About-Pipelines.aspx</t>
        </is>
      </c>
      <c r="U2579" t="inlineStr">
        <is>
          <t>HTML</t>
        </is>
      </c>
      <c r="V2579" t="inlineStr">
        <is>
          <t>Bot tespit/zenginlestirme (2026-07-01); meta:score=;priority=Low;source_type=html_link;closing_date=;equipment=Unclassified;reasons=</t>
        </is>
      </c>
    </row>
    <row r="2580">
      <c r="A2580" t="inlineStr">
        <is>
          <t>T-2384</t>
        </is>
      </c>
      <c r="B2580" t="inlineStr">
        <is>
          <t>Bharat Petroleum (BPCL CGD)</t>
        </is>
      </c>
      <c r="C2580" t="inlineStr">
        <is>
          <t>Bharat Petroleum (BPCL CGD)</t>
        </is>
      </c>
      <c r="F2580" t="inlineStr">
        <is>
          <t>New Lead</t>
        </is>
      </c>
      <c r="G2580" t="inlineStr">
        <is>
          <t>Unclassified</t>
        </is>
      </c>
      <c r="H2580" t="inlineStr">
        <is>
          <t>Overview of BPCL Pipelines</t>
        </is>
      </c>
      <c r="K2580" t="inlineStr">
        <is>
          <t>Not found</t>
        </is>
      </c>
      <c r="L2580" t="inlineStr">
        <is>
          <t>Unknown</t>
        </is>
      </c>
      <c r="T2580" t="inlineStr">
        <is>
          <t>https://www.bharatpetroleum.in/Bharat-Petroleum-For/Our-Businesses/Pipelines/Overview-of-BPCL-Pipelines.aspx</t>
        </is>
      </c>
      <c r="U2580" t="inlineStr">
        <is>
          <t>HTML</t>
        </is>
      </c>
      <c r="V2580" t="inlineStr">
        <is>
          <t>Bot tespit/zenginlestirme (2026-07-01); meta:score=;priority=Low;source_type=html_link;closing_date=;equipment=Unclassified;reasons=</t>
        </is>
      </c>
    </row>
    <row r="2581">
      <c r="A2581" t="inlineStr">
        <is>
          <t>T-2385</t>
        </is>
      </c>
      <c r="B2581" t="inlineStr">
        <is>
          <t>Bharat Petroleum (BPCL CGD)</t>
        </is>
      </c>
      <c r="C2581" t="inlineStr">
        <is>
          <t>Bharat Petroleum (BPCL CGD)</t>
        </is>
      </c>
      <c r="F2581" t="inlineStr">
        <is>
          <t>New Lead</t>
        </is>
      </c>
      <c r="G2581" t="inlineStr">
        <is>
          <t>Unclassified</t>
        </is>
      </c>
      <c r="H2581" t="inlineStr">
        <is>
          <t>Bharat Petroleum Pipeline Crossing Application</t>
        </is>
      </c>
      <c r="K2581" t="inlineStr">
        <is>
          <t>Not found</t>
        </is>
      </c>
      <c r="L2581" t="inlineStr">
        <is>
          <t>Unknown</t>
        </is>
      </c>
      <c r="T2581" t="inlineStr">
        <is>
          <t>https://ebiz.bpc.co.in/PipelineNocExt/</t>
        </is>
      </c>
      <c r="U2581" t="inlineStr">
        <is>
          <t>HTML</t>
        </is>
      </c>
      <c r="V2581" t="inlineStr">
        <is>
          <t>Bot tespit/zenginlestirme (2026-07-01); meta:score=;priority=Low;source_type=html_link;closing_date=;equipment=Unclassified;reasons=</t>
        </is>
      </c>
    </row>
    <row r="2582">
      <c r="A2582" t="inlineStr">
        <is>
          <t>T-2386</t>
        </is>
      </c>
      <c r="B2582" t="inlineStr">
        <is>
          <t>Bharat Petroleum (BPCL CGD)</t>
        </is>
      </c>
      <c r="C2582" t="inlineStr">
        <is>
          <t>Bharat Petroleum (BPCL CGD)</t>
        </is>
      </c>
      <c r="F2582" t="inlineStr">
        <is>
          <t>New Lead</t>
        </is>
      </c>
      <c r="G2582" t="inlineStr">
        <is>
          <t>Unclassified</t>
        </is>
      </c>
      <c r="H2582" t="inlineStr">
        <is>
          <t>BPCL group</t>
        </is>
      </c>
      <c r="K2582" t="inlineStr">
        <is>
          <t>Not found</t>
        </is>
      </c>
      <c r="L2582" t="inlineStr">
        <is>
          <t>Unknown</t>
        </is>
      </c>
      <c r="T2582" t="inlineStr">
        <is>
          <t>https://www.bharatpetroleum.in/Bharat-Petroleum-For/Our-Businesses/BPCL-group.aspx</t>
        </is>
      </c>
      <c r="U2582" t="inlineStr">
        <is>
          <t>HTML</t>
        </is>
      </c>
      <c r="V2582" t="inlineStr">
        <is>
          <t>Bot tespit/zenginlestirme (2026-07-01); meta:score=;priority=Low;source_type=html_link;closing_date=;equipment=Unclassified;reasons=</t>
        </is>
      </c>
    </row>
    <row r="2583">
      <c r="A2583" t="inlineStr">
        <is>
          <t>T-2387</t>
        </is>
      </c>
      <c r="B2583" t="inlineStr">
        <is>
          <t>Bharat Petroleum (BPCL CGD)</t>
        </is>
      </c>
      <c r="C2583" t="inlineStr">
        <is>
          <t>Bharat Petroleum (BPCL CGD)</t>
        </is>
      </c>
      <c r="F2583" t="inlineStr">
        <is>
          <t>New Lead</t>
        </is>
      </c>
      <c r="G2583" t="inlineStr">
        <is>
          <t>Unclassified</t>
        </is>
      </c>
      <c r="H2583" t="inlineStr">
        <is>
          <t>Mumbai Refinery(MR) Performance Process and Technology Our Products Sustainability Future Plans and Projects Awards Health and Safety Corporate Responsibility</t>
        </is>
      </c>
      <c r="K2583" t="inlineStr">
        <is>
          <t>Not found</t>
        </is>
      </c>
      <c r="L2583" t="inlineStr">
        <is>
          <t>Unknown</t>
        </is>
      </c>
      <c r="T2583" t="inlineStr">
        <is>
          <t>https://www.bharatpetroleum.in/Bharat-Petroleum-For/Refineries/Mumbai-Refinery(MR).aspx</t>
        </is>
      </c>
      <c r="U2583" t="inlineStr">
        <is>
          <t>HTML</t>
        </is>
      </c>
      <c r="V2583" t="inlineStr">
        <is>
          <t>Bot tespit/zenginlestirme (2026-07-01); meta:score=;priority=Low;source_type=html_table;closing_date=;equipment=Unclassified;reasons=</t>
        </is>
      </c>
    </row>
    <row r="2584">
      <c r="A2584" t="inlineStr">
        <is>
          <t>T-2388</t>
        </is>
      </c>
      <c r="B2584" t="inlineStr">
        <is>
          <t>Bharat Petroleum (BPCL CGD)</t>
        </is>
      </c>
      <c r="C2584" t="inlineStr">
        <is>
          <t>Bharat Petroleum (BPCL CGD)</t>
        </is>
      </c>
      <c r="F2584" t="inlineStr">
        <is>
          <t>New Lead</t>
        </is>
      </c>
      <c r="G2584" t="inlineStr">
        <is>
          <t>Unclassified</t>
        </is>
      </c>
      <c r="H2584" t="inlineStr">
        <is>
          <t>Performance</t>
        </is>
      </c>
      <c r="K2584" t="inlineStr">
        <is>
          <t>Not found</t>
        </is>
      </c>
      <c r="L2584" t="inlineStr">
        <is>
          <t>Unknown</t>
        </is>
      </c>
      <c r="T2584" t="inlineStr">
        <is>
          <t>https://www.bharatpetroleum.in/Bharat-Petroleum-For/Refineries/Mumbai-Refinery(MR)/Performance.aspx</t>
        </is>
      </c>
      <c r="U2584" t="inlineStr">
        <is>
          <t>HTML</t>
        </is>
      </c>
      <c r="V2584" t="inlineStr">
        <is>
          <t>Bot tespit/zenginlestirme (2026-07-01); meta:score=;priority=Low;source_type=html_link;closing_date=;equipment=Unclassified;reasons=</t>
        </is>
      </c>
    </row>
    <row r="2585">
      <c r="A2585" t="inlineStr">
        <is>
          <t>T-2389</t>
        </is>
      </c>
      <c r="B2585" t="inlineStr">
        <is>
          <t>Bharat Petroleum (BPCL CGD)</t>
        </is>
      </c>
      <c r="C2585" t="inlineStr">
        <is>
          <t>Bharat Petroleum (BPCL CGD)</t>
        </is>
      </c>
      <c r="F2585" t="inlineStr">
        <is>
          <t>New Lead</t>
        </is>
      </c>
      <c r="G2585" t="inlineStr">
        <is>
          <t>Unclassified</t>
        </is>
      </c>
      <c r="H2585" t="inlineStr">
        <is>
          <t>Process and Technology</t>
        </is>
      </c>
      <c r="K2585" t="inlineStr">
        <is>
          <t>Not found</t>
        </is>
      </c>
      <c r="L2585" t="inlineStr">
        <is>
          <t>Unknown</t>
        </is>
      </c>
      <c r="T2585" t="inlineStr">
        <is>
          <t>https://www.bharatpetroleum.in/Bharat-Petroleum-For/Refineries/Mumbai-Refinery(MR)/Process-and-Technology.aspx</t>
        </is>
      </c>
      <c r="U2585" t="inlineStr">
        <is>
          <t>HTML</t>
        </is>
      </c>
      <c r="V2585" t="inlineStr">
        <is>
          <t>Bot tespit/zenginlestirme (2026-07-01); meta:score=;priority=Low;source_type=html_link;closing_date=;equipment=Unclassified;reasons=</t>
        </is>
      </c>
    </row>
    <row r="2586">
      <c r="A2586" t="inlineStr">
        <is>
          <t>T-2390</t>
        </is>
      </c>
      <c r="B2586" t="inlineStr">
        <is>
          <t>Bharat Petroleum (BPCL CGD)</t>
        </is>
      </c>
      <c r="C2586" t="inlineStr">
        <is>
          <t>Bharat Petroleum (BPCL CGD)</t>
        </is>
      </c>
      <c r="F2586" t="inlineStr">
        <is>
          <t>New Lead</t>
        </is>
      </c>
      <c r="G2586" t="inlineStr">
        <is>
          <t>Unclassified</t>
        </is>
      </c>
      <c r="H2586" t="inlineStr">
        <is>
          <t>Our Products</t>
        </is>
      </c>
      <c r="K2586" t="inlineStr">
        <is>
          <t>Not found</t>
        </is>
      </c>
      <c r="L2586" t="inlineStr">
        <is>
          <t>Unknown</t>
        </is>
      </c>
      <c r="T2586" t="inlineStr">
        <is>
          <t>https://www.bharatpetroleum.in/Bharat-Petroleum-For/Refineries/Mumbai-Refinery(MR)/Our-Products.aspx</t>
        </is>
      </c>
      <c r="U2586" t="inlineStr">
        <is>
          <t>HTML</t>
        </is>
      </c>
      <c r="V2586" t="inlineStr">
        <is>
          <t>Bot tespit/zenginlestirme (2026-07-01); meta:score=;priority=Low;source_type=html_link;closing_date=;equipment=Unclassified;reasons=</t>
        </is>
      </c>
    </row>
    <row r="2587">
      <c r="A2587" t="inlineStr">
        <is>
          <t>T-2391</t>
        </is>
      </c>
      <c r="B2587" t="inlineStr">
        <is>
          <t>Bharat Petroleum (BPCL CGD)</t>
        </is>
      </c>
      <c r="C2587" t="inlineStr">
        <is>
          <t>Bharat Petroleum (BPCL CGD)</t>
        </is>
      </c>
      <c r="F2587" t="inlineStr">
        <is>
          <t>New Lead</t>
        </is>
      </c>
      <c r="G2587" t="inlineStr">
        <is>
          <t>Unclassified</t>
        </is>
      </c>
      <c r="H2587" t="inlineStr">
        <is>
          <t>Sustainability</t>
        </is>
      </c>
      <c r="K2587" t="inlineStr">
        <is>
          <t>Not found</t>
        </is>
      </c>
      <c r="L2587" t="inlineStr">
        <is>
          <t>Unknown</t>
        </is>
      </c>
      <c r="T2587" t="inlineStr">
        <is>
          <t>https://www.bharatpetroleum.in/Bharat-Petroleum-For/Refineries/Mumbai-Refinery(MR)/Sustainability.aspx</t>
        </is>
      </c>
      <c r="U2587" t="inlineStr">
        <is>
          <t>HTML</t>
        </is>
      </c>
      <c r="V2587" t="inlineStr">
        <is>
          <t>Bot tespit/zenginlestirme (2026-07-01); meta:score=;priority=Low;source_type=html_link;closing_date=;equipment=Unclassified;reasons=</t>
        </is>
      </c>
    </row>
    <row r="2588">
      <c r="A2588" t="inlineStr">
        <is>
          <t>T-2392</t>
        </is>
      </c>
      <c r="B2588" t="inlineStr">
        <is>
          <t>Bharat Petroleum (BPCL CGD)</t>
        </is>
      </c>
      <c r="C2588" t="inlineStr">
        <is>
          <t>Bharat Petroleum (BPCL CGD)</t>
        </is>
      </c>
      <c r="F2588" t="inlineStr">
        <is>
          <t>New Lead</t>
        </is>
      </c>
      <c r="G2588" t="inlineStr">
        <is>
          <t>Unclassified</t>
        </is>
      </c>
      <c r="H2588" t="inlineStr">
        <is>
          <t>Future Plans and Projects</t>
        </is>
      </c>
      <c r="K2588" t="inlineStr">
        <is>
          <t>Not found</t>
        </is>
      </c>
      <c r="L2588" t="inlineStr">
        <is>
          <t>Unknown</t>
        </is>
      </c>
      <c r="T2588" t="inlineStr">
        <is>
          <t>https://www.bharatpetroleum.in/Bharat-Petroleum-For/Refineries/Mumbai-Refinery(MR)/Future-Plans-and-Projects.aspx</t>
        </is>
      </c>
      <c r="U2588" t="inlineStr">
        <is>
          <t>HTML</t>
        </is>
      </c>
      <c r="V2588" t="inlineStr">
        <is>
          <t>Bot tespit/zenginlestirme (2026-07-01); meta:score=;priority=Low;source_type=html_link;closing_date=;equipment=Unclassified;reasons=</t>
        </is>
      </c>
    </row>
    <row r="2589">
      <c r="A2589" t="inlineStr">
        <is>
          <t>T-2393</t>
        </is>
      </c>
      <c r="B2589" t="inlineStr">
        <is>
          <t>Bharat Petroleum (BPCL CGD)</t>
        </is>
      </c>
      <c r="C2589" t="inlineStr">
        <is>
          <t>Bharat Petroleum (BPCL CGD)</t>
        </is>
      </c>
      <c r="F2589" t="inlineStr">
        <is>
          <t>Awarded / Result</t>
        </is>
      </c>
      <c r="G2589" t="inlineStr">
        <is>
          <t>Unclassified</t>
        </is>
      </c>
      <c r="H2589" t="inlineStr">
        <is>
          <t>Awards</t>
        </is>
      </c>
      <c r="K2589" t="inlineStr">
        <is>
          <t>Not found</t>
        </is>
      </c>
      <c r="L2589" t="inlineStr">
        <is>
          <t>Unknown</t>
        </is>
      </c>
      <c r="T2589" t="inlineStr">
        <is>
          <t>https://www.bharatpetroleum.in/Bharat-Petroleum-For/Refineries/Mumbai-Refinery(MR)/Awards.aspx</t>
        </is>
      </c>
      <c r="U2589" t="inlineStr">
        <is>
          <t>HTML</t>
        </is>
      </c>
      <c r="V2589" t="inlineStr">
        <is>
          <t>Bot tespit/zenginlestirme (2026-07-01); meta:score=;priority=Low;source_type=html_link;closing_date=;equipment=Unclassified;reasons=</t>
        </is>
      </c>
    </row>
    <row r="2590">
      <c r="A2590" t="inlineStr">
        <is>
          <t>T-2394</t>
        </is>
      </c>
      <c r="B2590" t="inlineStr">
        <is>
          <t>Bharat Petroleum (BPCL CGD)</t>
        </is>
      </c>
      <c r="C2590" t="inlineStr">
        <is>
          <t>Bharat Petroleum (BPCL CGD)</t>
        </is>
      </c>
      <c r="F2590" t="inlineStr">
        <is>
          <t>New Lead</t>
        </is>
      </c>
      <c r="G2590" t="inlineStr">
        <is>
          <t>Unclassified</t>
        </is>
      </c>
      <c r="H2590" t="inlineStr">
        <is>
          <t>Health and Safety</t>
        </is>
      </c>
      <c r="K2590" t="inlineStr">
        <is>
          <t>Not found</t>
        </is>
      </c>
      <c r="L2590" t="inlineStr">
        <is>
          <t>Unknown</t>
        </is>
      </c>
      <c r="T2590" t="inlineStr">
        <is>
          <t>https://www.bharatpetroleum.in/Bharat-Petroleum-For/Refineries/Mumbai-Refinery(MR)/Health-and-Safety.aspx</t>
        </is>
      </c>
      <c r="U2590" t="inlineStr">
        <is>
          <t>HTML</t>
        </is>
      </c>
      <c r="V2590" t="inlineStr">
        <is>
          <t>Bot tespit/zenginlestirme (2026-07-01); meta:score=;priority=Low;source_type=html_link;closing_date=;equipment=Unclassified;reasons=</t>
        </is>
      </c>
    </row>
    <row r="2591">
      <c r="A2591" t="inlineStr">
        <is>
          <t>T-2395</t>
        </is>
      </c>
      <c r="B2591" t="inlineStr">
        <is>
          <t>Bharat Petroleum (BPCL CGD)</t>
        </is>
      </c>
      <c r="C2591" t="inlineStr">
        <is>
          <t>Bharat Petroleum (BPCL CGD)</t>
        </is>
      </c>
      <c r="F2591" t="inlineStr">
        <is>
          <t>New Lead</t>
        </is>
      </c>
      <c r="G2591" t="inlineStr">
        <is>
          <t>Unclassified</t>
        </is>
      </c>
      <c r="H2591" t="inlineStr">
        <is>
          <t>Corporate Responsibility</t>
        </is>
      </c>
      <c r="K2591" t="inlineStr">
        <is>
          <t>Not found</t>
        </is>
      </c>
      <c r="L2591" t="inlineStr">
        <is>
          <t>Unknown</t>
        </is>
      </c>
      <c r="T2591" t="inlineStr">
        <is>
          <t>https://www.bharatpetroleum.in/Bharat-Petroleum-For/Refineries/Mumbai-Refinery(MR)/Corporate-Responsibility.aspx</t>
        </is>
      </c>
      <c r="U2591" t="inlineStr">
        <is>
          <t>HTML</t>
        </is>
      </c>
      <c r="V2591" t="inlineStr">
        <is>
          <t>Bot tespit/zenginlestirme (2026-07-01); meta:score=;priority=Low;source_type=html_link;closing_date=;equipment=Unclassified;reasons=</t>
        </is>
      </c>
    </row>
    <row r="2592">
      <c r="A2592" t="inlineStr">
        <is>
          <t>T-2396</t>
        </is>
      </c>
      <c r="B2592" t="inlineStr">
        <is>
          <t>Bharat Petroleum (BPCL CGD)</t>
        </is>
      </c>
      <c r="C2592" t="inlineStr">
        <is>
          <t>Bharat Petroleum (BPCL CGD)</t>
        </is>
      </c>
      <c r="F2592" t="inlineStr">
        <is>
          <t>New Lead</t>
        </is>
      </c>
      <c r="G2592" t="inlineStr">
        <is>
          <t>Irrelevant / non-target</t>
        </is>
      </c>
      <c r="H2592" t="inlineStr">
        <is>
          <t>Kochi Refinery Overview History Performance Refining Capacity Future Plans Technology Projects Energy Conservation Process Innovation Environment Ambient Air Quality Report IREP Awards and Recognition Health and Safety CSR Your Corner KR</t>
        </is>
      </c>
      <c r="K2592" t="inlineStr">
        <is>
          <t>Not found</t>
        </is>
      </c>
      <c r="L2592" t="inlineStr">
        <is>
          <t>Unknown</t>
        </is>
      </c>
      <c r="T2592" t="inlineStr">
        <is>
          <t>https://www.bharatpetroleum.in/Bharat-Petroleum-For/Refineries/Kochi-Refinery.aspx</t>
        </is>
      </c>
      <c r="U2592" t="inlineStr">
        <is>
          <t>HTML</t>
        </is>
      </c>
      <c r="V2592" t="inlineStr">
        <is>
          <t>Bot tespit/zenginlestirme (2026-07-01); meta:score=;priority=Low;source_type=html_table;closing_date=;equipment=Irrelevant / non-target;reasons=irrelevant_equipment,tender reference signal,website noise</t>
        </is>
      </c>
    </row>
    <row r="2593">
      <c r="A2593" t="inlineStr">
        <is>
          <t>T-2397</t>
        </is>
      </c>
      <c r="B2593" t="inlineStr">
        <is>
          <t>Bharat Petroleum (BPCL CGD)</t>
        </is>
      </c>
      <c r="C2593" t="inlineStr">
        <is>
          <t>Bharat Petroleum (BPCL CGD)</t>
        </is>
      </c>
      <c r="F2593" t="inlineStr">
        <is>
          <t>New Lead</t>
        </is>
      </c>
      <c r="G2593" t="inlineStr">
        <is>
          <t>Unclassified</t>
        </is>
      </c>
      <c r="H2593" t="inlineStr">
        <is>
          <t>Overview</t>
        </is>
      </c>
      <c r="K2593" t="inlineStr">
        <is>
          <t>Not found</t>
        </is>
      </c>
      <c r="L2593" t="inlineStr">
        <is>
          <t>Unknown</t>
        </is>
      </c>
      <c r="T2593" t="inlineStr">
        <is>
          <t>https://www.bharatpetroleum.in/Bharat-Petroleum-For/Refineries/Kochi-Refinery/Overview.aspx</t>
        </is>
      </c>
      <c r="U2593" t="inlineStr">
        <is>
          <t>HTML</t>
        </is>
      </c>
      <c r="V2593" t="inlineStr">
        <is>
          <t>Bot tespit/zenginlestirme (2026-07-01); meta:score=;priority=Low;source_type=html_link;closing_date=;equipment=Unclassified;reasons=</t>
        </is>
      </c>
    </row>
    <row r="2594">
      <c r="A2594" t="inlineStr">
        <is>
          <t>T-2398</t>
        </is>
      </c>
      <c r="B2594" t="inlineStr">
        <is>
          <t>Bharat Petroleum (BPCL CGD)</t>
        </is>
      </c>
      <c r="C2594" t="inlineStr">
        <is>
          <t>Bharat Petroleum (BPCL CGD)</t>
        </is>
      </c>
      <c r="F2594" t="inlineStr">
        <is>
          <t>New Lead</t>
        </is>
      </c>
      <c r="G2594" t="inlineStr">
        <is>
          <t>Unclassified</t>
        </is>
      </c>
      <c r="H2594" t="inlineStr">
        <is>
          <t>History</t>
        </is>
      </c>
      <c r="K2594" t="inlineStr">
        <is>
          <t>Not found</t>
        </is>
      </c>
      <c r="L2594" t="inlineStr">
        <is>
          <t>Unknown</t>
        </is>
      </c>
      <c r="T2594" t="inlineStr">
        <is>
          <t>https://www.bharatpetroleum.in/Bharat-Petroleum-For/Refineries/Kochi-Refinery/History.aspx</t>
        </is>
      </c>
      <c r="U2594" t="inlineStr">
        <is>
          <t>HTML</t>
        </is>
      </c>
      <c r="V2594" t="inlineStr">
        <is>
          <t>Bot tespit/zenginlestirme (2026-07-01); meta:score=;priority=Low;source_type=html_link;closing_date=;equipment=Unclassified;reasons=</t>
        </is>
      </c>
    </row>
    <row r="2595">
      <c r="A2595" t="inlineStr">
        <is>
          <t>T-2399</t>
        </is>
      </c>
      <c r="B2595" t="inlineStr">
        <is>
          <t>Bharat Petroleum (BPCL CGD)</t>
        </is>
      </c>
      <c r="C2595" t="inlineStr">
        <is>
          <t>Bharat Petroleum (BPCL CGD)</t>
        </is>
      </c>
      <c r="F2595" t="inlineStr">
        <is>
          <t>New Lead</t>
        </is>
      </c>
      <c r="G2595" t="inlineStr">
        <is>
          <t>Unclassified</t>
        </is>
      </c>
      <c r="H2595" t="inlineStr">
        <is>
          <t>Performance</t>
        </is>
      </c>
      <c r="K2595" t="inlineStr">
        <is>
          <t>Not found</t>
        </is>
      </c>
      <c r="L2595" t="inlineStr">
        <is>
          <t>Unknown</t>
        </is>
      </c>
      <c r="T2595" t="inlineStr">
        <is>
          <t>https://www.bharatpetroleum.in/Bharat-Petroleum-For/Refineries/Kochi-Refinery/Performance.aspx</t>
        </is>
      </c>
      <c r="U2595" t="inlineStr">
        <is>
          <t>HTML</t>
        </is>
      </c>
      <c r="V2595" t="inlineStr">
        <is>
          <t>Bot tespit/zenginlestirme (2026-07-01); meta:score=;priority=Low;source_type=html_link;closing_date=;equipment=Unclassified;reasons=</t>
        </is>
      </c>
    </row>
    <row r="2596">
      <c r="A2596" t="inlineStr">
        <is>
          <t>T-2400</t>
        </is>
      </c>
      <c r="B2596" t="inlineStr">
        <is>
          <t>Bharat Petroleum (BPCL CGD)</t>
        </is>
      </c>
      <c r="C2596" t="inlineStr">
        <is>
          <t>Bharat Petroleum (BPCL CGD)</t>
        </is>
      </c>
      <c r="F2596" t="inlineStr">
        <is>
          <t>New Lead</t>
        </is>
      </c>
      <c r="G2596" t="inlineStr">
        <is>
          <t>Unclassified</t>
        </is>
      </c>
      <c r="H2596" t="inlineStr">
        <is>
          <t>Refining Capacity</t>
        </is>
      </c>
      <c r="K2596" t="inlineStr">
        <is>
          <t>Not found</t>
        </is>
      </c>
      <c r="L2596" t="inlineStr">
        <is>
          <t>Unknown</t>
        </is>
      </c>
      <c r="T2596" t="inlineStr">
        <is>
          <t>https://www.bharatpetroleum.in/Bharat-Petroleum-For/Refineries/Kochi-Refinery/Refining-Capacity.aspx</t>
        </is>
      </c>
      <c r="U2596" t="inlineStr">
        <is>
          <t>HTML</t>
        </is>
      </c>
      <c r="V2596" t="inlineStr">
        <is>
          <t>Bot tespit/zenginlestirme (2026-07-01); meta:score=;priority=Low;source_type=html_link;closing_date=;equipment=Unclassified;reasons=</t>
        </is>
      </c>
    </row>
    <row r="2597">
      <c r="A2597" t="inlineStr">
        <is>
          <t>T-2401</t>
        </is>
      </c>
      <c r="B2597" t="inlineStr">
        <is>
          <t>Bharat Petroleum (BPCL CGD)</t>
        </is>
      </c>
      <c r="C2597" t="inlineStr">
        <is>
          <t>Bharat Petroleum (BPCL CGD)</t>
        </is>
      </c>
      <c r="F2597" t="inlineStr">
        <is>
          <t>New Lead</t>
        </is>
      </c>
      <c r="G2597" t="inlineStr">
        <is>
          <t>Unclassified</t>
        </is>
      </c>
      <c r="H2597" t="inlineStr">
        <is>
          <t>Future Plans</t>
        </is>
      </c>
      <c r="K2597" t="inlineStr">
        <is>
          <t>Not found</t>
        </is>
      </c>
      <c r="L2597" t="inlineStr">
        <is>
          <t>Unknown</t>
        </is>
      </c>
      <c r="T2597" t="inlineStr">
        <is>
          <t>https://www.bharatpetroleum.in/Bharat-Petroleum-For/Refineries/Kochi-Refinery/Future-Plans.aspx</t>
        </is>
      </c>
      <c r="U2597" t="inlineStr">
        <is>
          <t>HTML</t>
        </is>
      </c>
      <c r="V2597" t="inlineStr">
        <is>
          <t>Bot tespit/zenginlestirme (2026-07-01); meta:score=;priority=Low;source_type=html_link;closing_date=;equipment=Unclassified;reasons=</t>
        </is>
      </c>
    </row>
    <row r="2598">
      <c r="A2598" t="inlineStr">
        <is>
          <t>T-2402</t>
        </is>
      </c>
      <c r="B2598" t="inlineStr">
        <is>
          <t>Bharat Petroleum (BPCL CGD)</t>
        </is>
      </c>
      <c r="C2598" t="inlineStr">
        <is>
          <t>Bharat Petroleum (BPCL CGD)</t>
        </is>
      </c>
      <c r="F2598" t="inlineStr">
        <is>
          <t>New Lead</t>
        </is>
      </c>
      <c r="G2598" t="inlineStr">
        <is>
          <t>Unclassified</t>
        </is>
      </c>
      <c r="H2598" t="inlineStr">
        <is>
          <t>Technology</t>
        </is>
      </c>
      <c r="K2598" t="inlineStr">
        <is>
          <t>Not found</t>
        </is>
      </c>
      <c r="L2598" t="inlineStr">
        <is>
          <t>Unknown</t>
        </is>
      </c>
      <c r="T2598" t="inlineStr">
        <is>
          <t>https://www.bharatpetroleum.in/Bharat-Petroleum-For/Refineries/Kochi-Refinery/Technology.aspx</t>
        </is>
      </c>
      <c r="U2598" t="inlineStr">
        <is>
          <t>HTML</t>
        </is>
      </c>
      <c r="V2598" t="inlineStr">
        <is>
          <t>Bot tespit/zenginlestirme (2026-07-01); meta:score=;priority=Low;source_type=html_link;closing_date=;equipment=Unclassified;reasons=</t>
        </is>
      </c>
    </row>
    <row r="2599">
      <c r="A2599" t="inlineStr">
        <is>
          <t>T-2403</t>
        </is>
      </c>
      <c r="B2599" t="inlineStr">
        <is>
          <t>Bharat Petroleum (BPCL CGD)</t>
        </is>
      </c>
      <c r="C2599" t="inlineStr">
        <is>
          <t>Bharat Petroleum (BPCL CGD)</t>
        </is>
      </c>
      <c r="F2599" t="inlineStr">
        <is>
          <t>New Lead</t>
        </is>
      </c>
      <c r="G2599" t="inlineStr">
        <is>
          <t>Unclassified</t>
        </is>
      </c>
      <c r="H2599" t="inlineStr">
        <is>
          <t>Projects</t>
        </is>
      </c>
      <c r="K2599" t="inlineStr">
        <is>
          <t>Not found</t>
        </is>
      </c>
      <c r="L2599" t="inlineStr">
        <is>
          <t>Unknown</t>
        </is>
      </c>
      <c r="T2599" t="inlineStr">
        <is>
          <t>https://www.bharatpetroleum.in/Bharat-Petroleum-For/Refineries/Kochi-Refinery/Projects.aspx</t>
        </is>
      </c>
      <c r="U2599" t="inlineStr">
        <is>
          <t>HTML</t>
        </is>
      </c>
      <c r="V2599" t="inlineStr">
        <is>
          <t>Bot tespit/zenginlestirme (2026-07-01); meta:score=;priority=Low;source_type=html_link;closing_date=;equipment=Unclassified;reasons=</t>
        </is>
      </c>
    </row>
    <row r="2600">
      <c r="A2600" t="inlineStr">
        <is>
          <t>T-2404</t>
        </is>
      </c>
      <c r="B2600" t="inlineStr">
        <is>
          <t>Bharat Petroleum (BPCL CGD)</t>
        </is>
      </c>
      <c r="C2600" t="inlineStr">
        <is>
          <t>Bharat Petroleum (BPCL CGD)</t>
        </is>
      </c>
      <c r="F2600" t="inlineStr">
        <is>
          <t>New Lead</t>
        </is>
      </c>
      <c r="G2600" t="inlineStr">
        <is>
          <t>Unclassified</t>
        </is>
      </c>
      <c r="H2600" t="inlineStr">
        <is>
          <t>Energy Conservation</t>
        </is>
      </c>
      <c r="K2600" t="inlineStr">
        <is>
          <t>Not found</t>
        </is>
      </c>
      <c r="L2600" t="inlineStr">
        <is>
          <t>Unknown</t>
        </is>
      </c>
      <c r="T2600" t="inlineStr">
        <is>
          <t>https://www.bharatpetroleum.in/Bharat-Petroleum-For/Refineries/Kochi-Refinery/Energy-Conservation.aspx</t>
        </is>
      </c>
      <c r="U2600" t="inlineStr">
        <is>
          <t>HTML</t>
        </is>
      </c>
      <c r="V2600" t="inlineStr">
        <is>
          <t>Bot tespit/zenginlestirme (2026-07-01); meta:score=;priority=Low;source_type=html_link;closing_date=;equipment=Unclassified;reasons=</t>
        </is>
      </c>
    </row>
    <row r="2601">
      <c r="A2601" t="inlineStr">
        <is>
          <t>T-2405</t>
        </is>
      </c>
      <c r="B2601" t="inlineStr">
        <is>
          <t>Bharat Petroleum (BPCL CGD)</t>
        </is>
      </c>
      <c r="C2601" t="inlineStr">
        <is>
          <t>Bharat Petroleum (BPCL CGD)</t>
        </is>
      </c>
      <c r="F2601" t="inlineStr">
        <is>
          <t>New Lead</t>
        </is>
      </c>
      <c r="G2601" t="inlineStr">
        <is>
          <t>Unclassified</t>
        </is>
      </c>
      <c r="H2601" t="inlineStr">
        <is>
          <t>Process</t>
        </is>
      </c>
      <c r="K2601" t="inlineStr">
        <is>
          <t>Not found</t>
        </is>
      </c>
      <c r="L2601" t="inlineStr">
        <is>
          <t>Unknown</t>
        </is>
      </c>
      <c r="T2601" t="inlineStr">
        <is>
          <t>https://www.bharatpetroleum.in/Bharat-Petroleum-For/Refineries/Kochi-Refinery/Process.aspx</t>
        </is>
      </c>
      <c r="U2601" t="inlineStr">
        <is>
          <t>HTML</t>
        </is>
      </c>
      <c r="V2601" t="inlineStr">
        <is>
          <t>Bot tespit/zenginlestirme (2026-07-01); meta:score=;priority=Low;source_type=html_link;closing_date=;equipment=Unclassified;reasons=</t>
        </is>
      </c>
    </row>
    <row r="2602">
      <c r="A2602" t="inlineStr">
        <is>
          <t>T-2406</t>
        </is>
      </c>
      <c r="B2602" t="inlineStr">
        <is>
          <t>Bharat Petroleum (BPCL CGD)</t>
        </is>
      </c>
      <c r="C2602" t="inlineStr">
        <is>
          <t>Bharat Petroleum (BPCL CGD)</t>
        </is>
      </c>
      <c r="F2602" t="inlineStr">
        <is>
          <t>New Lead</t>
        </is>
      </c>
      <c r="G2602" t="inlineStr">
        <is>
          <t>Unclassified</t>
        </is>
      </c>
      <c r="H2602" t="inlineStr">
        <is>
          <t>Innovation</t>
        </is>
      </c>
      <c r="K2602" t="inlineStr">
        <is>
          <t>Not found</t>
        </is>
      </c>
      <c r="L2602" t="inlineStr">
        <is>
          <t>Unknown</t>
        </is>
      </c>
      <c r="T2602" t="inlineStr">
        <is>
          <t>https://www.bharatpetroleum.in/Bharat-Petroleum-For/Refineries/Kochi-Refinery/Innovation.aspx</t>
        </is>
      </c>
      <c r="U2602" t="inlineStr">
        <is>
          <t>HTML</t>
        </is>
      </c>
      <c r="V2602" t="inlineStr">
        <is>
          <t>Bot tespit/zenginlestirme (2026-07-01); meta:score=;priority=Low;source_type=html_link;closing_date=;equipment=Unclassified;reasons=</t>
        </is>
      </c>
    </row>
    <row r="2603">
      <c r="A2603" t="inlineStr">
        <is>
          <t>T-2407</t>
        </is>
      </c>
      <c r="B2603" t="inlineStr">
        <is>
          <t>Bharat Petroleum (BPCL CGD)</t>
        </is>
      </c>
      <c r="C2603" t="inlineStr">
        <is>
          <t>Bharat Petroleum (BPCL CGD)</t>
        </is>
      </c>
      <c r="F2603" t="inlineStr">
        <is>
          <t>New Lead</t>
        </is>
      </c>
      <c r="G2603" t="inlineStr">
        <is>
          <t>Unclassified</t>
        </is>
      </c>
      <c r="H2603" t="inlineStr">
        <is>
          <t>Environment</t>
        </is>
      </c>
      <c r="K2603" t="inlineStr">
        <is>
          <t>Not found</t>
        </is>
      </c>
      <c r="L2603" t="inlineStr">
        <is>
          <t>Unknown</t>
        </is>
      </c>
      <c r="T2603" t="inlineStr">
        <is>
          <t>https://www.bharatpetroleum.in/sustainability/green-refineries/kochi-refinery.aspx</t>
        </is>
      </c>
      <c r="U2603" t="inlineStr">
        <is>
          <t>HTML</t>
        </is>
      </c>
      <c r="V2603" t="inlineStr">
        <is>
          <t>Bot tespit/zenginlestirme (2026-07-01); meta:score=;priority=Low;source_type=html_link;closing_date=;equipment=Unclassified;reasons=</t>
        </is>
      </c>
    </row>
    <row r="2604">
      <c r="A2604" t="inlineStr">
        <is>
          <t>T-2408</t>
        </is>
      </c>
      <c r="B2604" t="inlineStr">
        <is>
          <t>Bharat Petroleum (BPCL CGD)</t>
        </is>
      </c>
      <c r="C2604" t="inlineStr">
        <is>
          <t>Bharat Petroleum (BPCL CGD)</t>
        </is>
      </c>
      <c r="F2604" t="inlineStr">
        <is>
          <t>New Lead</t>
        </is>
      </c>
      <c r="G2604" t="inlineStr">
        <is>
          <t>Unclassified</t>
        </is>
      </c>
      <c r="H2604" t="inlineStr">
        <is>
          <t>Ambient Air Quality Report</t>
        </is>
      </c>
      <c r="K2604" t="inlineStr">
        <is>
          <t>Not found</t>
        </is>
      </c>
      <c r="L2604" t="inlineStr">
        <is>
          <t>Unknown</t>
        </is>
      </c>
      <c r="T2604" t="inlineStr">
        <is>
          <t>https://www.bharatpetroleum.in/Bharat-Petroleum-For/Refineries/Kochi-Refinery/Ambient-Air-Quality-Report.aspx</t>
        </is>
      </c>
      <c r="U2604" t="inlineStr">
        <is>
          <t>HTML</t>
        </is>
      </c>
      <c r="V2604" t="inlineStr">
        <is>
          <t>Bot tespit/zenginlestirme (2026-07-01); meta:score=;priority=Low;source_type=html_link;closing_date=;equipment=Unclassified;reasons=</t>
        </is>
      </c>
    </row>
    <row r="2605">
      <c r="A2605" t="inlineStr">
        <is>
          <t>T-2409</t>
        </is>
      </c>
      <c r="B2605" t="inlineStr">
        <is>
          <t>Bharat Petroleum (BPCL CGD)</t>
        </is>
      </c>
      <c r="C2605" t="inlineStr">
        <is>
          <t>Bharat Petroleum (BPCL CGD)</t>
        </is>
      </c>
      <c r="F2605" t="inlineStr">
        <is>
          <t>New Lead</t>
        </is>
      </c>
      <c r="G2605" t="inlineStr">
        <is>
          <t>Unclassified</t>
        </is>
      </c>
      <c r="H2605" t="inlineStr">
        <is>
          <t>IREP</t>
        </is>
      </c>
      <c r="K2605" t="inlineStr">
        <is>
          <t>Not found</t>
        </is>
      </c>
      <c r="L2605" t="inlineStr">
        <is>
          <t>Unknown</t>
        </is>
      </c>
      <c r="T2605" t="inlineStr">
        <is>
          <t>https://www.bharatpetroleum.in/Bharat-Petroleum-For/Refineries/Kochi-Refinery/IREP.aspx</t>
        </is>
      </c>
      <c r="U2605" t="inlineStr">
        <is>
          <t>HTML</t>
        </is>
      </c>
      <c r="V2605" t="inlineStr">
        <is>
          <t>Bot tespit/zenginlestirme (2026-07-01); meta:score=;priority=Low;source_type=html_link;closing_date=;equipment=Unclassified;reasons=</t>
        </is>
      </c>
    </row>
    <row r="2606">
      <c r="A2606" t="inlineStr">
        <is>
          <t>T-2410</t>
        </is>
      </c>
      <c r="B2606" t="inlineStr">
        <is>
          <t>Bharat Petroleum (BPCL CGD)</t>
        </is>
      </c>
      <c r="C2606" t="inlineStr">
        <is>
          <t>Bharat Petroleum (BPCL CGD)</t>
        </is>
      </c>
      <c r="F2606" t="inlineStr">
        <is>
          <t>New Lead</t>
        </is>
      </c>
      <c r="G2606" t="inlineStr">
        <is>
          <t>Unclassified</t>
        </is>
      </c>
      <c r="H2606" t="inlineStr">
        <is>
          <t>Health and Safety</t>
        </is>
      </c>
      <c r="K2606" t="inlineStr">
        <is>
          <t>Not found</t>
        </is>
      </c>
      <c r="L2606" t="inlineStr">
        <is>
          <t>Unknown</t>
        </is>
      </c>
      <c r="T2606" t="inlineStr">
        <is>
          <t>https://www.bharatpetroleum.in/Bharat-Petroleum-For/Refineries/Kochi-Refinery/Health-and-Safety.aspx</t>
        </is>
      </c>
      <c r="U2606" t="inlineStr">
        <is>
          <t>HTML</t>
        </is>
      </c>
      <c r="V2606" t="inlineStr">
        <is>
          <t>Bot tespit/zenginlestirme (2026-07-01); meta:score=;priority=Low;source_type=html_link;closing_date=;equipment=Unclassified;reasons=</t>
        </is>
      </c>
    </row>
    <row r="2607">
      <c r="A2607" t="inlineStr">
        <is>
          <t>T-2411</t>
        </is>
      </c>
      <c r="B2607" t="inlineStr">
        <is>
          <t>Bharat Petroleum (BPCL CGD)</t>
        </is>
      </c>
      <c r="C2607" t="inlineStr">
        <is>
          <t>Bharat Petroleum (BPCL CGD)</t>
        </is>
      </c>
      <c r="F2607" t="inlineStr">
        <is>
          <t>New Lead</t>
        </is>
      </c>
      <c r="G2607" t="inlineStr">
        <is>
          <t>Irrelevant / non-target</t>
        </is>
      </c>
      <c r="H2607" t="inlineStr">
        <is>
          <t>CSR</t>
        </is>
      </c>
      <c r="K2607" t="inlineStr">
        <is>
          <t>Not found</t>
        </is>
      </c>
      <c r="L2607" t="inlineStr">
        <is>
          <t>Unknown</t>
        </is>
      </c>
      <c r="T2607" t="inlineStr">
        <is>
          <t>https://www.bharatpetroleum.in/Bharat-Petroleum-For/Refineries/Kochi-Refinery/CSR.aspx</t>
        </is>
      </c>
      <c r="U2607" t="inlineStr">
        <is>
          <t>HTML</t>
        </is>
      </c>
      <c r="V2607" t="inlineStr">
        <is>
          <t>Bot tespit/zenginlestirme (2026-07-01); meta:score=;priority=Low;source_type=html_link;closing_date=;equipment=Irrelevant / non-target;reasons=irrelevant_equipment,website noise</t>
        </is>
      </c>
    </row>
    <row r="2608">
      <c r="A2608" t="inlineStr">
        <is>
          <t>T-2412</t>
        </is>
      </c>
      <c r="B2608" t="inlineStr">
        <is>
          <t>Bharat Petroleum (BPCL CGD)</t>
        </is>
      </c>
      <c r="C2608" t="inlineStr">
        <is>
          <t>Bharat Petroleum (BPCL CGD)</t>
        </is>
      </c>
      <c r="F2608" t="inlineStr">
        <is>
          <t>New Lead</t>
        </is>
      </c>
      <c r="G2608" t="inlineStr">
        <is>
          <t>Unclassified</t>
        </is>
      </c>
      <c r="H2608" t="inlineStr">
        <is>
          <t>Your Corner KR</t>
        </is>
      </c>
      <c r="K2608" t="inlineStr">
        <is>
          <t>Not found</t>
        </is>
      </c>
      <c r="L2608" t="inlineStr">
        <is>
          <t>Unknown</t>
        </is>
      </c>
      <c r="T2608" t="inlineStr">
        <is>
          <t>https://www.bharatpetroleum.in/Bharat-Petroleum-For/Refineries/Kochi-Refinery/Your-Corner-KR.aspx</t>
        </is>
      </c>
      <c r="U2608" t="inlineStr">
        <is>
          <t>HTML</t>
        </is>
      </c>
      <c r="V2608" t="inlineStr">
        <is>
          <t>Bot tespit/zenginlestirme (2026-07-01); meta:score=;priority=Low;source_type=html_link;closing_date=;equipment=Unclassified;reasons=</t>
        </is>
      </c>
    </row>
    <row r="2609">
      <c r="A2609" t="inlineStr">
        <is>
          <t>T-2413</t>
        </is>
      </c>
      <c r="B2609" t="inlineStr">
        <is>
          <t>Bharat Petroleum (BPCL CGD)</t>
        </is>
      </c>
      <c r="C2609" t="inlineStr">
        <is>
          <t>Bharat Petroleum (BPCL CGD)</t>
        </is>
      </c>
      <c r="F2609" t="inlineStr">
        <is>
          <t>New Lead</t>
        </is>
      </c>
      <c r="G2609" t="inlineStr">
        <is>
          <t>Unclassified</t>
        </is>
      </c>
      <c r="H2609" t="inlineStr">
        <is>
          <t>Products</t>
        </is>
      </c>
      <c r="K2609" t="inlineStr">
        <is>
          <t>Not found</t>
        </is>
      </c>
      <c r="L2609" t="inlineStr">
        <is>
          <t>Unknown</t>
        </is>
      </c>
      <c r="T2609" t="inlineStr">
        <is>
          <t>https://www.bharatpetroleum.in/Bharat-Petroleum-For/Refineries/Bina-Refinery/Products.aspx</t>
        </is>
      </c>
      <c r="U2609" t="inlineStr">
        <is>
          <t>HTML</t>
        </is>
      </c>
      <c r="V2609" t="inlineStr">
        <is>
          <t>Bot tespit/zenginlestirme (2026-07-01); meta:score=;priority=Low;source_type=html_link;closing_date=;equipment=Unclassified;reasons=</t>
        </is>
      </c>
    </row>
    <row r="2610">
      <c r="A2610" t="inlineStr">
        <is>
          <t>T-2414</t>
        </is>
      </c>
      <c r="B2610" t="inlineStr">
        <is>
          <t>Bharat Petroleum (BPCL CGD)</t>
        </is>
      </c>
      <c r="C2610" t="inlineStr">
        <is>
          <t>Bharat Petroleum (BPCL CGD)</t>
        </is>
      </c>
      <c r="F2610" t="inlineStr">
        <is>
          <t>New Lead</t>
        </is>
      </c>
      <c r="G2610" t="inlineStr">
        <is>
          <t>Unclassified</t>
        </is>
      </c>
      <c r="H2610" t="inlineStr">
        <is>
          <t>Health Safety and Environment</t>
        </is>
      </c>
      <c r="K2610" t="inlineStr">
        <is>
          <t>Not found</t>
        </is>
      </c>
      <c r="L2610" t="inlineStr">
        <is>
          <t>Unknown</t>
        </is>
      </c>
      <c r="T2610" t="inlineStr">
        <is>
          <t>https://www.bharatpetroleum.in/Bharat-Petroleum-For/Refineries/Bina-Refinery/Health-Safety-and-Environment.aspx</t>
        </is>
      </c>
      <c r="U2610" t="inlineStr">
        <is>
          <t>HTML</t>
        </is>
      </c>
      <c r="V2610" t="inlineStr">
        <is>
          <t>Bot tespit/zenginlestirme (2026-07-01); meta:score=;priority=Low;source_type=html_link;closing_date=;equipment=Unclassified;reasons=</t>
        </is>
      </c>
    </row>
    <row r="2611">
      <c r="A2611" t="inlineStr">
        <is>
          <t>T-2415</t>
        </is>
      </c>
      <c r="B2611" t="inlineStr">
        <is>
          <t>Bharat Petroleum (BPCL CGD)</t>
        </is>
      </c>
      <c r="C2611" t="inlineStr">
        <is>
          <t>Bharat Petroleum (BPCL CGD)</t>
        </is>
      </c>
      <c r="F2611" t="inlineStr">
        <is>
          <t>Awarded / Result</t>
        </is>
      </c>
      <c r="G2611" t="inlineStr">
        <is>
          <t>Unclassified</t>
        </is>
      </c>
      <c r="H2611" t="inlineStr">
        <is>
          <t>Awards and Accolades</t>
        </is>
      </c>
      <c r="K2611" t="inlineStr">
        <is>
          <t>Not found</t>
        </is>
      </c>
      <c r="L2611" t="inlineStr">
        <is>
          <t>Unknown</t>
        </is>
      </c>
      <c r="T2611" t="inlineStr">
        <is>
          <t>https://www.bharatpetroleum.in/Bharat-Petroleum-For/Refineries/Bina-Refinery/Awards-and-Accolades.aspx</t>
        </is>
      </c>
      <c r="U2611" t="inlineStr">
        <is>
          <t>HTML</t>
        </is>
      </c>
      <c r="V2611" t="inlineStr">
        <is>
          <t>Bot tespit/zenginlestirme (2026-07-01); meta:score=;priority=Low;source_type=html_link;closing_date=;equipment=Unclassified;reasons=</t>
        </is>
      </c>
    </row>
    <row r="2612">
      <c r="A2612" t="inlineStr">
        <is>
          <t>T-2416</t>
        </is>
      </c>
      <c r="B2612" t="inlineStr">
        <is>
          <t>Bharat Petroleum (BPCL CGD)</t>
        </is>
      </c>
      <c r="C2612" t="inlineStr">
        <is>
          <t>Bharat Petroleum (BPCL CGD)</t>
        </is>
      </c>
      <c r="F2612" t="inlineStr">
        <is>
          <t>New Lead</t>
        </is>
      </c>
      <c r="G2612" t="inlineStr">
        <is>
          <t>Irrelevant / non-target</t>
        </is>
      </c>
      <c r="H2612" t="inlineStr">
        <is>
          <t>CSR</t>
        </is>
      </c>
      <c r="K2612" t="inlineStr">
        <is>
          <t>Not found</t>
        </is>
      </c>
      <c r="L2612" t="inlineStr">
        <is>
          <t>Unknown</t>
        </is>
      </c>
      <c r="T2612" t="inlineStr">
        <is>
          <t>https://www.bharatpetroleum.in/Bharat-Petroleum-For/Refineries/Bina-Refinery/CSR.aspx</t>
        </is>
      </c>
      <c r="U2612" t="inlineStr">
        <is>
          <t>HTML</t>
        </is>
      </c>
      <c r="V2612" t="inlineStr">
        <is>
          <t>Bot tespit/zenginlestirme (2026-07-01); meta:score=;priority=Low;source_type=html_link;closing_date=;equipment=Irrelevant / non-target;reasons=irrelevant_equipment,website noise</t>
        </is>
      </c>
    </row>
    <row r="2613">
      <c r="A2613" t="inlineStr">
        <is>
          <t>T-2417</t>
        </is>
      </c>
      <c r="B2613" t="inlineStr">
        <is>
          <t>Maharashtra Natural Gas (MNGL)</t>
        </is>
      </c>
      <c r="C2613" t="inlineStr">
        <is>
          <t>Maharashtra Natural Gas (MNGL)</t>
        </is>
      </c>
      <c r="F2613" t="inlineStr">
        <is>
          <t>New Lead</t>
        </is>
      </c>
      <c r="G2613" t="inlineStr">
        <is>
          <t>Regulating station</t>
        </is>
      </c>
      <c r="H2613" t="inlineStr">
        <is>
          <t>Bidders are required to enroll on the e-Procurement module of the Central Public Procurement Portal (URL: http://etendrs.gov.in/eprocure/app ), by clicking on the link “Online Bidder Enrolment” option available on the home page. Enrolment on the CPP Portal is free of charge.</t>
        </is>
      </c>
      <c r="K2613" t="inlineStr">
        <is>
          <t>Not found</t>
        </is>
      </c>
      <c r="L2613" t="inlineStr">
        <is>
          <t>Unknown</t>
        </is>
      </c>
      <c r="T2613" t="inlineStr">
        <is>
          <t>http://etendrs.gov.in/eprocure/app</t>
        </is>
      </c>
      <c r="U2613" t="inlineStr">
        <is>
          <t>HTML</t>
        </is>
      </c>
      <c r="V2613" t="inlineStr">
        <is>
          <t>Bot tespit/zenginlestirme (2026-07-01); meta:score=60;priority=Medium;source_type=html_table;closing_date=;equipment=Regulating station;reasons=equipment:Regulating station,station/skid keyword; Bot clean extraction (2026-07-01);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614">
      <c r="A2614" t="inlineStr">
        <is>
          <t>T-2418</t>
        </is>
      </c>
      <c r="B2614" t="inlineStr">
        <is>
          <t>Maharashtra Natural Gas (MNGL)</t>
        </is>
      </c>
      <c r="C2614" t="inlineStr">
        <is>
          <t>Maharashtra Natural Gas (MNGL)</t>
        </is>
      </c>
      <c r="F2614" t="inlineStr">
        <is>
          <t>New Lead</t>
        </is>
      </c>
      <c r="G2614" t="inlineStr">
        <is>
          <t>Unclassified</t>
        </is>
      </c>
      <c r="H2614" t="inlineStr">
        <is>
          <t>Charged Area Status</t>
        </is>
      </c>
      <c r="K2614" t="inlineStr">
        <is>
          <t>Not found</t>
        </is>
      </c>
      <c r="L2614" t="inlineStr">
        <is>
          <t>Unknown</t>
        </is>
      </c>
      <c r="T2614" t="inlineStr">
        <is>
          <t>https://mngl.in/./assets/frontend/pdf/charge_area_status.pdf</t>
        </is>
      </c>
      <c r="U2614" t="inlineStr">
        <is>
          <t>No</t>
        </is>
      </c>
      <c r="V2614" t="inlineStr">
        <is>
          <t>Bot tespit/zenginlestirme (2026-07-01); meta:score=20;priority=Low;source_type=html_link;closing_date=;equipment=Unclassified;reasons=document source</t>
        </is>
      </c>
    </row>
    <row r="2615">
      <c r="A2615" t="inlineStr">
        <is>
          <t>T-2419</t>
        </is>
      </c>
      <c r="B2615" t="inlineStr">
        <is>
          <t>Maharashtra Natural Gas (MNGL)</t>
        </is>
      </c>
      <c r="C2615" t="inlineStr">
        <is>
          <t>Maharashtra Natural Gas (MNGL)</t>
        </is>
      </c>
      <c r="F2615" t="inlineStr">
        <is>
          <t>New Lead</t>
        </is>
      </c>
      <c r="G2615" t="inlineStr">
        <is>
          <t>Gas-related / review</t>
        </is>
      </c>
      <c r="H2615" t="inlineStr">
        <is>
          <t>Overview</t>
        </is>
      </c>
      <c r="K2615" t="inlineStr">
        <is>
          <t>Not found</t>
        </is>
      </c>
      <c r="L2615" t="inlineStr">
        <is>
          <t>Unknown</t>
        </is>
      </c>
      <c r="T2615" t="inlineStr">
        <is>
          <t>https://mngl.in/domestic-png/overview</t>
        </is>
      </c>
      <c r="U2615" t="inlineStr">
        <is>
          <t>HTML</t>
        </is>
      </c>
      <c r="V2615" t="inlineStr">
        <is>
          <t>Bot tespit/zenginlestirme (2026-07-01); meta:score=15;priority=Low;source_type=html_link;closing_date=;equipment=Gas-related / review;reasons=equipment:Gas-related / review</t>
        </is>
      </c>
    </row>
    <row r="2616">
      <c r="A2616" t="inlineStr">
        <is>
          <t>T-2420</t>
        </is>
      </c>
      <c r="B2616" t="inlineStr">
        <is>
          <t>Maharashtra Natural Gas (MNGL)</t>
        </is>
      </c>
      <c r="C2616" t="inlineStr">
        <is>
          <t>Maharashtra Natural Gas (MNGL)</t>
        </is>
      </c>
      <c r="F2616" t="inlineStr">
        <is>
          <t>New Lead</t>
        </is>
      </c>
      <c r="G2616" t="inlineStr">
        <is>
          <t>Gas-related / review</t>
        </is>
      </c>
      <c r="H2616" t="inlineStr">
        <is>
          <t>PNG Network</t>
        </is>
      </c>
      <c r="K2616" t="inlineStr">
        <is>
          <t>Not found</t>
        </is>
      </c>
      <c r="L2616" t="inlineStr">
        <is>
          <t>Unknown</t>
        </is>
      </c>
      <c r="T2616" t="inlineStr">
        <is>
          <t>https://mngl.in/domestic-png/png-network</t>
        </is>
      </c>
      <c r="U2616" t="inlineStr">
        <is>
          <t>HTML</t>
        </is>
      </c>
      <c r="V2616" t="inlineStr">
        <is>
          <t>Bot tespit/zenginlestirme (2026-07-01); meta:score=15;priority=Low;source_type=html_link;closing_date=;equipment=Gas-related / review;reasons=equipment:Gas-related / review</t>
        </is>
      </c>
    </row>
    <row r="2617">
      <c r="A2617" t="inlineStr">
        <is>
          <t>T-2421</t>
        </is>
      </c>
      <c r="B2617" t="inlineStr">
        <is>
          <t>Maharashtra Natural Gas (MNGL)</t>
        </is>
      </c>
      <c r="C2617" t="inlineStr">
        <is>
          <t>Maharashtra Natural Gas (MNGL)</t>
        </is>
      </c>
      <c r="F2617" t="inlineStr">
        <is>
          <t>New Lead</t>
        </is>
      </c>
      <c r="G2617" t="inlineStr">
        <is>
          <t>Gas-related / review</t>
        </is>
      </c>
      <c r="H2617" t="inlineStr">
        <is>
          <t>PNG Rate Card</t>
        </is>
      </c>
      <c r="K2617" t="inlineStr">
        <is>
          <t>Not found</t>
        </is>
      </c>
      <c r="L2617" t="inlineStr">
        <is>
          <t>Unknown</t>
        </is>
      </c>
      <c r="T2617" t="inlineStr">
        <is>
          <t>https://mngl.in/domestic-png/png-rate-card</t>
        </is>
      </c>
      <c r="U2617" t="inlineStr">
        <is>
          <t>HTML</t>
        </is>
      </c>
      <c r="V2617" t="inlineStr">
        <is>
          <t>Bot tespit/zenginlestirme (2026-07-01); meta:score=15;priority=Low;source_type=html_link;closing_date=;equipment=Gas-related / review;reasons=equipment:Gas-related / review</t>
        </is>
      </c>
    </row>
    <row r="2618">
      <c r="A2618" t="inlineStr">
        <is>
          <t>T-2422</t>
        </is>
      </c>
      <c r="B2618" t="inlineStr">
        <is>
          <t>Maharashtra Natural Gas (MNGL)</t>
        </is>
      </c>
      <c r="C2618" t="inlineStr">
        <is>
          <t>Maharashtra Natural Gas (MNGL)</t>
        </is>
      </c>
      <c r="F2618" t="inlineStr">
        <is>
          <t>New Lead</t>
        </is>
      </c>
      <c r="G2618" t="inlineStr">
        <is>
          <t>Gas-related / review</t>
        </is>
      </c>
      <c r="H2618" t="inlineStr">
        <is>
          <t>FAQ</t>
        </is>
      </c>
      <c r="K2618" t="inlineStr">
        <is>
          <t>Not found</t>
        </is>
      </c>
      <c r="L2618" t="inlineStr">
        <is>
          <t>Unknown</t>
        </is>
      </c>
      <c r="T2618" t="inlineStr">
        <is>
          <t>https://mngl.in/domestic-png/faq</t>
        </is>
      </c>
      <c r="U2618" t="inlineStr">
        <is>
          <t>HTML</t>
        </is>
      </c>
      <c r="V2618" t="inlineStr">
        <is>
          <t>Bot tespit/zenginlestirme (2026-07-01); meta:score=15;priority=Low;source_type=html_link;closing_date=;equipment=Gas-related / review;reasons=equipment:Gas-related / review</t>
        </is>
      </c>
    </row>
    <row r="2619">
      <c r="A2619" t="inlineStr">
        <is>
          <t>T-2423</t>
        </is>
      </c>
      <c r="B2619" t="inlineStr">
        <is>
          <t>Maharashtra Natural Gas (MNGL)</t>
        </is>
      </c>
      <c r="C2619" t="inlineStr">
        <is>
          <t>Maharashtra Natural Gas (MNGL)</t>
        </is>
      </c>
      <c r="F2619" t="inlineStr">
        <is>
          <t>New Lead</t>
        </is>
      </c>
      <c r="G2619" t="inlineStr">
        <is>
          <t>Gas-related / review</t>
        </is>
      </c>
      <c r="H2619" t="inlineStr">
        <is>
          <t>Domestic Connection Request</t>
        </is>
      </c>
      <c r="K2619" t="inlineStr">
        <is>
          <t>Not found</t>
        </is>
      </c>
      <c r="L2619" t="inlineStr">
        <is>
          <t>Unknown</t>
        </is>
      </c>
      <c r="T2619" t="inlineStr">
        <is>
          <t>https://mngl.in/domestic-png/connection-request</t>
        </is>
      </c>
      <c r="U2619" t="inlineStr">
        <is>
          <t>HTML</t>
        </is>
      </c>
      <c r="V2619" t="inlineStr">
        <is>
          <t>Bot tespit/zenginlestirme (2026-07-01); meta:score=15;priority=Low;source_type=html_link;closing_date=;equipment=Gas-related / review;reasons=equipment:Gas-related / review</t>
        </is>
      </c>
    </row>
    <row r="2620">
      <c r="A2620" t="inlineStr">
        <is>
          <t>T-2424</t>
        </is>
      </c>
      <c r="B2620" t="inlineStr">
        <is>
          <t>Maharashtra Natural Gas (MNGL)</t>
        </is>
      </c>
      <c r="C2620" t="inlineStr">
        <is>
          <t>Maharashtra Natural Gas (MNGL)</t>
        </is>
      </c>
      <c r="F2620" t="inlineStr">
        <is>
          <t>New Lead</t>
        </is>
      </c>
      <c r="G2620" t="inlineStr">
        <is>
          <t>Gas-related / review</t>
        </is>
      </c>
      <c r="H2620" t="inlineStr">
        <is>
          <t>Technical Guidelines for PNG Installation</t>
        </is>
      </c>
      <c r="K2620" t="inlineStr">
        <is>
          <t>Not found</t>
        </is>
      </c>
      <c r="L2620" t="inlineStr">
        <is>
          <t>Unknown</t>
        </is>
      </c>
      <c r="T2620" t="inlineStr">
        <is>
          <t>https://mngl.in/domestic-png/technical-guidelines</t>
        </is>
      </c>
      <c r="U2620" t="inlineStr">
        <is>
          <t>HTML</t>
        </is>
      </c>
      <c r="V2620" t="inlineStr">
        <is>
          <t>Bot tespit/zenginlestirme (2026-07-01); meta:score=15;priority=Low;source_type=html_link;closing_date=;equipment=Gas-related / review;reasons=equipment:Gas-related / review</t>
        </is>
      </c>
    </row>
    <row r="2621">
      <c r="A2621" t="inlineStr">
        <is>
          <t>T-2425</t>
        </is>
      </c>
      <c r="B2621" t="inlineStr">
        <is>
          <t>Maharashtra Natural Gas (MNGL)</t>
        </is>
      </c>
      <c r="C2621" t="inlineStr">
        <is>
          <t>Maharashtra Natural Gas (MNGL)</t>
        </is>
      </c>
      <c r="F2621" t="inlineStr">
        <is>
          <t>New Lead</t>
        </is>
      </c>
      <c r="G2621" t="inlineStr">
        <is>
          <t>Gas-related / review</t>
        </is>
      </c>
      <c r="H2621" t="inlineStr">
        <is>
          <t>Overview</t>
        </is>
      </c>
      <c r="K2621" t="inlineStr">
        <is>
          <t>Not found</t>
        </is>
      </c>
      <c r="L2621" t="inlineStr">
        <is>
          <t>Unknown</t>
        </is>
      </c>
      <c r="T2621" t="inlineStr">
        <is>
          <t>https://mngl.in/commercial-png/overview</t>
        </is>
      </c>
      <c r="U2621" t="inlineStr">
        <is>
          <t>HTML</t>
        </is>
      </c>
      <c r="V2621" t="inlineStr">
        <is>
          <t>Bot tespit/zenginlestirme (2026-07-01); meta:score=15;priority=Low;source_type=html_link;closing_date=;equipment=Gas-related / review;reasons=equipment:Gas-related / review</t>
        </is>
      </c>
    </row>
    <row r="2622">
      <c r="A2622" t="inlineStr">
        <is>
          <t>T-2426</t>
        </is>
      </c>
      <c r="B2622" t="inlineStr">
        <is>
          <t>Maharashtra Natural Gas (MNGL)</t>
        </is>
      </c>
      <c r="C2622" t="inlineStr">
        <is>
          <t>Maharashtra Natural Gas (MNGL)</t>
        </is>
      </c>
      <c r="F2622" t="inlineStr">
        <is>
          <t>New Lead</t>
        </is>
      </c>
      <c r="G2622" t="inlineStr">
        <is>
          <t>Gas-related / review</t>
        </is>
      </c>
      <c r="H2622" t="inlineStr">
        <is>
          <t>Apply for Commercial Use</t>
        </is>
      </c>
      <c r="K2622" t="inlineStr">
        <is>
          <t>Not found</t>
        </is>
      </c>
      <c r="L2622" t="inlineStr">
        <is>
          <t>Unknown</t>
        </is>
      </c>
      <c r="T2622" t="inlineStr">
        <is>
          <t>https://mngl.in/commercial-png/apply</t>
        </is>
      </c>
      <c r="U2622" t="inlineStr">
        <is>
          <t>HTML</t>
        </is>
      </c>
      <c r="V2622" t="inlineStr">
        <is>
          <t>Bot tespit/zenginlestirme (2026-07-01); meta:score=15;priority=Low;source_type=html_link;closing_date=;equipment=Gas-related / review;reasons=equipment:Gas-related / review</t>
        </is>
      </c>
    </row>
    <row r="2623">
      <c r="A2623" t="inlineStr">
        <is>
          <t>T-2427</t>
        </is>
      </c>
      <c r="B2623" t="inlineStr">
        <is>
          <t>Maharashtra Natural Gas (MNGL)</t>
        </is>
      </c>
      <c r="C2623" t="inlineStr">
        <is>
          <t>Maharashtra Natural Gas (MNGL)</t>
        </is>
      </c>
      <c r="F2623" t="inlineStr">
        <is>
          <t>New Lead</t>
        </is>
      </c>
      <c r="G2623" t="inlineStr">
        <is>
          <t>Gas-related / review</t>
        </is>
      </c>
      <c r="H2623" t="inlineStr">
        <is>
          <t>Procedure</t>
        </is>
      </c>
      <c r="K2623" t="inlineStr">
        <is>
          <t>Not found</t>
        </is>
      </c>
      <c r="L2623" t="inlineStr">
        <is>
          <t>Unknown</t>
        </is>
      </c>
      <c r="T2623" t="inlineStr">
        <is>
          <t>https://mngl.in/commercial-png/procedure</t>
        </is>
      </c>
      <c r="U2623" t="inlineStr">
        <is>
          <t>HTML</t>
        </is>
      </c>
      <c r="V2623" t="inlineStr">
        <is>
          <t>Bot tespit/zenginlestirme (2026-07-01); meta:score=15;priority=Low;source_type=html_link;closing_date=;equipment=Gas-related / review;reasons=equipment:Gas-related / review</t>
        </is>
      </c>
    </row>
    <row r="2624">
      <c r="A2624" t="inlineStr">
        <is>
          <t>T-2428</t>
        </is>
      </c>
      <c r="B2624" t="inlineStr">
        <is>
          <t>Maharashtra Natural Gas (MNGL)</t>
        </is>
      </c>
      <c r="C2624" t="inlineStr">
        <is>
          <t>Maharashtra Natural Gas (MNGL)</t>
        </is>
      </c>
      <c r="F2624" t="inlineStr">
        <is>
          <t>New Lead</t>
        </is>
      </c>
      <c r="G2624" t="inlineStr">
        <is>
          <t>Gas-related / review</t>
        </is>
      </c>
      <c r="H2624" t="inlineStr">
        <is>
          <t>Area of Industrial and Commercial Connections</t>
        </is>
      </c>
      <c r="K2624" t="inlineStr">
        <is>
          <t>Not found</t>
        </is>
      </c>
      <c r="L2624" t="inlineStr">
        <is>
          <t>Unknown</t>
        </is>
      </c>
      <c r="T2624" t="inlineStr">
        <is>
          <t>https://mngl.in/commercial-png/areas</t>
        </is>
      </c>
      <c r="U2624" t="inlineStr">
        <is>
          <t>HTML</t>
        </is>
      </c>
      <c r="V2624" t="inlineStr">
        <is>
          <t>Bot tespit/zenginlestirme (2026-07-01); meta:score=15;priority=Low;source_type=html_link;closing_date=;equipment=Gas-related / review;reasons=equipment:Gas-related / review</t>
        </is>
      </c>
    </row>
    <row r="2625">
      <c r="A2625" t="inlineStr">
        <is>
          <t>T-2429</t>
        </is>
      </c>
      <c r="B2625" t="inlineStr">
        <is>
          <t>Maharashtra Natural Gas (MNGL)</t>
        </is>
      </c>
      <c r="C2625" t="inlineStr">
        <is>
          <t>Maharashtra Natural Gas (MNGL)</t>
        </is>
      </c>
      <c r="F2625" t="inlineStr">
        <is>
          <t>New Lead</t>
        </is>
      </c>
      <c r="G2625" t="inlineStr">
        <is>
          <t>Gas-related / review</t>
        </is>
      </c>
      <c r="H2625" t="inlineStr">
        <is>
          <t>Overview</t>
        </is>
      </c>
      <c r="K2625" t="inlineStr">
        <is>
          <t>Not found</t>
        </is>
      </c>
      <c r="L2625" t="inlineStr">
        <is>
          <t>Unknown</t>
        </is>
      </c>
      <c r="T2625" t="inlineStr">
        <is>
          <t>https://mngl.in/cng/overview</t>
        </is>
      </c>
      <c r="U2625" t="inlineStr">
        <is>
          <t>HTML</t>
        </is>
      </c>
      <c r="V2625" t="inlineStr">
        <is>
          <t>Bot tespit/zenginlestirme (2026-07-01); meta:score=15;priority=Low;source_type=html_link;closing_date=;equipment=Gas-related / review;reasons=equipment:Gas-related / review</t>
        </is>
      </c>
    </row>
    <row r="2626">
      <c r="A2626" t="inlineStr">
        <is>
          <t>T-2430</t>
        </is>
      </c>
      <c r="B2626" t="inlineStr">
        <is>
          <t>Maharashtra Natural Gas (MNGL)</t>
        </is>
      </c>
      <c r="C2626" t="inlineStr">
        <is>
          <t>Maharashtra Natural Gas (MNGL)</t>
        </is>
      </c>
      <c r="F2626" t="inlineStr">
        <is>
          <t>New Lead</t>
        </is>
      </c>
      <c r="G2626" t="inlineStr">
        <is>
          <t>Gas-related / review</t>
        </is>
      </c>
      <c r="H2626" t="inlineStr">
        <is>
          <t>CNG Rate Card</t>
        </is>
      </c>
      <c r="K2626" t="inlineStr">
        <is>
          <t>Not found</t>
        </is>
      </c>
      <c r="L2626" t="inlineStr">
        <is>
          <t>Unknown</t>
        </is>
      </c>
      <c r="T2626" t="inlineStr">
        <is>
          <t>https://mngl.in/cng/rate-card</t>
        </is>
      </c>
      <c r="U2626" t="inlineStr">
        <is>
          <t>HTML</t>
        </is>
      </c>
      <c r="V2626" t="inlineStr">
        <is>
          <t>Bot tespit/zenginlestirme (2026-07-01); meta:score=15;priority=Low;source_type=html_link;closing_date=;equipment=Gas-related / review;reasons=equipment:Gas-related / review</t>
        </is>
      </c>
    </row>
    <row r="2627">
      <c r="A2627" t="inlineStr">
        <is>
          <t>T-2431</t>
        </is>
      </c>
      <c r="B2627" t="inlineStr">
        <is>
          <t>Maharashtra Natural Gas (MNGL)</t>
        </is>
      </c>
      <c r="C2627" t="inlineStr">
        <is>
          <t>Maharashtra Natural Gas (MNGL)</t>
        </is>
      </c>
      <c r="F2627" t="inlineStr">
        <is>
          <t>New Lead</t>
        </is>
      </c>
      <c r="G2627" t="inlineStr">
        <is>
          <t>Gas-related / review</t>
        </is>
      </c>
      <c r="H2627" t="inlineStr">
        <is>
          <t>Saving Calculator</t>
        </is>
      </c>
      <c r="K2627" t="inlineStr">
        <is>
          <t>Not found</t>
        </is>
      </c>
      <c r="L2627" t="inlineStr">
        <is>
          <t>Unknown</t>
        </is>
      </c>
      <c r="T2627" t="inlineStr">
        <is>
          <t>https://mngl.in/cng/saving-calculator</t>
        </is>
      </c>
      <c r="U2627" t="inlineStr">
        <is>
          <t>HTML</t>
        </is>
      </c>
      <c r="V2627" t="inlineStr">
        <is>
          <t>Bot tespit/zenginlestirme (2026-07-01); meta:score=15;priority=Low;source_type=html_link;closing_date=;equipment=Gas-related / review;reasons=equipment:Gas-related / review</t>
        </is>
      </c>
    </row>
    <row r="2628">
      <c r="A2628" t="inlineStr">
        <is>
          <t>T-2432</t>
        </is>
      </c>
      <c r="B2628" t="inlineStr">
        <is>
          <t>Maharashtra Natural Gas (MNGL)</t>
        </is>
      </c>
      <c r="C2628" t="inlineStr">
        <is>
          <t>Maharashtra Natural Gas (MNGL)</t>
        </is>
      </c>
      <c r="F2628" t="inlineStr">
        <is>
          <t>New Lead</t>
        </is>
      </c>
      <c r="G2628" t="inlineStr">
        <is>
          <t>Gas-related / review</t>
        </is>
      </c>
      <c r="H2628" t="inlineStr">
        <is>
          <t>CNG Filling Stations</t>
        </is>
      </c>
      <c r="K2628" t="inlineStr">
        <is>
          <t>Not found</t>
        </is>
      </c>
      <c r="L2628" t="inlineStr">
        <is>
          <t>Unknown</t>
        </is>
      </c>
      <c r="T2628" t="inlineStr">
        <is>
          <t>https://mngl.in/cng/cylinders-filling-stations</t>
        </is>
      </c>
      <c r="U2628" t="inlineStr">
        <is>
          <t>HTML</t>
        </is>
      </c>
      <c r="V2628" t="inlineStr">
        <is>
          <t>Bot tespit/zenginlestirme (2026-07-01); meta:score=15;priority=Low;source_type=html_link;closing_date=;equipment=Gas-related / review;reasons=equipment:Gas-related / review</t>
        </is>
      </c>
    </row>
    <row r="2629">
      <c r="A2629" t="inlineStr">
        <is>
          <t>T-2433</t>
        </is>
      </c>
      <c r="B2629" t="inlineStr">
        <is>
          <t>Maharashtra Natural Gas (MNGL)</t>
        </is>
      </c>
      <c r="C2629" t="inlineStr">
        <is>
          <t>Maharashtra Natural Gas (MNGL)</t>
        </is>
      </c>
      <c r="F2629" t="inlineStr">
        <is>
          <t>New Lead</t>
        </is>
      </c>
      <c r="G2629" t="inlineStr">
        <is>
          <t>Gas-related / review</t>
        </is>
      </c>
      <c r="H2629" t="inlineStr">
        <is>
          <t>CNG Car Models</t>
        </is>
      </c>
      <c r="K2629" t="inlineStr">
        <is>
          <t>Not found</t>
        </is>
      </c>
      <c r="L2629" t="inlineStr">
        <is>
          <t>Unknown</t>
        </is>
      </c>
      <c r="T2629" t="inlineStr">
        <is>
          <t>https://mngl.in/cng/car-models</t>
        </is>
      </c>
      <c r="U2629" t="inlineStr">
        <is>
          <t>HTML</t>
        </is>
      </c>
      <c r="V2629" t="inlineStr">
        <is>
          <t>Bot tespit/zenginlestirme (2026-07-01); meta:score=15;priority=Low;source_type=html_link;closing_date=;equipment=Gas-related / review;reasons=equipment:Gas-related / review</t>
        </is>
      </c>
    </row>
    <row r="2630">
      <c r="A2630" t="inlineStr">
        <is>
          <t>T-2434</t>
        </is>
      </c>
      <c r="B2630" t="inlineStr">
        <is>
          <t>Maharashtra Natural Gas (MNGL)</t>
        </is>
      </c>
      <c r="C2630" t="inlineStr">
        <is>
          <t>Maharashtra Natural Gas (MNGL)</t>
        </is>
      </c>
      <c r="F2630" t="inlineStr">
        <is>
          <t>New Lead</t>
        </is>
      </c>
      <c r="G2630" t="inlineStr">
        <is>
          <t>Gas-related / review</t>
        </is>
      </c>
      <c r="H2630" t="inlineStr">
        <is>
          <t>FAQ</t>
        </is>
      </c>
      <c r="K2630" t="inlineStr">
        <is>
          <t>Not found</t>
        </is>
      </c>
      <c r="L2630" t="inlineStr">
        <is>
          <t>Unknown</t>
        </is>
      </c>
      <c r="T2630" t="inlineStr">
        <is>
          <t>https://mngl.in/cng/faq</t>
        </is>
      </c>
      <c r="U2630" t="inlineStr">
        <is>
          <t>HTML</t>
        </is>
      </c>
      <c r="V2630" t="inlineStr">
        <is>
          <t>Bot tespit/zenginlestirme (2026-07-01); meta:score=15;priority=Low;source_type=html_link;closing_date=;equipment=Gas-related / review;reasons=equipment:Gas-related / review</t>
        </is>
      </c>
    </row>
    <row r="2631">
      <c r="A2631" t="inlineStr">
        <is>
          <t>T-2435</t>
        </is>
      </c>
      <c r="B2631" t="inlineStr">
        <is>
          <t>Maharashtra Natural Gas (MNGL)</t>
        </is>
      </c>
      <c r="C2631" t="inlineStr">
        <is>
          <t>Maharashtra Natural Gas (MNGL)</t>
        </is>
      </c>
      <c r="F2631" t="inlineStr">
        <is>
          <t>New Lead</t>
        </is>
      </c>
      <c r="G2631" t="inlineStr">
        <is>
          <t>Gas-related / review</t>
        </is>
      </c>
      <c r="H2631" t="inlineStr">
        <is>
          <t>Cylinders Testing Station</t>
        </is>
      </c>
      <c r="K2631" t="inlineStr">
        <is>
          <t>Not found</t>
        </is>
      </c>
      <c r="L2631" t="inlineStr">
        <is>
          <t>Unknown</t>
        </is>
      </c>
      <c r="T2631" t="inlineStr">
        <is>
          <t>https://mngl.in/cng/cylinders-testing-stations</t>
        </is>
      </c>
      <c r="U2631" t="inlineStr">
        <is>
          <t>HTML</t>
        </is>
      </c>
      <c r="V2631" t="inlineStr">
        <is>
          <t>Bot tespit/zenginlestirme (2026-07-01); meta:score=15;priority=Low;source_type=html_link;closing_date=;equipment=Gas-related / review;reasons=equipment:Gas-related / review</t>
        </is>
      </c>
    </row>
    <row r="2632">
      <c r="A2632" t="inlineStr">
        <is>
          <t>T-2436</t>
        </is>
      </c>
      <c r="B2632" t="inlineStr">
        <is>
          <t>Maharashtra Natural Gas (MNGL)</t>
        </is>
      </c>
      <c r="C2632" t="inlineStr">
        <is>
          <t>Maharashtra Natural Gas (MNGL)</t>
        </is>
      </c>
      <c r="F2632" t="inlineStr">
        <is>
          <t>New Lead</t>
        </is>
      </c>
      <c r="G2632" t="inlineStr">
        <is>
          <t>Gas-related / review</t>
        </is>
      </c>
      <c r="H2632" t="inlineStr">
        <is>
          <t>Overview</t>
        </is>
      </c>
      <c r="K2632" t="inlineStr">
        <is>
          <t>Not found</t>
        </is>
      </c>
      <c r="L2632" t="inlineStr">
        <is>
          <t>Unknown</t>
        </is>
      </c>
      <c r="T2632" t="inlineStr">
        <is>
          <t>https://mngl.in/industrial-png/overview</t>
        </is>
      </c>
      <c r="U2632" t="inlineStr">
        <is>
          <t>HTML</t>
        </is>
      </c>
      <c r="V2632" t="inlineStr">
        <is>
          <t>Bot tespit/zenginlestirme (2026-07-01); meta:score=15;priority=Low;source_type=html_link;closing_date=;equipment=Gas-related / review;reasons=equipment:Gas-related / review</t>
        </is>
      </c>
    </row>
    <row r="2633">
      <c r="A2633" t="inlineStr">
        <is>
          <t>T-2437</t>
        </is>
      </c>
      <c r="B2633" t="inlineStr">
        <is>
          <t>Maharashtra Natural Gas (MNGL)</t>
        </is>
      </c>
      <c r="C2633" t="inlineStr">
        <is>
          <t>Maharashtra Natural Gas (MNGL)</t>
        </is>
      </c>
      <c r="F2633" t="inlineStr">
        <is>
          <t>New Lead</t>
        </is>
      </c>
      <c r="G2633" t="inlineStr">
        <is>
          <t>Gas-related / review</t>
        </is>
      </c>
      <c r="H2633" t="inlineStr">
        <is>
          <t>Documents Required</t>
        </is>
      </c>
      <c r="K2633" t="inlineStr">
        <is>
          <t>Not found</t>
        </is>
      </c>
      <c r="L2633" t="inlineStr">
        <is>
          <t>Unknown</t>
        </is>
      </c>
      <c r="T2633" t="inlineStr">
        <is>
          <t>https://mngl.in/industrial-png/documents-required</t>
        </is>
      </c>
      <c r="U2633" t="inlineStr">
        <is>
          <t>HTML</t>
        </is>
      </c>
      <c r="V2633" t="inlineStr">
        <is>
          <t>Bot tespit/zenginlestirme (2026-07-01); meta:score=15;priority=Low;source_type=html_link;closing_date=;equipment=Gas-related / review;reasons=equipment:Gas-related / review</t>
        </is>
      </c>
    </row>
    <row r="2634">
      <c r="A2634" t="inlineStr">
        <is>
          <t>T-2438</t>
        </is>
      </c>
      <c r="B2634" t="inlineStr">
        <is>
          <t>Maharashtra Natural Gas (MNGL)</t>
        </is>
      </c>
      <c r="C2634" t="inlineStr">
        <is>
          <t>Maharashtra Natural Gas (MNGL)</t>
        </is>
      </c>
      <c r="F2634" t="inlineStr">
        <is>
          <t>New Lead</t>
        </is>
      </c>
      <c r="G2634" t="inlineStr">
        <is>
          <t>Gas-related / review</t>
        </is>
      </c>
      <c r="H2634" t="inlineStr">
        <is>
          <t>Clientele</t>
        </is>
      </c>
      <c r="K2634" t="inlineStr">
        <is>
          <t>Not found</t>
        </is>
      </c>
      <c r="L2634" t="inlineStr">
        <is>
          <t>Unknown</t>
        </is>
      </c>
      <c r="T2634" t="inlineStr">
        <is>
          <t>https://mngl.in/industrial-png/clientele</t>
        </is>
      </c>
      <c r="U2634" t="inlineStr">
        <is>
          <t>HTML</t>
        </is>
      </c>
      <c r="V2634" t="inlineStr">
        <is>
          <t>Bot tespit/zenginlestirme (2026-07-01); meta:score=15;priority=Low;source_type=html_link;closing_date=;equipment=Gas-related / review;reasons=equipment:Gas-related / review</t>
        </is>
      </c>
    </row>
    <row r="2635">
      <c r="A2635" t="inlineStr">
        <is>
          <t>T-2439</t>
        </is>
      </c>
      <c r="B2635" t="inlineStr">
        <is>
          <t>Maharashtra Natural Gas (MNGL)</t>
        </is>
      </c>
      <c r="C2635" t="inlineStr">
        <is>
          <t>Maharashtra Natural Gas (MNGL)</t>
        </is>
      </c>
      <c r="F2635" t="inlineStr">
        <is>
          <t>New Lead</t>
        </is>
      </c>
      <c r="G2635" t="inlineStr">
        <is>
          <t>Gas-related / review</t>
        </is>
      </c>
      <c r="H2635" t="inlineStr">
        <is>
          <t>Guidelines for Gas Geyser Installation</t>
        </is>
      </c>
      <c r="K2635" t="inlineStr">
        <is>
          <t>Not found</t>
        </is>
      </c>
      <c r="L2635" t="inlineStr">
        <is>
          <t>Unknown</t>
        </is>
      </c>
      <c r="T2635" t="inlineStr">
        <is>
          <t>https://mngl.in/customer-care/png/guidelines-for-gas-geyser-installation</t>
        </is>
      </c>
      <c r="U2635" t="inlineStr">
        <is>
          <t>HTML</t>
        </is>
      </c>
      <c r="V2635" t="inlineStr">
        <is>
          <t>Bot tespit/zenginlestirme (2026-07-01); meta:score=15;priority=Low;source_type=html_link;closing_date=;equipment=Gas-related / review;reasons=equipment:Gas-related / review</t>
        </is>
      </c>
    </row>
    <row r="2636">
      <c r="A2636" t="inlineStr">
        <is>
          <t>T-2440</t>
        </is>
      </c>
      <c r="B2636" t="inlineStr">
        <is>
          <t>Maharashtra Natural Gas (MNGL)</t>
        </is>
      </c>
      <c r="C2636" t="inlineStr">
        <is>
          <t>Maharashtra Natural Gas (MNGL)</t>
        </is>
      </c>
      <c r="F2636" t="inlineStr">
        <is>
          <t>New Lead</t>
        </is>
      </c>
      <c r="G2636" t="inlineStr">
        <is>
          <t>Gas-related / review</t>
        </is>
      </c>
      <c r="H2636" t="inlineStr">
        <is>
          <t>Apply for Name Transfer</t>
        </is>
      </c>
      <c r="K2636" t="inlineStr">
        <is>
          <t>Not found</t>
        </is>
      </c>
      <c r="L2636" t="inlineStr">
        <is>
          <t>Unknown</t>
        </is>
      </c>
      <c r="T2636" t="inlineStr">
        <is>
          <t>https://mngl.in/customer-care/png/name-transfer-application</t>
        </is>
      </c>
      <c r="U2636" t="inlineStr">
        <is>
          <t>HTML</t>
        </is>
      </c>
      <c r="V2636" t="inlineStr">
        <is>
          <t>Bot tespit/zenginlestirme (2026-07-01); meta:score=15;priority=Low;source_type=html_link;closing_date=;equipment=Gas-related / review;reasons=equipment:Gas-related / review</t>
        </is>
      </c>
    </row>
    <row r="2637">
      <c r="A2637" t="inlineStr">
        <is>
          <t>T-2441</t>
        </is>
      </c>
      <c r="B2637" t="inlineStr">
        <is>
          <t>Maharashtra Natural Gas (MNGL)</t>
        </is>
      </c>
      <c r="C2637" t="inlineStr">
        <is>
          <t>Maharashtra Natural Gas (MNGL)</t>
        </is>
      </c>
      <c r="F2637" t="inlineStr">
        <is>
          <t>New Lead</t>
        </is>
      </c>
      <c r="G2637" t="inlineStr">
        <is>
          <t>Gas-related / review</t>
        </is>
      </c>
      <c r="H2637" t="inlineStr">
        <is>
          <t>Name Transfer Request Status</t>
        </is>
      </c>
      <c r="K2637" t="inlineStr">
        <is>
          <t>Not found</t>
        </is>
      </c>
      <c r="L2637" t="inlineStr">
        <is>
          <t>Unknown</t>
        </is>
      </c>
      <c r="T2637" t="inlineStr">
        <is>
          <t>https://mngl.in/customer-care/png/name-transfer-application-status</t>
        </is>
      </c>
      <c r="U2637" t="inlineStr">
        <is>
          <t>HTML</t>
        </is>
      </c>
      <c r="V2637" t="inlineStr">
        <is>
          <t>Bot tespit/zenginlestirme (2026-07-01); meta:score=15;priority=Low;source_type=html_link;closing_date=;equipment=Gas-related / review;reasons=equipment:Gas-related / review</t>
        </is>
      </c>
    </row>
    <row r="2638">
      <c r="A2638" t="inlineStr">
        <is>
          <t>T-2442</t>
        </is>
      </c>
      <c r="B2638" t="inlineStr">
        <is>
          <t>Maharashtra Natural Gas (MNGL)</t>
        </is>
      </c>
      <c r="C2638" t="inlineStr">
        <is>
          <t>Maharashtra Natural Gas (MNGL)</t>
        </is>
      </c>
      <c r="F2638" t="inlineStr">
        <is>
          <t>New Lead</t>
        </is>
      </c>
      <c r="G2638" t="inlineStr">
        <is>
          <t>Gas-related / review</t>
        </is>
      </c>
      <c r="H2638" t="inlineStr">
        <is>
          <t>Redeveloped Building Gas Connection</t>
        </is>
      </c>
      <c r="K2638" t="inlineStr">
        <is>
          <t>Not found</t>
        </is>
      </c>
      <c r="L2638" t="inlineStr">
        <is>
          <t>Unknown</t>
        </is>
      </c>
      <c r="T2638" t="inlineStr">
        <is>
          <t>https://mngl.in/customer-care/policies-&amp;-procedures/redeveloped-building</t>
        </is>
      </c>
      <c r="U2638" t="inlineStr">
        <is>
          <t>HTML</t>
        </is>
      </c>
      <c r="V2638" t="inlineStr">
        <is>
          <t>Bot tespit/zenginlestirme (2026-07-01); meta:score=15;priority=Low;source_type=html_link;closing_date=;equipment=Gas-related / review;reasons=equipment:Gas-related / review</t>
        </is>
      </c>
    </row>
    <row r="2639">
      <c r="A2639" t="inlineStr">
        <is>
          <t>T-2443</t>
        </is>
      </c>
      <c r="B2639" t="inlineStr">
        <is>
          <t>Maharashtra Natural Gas (MNGL)</t>
        </is>
      </c>
      <c r="C2639" t="inlineStr">
        <is>
          <t>Maharashtra Natural Gas (MNGL)</t>
        </is>
      </c>
      <c r="F2639" t="inlineStr">
        <is>
          <t>New Lead</t>
        </is>
      </c>
      <c r="G2639" t="inlineStr">
        <is>
          <t>Gas-related / review</t>
        </is>
      </c>
      <c r="H2639" t="inlineStr">
        <is>
          <t>Historical Prices-CNG(Transport) and PNG(Domestic)</t>
        </is>
      </c>
      <c r="K2639" t="inlineStr">
        <is>
          <t>Not found</t>
        </is>
      </c>
      <c r="L2639" t="inlineStr">
        <is>
          <t>Unknown</t>
        </is>
      </c>
      <c r="T2639" t="inlineStr">
        <is>
          <t>https://mngl.in/customer-awareness/Hist_Prices</t>
        </is>
      </c>
      <c r="U2639" t="inlineStr">
        <is>
          <t>HTML</t>
        </is>
      </c>
      <c r="V2639" t="inlineStr">
        <is>
          <t>Bot tespit/zenginlestirme (2026-07-01); meta:score=15;priority=Low;source_type=html_link;closing_date=;equipment=Gas-related / review;reasons=equipment:Gas-related / review</t>
        </is>
      </c>
    </row>
    <row r="2640">
      <c r="A2640" t="inlineStr">
        <is>
          <t>T-2444</t>
        </is>
      </c>
      <c r="B2640" t="inlineStr">
        <is>
          <t>Maharashtra Natural Gas (MNGL)</t>
        </is>
      </c>
      <c r="C2640" t="inlineStr">
        <is>
          <t>Maharashtra Natural Gas (MNGL)</t>
        </is>
      </c>
      <c r="F2640" t="inlineStr">
        <is>
          <t>New Lead</t>
        </is>
      </c>
      <c r="G2640" t="inlineStr">
        <is>
          <t>Gas-related / review</t>
        </is>
      </c>
      <c r="H2640" t="inlineStr">
        <is>
          <t>CNG Land Lease &amp; Dealership</t>
        </is>
      </c>
      <c r="K2640" t="inlineStr">
        <is>
          <t>Not found</t>
        </is>
      </c>
      <c r="L2640" t="inlineStr">
        <is>
          <t>Unknown</t>
        </is>
      </c>
      <c r="T2640" t="inlineStr">
        <is>
          <t>https://mngl.in/cng-land-lease-and-dealership</t>
        </is>
      </c>
      <c r="U2640" t="inlineStr">
        <is>
          <t>HTML</t>
        </is>
      </c>
      <c r="V2640" t="inlineStr">
        <is>
          <t>Bot tespit/zenginlestirme (2026-07-01); meta:score=15;priority=Low;source_type=html_link;closing_date=;equipment=Gas-related / review;reasons=equipment:Gas-related / review</t>
        </is>
      </c>
    </row>
    <row r="2641">
      <c r="A2641" t="inlineStr">
        <is>
          <t>T-2445</t>
        </is>
      </c>
      <c r="B2641" t="inlineStr">
        <is>
          <t>Maharashtra Natural Gas (MNGL)</t>
        </is>
      </c>
      <c r="C2641" t="inlineStr">
        <is>
          <t>Maharashtra Natural Gas (MNGL)</t>
        </is>
      </c>
      <c r="F2641" t="inlineStr">
        <is>
          <t>New Lead</t>
        </is>
      </c>
      <c r="G2641" t="inlineStr">
        <is>
          <t>Gas-related / review</t>
        </is>
      </c>
      <c r="H2641" t="inlineStr">
        <is>
          <t>Natural Gas Safety Material Safety Data Sheet</t>
        </is>
      </c>
      <c r="K2641" t="inlineStr">
        <is>
          <t>Not found</t>
        </is>
      </c>
      <c r="L2641" t="inlineStr">
        <is>
          <t>Unknown</t>
        </is>
      </c>
      <c r="T2641" t="inlineStr">
        <is>
          <t>https://mngl.in/health-safety-&amp;-environment/data-sheet</t>
        </is>
      </c>
      <c r="U2641" t="inlineStr">
        <is>
          <t>HTML</t>
        </is>
      </c>
      <c r="V2641" t="inlineStr">
        <is>
          <t>Bot tespit/zenginlestirme (2026-07-01); meta:score=15;priority=Low;source_type=html_link;closing_date=;equipment=Gas-related / review;reasons=equipment:Gas-related / review</t>
        </is>
      </c>
    </row>
    <row r="2642">
      <c r="A2642" t="inlineStr">
        <is>
          <t>T-2446</t>
        </is>
      </c>
      <c r="B2642" t="inlineStr">
        <is>
          <t>Maharashtra Natural Gas (MNGL)</t>
        </is>
      </c>
      <c r="C2642" t="inlineStr">
        <is>
          <t>Maharashtra Natural Gas (MNGL)</t>
        </is>
      </c>
      <c r="F2642" t="inlineStr">
        <is>
          <t>New Lead</t>
        </is>
      </c>
      <c r="G2642" t="inlineStr">
        <is>
          <t>Gas-related / review</t>
        </is>
      </c>
      <c r="H2642" t="inlineStr">
        <is>
          <t>How to Detect Gas Leak</t>
        </is>
      </c>
      <c r="K2642" t="inlineStr">
        <is>
          <t>Not found</t>
        </is>
      </c>
      <c r="L2642" t="inlineStr">
        <is>
          <t>Unknown</t>
        </is>
      </c>
      <c r="T2642" t="inlineStr">
        <is>
          <t>https://mngl.in/health-safety-&amp;-environment/how-to-detect-gas-leak</t>
        </is>
      </c>
      <c r="U2642" t="inlineStr">
        <is>
          <t>HTML</t>
        </is>
      </c>
      <c r="V2642" t="inlineStr">
        <is>
          <t>Bot tespit/zenginlestirme (2026-07-01); meta:score=15;priority=Low;source_type=html_link;closing_date=;equipment=Gas-related / review;reasons=equipment:Gas-related / review</t>
        </is>
      </c>
    </row>
    <row r="2643">
      <c r="A2643" t="inlineStr">
        <is>
          <t>T-2447</t>
        </is>
      </c>
      <c r="B2643" t="inlineStr">
        <is>
          <t>Maharashtra Natural Gas (MNGL)</t>
        </is>
      </c>
      <c r="C2643" t="inlineStr">
        <is>
          <t>Maharashtra Natural Gas (MNGL)</t>
        </is>
      </c>
      <c r="F2643" t="inlineStr">
        <is>
          <t>New Lead</t>
        </is>
      </c>
      <c r="G2643" t="inlineStr">
        <is>
          <t>Gas-related / review</t>
        </is>
      </c>
      <c r="H2643" t="inlineStr">
        <is>
          <t>South-East Asia’s largest LNG-LCNG set-up by any CGD Entity</t>
        </is>
      </c>
      <c r="K2643" t="inlineStr">
        <is>
          <t>Not found</t>
        </is>
      </c>
      <c r="L2643" t="inlineStr">
        <is>
          <t>Unknown</t>
        </is>
      </c>
      <c r="T2643" t="inlineStr">
        <is>
          <t>https://mngl.in/National-PNG/Scheme</t>
        </is>
      </c>
      <c r="U2643" t="inlineStr">
        <is>
          <t>HTML</t>
        </is>
      </c>
      <c r="V2643" t="inlineStr">
        <is>
          <t>Bot tespit/zenginlestirme (2026-07-01); meta:score=15;priority=Low;source_type=html_link;closing_date=;equipment=Gas-related / review;reasons=equipment:Gas-related / review</t>
        </is>
      </c>
    </row>
    <row r="2644">
      <c r="A2644" t="inlineStr">
        <is>
          <t>T-2448</t>
        </is>
      </c>
      <c r="B2644" t="inlineStr">
        <is>
          <t>Maharashtra Natural Gas (MNGL)</t>
        </is>
      </c>
      <c r="C2644" t="inlineStr">
        <is>
          <t>Maharashtra Natural Gas (MNGL)</t>
        </is>
      </c>
      <c r="F2644" t="inlineStr">
        <is>
          <t>New Lead</t>
        </is>
      </c>
      <c r="G2644" t="inlineStr">
        <is>
          <t>Gas-related / review</t>
        </is>
      </c>
      <c r="H2644" t="inlineStr">
        <is>
          <t>PNG National Drive 2.0</t>
        </is>
      </c>
      <c r="K2644" t="inlineStr">
        <is>
          <t>Not found</t>
        </is>
      </c>
      <c r="L2644" t="inlineStr">
        <is>
          <t>Unknown</t>
        </is>
      </c>
      <c r="T2644" t="inlineStr">
        <is>
          <t>https://mngl.in/National-PNG/Drive</t>
        </is>
      </c>
      <c r="U2644" t="inlineStr">
        <is>
          <t>HTML</t>
        </is>
      </c>
      <c r="V2644" t="inlineStr">
        <is>
          <t>Bot tespit/zenginlestirme (2026-07-01); meta:score=15;priority=Low;source_type=html_link;closing_date=;equipment=Gas-related / review;reasons=equipment:Gas-related / review</t>
        </is>
      </c>
    </row>
    <row r="2645">
      <c r="A2645" t="inlineStr">
        <is>
          <t>T-2449</t>
        </is>
      </c>
      <c r="B2645" t="inlineStr">
        <is>
          <t>Maharashtra Natural Gas (MNGL)</t>
        </is>
      </c>
      <c r="C2645" t="inlineStr">
        <is>
          <t>Maharashtra Natural Gas (MNGL)</t>
        </is>
      </c>
      <c r="F2645" t="inlineStr">
        <is>
          <t>New Lead</t>
        </is>
      </c>
      <c r="G2645" t="inlineStr">
        <is>
          <t>Gas-related / review</t>
        </is>
      </c>
      <c r="H2645" t="inlineStr">
        <is>
          <t>Check CNG/PNG Rates</t>
        </is>
      </c>
      <c r="K2645" t="inlineStr">
        <is>
          <t>Not found</t>
        </is>
      </c>
      <c r="L2645" t="inlineStr">
        <is>
          <t>Unknown</t>
        </is>
      </c>
      <c r="T2645" t="inlineStr">
        <is>
          <t>https://mngl.in/our-services/check-rates</t>
        </is>
      </c>
      <c r="U2645" t="inlineStr">
        <is>
          <t>HTML</t>
        </is>
      </c>
      <c r="V2645" t="inlineStr">
        <is>
          <t>Bot tespit/zenginlestirme (2026-07-01); meta:score=15;priority=Low;source_type=html_link;closing_date=;equipment=Gas-related / review;reasons=equipment:Gas-related / review</t>
        </is>
      </c>
    </row>
    <row r="2646">
      <c r="A2646" t="inlineStr">
        <is>
          <t>T-2450</t>
        </is>
      </c>
      <c r="B2646" t="inlineStr">
        <is>
          <t>Maharashtra Natural Gas (MNGL)</t>
        </is>
      </c>
      <c r="C2646" t="inlineStr">
        <is>
          <t>Maharashtra Natural Gas (MNGL)</t>
        </is>
      </c>
      <c r="F2646" t="inlineStr">
        <is>
          <t>New Lead</t>
        </is>
      </c>
      <c r="G2646" t="inlineStr">
        <is>
          <t>Unclassified</t>
        </is>
      </c>
      <c r="H2646" t="inlineStr">
        <is>
          <t>1800 266 2696</t>
        </is>
      </c>
      <c r="K2646" t="inlineStr">
        <is>
          <t>Not found</t>
        </is>
      </c>
      <c r="L2646" t="inlineStr">
        <is>
          <t>Unknown</t>
        </is>
      </c>
      <c r="T2646" t="inlineStr">
        <is>
          <t>tel:1800 266 2696</t>
        </is>
      </c>
      <c r="U2646" t="inlineStr">
        <is>
          <t>HTML</t>
        </is>
      </c>
      <c r="V2646" t="inlineStr">
        <is>
          <t>Bot tespit/zenginlestirme (2026-07-01); meta:score=;priority=Low;source_type=html_link;closing_date=;equipment=Unclassified;reasons=</t>
        </is>
      </c>
    </row>
    <row r="2647">
      <c r="A2647" t="inlineStr">
        <is>
          <t>T-2451</t>
        </is>
      </c>
      <c r="B2647" t="inlineStr">
        <is>
          <t>Maharashtra Natural Gas (MNGL)</t>
        </is>
      </c>
      <c r="C2647" t="inlineStr">
        <is>
          <t>Maharashtra Natural Gas (MNGL)</t>
        </is>
      </c>
      <c r="F2647" t="inlineStr">
        <is>
          <t>New Lead</t>
        </is>
      </c>
      <c r="G2647" t="inlineStr">
        <is>
          <t>Unclassified</t>
        </is>
      </c>
      <c r="H2647" t="inlineStr">
        <is>
          <t>9011 676767 - Emergency Helpline</t>
        </is>
      </c>
      <c r="K2647" t="inlineStr">
        <is>
          <t>Not found</t>
        </is>
      </c>
      <c r="L2647" t="inlineStr">
        <is>
          <t>Unknown</t>
        </is>
      </c>
      <c r="T2647" t="inlineStr">
        <is>
          <t>tel:9011 676767</t>
        </is>
      </c>
      <c r="U2647" t="inlineStr">
        <is>
          <t>HTML</t>
        </is>
      </c>
      <c r="V2647" t="inlineStr">
        <is>
          <t>Bot tespit/zenginlestirme (2026-07-01); meta:score=;priority=Low;source_type=html_link;closing_date=;equipment=Unclassified;reasons=</t>
        </is>
      </c>
    </row>
    <row r="2648">
      <c r="A2648" t="inlineStr">
        <is>
          <t>T-2452</t>
        </is>
      </c>
      <c r="B2648" t="inlineStr">
        <is>
          <t>Maharashtra Natural Gas (MNGL)</t>
        </is>
      </c>
      <c r="C2648" t="inlineStr">
        <is>
          <t>Maharashtra Natural Gas (MNGL)</t>
        </is>
      </c>
      <c r="F2648" t="inlineStr">
        <is>
          <t>New Lead</t>
        </is>
      </c>
      <c r="G2648" t="inlineStr">
        <is>
          <t>Unclassified</t>
        </is>
      </c>
      <c r="H2648" t="inlineStr">
        <is>
          <t>Edu Portal Physical Progress</t>
        </is>
      </c>
      <c r="K2648" t="inlineStr">
        <is>
          <t>Not found</t>
        </is>
      </c>
      <c r="L2648" t="inlineStr">
        <is>
          <t>Unknown</t>
        </is>
      </c>
      <c r="T2648" t="inlineStr">
        <is>
          <t>https://mngl.in/education-portal</t>
        </is>
      </c>
      <c r="U2648" t="inlineStr">
        <is>
          <t>HTML</t>
        </is>
      </c>
      <c r="V2648" t="inlineStr">
        <is>
          <t>Bot tespit/zenginlestirme (2026-07-01); meta:score=;priority=Low;source_type=html_table;closing_date=;equipment=Unclassified;reasons=</t>
        </is>
      </c>
    </row>
    <row r="2649">
      <c r="A2649" t="inlineStr">
        <is>
          <t>T-2453</t>
        </is>
      </c>
      <c r="B2649" t="inlineStr">
        <is>
          <t>Maharashtra Natural Gas (MNGL)</t>
        </is>
      </c>
      <c r="C2649" t="inlineStr">
        <is>
          <t>Maharashtra Natural Gas (MNGL)</t>
        </is>
      </c>
      <c r="F2649" t="inlineStr">
        <is>
          <t>New Lead</t>
        </is>
      </c>
      <c r="G2649" t="inlineStr">
        <is>
          <t>Unclassified</t>
        </is>
      </c>
      <c r="H2649" t="inlineStr">
        <is>
          <t>Edu Portal Physical Progress</t>
        </is>
      </c>
      <c r="K2649" t="inlineStr">
        <is>
          <t>Not found</t>
        </is>
      </c>
      <c r="L2649" t="inlineStr">
        <is>
          <t>Unknown</t>
        </is>
      </c>
      <c r="T2649" t="inlineStr">
        <is>
          <t>https://mngl.in/physical-progress</t>
        </is>
      </c>
      <c r="U2649" t="inlineStr">
        <is>
          <t>HTML</t>
        </is>
      </c>
      <c r="V2649" t="inlineStr">
        <is>
          <t>Bot tespit/zenginlestirme (2026-07-01); meta:score=;priority=Low;source_type=html_table;closing_date=;equipment=Unclassified;reasons=</t>
        </is>
      </c>
    </row>
    <row r="2650">
      <c r="A2650" t="inlineStr">
        <is>
          <t>T-2454</t>
        </is>
      </c>
      <c r="B2650" t="inlineStr">
        <is>
          <t>Maharashtra Natural Gas (MNGL)</t>
        </is>
      </c>
      <c r="C2650" t="inlineStr">
        <is>
          <t>Maharashtra Natural Gas (MNGL)</t>
        </is>
      </c>
      <c r="F2650" t="inlineStr">
        <is>
          <t>New Lead</t>
        </is>
      </c>
      <c r="G2650" t="inlineStr">
        <is>
          <t>Unclassified</t>
        </is>
      </c>
      <c r="H2650" t="inlineStr">
        <is>
          <t>https://www.instagram.com/mngl.in/</t>
        </is>
      </c>
      <c r="K2650" t="inlineStr">
        <is>
          <t>Not found</t>
        </is>
      </c>
      <c r="L2650" t="inlineStr">
        <is>
          <t>Unknown</t>
        </is>
      </c>
      <c r="T2650" t="inlineStr">
        <is>
          <t>https://www.instagram.com/mngl.in/</t>
        </is>
      </c>
      <c r="U2650" t="inlineStr">
        <is>
          <t>HTML</t>
        </is>
      </c>
      <c r="V2650" t="inlineStr">
        <is>
          <t>Bot tespit/zenginlestirme (2026-07-01); meta:score=;priority=Low;source_type=html_link;closing_date=;equipment=Unclassified;reasons=</t>
        </is>
      </c>
    </row>
    <row r="2651">
      <c r="A2651" t="inlineStr">
        <is>
          <t>T-2455</t>
        </is>
      </c>
      <c r="B2651" t="inlineStr">
        <is>
          <t>Maharashtra Natural Gas (MNGL)</t>
        </is>
      </c>
      <c r="C2651" t="inlineStr">
        <is>
          <t>Maharashtra Natural Gas (MNGL)</t>
        </is>
      </c>
      <c r="F2651" t="inlineStr">
        <is>
          <t>New Lead</t>
        </is>
      </c>
      <c r="G2651" t="inlineStr">
        <is>
          <t>Unclassified</t>
        </is>
      </c>
      <c r="H2651" t="inlineStr">
        <is>
          <t>Home</t>
        </is>
      </c>
      <c r="K2651" t="inlineStr">
        <is>
          <t>Not found</t>
        </is>
      </c>
      <c r="L2651" t="inlineStr">
        <is>
          <t>Unknown</t>
        </is>
      </c>
      <c r="T2651" t="inlineStr">
        <is>
          <t>https://mngl.in/</t>
        </is>
      </c>
      <c r="U2651" t="inlineStr">
        <is>
          <t>HTML</t>
        </is>
      </c>
      <c r="V2651" t="inlineStr">
        <is>
          <t>Bot tespit/zenginlestirme (2026-07-01); meta:score=;priority=Low;source_type=html_link;closing_date=;equipment=Unclassified;reasons=</t>
        </is>
      </c>
    </row>
    <row r="2652">
      <c r="A2652" t="inlineStr">
        <is>
          <t>T-2456</t>
        </is>
      </c>
      <c r="B2652" t="inlineStr">
        <is>
          <t>Maharashtra Natural Gas (MNGL)</t>
        </is>
      </c>
      <c r="C2652" t="inlineStr">
        <is>
          <t>Maharashtra Natural Gas (MNGL)</t>
        </is>
      </c>
      <c r="F2652" t="inlineStr">
        <is>
          <t>New Lead</t>
        </is>
      </c>
      <c r="G2652" t="inlineStr">
        <is>
          <t>Unclassified</t>
        </is>
      </c>
      <c r="H2652" t="inlineStr">
        <is>
          <t>About MNGL</t>
        </is>
      </c>
      <c r="K2652" t="inlineStr">
        <is>
          <t>Not found</t>
        </is>
      </c>
      <c r="L2652" t="inlineStr">
        <is>
          <t>Unknown</t>
        </is>
      </c>
      <c r="T2652" t="inlineStr">
        <is>
          <t>https://mngl.in/about-mngl</t>
        </is>
      </c>
      <c r="U2652" t="inlineStr">
        <is>
          <t>HTML</t>
        </is>
      </c>
      <c r="V2652" t="inlineStr">
        <is>
          <t>Bot tespit/zenginlestirme (2026-07-01); meta:score=;priority=Low;source_type=html_link;closing_date=;equipment=Unclassified;reasons=</t>
        </is>
      </c>
    </row>
    <row r="2653">
      <c r="A2653" t="inlineStr">
        <is>
          <t>T-2457</t>
        </is>
      </c>
      <c r="B2653" t="inlineStr">
        <is>
          <t>Maharashtra Natural Gas (MNGL)</t>
        </is>
      </c>
      <c r="C2653" t="inlineStr">
        <is>
          <t>Maharashtra Natural Gas (MNGL)</t>
        </is>
      </c>
      <c r="F2653" t="inlineStr">
        <is>
          <t>New Lead</t>
        </is>
      </c>
      <c r="G2653" t="inlineStr">
        <is>
          <t>Unclassified</t>
        </is>
      </c>
      <c r="H2653" t="inlineStr">
        <is>
          <t>Business Objectives</t>
        </is>
      </c>
      <c r="K2653" t="inlineStr">
        <is>
          <t>Not found</t>
        </is>
      </c>
      <c r="L2653" t="inlineStr">
        <is>
          <t>Unknown</t>
        </is>
      </c>
      <c r="T2653" t="inlineStr">
        <is>
          <t>https://mngl.in/business-objectives</t>
        </is>
      </c>
      <c r="U2653" t="inlineStr">
        <is>
          <t>HTML</t>
        </is>
      </c>
      <c r="V2653" t="inlineStr">
        <is>
          <t>Bot tespit/zenginlestirme (2026-07-01); meta:score=;priority=Low;source_type=html_link;closing_date=;equipment=Unclassified;reasons=</t>
        </is>
      </c>
    </row>
    <row r="2654">
      <c r="A2654" t="inlineStr">
        <is>
          <t>T-2458</t>
        </is>
      </c>
      <c r="B2654" t="inlineStr">
        <is>
          <t>Maharashtra Natural Gas (MNGL)</t>
        </is>
      </c>
      <c r="C2654" t="inlineStr">
        <is>
          <t>Maharashtra Natural Gas (MNGL)</t>
        </is>
      </c>
      <c r="F2654" t="inlineStr">
        <is>
          <t>New Lead</t>
        </is>
      </c>
      <c r="G2654" t="inlineStr">
        <is>
          <t>Unclassified</t>
        </is>
      </c>
      <c r="H2654" t="inlineStr">
        <is>
          <t>Board of Directors</t>
        </is>
      </c>
      <c r="K2654" t="inlineStr">
        <is>
          <t>Not found</t>
        </is>
      </c>
      <c r="L2654" t="inlineStr">
        <is>
          <t>Unknown</t>
        </is>
      </c>
      <c r="T2654" t="inlineStr">
        <is>
          <t>https://mngl.in/board-of-directors</t>
        </is>
      </c>
      <c r="U2654" t="inlineStr">
        <is>
          <t>HTML</t>
        </is>
      </c>
      <c r="V2654" t="inlineStr">
        <is>
          <t>Bot tespit/zenginlestirme (2026-07-01); meta:score=;priority=Low;source_type=html_link;closing_date=;equipment=Unclassified;reasons=</t>
        </is>
      </c>
    </row>
    <row r="2655">
      <c r="A2655" t="inlineStr">
        <is>
          <t>T-2459</t>
        </is>
      </c>
      <c r="B2655" t="inlineStr">
        <is>
          <t>Maharashtra Natural Gas (MNGL)</t>
        </is>
      </c>
      <c r="C2655" t="inlineStr">
        <is>
          <t>Maharashtra Natural Gas (MNGL)</t>
        </is>
      </c>
      <c r="F2655" t="inlineStr">
        <is>
          <t>Awarded / Result</t>
        </is>
      </c>
      <c r="G2655" t="inlineStr">
        <is>
          <t>Unclassified</t>
        </is>
      </c>
      <c r="H2655" t="inlineStr">
        <is>
          <t>Awards</t>
        </is>
      </c>
      <c r="K2655" t="inlineStr">
        <is>
          <t>Not found</t>
        </is>
      </c>
      <c r="L2655" t="inlineStr">
        <is>
          <t>Unknown</t>
        </is>
      </c>
      <c r="T2655" t="inlineStr">
        <is>
          <t>https://mngl.in/awards</t>
        </is>
      </c>
      <c r="U2655" t="inlineStr">
        <is>
          <t>HTML</t>
        </is>
      </c>
      <c r="V2655" t="inlineStr">
        <is>
          <t>Bot tespit/zenginlestirme (2026-07-01); meta:score=;priority=Low;source_type=html_link;closing_date=;equipment=Unclassified;reasons=</t>
        </is>
      </c>
    </row>
    <row r="2656">
      <c r="A2656" t="inlineStr">
        <is>
          <t>T-2460</t>
        </is>
      </c>
      <c r="B2656" t="inlineStr">
        <is>
          <t>Maharashtra Natural Gas (MNGL)</t>
        </is>
      </c>
      <c r="C2656" t="inlineStr">
        <is>
          <t>Maharashtra Natural Gas (MNGL)</t>
        </is>
      </c>
      <c r="F2656" t="inlineStr">
        <is>
          <t>New Lead</t>
        </is>
      </c>
      <c r="G2656" t="inlineStr">
        <is>
          <t>Unclassified</t>
        </is>
      </c>
      <c r="H2656" t="inlineStr">
        <is>
          <t>Future Outlook</t>
        </is>
      </c>
      <c r="K2656" t="inlineStr">
        <is>
          <t>Not found</t>
        </is>
      </c>
      <c r="L2656" t="inlineStr">
        <is>
          <t>Unknown</t>
        </is>
      </c>
      <c r="T2656" t="inlineStr">
        <is>
          <t>https://mngl.in/future-outlook</t>
        </is>
      </c>
      <c r="U2656" t="inlineStr">
        <is>
          <t>HTML</t>
        </is>
      </c>
      <c r="V2656" t="inlineStr">
        <is>
          <t>Bot tespit/zenginlestirme (2026-07-01); meta:score=;priority=Low;source_type=html_link;closing_date=;equipment=Unclassified;reasons=</t>
        </is>
      </c>
    </row>
    <row r="2657">
      <c r="A2657" t="inlineStr">
        <is>
          <t>T-2461</t>
        </is>
      </c>
      <c r="B2657" t="inlineStr">
        <is>
          <t>Maharashtra Natural Gas (MNGL)</t>
        </is>
      </c>
      <c r="C2657" t="inlineStr">
        <is>
          <t>Maharashtra Natural Gas (MNGL)</t>
        </is>
      </c>
      <c r="F2657" t="inlineStr">
        <is>
          <t>New Lead</t>
        </is>
      </c>
      <c r="G2657" t="inlineStr">
        <is>
          <t>Irrelevant / non-target</t>
        </is>
      </c>
      <c r="H2657" t="inlineStr">
        <is>
          <t>CSR Policy</t>
        </is>
      </c>
      <c r="K2657" t="inlineStr">
        <is>
          <t>Not found</t>
        </is>
      </c>
      <c r="L2657" t="inlineStr">
        <is>
          <t>Unknown</t>
        </is>
      </c>
      <c r="T2657" t="inlineStr">
        <is>
          <t>https://mngl.in/csr-policy</t>
        </is>
      </c>
      <c r="U2657" t="inlineStr">
        <is>
          <t>HTML</t>
        </is>
      </c>
      <c r="V2657" t="inlineStr">
        <is>
          <t>Bot tespit/zenginlestirme (2026-07-01); meta:score=;priority=Low;source_type=html_link;closing_date=;equipment=Irrelevant / non-target;reasons=irrelevant_equipment,website noise</t>
        </is>
      </c>
    </row>
    <row r="2658">
      <c r="A2658" t="inlineStr">
        <is>
          <t>T-2462</t>
        </is>
      </c>
      <c r="B2658" t="inlineStr">
        <is>
          <t>Maharashtra Natural Gas (MNGL)</t>
        </is>
      </c>
      <c r="C2658" t="inlineStr">
        <is>
          <t>Maharashtra Natural Gas (MNGL)</t>
        </is>
      </c>
      <c r="F2658" t="inlineStr">
        <is>
          <t>New Lead</t>
        </is>
      </c>
      <c r="G2658" t="inlineStr">
        <is>
          <t>Irrelevant / non-target</t>
        </is>
      </c>
      <c r="H2658" t="inlineStr">
        <is>
          <t>CSR Projects</t>
        </is>
      </c>
      <c r="K2658" t="inlineStr">
        <is>
          <t>Not found</t>
        </is>
      </c>
      <c r="L2658" t="inlineStr">
        <is>
          <t>Unknown</t>
        </is>
      </c>
      <c r="T2658" t="inlineStr">
        <is>
          <t>https://mngl.in/csr-projects</t>
        </is>
      </c>
      <c r="U2658" t="inlineStr">
        <is>
          <t>HTML</t>
        </is>
      </c>
      <c r="V2658" t="inlineStr">
        <is>
          <t>Bot tespit/zenginlestirme (2026-07-01); meta:score=;priority=Low;source_type=html_link;closing_date=;equipment=Irrelevant / non-target;reasons=irrelevant_equipment,website noise</t>
        </is>
      </c>
    </row>
    <row r="2659">
      <c r="A2659" t="inlineStr">
        <is>
          <t>T-2463</t>
        </is>
      </c>
      <c r="B2659" t="inlineStr">
        <is>
          <t>Maharashtra Natural Gas (MNGL)</t>
        </is>
      </c>
      <c r="C2659" t="inlineStr">
        <is>
          <t>Maharashtra Natural Gas (MNGL)</t>
        </is>
      </c>
      <c r="F2659" t="inlineStr">
        <is>
          <t>New Lead</t>
        </is>
      </c>
      <c r="G2659" t="inlineStr">
        <is>
          <t>Irrelevant / non-target</t>
        </is>
      </c>
      <c r="H2659" t="inlineStr">
        <is>
          <t>CSR Comittee</t>
        </is>
      </c>
      <c r="K2659" t="inlineStr">
        <is>
          <t>Not found</t>
        </is>
      </c>
      <c r="L2659" t="inlineStr">
        <is>
          <t>Unknown</t>
        </is>
      </c>
      <c r="T2659" t="inlineStr">
        <is>
          <t>https://mngl.in/csr-committee</t>
        </is>
      </c>
      <c r="U2659" t="inlineStr">
        <is>
          <t>HTML</t>
        </is>
      </c>
      <c r="V2659" t="inlineStr">
        <is>
          <t>Bot tespit/zenginlestirme (2026-07-01); meta:score=;priority=Low;source_type=html_link;closing_date=;equipment=Irrelevant / non-target;reasons=irrelevant_equipment,website noise</t>
        </is>
      </c>
    </row>
    <row r="2660">
      <c r="A2660" t="inlineStr">
        <is>
          <t>T-2464</t>
        </is>
      </c>
      <c r="B2660" t="inlineStr">
        <is>
          <t>Maharashtra Natural Gas (MNGL)</t>
        </is>
      </c>
      <c r="C2660" t="inlineStr">
        <is>
          <t>Maharashtra Natural Gas (MNGL)</t>
        </is>
      </c>
      <c r="F2660" t="inlineStr">
        <is>
          <t>New Lead</t>
        </is>
      </c>
      <c r="G2660" t="inlineStr">
        <is>
          <t>Irrelevant / non-target</t>
        </is>
      </c>
      <c r="H2660" t="inlineStr">
        <is>
          <t>CSR Activities</t>
        </is>
      </c>
      <c r="K2660" t="inlineStr">
        <is>
          <t>Not found</t>
        </is>
      </c>
      <c r="L2660" t="inlineStr">
        <is>
          <t>Unknown</t>
        </is>
      </c>
      <c r="T2660" t="inlineStr">
        <is>
          <t>https://mngl.in/csr-activities</t>
        </is>
      </c>
      <c r="U2660" t="inlineStr">
        <is>
          <t>HTML</t>
        </is>
      </c>
      <c r="V2660" t="inlineStr">
        <is>
          <t>Bot tespit/zenginlestirme (2026-07-01); meta:score=;priority=Low;source_type=html_link;closing_date=;equipment=Irrelevant / non-target;reasons=irrelevant_equipment,website noise</t>
        </is>
      </c>
    </row>
    <row r="2661">
      <c r="A2661" t="inlineStr">
        <is>
          <t>T-2465</t>
        </is>
      </c>
      <c r="B2661" t="inlineStr">
        <is>
          <t>Maharashtra Natural Gas (MNGL)</t>
        </is>
      </c>
      <c r="C2661" t="inlineStr">
        <is>
          <t>Maharashtra Natural Gas (MNGL)</t>
        </is>
      </c>
      <c r="F2661" t="inlineStr">
        <is>
          <t>New Lead</t>
        </is>
      </c>
      <c r="G2661" t="inlineStr">
        <is>
          <t>Unclassified</t>
        </is>
      </c>
      <c r="H2661" t="inlineStr">
        <is>
          <t>News</t>
        </is>
      </c>
      <c r="K2661" t="inlineStr">
        <is>
          <t>Not found</t>
        </is>
      </c>
      <c r="L2661" t="inlineStr">
        <is>
          <t>Unknown</t>
        </is>
      </c>
      <c r="T2661" t="inlineStr">
        <is>
          <t>https://mngl.in/news</t>
        </is>
      </c>
      <c r="U2661" t="inlineStr">
        <is>
          <t>HTML</t>
        </is>
      </c>
      <c r="V2661" t="inlineStr">
        <is>
          <t>Bot tespit/zenginlestirme (2026-07-01); meta:score=;priority=Low;source_type=html_link;closing_date=;equipment=Unclassified;reasons=</t>
        </is>
      </c>
    </row>
    <row r="2662">
      <c r="A2662" t="inlineStr">
        <is>
          <t>T-2466</t>
        </is>
      </c>
      <c r="B2662" t="inlineStr">
        <is>
          <t>Maharashtra Natural Gas (MNGL)</t>
        </is>
      </c>
      <c r="C2662" t="inlineStr">
        <is>
          <t>Maharashtra Natural Gas (MNGL)</t>
        </is>
      </c>
      <c r="F2662" t="inlineStr">
        <is>
          <t>New Lead</t>
        </is>
      </c>
      <c r="G2662" t="inlineStr">
        <is>
          <t>Unclassified</t>
        </is>
      </c>
      <c r="H2662" t="inlineStr">
        <is>
          <t>Gallery</t>
        </is>
      </c>
      <c r="K2662" t="inlineStr">
        <is>
          <t>Not found</t>
        </is>
      </c>
      <c r="L2662" t="inlineStr">
        <is>
          <t>Unknown</t>
        </is>
      </c>
      <c r="T2662" t="inlineStr">
        <is>
          <t>https://mngl.in/gallery</t>
        </is>
      </c>
      <c r="U2662" t="inlineStr">
        <is>
          <t>HTML</t>
        </is>
      </c>
      <c r="V2662" t="inlineStr">
        <is>
          <t>Bot tespit/zenginlestirme (2026-07-01); meta:score=;priority=Low;source_type=html_link;closing_date=;equipment=Unclassified;reasons=</t>
        </is>
      </c>
    </row>
    <row r="2663">
      <c r="A2663" t="inlineStr">
        <is>
          <t>T-2467</t>
        </is>
      </c>
      <c r="B2663" t="inlineStr">
        <is>
          <t>Maharashtra Natural Gas (MNGL)</t>
        </is>
      </c>
      <c r="C2663" t="inlineStr">
        <is>
          <t>Maharashtra Natural Gas (MNGL)</t>
        </is>
      </c>
      <c r="F2663" t="inlineStr">
        <is>
          <t>New Lead</t>
        </is>
      </c>
      <c r="G2663" t="inlineStr">
        <is>
          <t>Unclassified</t>
        </is>
      </c>
      <c r="H2663" t="inlineStr">
        <is>
          <t>Customer Dashboard</t>
        </is>
      </c>
      <c r="K2663" t="inlineStr">
        <is>
          <t>Not found</t>
        </is>
      </c>
      <c r="L2663" t="inlineStr">
        <is>
          <t>Unknown</t>
        </is>
      </c>
      <c r="T2663" t="inlineStr">
        <is>
          <t>https://mngl.in/user</t>
        </is>
      </c>
      <c r="U2663" t="inlineStr">
        <is>
          <t>HTML</t>
        </is>
      </c>
      <c r="V2663" t="inlineStr">
        <is>
          <t>Bot tespit/zenginlestirme (2026-07-01); meta:score=;priority=Low;source_type=html_link;closing_date=;equipment=Unclassified;reasons=</t>
        </is>
      </c>
    </row>
    <row r="2664">
      <c r="A2664" t="inlineStr">
        <is>
          <t>T-2468</t>
        </is>
      </c>
      <c r="B2664" t="inlineStr">
        <is>
          <t>Maharashtra Natural Gas (MNGL)</t>
        </is>
      </c>
      <c r="C2664" t="inlineStr">
        <is>
          <t>Maharashtra Natural Gas (MNGL)</t>
        </is>
      </c>
      <c r="F2664" t="inlineStr">
        <is>
          <t>New Lead</t>
        </is>
      </c>
      <c r="G2664" t="inlineStr">
        <is>
          <t>Unclassified</t>
        </is>
      </c>
      <c r="H2664" t="inlineStr">
        <is>
          <t>Across The Counter</t>
        </is>
      </c>
      <c r="K2664" t="inlineStr">
        <is>
          <t>Not found</t>
        </is>
      </c>
      <c r="L2664" t="inlineStr">
        <is>
          <t>Unknown</t>
        </is>
      </c>
      <c r="T2664" t="inlineStr">
        <is>
          <t>https://mngl.in/customer-zone/across-counter</t>
        </is>
      </c>
      <c r="U2664" t="inlineStr">
        <is>
          <t>HTML</t>
        </is>
      </c>
      <c r="V2664" t="inlineStr">
        <is>
          <t>Bot tespit/zenginlestirme (2026-07-01); meta:score=;priority=Low;source_type=html_link;closing_date=;equipment=Unclassified;reasons=</t>
        </is>
      </c>
    </row>
    <row r="2665">
      <c r="A2665" t="inlineStr">
        <is>
          <t>T-2469</t>
        </is>
      </c>
      <c r="B2665" t="inlineStr">
        <is>
          <t>Maharashtra Natural Gas (MNGL)</t>
        </is>
      </c>
      <c r="C2665" t="inlineStr">
        <is>
          <t>Maharashtra Natural Gas (MNGL)</t>
        </is>
      </c>
      <c r="F2665" t="inlineStr">
        <is>
          <t>New Lead</t>
        </is>
      </c>
      <c r="G2665" t="inlineStr">
        <is>
          <t>Unclassified</t>
        </is>
      </c>
      <c r="H2665" t="inlineStr">
        <is>
          <t>Online Payment</t>
        </is>
      </c>
      <c r="K2665" t="inlineStr">
        <is>
          <t>Not found</t>
        </is>
      </c>
      <c r="L2665" t="inlineStr">
        <is>
          <t>Unknown</t>
        </is>
      </c>
      <c r="T2665" t="inlineStr">
        <is>
          <t>https://mngl.in/customer-zone/online-payment</t>
        </is>
      </c>
      <c r="U2665" t="inlineStr">
        <is>
          <t>HTML</t>
        </is>
      </c>
      <c r="V2665" t="inlineStr">
        <is>
          <t>Bot tespit/zenginlestirme (2026-07-01); meta:score=;priority=Low;source_type=html_link;closing_date=;equipment=Unclassified;reasons=</t>
        </is>
      </c>
    </row>
    <row r="2666">
      <c r="A2666" t="inlineStr">
        <is>
          <t>T-2470</t>
        </is>
      </c>
      <c r="B2666" t="inlineStr">
        <is>
          <t>Maharashtra Natural Gas (MNGL)</t>
        </is>
      </c>
      <c r="C2666" t="inlineStr">
        <is>
          <t>Maharashtra Natural Gas (MNGL)</t>
        </is>
      </c>
      <c r="F2666" t="inlineStr">
        <is>
          <t>New Lead</t>
        </is>
      </c>
      <c r="G2666" t="inlineStr">
        <is>
          <t>Unclassified</t>
        </is>
      </c>
      <c r="H2666" t="inlineStr">
        <is>
          <t>Payment - Walk-in Centre</t>
        </is>
      </c>
      <c r="K2666" t="inlineStr">
        <is>
          <t>Not found</t>
        </is>
      </c>
      <c r="L2666" t="inlineStr">
        <is>
          <t>Unknown</t>
        </is>
      </c>
      <c r="T2666" t="inlineStr">
        <is>
          <t>https://mngl.in/customer-zone/payment-commercial</t>
        </is>
      </c>
      <c r="U2666" t="inlineStr">
        <is>
          <t>HTML</t>
        </is>
      </c>
      <c r="V2666" t="inlineStr">
        <is>
          <t>Bot tespit/zenginlestirme (2026-07-01); meta:score=;priority=Low;source_type=html_link;closing_date=;equipment=Unclassified;reasons=</t>
        </is>
      </c>
    </row>
    <row r="2667">
      <c r="A2667" t="inlineStr">
        <is>
          <t>T-2471</t>
        </is>
      </c>
      <c r="B2667" t="inlineStr">
        <is>
          <t>Maharashtra Natural Gas (MNGL)</t>
        </is>
      </c>
      <c r="C2667" t="inlineStr">
        <is>
          <t>Maharashtra Natural Gas (MNGL)</t>
        </is>
      </c>
      <c r="F2667" t="inlineStr">
        <is>
          <t>New Lead</t>
        </is>
      </c>
      <c r="G2667" t="inlineStr">
        <is>
          <t>Unclassified</t>
        </is>
      </c>
      <c r="H2667" t="inlineStr">
        <is>
          <t>Billing Queries</t>
        </is>
      </c>
      <c r="K2667" t="inlineStr">
        <is>
          <t>Not found</t>
        </is>
      </c>
      <c r="L2667" t="inlineStr">
        <is>
          <t>Unknown</t>
        </is>
      </c>
      <c r="T2667" t="inlineStr">
        <is>
          <t>https://mngl.in/customer-zone/billing-query</t>
        </is>
      </c>
      <c r="U2667" t="inlineStr">
        <is>
          <t>HTML</t>
        </is>
      </c>
      <c r="V2667" t="inlineStr">
        <is>
          <t>Bot tespit/zenginlestirme (2026-07-01); meta:score=;priority=Low;source_type=html_link;closing_date=;equipment=Unclassified;reasons=</t>
        </is>
      </c>
    </row>
    <row r="2668">
      <c r="A2668" t="inlineStr">
        <is>
          <t>T-2472</t>
        </is>
      </c>
      <c r="B2668" t="inlineStr">
        <is>
          <t>Maharashtra Natural Gas (MNGL)</t>
        </is>
      </c>
      <c r="C2668" t="inlineStr">
        <is>
          <t>Maharashtra Natural Gas (MNGL)</t>
        </is>
      </c>
      <c r="F2668" t="inlineStr">
        <is>
          <t>New Lead</t>
        </is>
      </c>
      <c r="G2668" t="inlineStr">
        <is>
          <t>Unclassified</t>
        </is>
      </c>
      <c r="H2668" t="inlineStr">
        <is>
          <t>Register yourself with MNGL</t>
        </is>
      </c>
      <c r="K2668" t="inlineStr">
        <is>
          <t>Not found</t>
        </is>
      </c>
      <c r="L2668" t="inlineStr">
        <is>
          <t>Unknown</t>
        </is>
      </c>
      <c r="T2668" t="inlineStr">
        <is>
          <t>https://mngl.in/login/register</t>
        </is>
      </c>
      <c r="U2668" t="inlineStr">
        <is>
          <t>HTML</t>
        </is>
      </c>
      <c r="V2668" t="inlineStr">
        <is>
          <t>Bot tespit/zenginlestirme (2026-07-01); meta:score=;priority=Low;source_type=html_link;closing_date=;equipment=Unclassified;reasons=access/action page</t>
        </is>
      </c>
    </row>
    <row r="2669">
      <c r="A2669" t="inlineStr">
        <is>
          <t>T-2473</t>
        </is>
      </c>
      <c r="B2669" t="inlineStr">
        <is>
          <t>Maharashtra Natural Gas (MNGL)</t>
        </is>
      </c>
      <c r="C2669" t="inlineStr">
        <is>
          <t>Maharashtra Natural Gas (MNGL)</t>
        </is>
      </c>
      <c r="F2669" t="inlineStr">
        <is>
          <t>New Lead</t>
        </is>
      </c>
      <c r="G2669" t="inlineStr">
        <is>
          <t>Unclassified</t>
        </is>
      </c>
      <c r="H2669" t="inlineStr">
        <is>
          <t>Customer Awareness</t>
        </is>
      </c>
      <c r="K2669" t="inlineStr">
        <is>
          <t>Not found</t>
        </is>
      </c>
      <c r="L2669" t="inlineStr">
        <is>
          <t>Unknown</t>
        </is>
      </c>
      <c r="T2669" t="inlineStr">
        <is>
          <t>https://mngl.in/update-details</t>
        </is>
      </c>
      <c r="U2669" t="inlineStr">
        <is>
          <t>HTML</t>
        </is>
      </c>
      <c r="V2669" t="inlineStr">
        <is>
          <t>Bot tespit/zenginlestirme (2026-07-01); meta:score=;priority=Low;source_type=html_link;closing_date=;equipment=Unclassified;reasons=</t>
        </is>
      </c>
    </row>
    <row r="2670">
      <c r="A2670" t="inlineStr">
        <is>
          <t>T-2474</t>
        </is>
      </c>
      <c r="B2670" t="inlineStr">
        <is>
          <t>Maharashtra Natural Gas (MNGL)</t>
        </is>
      </c>
      <c r="C2670" t="inlineStr">
        <is>
          <t>Maharashtra Natural Gas (MNGL)</t>
        </is>
      </c>
      <c r="F2670" t="inlineStr">
        <is>
          <t>New Lead</t>
        </is>
      </c>
      <c r="G2670" t="inlineStr">
        <is>
          <t>Unclassified</t>
        </is>
      </c>
      <c r="H2670" t="inlineStr">
        <is>
          <t>Our Clients Speak</t>
        </is>
      </c>
      <c r="K2670" t="inlineStr">
        <is>
          <t>Not found</t>
        </is>
      </c>
      <c r="L2670" t="inlineStr">
        <is>
          <t>Unknown</t>
        </is>
      </c>
      <c r="T2670" t="inlineStr">
        <is>
          <t>https://mngl.in/customer-zone/our-clientele</t>
        </is>
      </c>
      <c r="U2670" t="inlineStr">
        <is>
          <t>HTML</t>
        </is>
      </c>
      <c r="V2670" t="inlineStr">
        <is>
          <t>Bot tespit/zenginlestirme (2026-07-01); meta:score=;priority=Low;source_type=html_link;closing_date=;equipment=Unclassified;reasons=</t>
        </is>
      </c>
    </row>
    <row r="2671">
      <c r="A2671" t="inlineStr">
        <is>
          <t>T-2475</t>
        </is>
      </c>
      <c r="B2671" t="inlineStr">
        <is>
          <t>Maharashtra Natural Gas (MNGL)</t>
        </is>
      </c>
      <c r="C2671" t="inlineStr">
        <is>
          <t>Maharashtra Natural Gas (MNGL)</t>
        </is>
      </c>
      <c r="F2671" t="inlineStr">
        <is>
          <t>New Lead</t>
        </is>
      </c>
      <c r="G2671" t="inlineStr">
        <is>
          <t>Unclassified</t>
        </is>
      </c>
      <c r="H2671" t="inlineStr">
        <is>
          <t>Overview</t>
        </is>
      </c>
      <c r="K2671" t="inlineStr">
        <is>
          <t>Not found</t>
        </is>
      </c>
      <c r="L2671" t="inlineStr">
        <is>
          <t>Unknown</t>
        </is>
      </c>
      <c r="T2671" t="inlineStr">
        <is>
          <t>https://mngl.in/customer-care/overview</t>
        </is>
      </c>
      <c r="U2671" t="inlineStr">
        <is>
          <t>HTML</t>
        </is>
      </c>
      <c r="V2671" t="inlineStr">
        <is>
          <t>Bot tespit/zenginlestirme (2026-07-01); meta:score=;priority=Low;source_type=html_link;closing_date=;equipment=Unclassified;reasons=</t>
        </is>
      </c>
    </row>
    <row r="2672">
      <c r="A2672" t="inlineStr">
        <is>
          <t>T-2476</t>
        </is>
      </c>
      <c r="B2672" t="inlineStr">
        <is>
          <t>Maharashtra Natural Gas (MNGL)</t>
        </is>
      </c>
      <c r="C2672" t="inlineStr">
        <is>
          <t>Maharashtra Natural Gas (MNGL)</t>
        </is>
      </c>
      <c r="F2672" t="inlineStr">
        <is>
          <t>New Lead</t>
        </is>
      </c>
      <c r="G2672" t="inlineStr">
        <is>
          <t>Irrelevant / non-target</t>
        </is>
      </c>
      <c r="H2672" t="inlineStr">
        <is>
          <t>Name Transfer Policy</t>
        </is>
      </c>
      <c r="K2672" t="inlineStr">
        <is>
          <t>Not found</t>
        </is>
      </c>
      <c r="L2672" t="inlineStr">
        <is>
          <t>Unknown</t>
        </is>
      </c>
      <c r="T2672" t="inlineStr">
        <is>
          <t>https://mngl.in/customer-care/policies-&amp;-procedures/name-transfer-policy</t>
        </is>
      </c>
      <c r="U2672" t="inlineStr">
        <is>
          <t>HTML</t>
        </is>
      </c>
      <c r="V2672" t="inlineStr">
        <is>
          <t>Bot tespit/zenginlestirme (2026-07-01); meta:score=;priority=Low;source_type=html_link;closing_date=;equipment=Irrelevant / non-target;reasons=irrelevant_equipment</t>
        </is>
      </c>
    </row>
    <row r="2673">
      <c r="A2673" t="inlineStr">
        <is>
          <t>T-2477</t>
        </is>
      </c>
      <c r="B2673" t="inlineStr">
        <is>
          <t>Maharashtra Natural Gas (MNGL)</t>
        </is>
      </c>
      <c r="C2673" t="inlineStr">
        <is>
          <t>Maharashtra Natural Gas (MNGL)</t>
        </is>
      </c>
      <c r="F2673" t="inlineStr">
        <is>
          <t>New Lead</t>
        </is>
      </c>
      <c r="G2673" t="inlineStr">
        <is>
          <t>Unclassified</t>
        </is>
      </c>
      <c r="H2673" t="inlineStr">
        <is>
          <t>Temporary Discontinuation Process</t>
        </is>
      </c>
      <c r="K2673" t="inlineStr">
        <is>
          <t>Not found</t>
        </is>
      </c>
      <c r="L2673" t="inlineStr">
        <is>
          <t>Unknown</t>
        </is>
      </c>
      <c r="T2673" t="inlineStr">
        <is>
          <t>https://mngl.in/customer-care/policies-&amp;-procedures/temporary-discontinuation</t>
        </is>
      </c>
      <c r="U2673" t="inlineStr">
        <is>
          <t>HTML</t>
        </is>
      </c>
      <c r="V2673" t="inlineStr">
        <is>
          <t>Bot tespit/zenginlestirme (2026-07-01); meta:score=;priority=Low;source_type=html_link;closing_date=;equipment=Unclassified;reasons=</t>
        </is>
      </c>
    </row>
    <row r="2674">
      <c r="A2674" t="inlineStr">
        <is>
          <t>T-2478</t>
        </is>
      </c>
      <c r="B2674" t="inlineStr">
        <is>
          <t>Maharashtra Natural Gas (MNGL)</t>
        </is>
      </c>
      <c r="C2674" t="inlineStr">
        <is>
          <t>Maharashtra Natural Gas (MNGL)</t>
        </is>
      </c>
      <c r="F2674" t="inlineStr">
        <is>
          <t>New Lead</t>
        </is>
      </c>
      <c r="G2674" t="inlineStr">
        <is>
          <t>Unclassified</t>
        </is>
      </c>
      <c r="H2674" t="inlineStr">
        <is>
          <t>Permanent Disconnection Process</t>
        </is>
      </c>
      <c r="K2674" t="inlineStr">
        <is>
          <t>Not found</t>
        </is>
      </c>
      <c r="L2674" t="inlineStr">
        <is>
          <t>Unknown</t>
        </is>
      </c>
      <c r="T2674" t="inlineStr">
        <is>
          <t>https://mngl.in/customer-care/policies-&amp;-procedures/permanent-disconnection</t>
        </is>
      </c>
      <c r="U2674" t="inlineStr">
        <is>
          <t>HTML</t>
        </is>
      </c>
      <c r="V2674" t="inlineStr">
        <is>
          <t>Bot tespit/zenginlestirme (2026-07-01); meta:score=;priority=Low;source_type=html_link;closing_date=;equipment=Unclassified;reasons=</t>
        </is>
      </c>
    </row>
    <row r="2675">
      <c r="A2675" t="inlineStr">
        <is>
          <t>T-2479</t>
        </is>
      </c>
      <c r="B2675" t="inlineStr">
        <is>
          <t>Maharashtra Natural Gas (MNGL)</t>
        </is>
      </c>
      <c r="C2675" t="inlineStr">
        <is>
          <t>Maharashtra Natural Gas (MNGL)</t>
        </is>
      </c>
      <c r="F2675" t="inlineStr">
        <is>
          <t>New Lead</t>
        </is>
      </c>
      <c r="G2675" t="inlineStr">
        <is>
          <t>Unclassified</t>
        </is>
      </c>
      <c r="H2675" t="inlineStr">
        <is>
          <t>Service Charges</t>
        </is>
      </c>
      <c r="K2675" t="inlineStr">
        <is>
          <t>Not found</t>
        </is>
      </c>
      <c r="L2675" t="inlineStr">
        <is>
          <t>Unknown</t>
        </is>
      </c>
      <c r="T2675" t="inlineStr">
        <is>
          <t>https://mngl.in/customer-care/policies-&amp;-procedures/service-charges</t>
        </is>
      </c>
      <c r="U2675" t="inlineStr">
        <is>
          <t>HTML</t>
        </is>
      </c>
      <c r="V2675" t="inlineStr">
        <is>
          <t>Bot tespit/zenginlestirme (2026-07-01); meta:score=;priority=Low;source_type=html_link;closing_date=;equipment=Unclassified;reasons=</t>
        </is>
      </c>
    </row>
    <row r="2676">
      <c r="A2676" t="inlineStr">
        <is>
          <t>T-2480</t>
        </is>
      </c>
      <c r="B2676" t="inlineStr">
        <is>
          <t>Maharashtra Natural Gas (MNGL)</t>
        </is>
      </c>
      <c r="C2676" t="inlineStr">
        <is>
          <t>Maharashtra Natural Gas (MNGL)</t>
        </is>
      </c>
      <c r="F2676" t="inlineStr">
        <is>
          <t>New Lead</t>
        </is>
      </c>
      <c r="G2676" t="inlineStr">
        <is>
          <t>Unclassified</t>
        </is>
      </c>
      <c r="H2676" t="inlineStr">
        <is>
          <t>Important Policies</t>
        </is>
      </c>
      <c r="K2676" t="inlineStr">
        <is>
          <t>Not found</t>
        </is>
      </c>
      <c r="L2676" t="inlineStr">
        <is>
          <t>Unknown</t>
        </is>
      </c>
      <c r="T2676" t="inlineStr">
        <is>
          <t>https://mngl.in/customer-care/policies-&amp;-procedures/important-policies</t>
        </is>
      </c>
      <c r="U2676" t="inlineStr">
        <is>
          <t>HTML</t>
        </is>
      </c>
      <c r="V2676" t="inlineStr">
        <is>
          <t>Bot tespit/zenginlestirme (2026-07-01); meta:score=;priority=Low;source_type=html_link;closing_date=;equipment=Unclassified;reasons=</t>
        </is>
      </c>
    </row>
    <row r="2677">
      <c r="A2677" t="inlineStr">
        <is>
          <t>T-2481</t>
        </is>
      </c>
      <c r="B2677" t="inlineStr">
        <is>
          <t>Maharashtra Natural Gas (MNGL)</t>
        </is>
      </c>
      <c r="C2677" t="inlineStr">
        <is>
          <t>Maharashtra Natural Gas (MNGL)</t>
        </is>
      </c>
      <c r="F2677" t="inlineStr">
        <is>
          <t>New Lead</t>
        </is>
      </c>
      <c r="G2677" t="inlineStr">
        <is>
          <t>Unclassified</t>
        </is>
      </c>
      <c r="H2677" t="inlineStr">
        <is>
          <t>FAQS</t>
        </is>
      </c>
      <c r="K2677" t="inlineStr">
        <is>
          <t>Not found</t>
        </is>
      </c>
      <c r="L2677" t="inlineStr">
        <is>
          <t>Unknown</t>
        </is>
      </c>
      <c r="T2677" t="inlineStr">
        <is>
          <t>https://mngl.in/customer-awareness/faq</t>
        </is>
      </c>
      <c r="U2677" t="inlineStr">
        <is>
          <t>HTML</t>
        </is>
      </c>
      <c r="V2677" t="inlineStr">
        <is>
          <t>Bot tespit/zenginlestirme (2026-07-01); meta:score=;priority=Low;source_type=html_link;closing_date=;equipment=Unclassified;reasons=</t>
        </is>
      </c>
    </row>
    <row r="2678">
      <c r="A2678" t="inlineStr">
        <is>
          <t>T-2482</t>
        </is>
      </c>
      <c r="B2678" t="inlineStr">
        <is>
          <t>Maharashtra Natural Gas (MNGL)</t>
        </is>
      </c>
      <c r="C2678" t="inlineStr">
        <is>
          <t>Maharashtra Natural Gas (MNGL)</t>
        </is>
      </c>
      <c r="F2678" t="inlineStr">
        <is>
          <t>New Lead</t>
        </is>
      </c>
      <c r="G2678" t="inlineStr">
        <is>
          <t>Unclassified</t>
        </is>
      </c>
      <c r="H2678" t="inlineStr">
        <is>
          <t>Authorization Letters</t>
        </is>
      </c>
      <c r="K2678" t="inlineStr">
        <is>
          <t>Not found</t>
        </is>
      </c>
      <c r="L2678" t="inlineStr">
        <is>
          <t>Unknown</t>
        </is>
      </c>
      <c r="T2678" t="inlineStr">
        <is>
          <t>https://mngl.in/customer-awareness/Authoriza_Letters</t>
        </is>
      </c>
      <c r="U2678" t="inlineStr">
        <is>
          <t>HTML</t>
        </is>
      </c>
      <c r="V2678" t="inlineStr">
        <is>
          <t>Bot tespit/zenginlestirme (2026-07-01); meta:score=;priority=Low;source_type=html_link;closing_date=;equipment=Unclassified;reasons=</t>
        </is>
      </c>
    </row>
    <row r="2679">
      <c r="A2679" t="inlineStr">
        <is>
          <t>T-2483</t>
        </is>
      </c>
      <c r="B2679" t="inlineStr">
        <is>
          <t>Maharashtra Natural Gas (MNGL)</t>
        </is>
      </c>
      <c r="C2679" t="inlineStr">
        <is>
          <t>Maharashtra Natural Gas (MNGL)</t>
        </is>
      </c>
      <c r="F2679" t="inlineStr">
        <is>
          <t>New Lead</t>
        </is>
      </c>
      <c r="G2679" t="inlineStr">
        <is>
          <t>Irrelevant / non-target</t>
        </is>
      </c>
      <c r="H2679" t="inlineStr">
        <is>
          <t>MNGL HSE Policy</t>
        </is>
      </c>
      <c r="K2679" t="inlineStr">
        <is>
          <t>Not found</t>
        </is>
      </c>
      <c r="L2679" t="inlineStr">
        <is>
          <t>Unknown</t>
        </is>
      </c>
      <c r="T2679" t="inlineStr">
        <is>
          <t>https://mngl.in/health-safety-&amp;-environment/hse-policy</t>
        </is>
      </c>
      <c r="U2679" t="inlineStr">
        <is>
          <t>HTML</t>
        </is>
      </c>
      <c r="V2679" t="inlineStr">
        <is>
          <t>Bot tespit/zenginlestirme (2026-07-01); meta:score=;priority=Low;source_type=html_link;closing_date=;equipment=Irrelevant / non-target;reasons=irrelevant_equipment</t>
        </is>
      </c>
    </row>
    <row r="2680">
      <c r="A2680" t="inlineStr">
        <is>
          <t>T-2484</t>
        </is>
      </c>
      <c r="B2680" t="inlineStr">
        <is>
          <t>Maharashtra Natural Gas (MNGL)</t>
        </is>
      </c>
      <c r="C2680" t="inlineStr">
        <is>
          <t>Maharashtra Natural Gas (MNGL)</t>
        </is>
      </c>
      <c r="F2680" t="inlineStr">
        <is>
          <t>New Lead</t>
        </is>
      </c>
      <c r="G2680" t="inlineStr">
        <is>
          <t>Unclassified</t>
        </is>
      </c>
      <c r="H2680" t="inlineStr">
        <is>
          <t>Safety and Technique Competency(STC)</t>
        </is>
      </c>
      <c r="K2680" t="inlineStr">
        <is>
          <t>Not found</t>
        </is>
      </c>
      <c r="L2680" t="inlineStr">
        <is>
          <t>Unknown</t>
        </is>
      </c>
      <c r="T2680" t="inlineStr">
        <is>
          <t>https://mngl.in/health-safety-&amp;-environment/safety-and-technique-competency-stc</t>
        </is>
      </c>
      <c r="U2680" t="inlineStr">
        <is>
          <t>HTML</t>
        </is>
      </c>
      <c r="V2680" t="inlineStr">
        <is>
          <t>Bot tespit/zenginlestirme (2026-07-01); meta:score=;priority=Low;source_type=html_link;closing_date=;equipment=Unclassified;reasons=</t>
        </is>
      </c>
    </row>
    <row r="2681">
      <c r="A2681" t="inlineStr">
        <is>
          <t>T-2485</t>
        </is>
      </c>
      <c r="B2681" t="inlineStr">
        <is>
          <t>Maharashtra Natural Gas (MNGL)</t>
        </is>
      </c>
      <c r="C2681" t="inlineStr">
        <is>
          <t>Maharashtra Natural Gas (MNGL)</t>
        </is>
      </c>
      <c r="F2681" t="inlineStr">
        <is>
          <t>New Lead</t>
        </is>
      </c>
      <c r="G2681" t="inlineStr">
        <is>
          <t>Unclassified</t>
        </is>
      </c>
      <c r="H2681" t="inlineStr">
        <is>
          <t>Emergency Response</t>
        </is>
      </c>
      <c r="K2681" t="inlineStr">
        <is>
          <t>Not found</t>
        </is>
      </c>
      <c r="L2681" t="inlineStr">
        <is>
          <t>Unknown</t>
        </is>
      </c>
      <c r="T2681" t="inlineStr">
        <is>
          <t>https://mngl.in/health-safety-&amp;-environment/emergency-response</t>
        </is>
      </c>
      <c r="U2681" t="inlineStr">
        <is>
          <t>HTML</t>
        </is>
      </c>
      <c r="V2681" t="inlineStr">
        <is>
          <t>Bot tespit/zenginlestirme (2026-07-01); meta:score=;priority=Low;source_type=html_link;closing_date=;equipment=Unclassified;reasons=</t>
        </is>
      </c>
    </row>
    <row r="2682">
      <c r="A2682" t="inlineStr">
        <is>
          <t>T-2486</t>
        </is>
      </c>
      <c r="B2682" t="inlineStr">
        <is>
          <t>Maharashtra Natural Gas (MNGL)</t>
        </is>
      </c>
      <c r="C2682" t="inlineStr">
        <is>
          <t>Maharashtra Natural Gas (MNGL)</t>
        </is>
      </c>
      <c r="F2682" t="inlineStr">
        <is>
          <t>New Lead</t>
        </is>
      </c>
      <c r="G2682" t="inlineStr">
        <is>
          <t>Unclassified</t>
        </is>
      </c>
      <c r="H2682" t="inlineStr">
        <is>
          <t>Integrated Management System</t>
        </is>
      </c>
      <c r="K2682" t="inlineStr">
        <is>
          <t>Not found</t>
        </is>
      </c>
      <c r="L2682" t="inlineStr">
        <is>
          <t>Unknown</t>
        </is>
      </c>
      <c r="T2682" t="inlineStr">
        <is>
          <t>https://mngl.in/health-safety-&amp;-environment/integrated-management-system</t>
        </is>
      </c>
      <c r="U2682" t="inlineStr">
        <is>
          <t>HTML</t>
        </is>
      </c>
      <c r="V2682" t="inlineStr">
        <is>
          <t>Bot tespit/zenginlestirme (2026-07-01); meta:score=;priority=Low;source_type=html_link;closing_date=;equipment=Unclassified;reasons=</t>
        </is>
      </c>
    </row>
    <row r="2683">
      <c r="A2683" t="inlineStr">
        <is>
          <t>T-2487</t>
        </is>
      </c>
      <c r="B2683" t="inlineStr">
        <is>
          <t>Maharashtra Natural Gas (MNGL)</t>
        </is>
      </c>
      <c r="C2683" t="inlineStr">
        <is>
          <t>Maharashtra Natural Gas (MNGL)</t>
        </is>
      </c>
      <c r="F2683" t="inlineStr">
        <is>
          <t>New Lead</t>
        </is>
      </c>
      <c r="G2683" t="inlineStr">
        <is>
          <t>Unclassified</t>
        </is>
      </c>
      <c r="H2683" t="inlineStr">
        <is>
          <t>In Built 3 tier System</t>
        </is>
      </c>
      <c r="K2683" t="inlineStr">
        <is>
          <t>Not found</t>
        </is>
      </c>
      <c r="L2683" t="inlineStr">
        <is>
          <t>Unknown</t>
        </is>
      </c>
      <c r="T2683" t="inlineStr">
        <is>
          <t>https://mngl.in/health-safety-&amp;-environment/in-built-3-tier-system</t>
        </is>
      </c>
      <c r="U2683" t="inlineStr">
        <is>
          <t>HTML</t>
        </is>
      </c>
      <c r="V2683" t="inlineStr">
        <is>
          <t>Bot tespit/zenginlestirme (2026-07-01); meta:score=;priority=Low;source_type=html_link;closing_date=;equipment=Unclassified;reasons=</t>
        </is>
      </c>
    </row>
    <row r="2684">
      <c r="A2684" t="inlineStr">
        <is>
          <t>T-2488</t>
        </is>
      </c>
      <c r="B2684" t="inlineStr">
        <is>
          <t>Maharashtra Natural Gas (MNGL)</t>
        </is>
      </c>
      <c r="C2684" t="inlineStr">
        <is>
          <t>Maharashtra Natural Gas (MNGL)</t>
        </is>
      </c>
      <c r="F2684" t="inlineStr">
        <is>
          <t>New Lead</t>
        </is>
      </c>
      <c r="G2684" t="inlineStr">
        <is>
          <t>Unclassified</t>
        </is>
      </c>
      <c r="H2684" t="inlineStr">
        <is>
          <t>Safety Alerts &amp; Safety Jingles</t>
        </is>
      </c>
      <c r="K2684" t="inlineStr">
        <is>
          <t>Not found</t>
        </is>
      </c>
      <c r="L2684" t="inlineStr">
        <is>
          <t>Unknown</t>
        </is>
      </c>
      <c r="T2684" t="inlineStr">
        <is>
          <t>https://mngl.in/health-safety-&amp;-environment/safety-alert-safety-jingles</t>
        </is>
      </c>
      <c r="U2684" t="inlineStr">
        <is>
          <t>HTML</t>
        </is>
      </c>
      <c r="V2684" t="inlineStr">
        <is>
          <t>Bot tespit/zenginlestirme (2026-07-01); meta:score=;priority=Low;source_type=html_link;closing_date=;equipment=Unclassified;reasons=</t>
        </is>
      </c>
    </row>
    <row r="2685">
      <c r="A2685" t="inlineStr">
        <is>
          <t>T-2489</t>
        </is>
      </c>
      <c r="B2685" t="inlineStr">
        <is>
          <t>Maharashtra Natural Gas (MNGL)</t>
        </is>
      </c>
      <c r="C2685" t="inlineStr">
        <is>
          <t>Maharashtra Natural Gas (MNGL)</t>
        </is>
      </c>
      <c r="F2685" t="inlineStr">
        <is>
          <t>New Lead</t>
        </is>
      </c>
      <c r="G2685" t="inlineStr">
        <is>
          <t>Unclassified</t>
        </is>
      </c>
      <c r="H2685" t="inlineStr">
        <is>
          <t>Registered &amp; Corporate Office Address</t>
        </is>
      </c>
      <c r="K2685" t="inlineStr">
        <is>
          <t>Not found</t>
        </is>
      </c>
      <c r="L2685" t="inlineStr">
        <is>
          <t>Unknown</t>
        </is>
      </c>
      <c r="T2685" t="inlineStr">
        <is>
          <t>https://mngl.in/contact-us/registered</t>
        </is>
      </c>
      <c r="U2685" t="inlineStr">
        <is>
          <t>HTML</t>
        </is>
      </c>
      <c r="V2685" t="inlineStr">
        <is>
          <t>Bot tespit/zenginlestirme (2026-07-01); meta:score=;priority=Low;source_type=html_link;closing_date=;equipment=Unclassified;reasons=</t>
        </is>
      </c>
    </row>
    <row r="2686">
      <c r="A2686" t="inlineStr">
        <is>
          <t>T-2490</t>
        </is>
      </c>
      <c r="B2686" t="inlineStr">
        <is>
          <t>Maharashtra Natural Gas (MNGL)</t>
        </is>
      </c>
      <c r="C2686" t="inlineStr">
        <is>
          <t>Maharashtra Natural Gas (MNGL)</t>
        </is>
      </c>
      <c r="F2686" t="inlineStr">
        <is>
          <t>New Lead</t>
        </is>
      </c>
      <c r="G2686" t="inlineStr">
        <is>
          <t>Unclassified</t>
        </is>
      </c>
      <c r="H2686" t="inlineStr">
        <is>
          <t>Walk in Centers</t>
        </is>
      </c>
      <c r="K2686" t="inlineStr">
        <is>
          <t>Not found</t>
        </is>
      </c>
      <c r="L2686" t="inlineStr">
        <is>
          <t>Unknown</t>
        </is>
      </c>
      <c r="T2686" t="inlineStr">
        <is>
          <t>https://mngl.in/contact-us/walk-in</t>
        </is>
      </c>
      <c r="U2686" t="inlineStr">
        <is>
          <t>HTML</t>
        </is>
      </c>
      <c r="V2686" t="inlineStr">
        <is>
          <t>Bot tespit/zenginlestirme (2026-07-01); meta:score=;priority=Low;source_type=html_link;closing_date=;equipment=Unclassified;reasons=</t>
        </is>
      </c>
    </row>
    <row r="2687">
      <c r="A2687" t="inlineStr">
        <is>
          <t>T-2491</t>
        </is>
      </c>
      <c r="B2687" t="inlineStr">
        <is>
          <t>Maharashtra Natural Gas (MNGL)</t>
        </is>
      </c>
      <c r="C2687" t="inlineStr">
        <is>
          <t>Maharashtra Natural Gas (MNGL)</t>
        </is>
      </c>
      <c r="F2687" t="inlineStr">
        <is>
          <t>New Lead</t>
        </is>
      </c>
      <c r="G2687" t="inlineStr">
        <is>
          <t>Unclassified</t>
        </is>
      </c>
      <c r="H2687" t="inlineStr">
        <is>
          <t>Customer Support</t>
        </is>
      </c>
      <c r="K2687" t="inlineStr">
        <is>
          <t>Not found</t>
        </is>
      </c>
      <c r="L2687" t="inlineStr">
        <is>
          <t>Unknown</t>
        </is>
      </c>
      <c r="T2687" t="inlineStr">
        <is>
          <t>https://mngl.in/contact-us/customer-support</t>
        </is>
      </c>
      <c r="U2687" t="inlineStr">
        <is>
          <t>HTML</t>
        </is>
      </c>
      <c r="V2687" t="inlineStr">
        <is>
          <t>Bot tespit/zenginlestirme (2026-07-01); meta:score=;priority=Low;source_type=html_link;closing_date=;equipment=Unclassified;reasons=</t>
        </is>
      </c>
    </row>
    <row r="2688">
      <c r="A2688" t="inlineStr">
        <is>
          <t>T-2492</t>
        </is>
      </c>
      <c r="B2688" t="inlineStr">
        <is>
          <t>Maharashtra Natural Gas (MNGL)</t>
        </is>
      </c>
      <c r="C2688" t="inlineStr">
        <is>
          <t>Maharashtra Natural Gas (MNGL)</t>
        </is>
      </c>
      <c r="F2688" t="inlineStr">
        <is>
          <t>New Lead</t>
        </is>
      </c>
      <c r="G2688" t="inlineStr">
        <is>
          <t>Unclassified</t>
        </is>
      </c>
      <c r="H2688" t="inlineStr">
        <is>
          <t>Feedback/Enquiry</t>
        </is>
      </c>
      <c r="K2688" t="inlineStr">
        <is>
          <t>Not found</t>
        </is>
      </c>
      <c r="L2688" t="inlineStr">
        <is>
          <t>Unknown</t>
        </is>
      </c>
      <c r="T2688" t="inlineStr">
        <is>
          <t>https://mngl.in/contact-us/feedback-enquiry</t>
        </is>
      </c>
      <c r="U2688" t="inlineStr">
        <is>
          <t>HTML</t>
        </is>
      </c>
      <c r="V2688" t="inlineStr">
        <is>
          <t>Bot tespit/zenginlestirme (2026-07-01); meta:score=;priority=Low;source_type=html_link;closing_date=;equipment=Unclassified;reasons=</t>
        </is>
      </c>
    </row>
    <row r="2689">
      <c r="A2689" t="inlineStr">
        <is>
          <t>T-2493</t>
        </is>
      </c>
      <c r="B2689" t="inlineStr">
        <is>
          <t>Maharashtra Natural Gas (MNGL)</t>
        </is>
      </c>
      <c r="C2689" t="inlineStr">
        <is>
          <t>Maharashtra Natural Gas (MNGL)</t>
        </is>
      </c>
      <c r="F2689" t="inlineStr">
        <is>
          <t>New Lead</t>
        </is>
      </c>
      <c r="G2689" t="inlineStr">
        <is>
          <t>Unclassified</t>
        </is>
      </c>
      <c r="H2689" t="inlineStr">
        <is>
          <t>Apply New Connection</t>
        </is>
      </c>
      <c r="K2689" t="inlineStr">
        <is>
          <t>Not found</t>
        </is>
      </c>
      <c r="L2689" t="inlineStr">
        <is>
          <t>Unknown</t>
        </is>
      </c>
      <c r="T2689" t="inlineStr">
        <is>
          <t>https://mngl.in/apply-new-connection</t>
        </is>
      </c>
      <c r="U2689" t="inlineStr">
        <is>
          <t>HTML</t>
        </is>
      </c>
      <c r="V2689" t="inlineStr">
        <is>
          <t>Bot tespit/zenginlestirme (2026-07-01); meta:score=;priority=Low;source_type=html_link;closing_date=;equipment=Unclassified;reasons=</t>
        </is>
      </c>
    </row>
    <row r="2690">
      <c r="A2690" t="inlineStr">
        <is>
          <t>T-2494</t>
        </is>
      </c>
      <c r="B2690" t="inlineStr">
        <is>
          <t>Maharashtra Natural Gas (MNGL)</t>
        </is>
      </c>
      <c r="C2690" t="inlineStr">
        <is>
          <t>Maharashtra Natural Gas (MNGL)</t>
        </is>
      </c>
      <c r="F2690" t="inlineStr">
        <is>
          <t>New Lead</t>
        </is>
      </c>
      <c r="G2690" t="inlineStr">
        <is>
          <t>Unclassified</t>
        </is>
      </c>
      <c r="H2690" t="inlineStr">
        <is>
          <t>Pay Your Bill Online</t>
        </is>
      </c>
      <c r="K2690" t="inlineStr">
        <is>
          <t>Not found</t>
        </is>
      </c>
      <c r="L2690" t="inlineStr">
        <is>
          <t>Unknown</t>
        </is>
      </c>
      <c r="T2690" t="inlineStr">
        <is>
          <t>https://mngl.in/pay-bill</t>
        </is>
      </c>
      <c r="U2690" t="inlineStr">
        <is>
          <t>HTML</t>
        </is>
      </c>
      <c r="V2690" t="inlineStr">
        <is>
          <t>Bot tespit/zenginlestirme (2026-07-01); meta:score=;priority=Low;source_type=html_link;closing_date=;equipment=Unclassified;reasons=</t>
        </is>
      </c>
    </row>
    <row r="2691">
      <c r="A2691" t="inlineStr">
        <is>
          <t>T-2495</t>
        </is>
      </c>
      <c r="B2691" t="inlineStr">
        <is>
          <t>Maharashtra Natural Gas (MNGL)</t>
        </is>
      </c>
      <c r="C2691" t="inlineStr">
        <is>
          <t>Maharashtra Natural Gas (MNGL)</t>
        </is>
      </c>
      <c r="F2691" t="inlineStr">
        <is>
          <t>New Lead</t>
        </is>
      </c>
      <c r="G2691" t="inlineStr">
        <is>
          <t>Unclassified</t>
        </is>
      </c>
      <c r="H2691" t="inlineStr">
        <is>
          <t>Disclaimer</t>
        </is>
      </c>
      <c r="K2691" t="inlineStr">
        <is>
          <t>Not found</t>
        </is>
      </c>
      <c r="L2691" t="inlineStr">
        <is>
          <t>Unknown</t>
        </is>
      </c>
      <c r="T2691" t="inlineStr">
        <is>
          <t>https://mngl.in/disclaimer</t>
        </is>
      </c>
      <c r="U2691" t="inlineStr">
        <is>
          <t>HTML</t>
        </is>
      </c>
      <c r="V2691" t="inlineStr">
        <is>
          <t>Bot tespit/zenginlestirme (2026-07-01); meta:score=;priority=Low;source_type=html_link;closing_date=;equipment=Unclassified;reasons=</t>
        </is>
      </c>
    </row>
    <row r="2692">
      <c r="A2692" t="inlineStr">
        <is>
          <t>T-2496</t>
        </is>
      </c>
      <c r="B2692" t="inlineStr">
        <is>
          <t>CPPP / eProcure</t>
        </is>
      </c>
      <c r="C2692" t="inlineStr">
        <is>
          <t>CPPP / eProcure</t>
        </is>
      </c>
      <c r="D2692" t="inlineStr">
        <is>
          <t>HLL/MKG/TRANS/26-27/T01</t>
        </is>
      </c>
      <c r="F2692" t="inlineStr">
        <is>
          <t>Docs Found</t>
        </is>
      </c>
      <c r="G2692" t="inlineStr">
        <is>
          <t>Unclassified</t>
        </is>
      </c>
      <c r="H2692" t="inlineStr">
        <is>
          <t>2. AMENDMENT NO.02 HLL/MKG/TRANS/26-27/T01 09-Jul-2026 06:00 PM 10-Jul-2026 06:00 PM</t>
        </is>
      </c>
      <c r="K2692" t="inlineStr">
        <is>
          <t>Not found</t>
        </is>
      </c>
      <c r="L2692" t="inlineStr">
        <is>
          <t>Unknown</t>
        </is>
      </c>
      <c r="T2692" t="inlineStr">
        <is>
          <t>https://www.etenders.gov.in/eprocure/app?component=%24DirectLink_0&amp;page=Home&amp;service=direct&amp;session=T&amp;sp=S7bwW7hB9tCRO2q1iXfTjbA%3D%3D</t>
        </is>
      </c>
      <c r="U2692" t="inlineStr">
        <is>
          <t>HTML</t>
        </is>
      </c>
      <c r="V2692" t="inlineStr">
        <is>
          <t>Bot tespit/zenginlestirme (2026-07-01); meta:score=20;priority=Low;source_type=html_table;closing_date=;equipment=Unclassified;reasons=quantity signal</t>
        </is>
      </c>
    </row>
    <row r="2693">
      <c r="A2693" t="inlineStr">
        <is>
          <t>T-2497</t>
        </is>
      </c>
      <c r="B2693" t="inlineStr">
        <is>
          <t>CPPP / eProcure</t>
        </is>
      </c>
      <c r="C2693" t="inlineStr">
        <is>
          <t>CPPP / eProcure</t>
        </is>
      </c>
      <c r="D2693" t="inlineStr">
        <is>
          <t>GAIL/NOIDA/CnP/PROJ/26-22</t>
        </is>
      </c>
      <c r="F2693" t="inlineStr">
        <is>
          <t>Docs Found</t>
        </is>
      </c>
      <c r="G2693" t="inlineStr">
        <is>
          <t>Unclassified</t>
        </is>
      </c>
      <c r="H2693" t="inlineStr">
        <is>
          <t>1. HIRING OF PROJECT MANAGEMENT CONSULTANT FOR IMPLEMENTATION OF SCHEME FOR ELECTRIFICATION OF THREE MAINLINE COMPRESSORS AT GAIL-VIJAIPUR GAIL/NOIDA/CnP/PROJ/26-22 22-Jul-2026 03:00 PM 23-Jul-2026 03:00 PM</t>
        </is>
      </c>
      <c r="K2693" t="inlineStr">
        <is>
          <t>Not found</t>
        </is>
      </c>
      <c r="L2693" t="inlineStr">
        <is>
          <t>Unknown</t>
        </is>
      </c>
      <c r="T2693" t="inlineStr">
        <is>
          <t>https://www.etenders.gov.in/eprocure/app?component=%24DirectLink&amp;page=Home&amp;service=direct&amp;session=T&amp;sp=Sdc70Js7cckb2f50Pv10TVw%3D%3D</t>
        </is>
      </c>
      <c r="U2693" t="inlineStr">
        <is>
          <t>HTML</t>
        </is>
      </c>
      <c r="V2693" t="inlineStr">
        <is>
          <t>Bot tespit/zenginlestirme (2026-07-01); meta:score=;priority=Low;source_type=html_table;closing_date=;equipment=Unclassified;reasons=</t>
        </is>
      </c>
    </row>
    <row r="2694">
      <c r="A2694" t="inlineStr">
        <is>
          <t>T-2498</t>
        </is>
      </c>
      <c r="B2694" t="inlineStr">
        <is>
          <t>CPPP / eProcure</t>
        </is>
      </c>
      <c r="C2694" t="inlineStr">
        <is>
          <t>CPPP / eProcure</t>
        </is>
      </c>
      <c r="D2694" t="inlineStr">
        <is>
          <t>II/CITY-SPZ/26-27/18.06</t>
        </is>
      </c>
      <c r="E2694" t="inlineStr">
        <is>
          <t>26-27/18</t>
        </is>
      </c>
      <c r="F2694" t="inlineStr">
        <is>
          <t>Docs Found</t>
        </is>
      </c>
      <c r="G2694" t="inlineStr">
        <is>
          <t>Unclassified</t>
        </is>
      </c>
      <c r="H2694" t="inlineStr">
        <is>
          <t>5. Imp. and Development of Chatta Lal Mian Road from behind Delite Cinema, Faseel Road to Koyla Shop Delhi Gate Bazar by providing RMC in Ward no. 76, Chandni Mahal, City-SP Zone. EE(M)-II/CITY-SPZ/26-27/18.06 08-Jul-2026 03:00 PM 08-Jul-2026 03:05 PM</t>
        </is>
      </c>
      <c r="K2694" t="inlineStr">
        <is>
          <t>Not found</t>
        </is>
      </c>
      <c r="L2694" t="inlineStr">
        <is>
          <t>Unknown</t>
        </is>
      </c>
      <c r="T2694" t="inlineStr">
        <is>
          <t>https://www.etenders.gov.in/eprocure/app?component=%24DirectLink&amp;page=Home&amp;service=direct&amp;session=T&amp;sp=S%2BE5AerLC9dOfhDeIXvT86w%3D%3D</t>
        </is>
      </c>
      <c r="U2694" t="inlineStr">
        <is>
          <t>HTML</t>
        </is>
      </c>
      <c r="V2694" t="inlineStr">
        <is>
          <t>Bot tespit/zenginlestirme (2026-07-01); meta:score=;priority=Low;source_type=html_table;closing_date=;equipment=Unclassified;reasons=</t>
        </is>
      </c>
    </row>
    <row r="2695">
      <c r="A2695" t="inlineStr">
        <is>
          <t>T-2499</t>
        </is>
      </c>
      <c r="B2695" t="inlineStr">
        <is>
          <t>CPPP / eProcure</t>
        </is>
      </c>
      <c r="C2695" t="inlineStr">
        <is>
          <t>CPPP / eProcure</t>
        </is>
      </c>
      <c r="D2695" t="inlineStr">
        <is>
          <t>EE/M-II/KPZ/TC/2026-27/18/05</t>
        </is>
      </c>
      <c r="E2695" t="inlineStr">
        <is>
          <t>27/18/05</t>
        </is>
      </c>
      <c r="F2695" t="inlineStr">
        <is>
          <t>Docs Found</t>
        </is>
      </c>
      <c r="G2695" t="inlineStr">
        <is>
          <t>Unclassified</t>
        </is>
      </c>
      <c r="H2695" t="inlineStr">
        <is>
          <t>6. Supply of Gully Grating with frame and NP2 Class pipes at Municipal Store of Ward No. 68/KPZ, Model Town. EE/M-II/KPZ/TC/2026-27/18/05 08-Jul-2026 03:00 PM 08-Jul-2026 03:15 PM</t>
        </is>
      </c>
      <c r="K2695" t="inlineStr">
        <is>
          <t>Not found</t>
        </is>
      </c>
      <c r="L2695" t="inlineStr">
        <is>
          <t>Unknown</t>
        </is>
      </c>
      <c r="T2695" t="inlineStr">
        <is>
          <t>https://www.etenders.gov.in/eprocure/app?component=%24DirectLink&amp;page=Home&amp;service=direct&amp;session=T&amp;sp=SlGJ7oRRFLc6B1P%2BR9TnIng%3D%3D</t>
        </is>
      </c>
      <c r="U2695" t="inlineStr">
        <is>
          <t>HTML</t>
        </is>
      </c>
      <c r="V2695" t="inlineStr">
        <is>
          <t>Bot tespit/zenginlestirme (2026-07-01); meta:score=;priority=Low;source_type=html_table;closing_date=;equipment=Unclassified;reasons=</t>
        </is>
      </c>
    </row>
    <row r="2696">
      <c r="A2696" t="inlineStr">
        <is>
          <t>T-2500</t>
        </is>
      </c>
      <c r="B2696" t="inlineStr">
        <is>
          <t>CPPP / eProcure</t>
        </is>
      </c>
      <c r="C2696" t="inlineStr">
        <is>
          <t>CPPP / eProcure</t>
        </is>
      </c>
      <c r="D2696" t="inlineStr">
        <is>
          <t>II/CITY-SPZ/26-27/18.02</t>
        </is>
      </c>
      <c r="E2696" t="inlineStr">
        <is>
          <t>26-27/18</t>
        </is>
      </c>
      <c r="F2696" t="inlineStr">
        <is>
          <t>Docs Found</t>
        </is>
      </c>
      <c r="G2696" t="inlineStr">
        <is>
          <t>Unclassified</t>
        </is>
      </c>
      <c r="H2696" t="inlineStr">
        <is>
          <t>7. Imp./Dev. Stair at Bagh Diwar (Katra Neel) and Stairs and Broken wall at Angoori Bagh in Ward No. 74, Chandni Chowk, City SP Zone. EE(M)-II/CITY-SPZ/26-27/18.02 08-Jul-2026 03:00 PM 08-Jul-2026 03:05 PM</t>
        </is>
      </c>
      <c r="K2696" t="inlineStr">
        <is>
          <t>Not found</t>
        </is>
      </c>
      <c r="L2696" t="inlineStr">
        <is>
          <t>Unknown</t>
        </is>
      </c>
      <c r="T2696" t="inlineStr">
        <is>
          <t>https://www.etenders.gov.in/eprocure/app?component=%24DirectLink&amp;page=Home&amp;service=direct&amp;session=T&amp;sp=SfADGloWdD35PwfwWDIDAMQ%3D%3D</t>
        </is>
      </c>
      <c r="U2696" t="inlineStr">
        <is>
          <t>HTML</t>
        </is>
      </c>
      <c r="V2696" t="inlineStr">
        <is>
          <t>Bot tespit/zenginlestirme (2026-07-01); meta:score=;priority=Low;source_type=html_table;closing_date=;equipment=Unclassified;reasons=</t>
        </is>
      </c>
    </row>
    <row r="2697">
      <c r="A2697" t="inlineStr">
        <is>
          <t>T-2501</t>
        </is>
      </c>
      <c r="B2697" t="inlineStr">
        <is>
          <t>CPPP / eProcure</t>
        </is>
      </c>
      <c r="C2697" t="inlineStr">
        <is>
          <t>CPPP / eProcure</t>
        </is>
      </c>
      <c r="D2697" t="inlineStr">
        <is>
          <t>EE/M-II/KPZ/TC/2026-27/18/07</t>
        </is>
      </c>
      <c r="E2697" t="inlineStr">
        <is>
          <t>27/18/07</t>
        </is>
      </c>
      <c r="F2697" t="inlineStr">
        <is>
          <t>Awarded / Result</t>
        </is>
      </c>
      <c r="G2697" t="inlineStr">
        <is>
          <t>Unclassified</t>
        </is>
      </c>
      <c r="H2697" t="inlineStr">
        <is>
          <t>8. Hiring of MMV with Driver, Back Hoe Loader for removing Malba, silt from various locations in Ward No. 68/KPZ, Model Town. EE/M-II/KPZ/TC/2026-27/18/07 08-Jul-2026 03:00 PM 08-Jul-2026 03:15 PM</t>
        </is>
      </c>
      <c r="K2697" t="inlineStr">
        <is>
          <t>Not found</t>
        </is>
      </c>
      <c r="L2697" t="inlineStr">
        <is>
          <t>Unknown</t>
        </is>
      </c>
      <c r="T2697" t="inlineStr">
        <is>
          <t>https://www.etenders.gov.in/eprocure/app?component=%24DirectLink&amp;page=Home&amp;service=direct&amp;session=T&amp;sp=SaVxyM2V%2FN38U7asrcJbJhQ%3D%3D</t>
        </is>
      </c>
      <c r="U2697" t="inlineStr">
        <is>
          <t>HTML</t>
        </is>
      </c>
      <c r="V2697" t="inlineStr">
        <is>
          <t>Bot tespit/zenginlestirme (2026-07-01); meta:score=;priority=Low;source_type=html_table;closing_date=;equipment=Unclassified;reasons=</t>
        </is>
      </c>
    </row>
    <row r="2698">
      <c r="A2698" t="inlineStr">
        <is>
          <t>T-2502</t>
        </is>
      </c>
      <c r="B2698" t="inlineStr">
        <is>
          <t>CPPP / eProcure</t>
        </is>
      </c>
      <c r="C2698" t="inlineStr">
        <is>
          <t>CPPP / eProcure</t>
        </is>
      </c>
      <c r="D2698" t="inlineStr">
        <is>
          <t>JPL/CNM/ST/26-27/1100013148</t>
        </is>
      </c>
      <c r="F2698" t="inlineStr">
        <is>
          <t>Docs Found</t>
        </is>
      </c>
      <c r="G2698" t="inlineStr">
        <is>
          <t>Unclassified</t>
        </is>
      </c>
      <c r="H2698" t="inlineStr">
        <is>
          <t>9. Supply of Filter element for Oil Filtration machines JPL/CNM/ST/26-27/1100013148 07-Jul-2026 06:00 PM 08-Jul-2026 11:00 AM</t>
        </is>
      </c>
      <c r="K2698" t="inlineStr">
        <is>
          <t>Not found</t>
        </is>
      </c>
      <c r="L2698" t="inlineStr">
        <is>
          <t>Unknown</t>
        </is>
      </c>
      <c r="T2698" t="inlineStr">
        <is>
          <t>https://www.etenders.gov.in/eprocure/app?component=%24DirectLink&amp;page=Home&amp;service=direct&amp;session=T&amp;sp=SLSY3jIkeR5GUABkxLDWRkQ%3D%3D</t>
        </is>
      </c>
      <c r="U2698" t="inlineStr">
        <is>
          <t>HTML</t>
        </is>
      </c>
      <c r="V2698" t="inlineStr">
        <is>
          <t>Bot tespit/zenginlestirme (2026-07-01); meta:score=;priority=Low;source_type=html_table;closing_date=;equipment=Unclassified;reasons=</t>
        </is>
      </c>
    </row>
    <row r="2699">
      <c r="A2699" t="inlineStr">
        <is>
          <t>T-2503</t>
        </is>
      </c>
      <c r="B2699" t="inlineStr">
        <is>
          <t>CPPP / eProcure</t>
        </is>
      </c>
      <c r="C2699" t="inlineStr">
        <is>
          <t>CPPP / eProcure</t>
        </is>
      </c>
      <c r="D2699" t="inlineStr">
        <is>
          <t>EE/M-II/KPZ/TC/2026-27/18/04</t>
        </is>
      </c>
      <c r="E2699" t="inlineStr">
        <is>
          <t>27/18/04</t>
        </is>
      </c>
      <c r="F2699" t="inlineStr">
        <is>
          <t>Docs Found</t>
        </is>
      </c>
      <c r="G2699" t="inlineStr">
        <is>
          <t>Unclassified</t>
        </is>
      </c>
      <c r="H2699" t="inlineStr">
        <is>
          <t>10. Imp./ Dev. of back lane from H.No. 5 to 12 in C Block Sawan Park Ashok Vihar Ward No. 66 Wazirpur AC-17. EE/M-II/KPZ/TC/2026-27/18/04 08-Jul-2026 03:00 PM 08-Jul-2026 03:15 PM</t>
        </is>
      </c>
      <c r="K2699" t="inlineStr">
        <is>
          <t>Not found</t>
        </is>
      </c>
      <c r="L2699" t="inlineStr">
        <is>
          <t>Unknown</t>
        </is>
      </c>
      <c r="T2699" t="inlineStr">
        <is>
          <t>https://www.etenders.gov.in/eprocure/app?component=%24DirectLink&amp;page=Home&amp;service=direct&amp;session=T&amp;sp=SD0DEYcqAUXC5X8ICQ%2Bx79Q%3D%3D</t>
        </is>
      </c>
      <c r="U2699" t="inlineStr">
        <is>
          <t>HTML</t>
        </is>
      </c>
      <c r="V2699" t="inlineStr">
        <is>
          <t>Bot tespit/zenginlestirme (2026-07-01); meta:score=;priority=Low;source_type=html_table;closing_date=;equipment=Unclassified;reasons=</t>
        </is>
      </c>
    </row>
    <row r="2700">
      <c r="A2700" t="inlineStr">
        <is>
          <t>T-2504</t>
        </is>
      </c>
      <c r="B2700" t="inlineStr">
        <is>
          <t>CPPP / eProcure</t>
        </is>
      </c>
      <c r="C2700" t="inlineStr">
        <is>
          <t>CPPP / eProcure</t>
        </is>
      </c>
      <c r="D2700" t="inlineStr">
        <is>
          <t>NHAI/RO/RNC/JH/2026-27/20</t>
        </is>
      </c>
      <c r="E2700" t="inlineStr">
        <is>
          <t>2026-27/20</t>
        </is>
      </c>
      <c r="F2700" t="inlineStr">
        <is>
          <t>Docs Found</t>
        </is>
      </c>
      <c r="G2700" t="inlineStr">
        <is>
          <t>Unclassified</t>
        </is>
      </c>
      <c r="H2700" t="inlineStr">
        <is>
          <t>1. Corrigendum I NHAI/RO/RNC/JH/2026-27/20 06-Jul-2026 11:00 AM 07-Jul-2026 11:30 AM</t>
        </is>
      </c>
      <c r="K2700" t="inlineStr">
        <is>
          <t>Not found</t>
        </is>
      </c>
      <c r="L2700" t="inlineStr">
        <is>
          <t>Unknown</t>
        </is>
      </c>
      <c r="T2700" t="inlineStr">
        <is>
          <t>https://www.etenders.gov.in/eprocure/app?component=%24DirectLink_0&amp;page=Home&amp;service=direct&amp;session=T&amp;sp=SBhUWJOP0d0dJusFtpP%2FOEQ%3D%3D</t>
        </is>
      </c>
      <c r="U2700" t="inlineStr">
        <is>
          <t>HTML</t>
        </is>
      </c>
      <c r="V2700" t="inlineStr">
        <is>
          <t>Bot tespit/zenginlestirme (2026-07-01); meta:score=;priority=Low;source_type=html_table;closing_date=;equipment=Unclassified;reasons=</t>
        </is>
      </c>
    </row>
    <row r="2701">
      <c r="A2701" t="inlineStr">
        <is>
          <t>T-2505</t>
        </is>
      </c>
      <c r="B2701" t="inlineStr">
        <is>
          <t>CPPP / eProcure</t>
        </is>
      </c>
      <c r="C2701" t="inlineStr">
        <is>
          <t>CPPP / eProcure</t>
        </is>
      </c>
      <c r="D2701" t="inlineStr">
        <is>
          <t>Tenders/26-27/17</t>
        </is>
      </c>
      <c r="E2701" t="inlineStr">
        <is>
          <t>26-27/17</t>
        </is>
      </c>
      <c r="F2701" t="inlineStr">
        <is>
          <t>Docs Found</t>
        </is>
      </c>
      <c r="G2701" t="inlineStr">
        <is>
          <t>Unclassified</t>
        </is>
      </c>
      <c r="H2701" t="inlineStr">
        <is>
          <t>3. Corrigendum 1 11011/95/Tenders/26-27/17 03-Jul-2026 03:00 PM 04-Jul-2026 03:00 PM</t>
        </is>
      </c>
      <c r="K2701" t="inlineStr">
        <is>
          <t>Not found</t>
        </is>
      </c>
      <c r="L2701" t="inlineStr">
        <is>
          <t>Unknown</t>
        </is>
      </c>
      <c r="T2701" t="inlineStr">
        <is>
          <t>https://www.etenders.gov.in/eprocure/app?component=%24DirectLink_0&amp;page=Home&amp;service=direct&amp;session=T&amp;sp=SOcWuHLU%2F6QQ8EyQ1z%2FlPMw%3D%3D</t>
        </is>
      </c>
      <c r="U2701" t="inlineStr">
        <is>
          <t>HTML</t>
        </is>
      </c>
      <c r="V2701" t="inlineStr">
        <is>
          <t>Bot tespit/zenginlestirme (2026-07-01); meta:score=;priority=Low;source_type=html_table;closing_date=;equipment=Unclassified;reasons=</t>
        </is>
      </c>
    </row>
    <row r="2702">
      <c r="A2702" t="inlineStr">
        <is>
          <t>T-2506</t>
        </is>
      </c>
      <c r="B2702" t="inlineStr">
        <is>
          <t>CPPP / eProcure</t>
        </is>
      </c>
      <c r="C2702" t="inlineStr">
        <is>
          <t>CPPP / eProcure</t>
        </is>
      </c>
      <c r="D2702" t="inlineStr">
        <is>
          <t>PY/8437/047/2026/VACUUMPUMP</t>
        </is>
      </c>
      <c r="F2702" t="inlineStr">
        <is>
          <t>Docs Found</t>
        </is>
      </c>
      <c r="G2702" t="inlineStr">
        <is>
          <t>Unclassified</t>
        </is>
      </c>
      <c r="H2702" t="inlineStr">
        <is>
          <t>4. CORRIGENDUM1 PY/8437/047/2026/VACUUMPUMP 22-Jul-2026 03:00 PM 23-Jul-2026 03:00 PM</t>
        </is>
      </c>
      <c r="K2702" t="inlineStr">
        <is>
          <t>Not found</t>
        </is>
      </c>
      <c r="L2702" t="inlineStr">
        <is>
          <t>Unknown</t>
        </is>
      </c>
      <c r="T2702" t="inlineStr">
        <is>
          <t>https://www.etenders.gov.in/eprocure/app?component=%24DirectLink_0&amp;page=Home&amp;service=direct&amp;session=T&amp;sp=SEBm%2BX62vhOlj3KE1YmPdxw%3D%3D</t>
        </is>
      </c>
      <c r="U2702" t="inlineStr">
        <is>
          <t>HTML</t>
        </is>
      </c>
      <c r="V2702" t="inlineStr">
        <is>
          <t>Bot tespit/zenginlestirme (2026-07-01); meta:score=;priority=Low;source_type=html_table;closing_date=;equipment=Unclassified;reasons=</t>
        </is>
      </c>
    </row>
    <row r="2703">
      <c r="A2703" t="inlineStr">
        <is>
          <t>T-2507</t>
        </is>
      </c>
      <c r="B2703" t="inlineStr">
        <is>
          <t>CPPP / eProcure</t>
        </is>
      </c>
      <c r="C2703" t="inlineStr">
        <is>
          <t>CPPP / eProcure</t>
        </is>
      </c>
      <c r="D2703" t="inlineStr">
        <is>
          <t>Tenders/26-27/17</t>
        </is>
      </c>
      <c r="E2703" t="inlineStr">
        <is>
          <t>26-27/17</t>
        </is>
      </c>
      <c r="F2703" t="inlineStr">
        <is>
          <t>Docs Found</t>
        </is>
      </c>
      <c r="G2703" t="inlineStr">
        <is>
          <t>Unclassified</t>
        </is>
      </c>
      <c r="H2703" t="inlineStr">
        <is>
          <t>5. Corrigendum 1 11011/95/Tenders/26-27/17 03-Jul-2026 03:00 PM 04-Jul-2026 03:00 PM</t>
        </is>
      </c>
      <c r="K2703" t="inlineStr">
        <is>
          <t>Not found</t>
        </is>
      </c>
      <c r="L2703" t="inlineStr">
        <is>
          <t>Unknown</t>
        </is>
      </c>
      <c r="T2703" t="inlineStr">
        <is>
          <t>https://www.etenders.gov.in/eprocure/app?component=%24DirectLink_0&amp;page=Home&amp;service=direct&amp;session=T&amp;sp=Slh73DBsMTgUcIDbVxo9CMw%3D%3D</t>
        </is>
      </c>
      <c r="U2703" t="inlineStr">
        <is>
          <t>HTML</t>
        </is>
      </c>
      <c r="V2703" t="inlineStr">
        <is>
          <t>Bot tespit/zenginlestirme (2026-07-01); meta:score=;priority=Low;source_type=html_table;closing_date=;equipment=Unclassified;reasons=</t>
        </is>
      </c>
    </row>
    <row r="2704">
      <c r="A2704" t="inlineStr">
        <is>
          <t>T-2508</t>
        </is>
      </c>
      <c r="B2704" t="inlineStr">
        <is>
          <t>CPPP / eProcure</t>
        </is>
      </c>
      <c r="C2704" t="inlineStr">
        <is>
          <t>CPPP / eProcure</t>
        </is>
      </c>
      <c r="D2704" t="inlineStr">
        <is>
          <t>TCIL/ITTIV/251/2026</t>
        </is>
      </c>
      <c r="F2704" t="inlineStr">
        <is>
          <t>Docs Found</t>
        </is>
      </c>
      <c r="G2704" t="inlineStr">
        <is>
          <t>Unclassified</t>
        </is>
      </c>
      <c r="H2704" t="inlineStr">
        <is>
          <t>6. Corrigendum3 TCIL/ITTIV/251/2026 10-Jul-2026 02:00 PM 10-Jul-2026 03:00 PM</t>
        </is>
      </c>
      <c r="K2704" t="inlineStr">
        <is>
          <t>Not found</t>
        </is>
      </c>
      <c r="L2704" t="inlineStr">
        <is>
          <t>Unknown</t>
        </is>
      </c>
      <c r="T2704" t="inlineStr">
        <is>
          <t>https://www.etenders.gov.in/eprocure/app?component=%24DirectLink_0&amp;page=Home&amp;service=direct&amp;session=T&amp;sp=ShRkmieklG0ibqQGe%2Bw0ziQ%3D%3D</t>
        </is>
      </c>
      <c r="U2704" t="inlineStr">
        <is>
          <t>HTML</t>
        </is>
      </c>
      <c r="V2704" t="inlineStr">
        <is>
          <t>Bot tespit/zenginlestirme (2026-07-01); meta:score=;priority=Low;source_type=html_table;closing_date=;equipment=Unclassified;reasons=</t>
        </is>
      </c>
    </row>
  </sheetData>
  <conditionalFormatting sqref="F4:F500">
    <cfRule type="expression" priority="1" dxfId="0">
      <formula>F4="Awarded"</formula>
    </cfRule>
    <cfRule type="expression" priority="2" dxfId="4">
      <formula>F4="Docs Found"</formula>
    </cfRule>
    <cfRule type="expression" priority="3" dxfId="2">
      <formula>F4="Login Required"</formula>
    </cfRule>
  </conditionalFormatting>
  <dataValidations count="3">
    <dataValidation sqref="F4:F500" showDropDown="0" showInputMessage="0" showErrorMessage="0" allowBlank="0" type="list">
      <formula1>"To Search,Docs Found,Tech Extracted,Price Found,Awarded,No Result,Login Required"</formula1>
    </dataValidation>
    <dataValidation sqref="G4:G500" showDropDown="0" showInputMessage="0" showErrorMessage="0" allowBlank="0" type="list">
      <formula1>"Domestic Regulator,Service Regulator,Commercial Regulator,Industrial Regulator,Metering skid,MRS/DRS/FRS/PRS/CGS,Gas meters,Valve/SSV/Relief,Other"</formula1>
    </dataValidation>
    <dataValidation sqref="U4:U500"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R5"/>
  <sheetViews>
    <sheetView workbookViewId="0">
      <selection activeCell="A1" sqref="A1"/>
    </sheetView>
  </sheetViews>
  <sheetFormatPr baseColWidth="8" defaultRowHeight="15"/>
  <cols>
    <col width="12" customWidth="1" min="1" max="1"/>
    <col width="22" customWidth="1" min="2" max="2"/>
    <col width="18" customWidth="1" min="3" max="3"/>
    <col width="18" customWidth="1" min="4" max="4"/>
    <col width="18" customWidth="1" min="5" max="5"/>
    <col width="18" customWidth="1" min="6" max="6"/>
    <col width="16" customWidth="1" min="7" max="7"/>
    <col width="16" customWidth="1" min="8" max="8"/>
    <col width="14" customWidth="1" min="9" max="9"/>
    <col width="14" customWidth="1" min="10" max="10"/>
    <col width="14" customWidth="1" min="11" max="11"/>
    <col width="14" customWidth="1" min="12" max="12"/>
    <col width="16" customWidth="1" min="13" max="13"/>
    <col width="16" customWidth="1" min="14" max="14"/>
    <col width="18" customWidth="1" min="15" max="15"/>
    <col width="20" customWidth="1" min="16" max="16"/>
    <col width="40" customWidth="1" min="17" max="17"/>
    <col width="32" customWidth="1" min="18" max="18"/>
  </cols>
  <sheetData>
    <row r="1" ht="24" customHeight="1">
      <c r="A1" s="5" t="inlineStr">
        <is>
          <t>05 Technical Database</t>
        </is>
      </c>
    </row>
    <row r="3" ht="30" customHeight="1">
      <c r="A3" s="15" t="inlineStr">
        <is>
          <t>Tender ID</t>
        </is>
      </c>
      <c r="B3" s="15" t="inlineStr">
        <is>
          <t>Product Segment</t>
        </is>
      </c>
      <c r="C3" s="15" t="inlineStr">
        <is>
          <t>Model/Type</t>
        </is>
      </c>
      <c r="D3" s="15" t="inlineStr">
        <is>
          <t>Inlet Pressure</t>
        </is>
      </c>
      <c r="E3" s="15" t="inlineStr">
        <is>
          <t>Outlet Pressure</t>
        </is>
      </c>
      <c r="F3" s="15" t="inlineStr">
        <is>
          <t>Capacity</t>
        </is>
      </c>
      <c r="G3" s="15" t="inlineStr">
        <is>
          <t>Accuracy Class</t>
        </is>
      </c>
      <c r="H3" s="15" t="inlineStr">
        <is>
          <t>Lock-up / SG</t>
        </is>
      </c>
      <c r="I3" s="15" t="inlineStr">
        <is>
          <t>OPSO</t>
        </is>
      </c>
      <c r="J3" s="15" t="inlineStr">
        <is>
          <t>UPSO</t>
        </is>
      </c>
      <c r="K3" s="15" t="inlineStr">
        <is>
          <t>Relief</t>
        </is>
      </c>
      <c r="L3" s="15" t="inlineStr">
        <is>
          <t>Monitor</t>
        </is>
      </c>
      <c r="M3" s="15" t="inlineStr">
        <is>
          <t>Body Material</t>
        </is>
      </c>
      <c r="N3" s="15" t="inlineStr">
        <is>
          <t>Connection</t>
        </is>
      </c>
      <c r="O3" s="15" t="inlineStr">
        <is>
          <t>Standard</t>
        </is>
      </c>
      <c r="P3" s="15" t="inlineStr">
        <is>
          <t>TPI / Certification</t>
        </is>
      </c>
      <c r="Q3" s="15" t="inlineStr">
        <is>
          <t>Source Page / URL</t>
        </is>
      </c>
      <c r="R3" s="15" t="inlineStr">
        <is>
          <t>Notes</t>
        </is>
      </c>
    </row>
    <row r="4">
      <c r="A4" s="10" t="inlineStr">
        <is>
          <t>T-0003</t>
        </is>
      </c>
      <c r="B4" s="10" t="inlineStr">
        <is>
          <t>Domestic Regulator</t>
        </is>
      </c>
      <c r="C4" s="10" t="inlineStr">
        <is>
          <t>To extract</t>
        </is>
      </c>
      <c r="D4" s="10" t="inlineStr">
        <is>
          <t>100 mbar</t>
        </is>
      </c>
      <c r="E4" s="10" t="inlineStr">
        <is>
          <t>21 mbar</t>
        </is>
      </c>
      <c r="F4" s="10" t="inlineStr">
        <is>
          <t>To extract</t>
        </is>
      </c>
      <c r="G4" s="10" t="inlineStr">
        <is>
          <t>To extract</t>
        </is>
      </c>
      <c r="H4" s="10" t="inlineStr">
        <is>
          <t>To extract</t>
        </is>
      </c>
      <c r="I4" s="10" t="inlineStr">
        <is>
          <t>To extract</t>
        </is>
      </c>
      <c r="J4" s="10" t="inlineStr">
        <is>
          <t>To extract</t>
        </is>
      </c>
      <c r="K4" s="10" t="inlineStr">
        <is>
          <t>To extract</t>
        </is>
      </c>
      <c r="L4" s="10" t="inlineStr">
        <is>
          <t>No/To extract</t>
        </is>
      </c>
      <c r="M4" s="10" t="inlineStr">
        <is>
          <t>To extract</t>
        </is>
      </c>
      <c r="N4" s="10" t="inlineStr">
        <is>
          <t>To extract</t>
        </is>
      </c>
      <c r="O4" s="10" t="inlineStr">
        <is>
          <t>To extract</t>
        </is>
      </c>
      <c r="P4" s="10" t="inlineStr">
        <is>
          <t>To extract</t>
        </is>
      </c>
      <c r="Q4" s="10" t="inlineStr">
        <is>
          <t>https://www.gasonet.in/files/Tender-%20Domestic%20Service%20Regulator.pdf</t>
        </is>
      </c>
      <c r="R4" s="10" t="inlineStr">
        <is>
          <t>Fill from datasheet</t>
        </is>
      </c>
    </row>
    <row r="5">
      <c r="A5" s="10" t="inlineStr">
        <is>
          <t>T-0003</t>
        </is>
      </c>
      <c r="B5" s="10" t="inlineStr">
        <is>
          <t>Service Regulator</t>
        </is>
      </c>
      <c r="C5" s="10" t="inlineStr">
        <is>
          <t>To extract</t>
        </is>
      </c>
      <c r="D5" s="10" t="inlineStr">
        <is>
          <t>To extract</t>
        </is>
      </c>
      <c r="E5" s="10" t="inlineStr">
        <is>
          <t>To extract</t>
        </is>
      </c>
      <c r="F5" s="10" t="inlineStr">
        <is>
          <t>10/25/50/100 SCMH?</t>
        </is>
      </c>
      <c r="G5" s="10" t="inlineStr">
        <is>
          <t>To extract</t>
        </is>
      </c>
      <c r="H5" s="10" t="inlineStr">
        <is>
          <t>To extract</t>
        </is>
      </c>
      <c r="I5" s="10" t="inlineStr">
        <is>
          <t>To extract</t>
        </is>
      </c>
      <c r="J5" s="10" t="inlineStr">
        <is>
          <t>To extract</t>
        </is>
      </c>
      <c r="K5" s="10" t="inlineStr">
        <is>
          <t>To extract</t>
        </is>
      </c>
      <c r="L5" s="10" t="inlineStr">
        <is>
          <t>To extract</t>
        </is>
      </c>
      <c r="M5" s="10" t="inlineStr">
        <is>
          <t>To extract</t>
        </is>
      </c>
      <c r="N5" s="10" t="inlineStr">
        <is>
          <t>To extract</t>
        </is>
      </c>
      <c r="O5" s="10" t="inlineStr">
        <is>
          <t>To extract</t>
        </is>
      </c>
      <c r="P5" s="10" t="inlineStr">
        <is>
          <t>To extract</t>
        </is>
      </c>
      <c r="Q5" s="10" t="inlineStr">
        <is>
          <t>https://www.gasonet.in/files/Tender-%20Domestic%20Service%20Regulator.pdf</t>
        </is>
      </c>
      <c r="R5" s="10" t="inlineStr">
        <is>
          <t>Important ESKA segment</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O8"/>
  <sheetViews>
    <sheetView workbookViewId="0">
      <selection activeCell="A1" sqref="A1"/>
    </sheetView>
  </sheetViews>
  <sheetFormatPr baseColWidth="8" defaultRowHeight="15"/>
  <cols>
    <col width="12" customWidth="1" min="1" max="1"/>
    <col width="20" customWidth="1" min="2" max="2"/>
    <col width="10" customWidth="1" min="3" max="3"/>
    <col width="22" customWidth="1" min="4" max="4"/>
    <col width="18" customWidth="1" min="5" max="5"/>
    <col width="12" customWidth="1" min="6" max="6"/>
    <col width="24" customWidth="1" min="7" max="7"/>
    <col width="18" customWidth="1" min="8" max="8"/>
    <col width="16" customWidth="1" min="9" max="9"/>
    <col width="16" customWidth="1" min="10" max="10"/>
    <col width="16" customWidth="1" min="11" max="11"/>
    <col width="18" customWidth="1" min="12" max="12"/>
    <col width="12" customWidth="1" min="13" max="13"/>
    <col width="40" customWidth="1" min="14" max="14"/>
    <col width="36" customWidth="1" min="15" max="15"/>
  </cols>
  <sheetData>
    <row r="1" ht="24" customHeight="1">
      <c r="A1" s="5" t="inlineStr">
        <is>
          <t>06 Price Intelligence</t>
        </is>
      </c>
    </row>
    <row r="3" ht="30" customHeight="1">
      <c r="A3" s="15" t="inlineStr">
        <is>
          <t>Tender ID</t>
        </is>
      </c>
      <c r="B3" s="15" t="inlineStr">
        <is>
          <t>Company</t>
        </is>
      </c>
      <c r="C3" s="15" t="inlineStr">
        <is>
          <t>Year</t>
        </is>
      </c>
      <c r="D3" s="15" t="inlineStr">
        <is>
          <t>Product Segment</t>
        </is>
      </c>
      <c r="E3" s="15" t="inlineStr">
        <is>
          <t>Capacity</t>
        </is>
      </c>
      <c r="F3" s="15" t="inlineStr">
        <is>
          <t>Qty</t>
        </is>
      </c>
      <c r="G3" s="15" t="inlineStr">
        <is>
          <t>Winner</t>
        </is>
      </c>
      <c r="H3" s="15" t="inlineStr">
        <is>
          <t>Brand</t>
        </is>
      </c>
      <c r="I3" s="15" t="inlineStr">
        <is>
          <t>Total INR Basic</t>
        </is>
      </c>
      <c r="J3" s="15" t="inlineStr">
        <is>
          <t>Total EUR Basic</t>
        </is>
      </c>
      <c r="K3" s="15" t="inlineStr">
        <is>
          <t>Unit EUR Basic</t>
        </is>
      </c>
      <c r="L3" s="15" t="inlineStr">
        <is>
          <t>Unit EUR Incl GST</t>
        </is>
      </c>
      <c r="M3" s="15" t="inlineStr">
        <is>
          <t>Confidence</t>
        </is>
      </c>
      <c r="N3" s="15" t="inlineStr">
        <is>
          <t>Source URL</t>
        </is>
      </c>
      <c r="O3" s="15" t="inlineStr">
        <is>
          <t>Notes</t>
        </is>
      </c>
    </row>
    <row r="4">
      <c r="A4" s="10" t="inlineStr">
        <is>
          <t>T-0001</t>
        </is>
      </c>
      <c r="B4" s="10" t="inlineStr">
        <is>
          <t>GAIL India</t>
        </is>
      </c>
      <c r="C4" s="10" t="n">
        <v>2025</v>
      </c>
      <c r="D4" s="10" t="inlineStr">
        <is>
          <t>Metering skid</t>
        </is>
      </c>
      <c r="E4" s="10" t="inlineStr">
        <is>
          <t>RPD metering skid</t>
        </is>
      </c>
      <c r="F4" s="10" t="n">
        <v>3</v>
      </c>
      <c r="G4" s="10" t="inlineStr">
        <is>
          <t>Kimpex Flow Pvt. Ltd.</t>
        </is>
      </c>
      <c r="H4" s="10" t="inlineStr">
        <is>
          <t>Unknown</t>
        </is>
      </c>
      <c r="I4" s="10">
        <f>'04 Tender Register'!M4</f>
        <v/>
      </c>
      <c r="J4" s="10">
        <f>'04 Tender Register'!Q4</f>
        <v/>
      </c>
      <c r="K4" s="10">
        <f>'04 Tender Register'!R4</f>
        <v/>
      </c>
      <c r="L4" s="10">
        <f>'04 Tender Register'!S4</f>
        <v/>
      </c>
      <c r="M4" s="10" t="inlineStr">
        <is>
          <t>Medium</t>
        </is>
      </c>
      <c r="N4" s="10" t="inlineStr">
        <is>
          <t>https://gailtenders.in/Gailtenders/writereaddata/AOC/loa_20250806_102439.pdf</t>
        </is>
      </c>
      <c r="O4" s="10" t="inlineStr">
        <is>
          <t>Not regulator; useful skid benchmark</t>
        </is>
      </c>
    </row>
    <row r="5">
      <c r="A5" s="10" t="inlineStr">
        <is>
          <t>T-0003</t>
        </is>
      </c>
      <c r="B5" s="10" t="inlineStr">
        <is>
          <t>Gasonet</t>
        </is>
      </c>
      <c r="C5" s="10" t="n">
        <v>2024</v>
      </c>
      <c r="D5" s="10" t="inlineStr">
        <is>
          <t>Domestic + Service Regulator</t>
        </is>
      </c>
      <c r="E5" s="10" t="inlineStr">
        <is>
          <t>Mixed</t>
        </is>
      </c>
      <c r="F5" s="10" t="n">
        <v>938</v>
      </c>
      <c r="G5" s="10" t="inlineStr">
        <is>
          <t>Not found</t>
        </is>
      </c>
      <c r="H5" s="10" t="inlineStr">
        <is>
          <t>Unknown</t>
        </is>
      </c>
      <c r="I5" s="10" t="str"/>
      <c r="J5" s="10" t="str"/>
      <c r="K5" s="10" t="str"/>
      <c r="L5" s="10" t="str"/>
      <c r="M5" s="10" t="inlineStr">
        <is>
          <t>Low</t>
        </is>
      </c>
      <c r="N5" s="10" t="inlineStr">
        <is>
          <t>https://www.gasonet.in/files/Tender-%20Domestic%20Service%20Regulator.pdf</t>
        </is>
      </c>
      <c r="O5" s="10" t="inlineStr">
        <is>
          <t>Await price bid/award</t>
        </is>
      </c>
    </row>
    <row r="6">
      <c r="A6" s="10" t="inlineStr">
        <is>
          <t>T-0004</t>
        </is>
      </c>
      <c r="B6" s="10" t="inlineStr">
        <is>
          <t>Vadodara Gas</t>
        </is>
      </c>
      <c r="C6" s="10" t="n">
        <v>2025</v>
      </c>
      <c r="D6" s="10" t="inlineStr">
        <is>
          <t>Domestic Regulator</t>
        </is>
      </c>
      <c r="E6" s="10" t="inlineStr">
        <is>
          <t>Domestic</t>
        </is>
      </c>
      <c r="F6" s="10" t="n">
        <v>50000</v>
      </c>
      <c r="G6" s="10" t="inlineStr">
        <is>
          <t>Not found</t>
        </is>
      </c>
      <c r="H6" s="10" t="inlineStr">
        <is>
          <t>Unknown</t>
        </is>
      </c>
      <c r="I6" s="10" t="str"/>
      <c r="J6" s="10" t="str"/>
      <c r="K6" s="10" t="str"/>
      <c r="L6" s="10" t="str"/>
      <c r="M6" s="10" t="inlineStr">
        <is>
          <t>Low</t>
        </is>
      </c>
      <c r="N6" s="10" t="inlineStr">
        <is>
          <t>https://www.vgl.co.in/wp-content/uploads/2025/pdf/Replies-to-Bidders-Domestic-Regulator-P066-23-24-Additional.pdf</t>
        </is>
      </c>
      <c r="O6" s="10" t="inlineStr">
        <is>
          <t>Await award price</t>
        </is>
      </c>
    </row>
    <row r="7">
      <c r="A7" t="inlineStr">
        <is>
          <t>T-0037</t>
        </is>
      </c>
      <c r="B7" t="inlineStr">
        <is>
          <t>Indraprastha Gas (IGL)</t>
        </is>
      </c>
      <c r="C7" t="n">
        <v>2026</v>
      </c>
      <c r="G7" t="inlineStr">
        <is>
          <t>Oldham, Spectrex Detronics Honeywell Net</t>
        </is>
      </c>
      <c r="H7" t="inlineStr">
        <is>
          <t>Unknown</t>
        </is>
      </c>
      <c r="I7" t="n">
        <v>100</v>
      </c>
      <c r="M7" t="inlineStr">
        <is>
          <t>Medium</t>
        </is>
      </c>
      <c r="N7" t="inlineStr">
        <is>
          <t>https://www.iglonline.net/uploads/files/Tech_Specs.pdf</t>
        </is>
      </c>
      <c r="O7" t="inlineStr">
        <is>
          <t>Bot tarafindan tespit edildi, dogrulama gerekli</t>
        </is>
      </c>
    </row>
    <row r="8">
      <c r="A8" t="inlineStr">
        <is>
          <t>T-0041</t>
        </is>
      </c>
      <c r="B8" t="inlineStr">
        <is>
          <t>Indraprastha Gas (IGL)</t>
        </is>
      </c>
      <c r="C8" t="n">
        <v>2026</v>
      </c>
      <c r="G8" t="inlineStr">
        <is>
          <t>Not found</t>
        </is>
      </c>
      <c r="H8" t="inlineStr">
        <is>
          <t>Unknown</t>
        </is>
      </c>
      <c r="I8" t="n">
        <v>4</v>
      </c>
      <c r="M8" t="inlineStr">
        <is>
          <t>Low</t>
        </is>
      </c>
      <c r="N8" t="inlineStr">
        <is>
          <t>https://www.iglonline.net/uploads/files/Pre Tender Meet for 350 SCMH EMD packages.pdf</t>
        </is>
      </c>
      <c r="O8" t="inlineStr">
        <is>
          <t>Bot tarafindan tespit edildi, dogrulama gerekli</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24" customWidth="1" min="1" max="1"/>
    <col width="16" customWidth="1" min="2" max="2"/>
    <col width="16" customWidth="1" min="3" max="3"/>
    <col width="32" customWidth="1" min="4" max="4"/>
    <col width="32" customWidth="1" min="5" max="5"/>
    <col width="12" customWidth="1" min="6" max="6"/>
    <col width="40" customWidth="1" min="7" max="7"/>
  </cols>
  <sheetData>
    <row r="1" ht="24" customHeight="1">
      <c r="A1" s="5" t="inlineStr">
        <is>
          <t>07 Competitor DB</t>
        </is>
      </c>
    </row>
    <row r="3" ht="30" customHeight="1">
      <c r="A3" s="15" t="inlineStr">
        <is>
          <t>Competitor</t>
        </is>
      </c>
      <c r="B3" s="15" t="inlineStr">
        <is>
          <t>Country</t>
        </is>
      </c>
      <c r="C3" s="15" t="inlineStr">
        <is>
          <t>Role</t>
        </is>
      </c>
      <c r="D3" s="15" t="inlineStr">
        <is>
          <t>Likely Segment</t>
        </is>
      </c>
      <c r="E3" s="15" t="inlineStr">
        <is>
          <t>Website</t>
        </is>
      </c>
      <c r="F3" s="15" t="inlineStr">
        <is>
          <t>Relevance</t>
        </is>
      </c>
      <c r="G3" s="15" t="inlineStr">
        <is>
          <t>Notes</t>
        </is>
      </c>
    </row>
    <row r="4">
      <c r="A4" s="10" t="inlineStr">
        <is>
          <t>Vanaz Engineers</t>
        </is>
      </c>
      <c r="B4" s="10" t="inlineStr">
        <is>
          <t>India</t>
        </is>
      </c>
      <c r="C4" s="10" t="inlineStr">
        <is>
          <t>OEM</t>
        </is>
      </c>
      <c r="D4" s="10" t="inlineStr">
        <is>
          <t>Domestic/service/industrial regulators</t>
        </is>
      </c>
      <c r="E4" s="10" t="inlineStr">
        <is>
          <t>https://vanaz.com</t>
        </is>
      </c>
      <c r="F4" s="10" t="inlineStr">
        <is>
          <t>High</t>
        </is>
      </c>
      <c r="G4" s="10" t="inlineStr">
        <is>
          <t>Frequently seen in Indian gas market</t>
        </is>
      </c>
    </row>
    <row r="5">
      <c r="A5" s="10" t="inlineStr">
        <is>
          <t>Pietro Fiorentini</t>
        </is>
      </c>
      <c r="B5" s="10" t="inlineStr">
        <is>
          <t>Italy/India</t>
        </is>
      </c>
      <c r="C5" s="10" t="inlineStr">
        <is>
          <t>OEM</t>
        </is>
      </c>
      <c r="D5" s="10" t="inlineStr">
        <is>
          <t>Industrial/service regulators, stations</t>
        </is>
      </c>
      <c r="E5" s="10" t="inlineStr">
        <is>
          <t>https://www.fiorentini.com</t>
        </is>
      </c>
      <c r="F5" s="10" t="inlineStr">
        <is>
          <t>High</t>
        </is>
      </c>
      <c r="G5" s="10" t="inlineStr">
        <is>
          <t>Strong C&amp;I/PRS/MRS competitor</t>
        </is>
      </c>
    </row>
    <row r="6">
      <c r="A6" s="10" t="inlineStr">
        <is>
          <t>Honeywell / Elster</t>
        </is>
      </c>
      <c r="B6" s="10" t="inlineStr">
        <is>
          <t>USA/India</t>
        </is>
      </c>
      <c r="C6" s="10" t="inlineStr">
        <is>
          <t>OEM</t>
        </is>
      </c>
      <c r="D6" s="10" t="inlineStr">
        <is>
          <t>Meters/regulators</t>
        </is>
      </c>
      <c r="E6" s="10" t="inlineStr">
        <is>
          <t>https://process.honeywell.com</t>
        </is>
      </c>
      <c r="F6" s="10" t="inlineStr">
        <is>
          <t>Medium</t>
        </is>
      </c>
      <c r="G6" s="10" t="inlineStr">
        <is>
          <t>Often in meter/regulator ecosystem</t>
        </is>
      </c>
    </row>
    <row r="7">
      <c r="A7" s="10" t="inlineStr">
        <is>
          <t>Itron</t>
        </is>
      </c>
      <c r="B7" s="10" t="inlineStr">
        <is>
          <t>USA/India</t>
        </is>
      </c>
      <c r="C7" s="10" t="inlineStr">
        <is>
          <t>OEM</t>
        </is>
      </c>
      <c r="D7" s="10" t="inlineStr">
        <is>
          <t>Meters/regulators</t>
        </is>
      </c>
      <c r="E7" s="10" t="inlineStr">
        <is>
          <t>https://www.itron.com</t>
        </is>
      </c>
      <c r="F7" s="10" t="inlineStr">
        <is>
          <t>Medium</t>
        </is>
      </c>
      <c r="G7" s="10" t="inlineStr">
        <is>
          <t>Domestic/commercial gas ecosystem</t>
        </is>
      </c>
    </row>
    <row r="8">
      <c r="A8" s="10" t="inlineStr">
        <is>
          <t>Mesura Nirmal Gas Controls</t>
        </is>
      </c>
      <c r="B8" s="10" t="inlineStr">
        <is>
          <t>India</t>
        </is>
      </c>
      <c r="C8" s="10" t="inlineStr">
        <is>
          <t>OEM</t>
        </is>
      </c>
      <c r="D8" s="10" t="inlineStr">
        <is>
          <t>Domestic/service regulators</t>
        </is>
      </c>
      <c r="E8" s="10" t="inlineStr">
        <is>
          <t>https://mesura.in</t>
        </is>
      </c>
      <c r="F8" s="10" t="inlineStr">
        <is>
          <t>High</t>
        </is>
      </c>
      <c r="G8" s="10" t="inlineStr">
        <is>
          <t>Indian regulator competitor</t>
        </is>
      </c>
    </row>
    <row r="9">
      <c r="A9" s="10" t="inlineStr">
        <is>
          <t>Kabsons Gas Equipment</t>
        </is>
      </c>
      <c r="B9" s="10" t="inlineStr">
        <is>
          <t>India</t>
        </is>
      </c>
      <c r="C9" s="10" t="inlineStr">
        <is>
          <t>OEM</t>
        </is>
      </c>
      <c r="D9" s="10" t="inlineStr">
        <is>
          <t>Domestic regulators</t>
        </is>
      </c>
      <c r="E9" s="10" t="inlineStr">
        <is>
          <t>https://kabsons.com</t>
        </is>
      </c>
      <c r="F9" s="10" t="inlineStr">
        <is>
          <t>High</t>
        </is>
      </c>
      <c r="G9" s="10" t="inlineStr">
        <is>
          <t>Awarded domestic regulator source found</t>
        </is>
      </c>
    </row>
    <row r="10">
      <c r="A10" s="10" t="inlineStr">
        <is>
          <t>Prabha Electronics</t>
        </is>
      </c>
      <c r="B10" s="10" t="inlineStr">
        <is>
          <t>India</t>
        </is>
      </c>
      <c r="C10" s="10" t="inlineStr">
        <is>
          <t>Supplier/OEM</t>
        </is>
      </c>
      <c r="D10" s="10" t="inlineStr">
        <is>
          <t>Domestic regulators/meters</t>
        </is>
      </c>
      <c r="E10" s="10" t="inlineStr">
        <is>
          <t>To verify</t>
        </is>
      </c>
      <c r="F10" s="10" t="inlineStr">
        <is>
          <t>Medium</t>
        </is>
      </c>
      <c r="G10" s="10" t="inlineStr">
        <is>
          <t>Award source found in tender portals</t>
        </is>
      </c>
    </row>
    <row r="11">
      <c r="A11" s="10" t="inlineStr">
        <is>
          <t>Madas</t>
        </is>
      </c>
      <c r="B11" s="10" t="inlineStr">
        <is>
          <t>Italy</t>
        </is>
      </c>
      <c r="C11" s="10" t="inlineStr">
        <is>
          <t>OEM</t>
        </is>
      </c>
      <c r="D11" s="10" t="inlineStr">
        <is>
          <t>Gas regulators/filters/SSV</t>
        </is>
      </c>
      <c r="E11" s="10" t="inlineStr">
        <is>
          <t>https://www.madas.it</t>
        </is>
      </c>
      <c r="F11" s="10" t="inlineStr">
        <is>
          <t>Medium</t>
        </is>
      </c>
      <c r="G11" s="10" t="inlineStr">
        <is>
          <t>Possible imported competitor</t>
        </is>
      </c>
    </row>
    <row r="12">
      <c r="A12" s="10" t="inlineStr">
        <is>
          <t>Emerson / Fisher</t>
        </is>
      </c>
      <c r="B12" s="10" t="inlineStr">
        <is>
          <t>USA/India</t>
        </is>
      </c>
      <c r="C12" s="10" t="inlineStr">
        <is>
          <t>OEM</t>
        </is>
      </c>
      <c r="D12" s="10" t="inlineStr">
        <is>
          <t>Industrial regulators</t>
        </is>
      </c>
      <c r="E12" s="10" t="inlineStr">
        <is>
          <t>https://www.emerson.com</t>
        </is>
      </c>
      <c r="F12" s="10" t="inlineStr">
        <is>
          <t>Medium</t>
        </is>
      </c>
      <c r="G12" s="10" t="inlineStr">
        <is>
          <t>Industrial/PRS segment</t>
        </is>
      </c>
    </row>
    <row r="13">
      <c r="A13" s="10" t="inlineStr">
        <is>
          <t>Kromschroeder / Honeywell</t>
        </is>
      </c>
      <c r="B13" s="10" t="inlineStr">
        <is>
          <t>Germany/USA</t>
        </is>
      </c>
      <c r="C13" s="10" t="inlineStr">
        <is>
          <t>OEM</t>
        </is>
      </c>
      <c r="D13" s="10" t="inlineStr">
        <is>
          <t>Gas controls</t>
        </is>
      </c>
      <c r="E13" s="10" t="inlineStr">
        <is>
          <t>https://process.honeywell.com</t>
        </is>
      </c>
      <c r="F13" s="10" t="inlineStr">
        <is>
          <t>Medium</t>
        </is>
      </c>
      <c r="G13" s="10" t="inlineStr">
        <is>
          <t>Gas train components</t>
        </is>
      </c>
    </row>
    <row r="14">
      <c r="A14" s="10" t="inlineStr">
        <is>
          <t>ESKA Valve</t>
        </is>
      </c>
      <c r="B14" s="10" t="inlineStr">
        <is>
          <t>Türkiye</t>
        </is>
      </c>
      <c r="C14" s="10" t="inlineStr">
        <is>
          <t>OEM</t>
        </is>
      </c>
      <c r="D14" s="10" t="inlineStr">
        <is>
          <t>Domestic/service/industrial regulators</t>
        </is>
      </c>
      <c r="E14" s="10" t="inlineStr">
        <is>
          <t>https://eskavalve.com</t>
        </is>
      </c>
      <c r="F14" s="10" t="inlineStr">
        <is>
          <t>Target</t>
        </is>
      </c>
      <c r="G14" s="10" t="inlineStr">
        <is>
          <t>Our benchmark row</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40"/>
  <sheetViews>
    <sheetView workbookViewId="0">
      <selection activeCell="A1" sqref="A1"/>
    </sheetView>
  </sheetViews>
  <sheetFormatPr baseColWidth="8" defaultRowHeight="15"/>
  <cols>
    <col width="28" customWidth="1" min="1" max="1"/>
    <col width="56" customWidth="1" min="2" max="2"/>
    <col width="70" customWidth="1" min="3" max="3"/>
  </cols>
  <sheetData>
    <row r="1" ht="24" customHeight="1">
      <c r="A1" s="5" t="inlineStr">
        <is>
          <t>08 Source Log</t>
        </is>
      </c>
    </row>
    <row r="3" ht="30" customHeight="1">
      <c r="A3" s="15" t="inlineStr">
        <is>
          <t>Source</t>
        </is>
      </c>
      <c r="B3" s="15" t="inlineStr">
        <is>
          <t>Use</t>
        </is>
      </c>
      <c r="C3" s="15" t="inlineStr">
        <is>
          <t>URL</t>
        </is>
      </c>
    </row>
    <row r="4">
      <c r="A4" s="10" t="inlineStr">
        <is>
          <t>PNGRB CGD authorisation list</t>
        </is>
      </c>
      <c r="B4" s="10" t="inlineStr">
        <is>
          <t>Official regulator list for GA/entity mapping</t>
        </is>
      </c>
      <c r="C4" s="10" t="inlineStr">
        <is>
          <t>https://pngrb.gov.in/eng-web/cgd-auth.html</t>
        </is>
      </c>
    </row>
    <row r="5">
      <c r="A5" s="10" t="inlineStr">
        <is>
          <t>PNGRB State and Entity-wise PDF</t>
        </is>
      </c>
      <c r="B5" s="10" t="inlineStr">
        <is>
          <t>Entity-wise list of GAs</t>
        </is>
      </c>
      <c r="C5" s="10" t="inlineStr">
        <is>
          <t>https://pngrb.gov.in/pdf/faqs/List_entities_with_States%26GA%27s.pdf</t>
        </is>
      </c>
    </row>
    <row r="6">
      <c r="A6" s="10" t="inlineStr">
        <is>
          <t>Gujarat Gas Tenders</t>
        </is>
      </c>
      <c r="B6" s="10" t="inlineStr">
        <is>
          <t>Official tender page; nProcure instructions</t>
        </is>
      </c>
      <c r="C6" s="10" t="inlineStr">
        <is>
          <t>https://www.gujaratgas.com/tenders/</t>
        </is>
      </c>
    </row>
    <row r="7">
      <c r="A7" s="10" t="inlineStr">
        <is>
          <t>Torrent Gas Vendor Registration</t>
        </is>
      </c>
      <c r="B7" s="10" t="inlineStr">
        <is>
          <t>Vendor page and procurement email</t>
        </is>
      </c>
      <c r="C7" s="10" t="inlineStr">
        <is>
          <t>https://www.torrentgas.com/User/Info/Vendor</t>
        </is>
      </c>
    </row>
    <row r="8">
      <c r="A8" s="10" t="inlineStr">
        <is>
          <t>GAIL Gas Vendor Zone</t>
        </is>
      </c>
      <c r="B8" s="10" t="inlineStr">
        <is>
          <t>Tender information/vendor zone</t>
        </is>
      </c>
      <c r="C8" s="10" t="inlineStr">
        <is>
          <t>https://gailgas.com/stakeholder-zone/vendor-zone</t>
        </is>
      </c>
    </row>
    <row r="9">
      <c r="A9" s="10" t="inlineStr">
        <is>
          <t>IGL Tender Portal</t>
        </is>
      </c>
      <c r="B9" s="10" t="inlineStr">
        <is>
          <t>Active tenders and vendor portal</t>
        </is>
      </c>
      <c r="C9" s="10" t="inlineStr">
        <is>
          <t>https://tenders.iglonline.net/tenderList</t>
        </is>
      </c>
    </row>
    <row r="10">
      <c r="A10" s="10" t="inlineStr">
        <is>
          <t>MNGL Active Tenders</t>
        </is>
      </c>
      <c r="B10" s="10" t="inlineStr">
        <is>
          <t>Active tenders page</t>
        </is>
      </c>
      <c r="C10" s="10" t="inlineStr">
        <is>
          <t>https://mngl.in/active-tenders</t>
        </is>
      </c>
    </row>
    <row r="11">
      <c r="A11" s="10" t="inlineStr">
        <is>
          <t>MNGL Instructions</t>
        </is>
      </c>
      <c r="B11" s="10" t="inlineStr">
        <is>
          <t>CPPP/DSC online bid instructions</t>
        </is>
      </c>
      <c r="C11" s="10" t="inlineStr">
        <is>
          <t>https://mngl.in/vendor/instructions-to-bridders</t>
        </is>
      </c>
    </row>
    <row r="12">
      <c r="A12" s="10" t="inlineStr">
        <is>
          <t>Gasonet Tenders</t>
        </is>
      </c>
      <c r="B12" s="10" t="inlineStr">
        <is>
          <t>Gasonet official tender page</t>
        </is>
      </c>
      <c r="C12" s="10" t="inlineStr">
        <is>
          <t>https://www.gasonet.in/tenders.html</t>
        </is>
      </c>
    </row>
    <row r="13">
      <c r="A13" s="10" t="inlineStr">
        <is>
          <t>Gasonet Regulator PDF</t>
        </is>
      </c>
      <c r="B13" s="10" t="inlineStr">
        <is>
          <t>Domestic and service regulator tender PDF</t>
        </is>
      </c>
      <c r="C13" s="10" t="inlineStr">
        <is>
          <t>https://www.gasonet.in/files/Tender-%20Domestic%20Service%20Regulator.pdf</t>
        </is>
      </c>
    </row>
    <row r="14">
      <c r="A14" s="10" t="inlineStr">
        <is>
          <t>CPPP/eProcure</t>
        </is>
      </c>
      <c r="B14" s="10" t="inlineStr">
        <is>
          <t>Central eProcurement portal</t>
        </is>
      </c>
      <c r="C14" s="10" t="inlineStr">
        <is>
          <t>https://www.etenders.gov.in/eprocure/app</t>
        </is>
      </c>
    </row>
    <row r="15">
      <c r="A15" s="10" t="inlineStr">
        <is>
          <t>Adani Total Gas Commercials</t>
        </is>
      </c>
      <c r="B15" s="10" t="inlineStr">
        <is>
          <t>Vendor registration/tender/EOI page</t>
        </is>
      </c>
      <c r="C15" s="10" t="inlineStr">
        <is>
          <t>https://www.adanigas.com/commercials</t>
        </is>
      </c>
    </row>
    <row r="16">
      <c r="A16" s="10" t="inlineStr">
        <is>
          <t>IOAGPL Vendor Registration</t>
        </is>
      </c>
      <c r="B16" s="10" t="inlineStr">
        <is>
          <t>Vendor registration form and requirements</t>
        </is>
      </c>
      <c r="C16" s="10" t="inlineStr">
        <is>
          <t>https://ioagpl.com/vendor-registration-form/</t>
        </is>
      </c>
    </row>
    <row r="17">
      <c r="A17" s="10" t="inlineStr">
        <is>
          <t>IOCL CGD page</t>
        </is>
      </c>
      <c r="B17" s="10" t="inlineStr">
        <is>
          <t>IndianOil CGD presence and GA count</t>
        </is>
      </c>
      <c r="C17" s="10" t="inlineStr">
        <is>
          <t>https://iocl.com/pages/cgd</t>
        </is>
      </c>
    </row>
    <row r="18">
      <c r="A18" s="10" t="inlineStr">
        <is>
          <t>BPCL CGD page</t>
        </is>
      </c>
      <c r="B18" s="10" t="inlineStr">
        <is>
          <t>BPCL CGD business overview</t>
        </is>
      </c>
      <c r="C18" s="10" t="inlineStr">
        <is>
          <t>https://bharatpetroleum.in/bharat-petroleum-for/our-businesses/gas/city-gas-distribution</t>
        </is>
      </c>
    </row>
    <row r="19">
      <c r="A19" s="10" t="inlineStr">
        <is>
          <t>Parliament question annex 2025</t>
        </is>
      </c>
      <c r="B19" s="10" t="inlineStr">
        <is>
          <t>CGD network status and GA coverage info</t>
        </is>
      </c>
      <c r="C19" s="10" t="inlineStr">
        <is>
          <t>https://sansad.in/getFile/annex/268/AS88_3wbG6t.pdf?source=pqars</t>
        </is>
      </c>
    </row>
    <row r="20">
      <c r="A20" t="inlineStr">
        <is>
          <t>2026-07-01 09:07</t>
        </is>
      </c>
      <c r="B20" t="inlineStr">
        <is>
          <t>Otomatik tarama: 2094 yeni ihale, 2 yeni fiyat kaydi</t>
        </is>
      </c>
      <c r="C20" t="inlineStr">
        <is>
          <t>bot</t>
        </is>
      </c>
    </row>
    <row r="21">
      <c r="A21" t="inlineStr">
        <is>
          <t>2026-07-01 09:22</t>
        </is>
      </c>
      <c r="B21" t="inlineStr">
        <is>
          <t>Otomatik tarama: 0 yeni ihale, 0 yeni fiyat kaydi</t>
        </is>
      </c>
      <c r="C21" t="inlineStr">
        <is>
          <t>bot</t>
        </is>
      </c>
    </row>
    <row r="22">
      <c r="A22" t="inlineStr">
        <is>
          <t>2026-07-01 09:38</t>
        </is>
      </c>
      <c r="B22" t="inlineStr">
        <is>
          <t>Otomatik tarama: 0 yeni ihale, 0 yeni fiyat kaydi</t>
        </is>
      </c>
      <c r="C22" t="inlineStr">
        <is>
          <t>bot</t>
        </is>
      </c>
    </row>
    <row r="23">
      <c r="A23" t="inlineStr">
        <is>
          <t>2026-07-01 10:21</t>
        </is>
      </c>
      <c r="B23" t="inlineStr">
        <is>
          <t>Otomatik tarama: 0 yeni ihale, 0 yeni fiyat kaydi</t>
        </is>
      </c>
      <c r="C23" t="inlineStr">
        <is>
          <t>bot</t>
        </is>
      </c>
    </row>
    <row r="24">
      <c r="A24" t="inlineStr">
        <is>
          <t>2026-07-01 10:55</t>
        </is>
      </c>
      <c r="B24" t="inlineStr">
        <is>
          <t>Otomatik tarama: 84 yeni ihale, 0 yeni fiyat kaydi, 362 mevcut satir zenginlestirildi</t>
        </is>
      </c>
      <c r="C24" t="inlineStr">
        <is>
          <t>bot</t>
        </is>
      </c>
    </row>
    <row r="25">
      <c r="A25" t="inlineStr">
        <is>
          <t>2026-07-01 11:19</t>
        </is>
      </c>
      <c r="B25" t="inlineStr">
        <is>
          <t>Otomatik tarama: 45 yeni ihale, 0 yeni fiyat kaydi, 736 satir zenginlestirildi</t>
        </is>
      </c>
      <c r="C25" t="inlineStr">
        <is>
          <t>bot</t>
        </is>
      </c>
    </row>
    <row r="26">
      <c r="A26" t="inlineStr">
        <is>
          <t>2026-07-01 11:56</t>
        </is>
      </c>
      <c r="B26" t="inlineStr">
        <is>
          <t>Otomatik tarama: 15 yeni ihale, 0 yeni fiyat kaydi, 42 satir zenginlestirildi</t>
        </is>
      </c>
      <c r="C26" t="inlineStr">
        <is>
          <t>bot</t>
        </is>
      </c>
    </row>
    <row r="27">
      <c r="A27" t="inlineStr">
        <is>
          <t>2026-07-01 12:45</t>
        </is>
      </c>
      <c r="B27" t="inlineStr">
        <is>
          <t>Otomatik tarama: 266 yeni ihale, 0 yeni fiyat kaydi, 11 satir zenginlestirildi</t>
        </is>
      </c>
      <c r="C27" t="inlineStr">
        <is>
          <t>bot</t>
        </is>
      </c>
    </row>
    <row r="28">
      <c r="A28" t="inlineStr">
        <is>
          <t>2026-07-01 13:29</t>
        </is>
      </c>
      <c r="B28" t="inlineStr">
        <is>
          <t>Clean tarama: 0 yeni ihale, 0 yeni fiyat kaydi, 127 zenginlestirme, 290 non-target atlandi</t>
        </is>
      </c>
      <c r="C28" t="inlineStr">
        <is>
          <t>bot</t>
        </is>
      </c>
    </row>
    <row r="29">
      <c r="A29" t="inlineStr">
        <is>
          <t>2026-07-02 08:16</t>
        </is>
      </c>
      <c r="B29" t="inlineStr">
        <is>
          <t>Clean tarama: 0 yeni ihale, 0 yeni fiyat kaydi, 0 zenginlestirme, 140 non-target atlandi</t>
        </is>
      </c>
      <c r="C29" t="inlineStr">
        <is>
          <t>bot</t>
        </is>
      </c>
    </row>
    <row r="30">
      <c r="A30" t="inlineStr">
        <is>
          <t>2026-07-03 08:11</t>
        </is>
      </c>
      <c r="B30" t="inlineStr">
        <is>
          <t>Clean tarama: 0 yeni ihale, 0 yeni fiyat kaydi, 0 zenginlestirme, 140 non-target atlandi</t>
        </is>
      </c>
      <c r="C30" t="inlineStr">
        <is>
          <t>bot</t>
        </is>
      </c>
    </row>
    <row r="31">
      <c r="A31" t="inlineStr">
        <is>
          <t>2026-07-04 07:51</t>
        </is>
      </c>
      <c r="B31" t="inlineStr">
        <is>
          <t>Clean tarama: 0 yeni ihale, 0 yeni fiyat kaydi, 0 zenginlestirme, 140 non-target atlandi</t>
        </is>
      </c>
      <c r="C31" t="inlineStr">
        <is>
          <t>bot</t>
        </is>
      </c>
    </row>
    <row r="32">
      <c r="A32" t="inlineStr">
        <is>
          <t>2026-07-05 08:08</t>
        </is>
      </c>
      <c r="B32" t="inlineStr">
        <is>
          <t>Clean tarama: 0 yeni ihale, 0 yeni fiyat kaydi, 0 zenginlestirme, 140 non-target atlandi</t>
        </is>
      </c>
      <c r="C32" t="inlineStr">
        <is>
          <t>bot</t>
        </is>
      </c>
    </row>
    <row r="33">
      <c r="A33" t="inlineStr">
        <is>
          <t>2026-07-06 09:07</t>
        </is>
      </c>
      <c r="B33" t="inlineStr">
        <is>
          <t>Clean tarama: 0 yeni ihale, 0 yeni fiyat kaydi, 0 zenginlestirme, 140 non-target atlandi</t>
        </is>
      </c>
      <c r="C33" t="inlineStr">
        <is>
          <t>bot</t>
        </is>
      </c>
    </row>
    <row r="34">
      <c r="A34" t="inlineStr">
        <is>
          <t>2026-07-07 08:30</t>
        </is>
      </c>
      <c r="B34" t="inlineStr">
        <is>
          <t>Clean tarama: 0 yeni ihale, 0 yeni fiyat kaydi, 0 zenginlestirme, 140 non-target atlandi</t>
        </is>
      </c>
      <c r="C34" t="inlineStr">
        <is>
          <t>bot</t>
        </is>
      </c>
    </row>
    <row r="35">
      <c r="A35" t="inlineStr">
        <is>
          <t>2026-07-08 07:36</t>
        </is>
      </c>
      <c r="B35" t="inlineStr">
        <is>
          <t>Clean tarama: 0 yeni ihale, 0 yeni fiyat kaydi, 0 zenginlestirme, 140 non-target atlandi</t>
        </is>
      </c>
      <c r="C35" t="inlineStr">
        <is>
          <t>bot</t>
        </is>
      </c>
    </row>
    <row r="36">
      <c r="A36" t="inlineStr">
        <is>
          <t>2026-07-09 08:35</t>
        </is>
      </c>
      <c r="B36" t="inlineStr">
        <is>
          <t>Clean tarama: 0 yeni ihale, 0 yeni fiyat kaydi, 3 zenginlestirme, 136 non-target atlandi</t>
        </is>
      </c>
      <c r="C36" t="inlineStr">
        <is>
          <t>bot</t>
        </is>
      </c>
    </row>
    <row r="37">
      <c r="A37" t="inlineStr">
        <is>
          <t>2026-07-10 08:31</t>
        </is>
      </c>
      <c r="B37" t="inlineStr">
        <is>
          <t>Clean tarama: 0 yeni ihale, 0 yeni fiyat kaydi, 0 zenginlestirme, 140 non-target atlandi</t>
        </is>
      </c>
      <c r="C37" t="inlineStr">
        <is>
          <t>bot</t>
        </is>
      </c>
    </row>
    <row r="38">
      <c r="A38" t="inlineStr">
        <is>
          <t>2026-07-11 07:17</t>
        </is>
      </c>
      <c r="B38" t="inlineStr">
        <is>
          <t>Clean tarama: 0 yeni ihale, 0 yeni fiyat kaydi, 0 zenginlestirme, 140 non-target atlandi</t>
        </is>
      </c>
      <c r="C38" t="inlineStr">
        <is>
          <t>bot</t>
        </is>
      </c>
    </row>
    <row r="39">
      <c r="A39" t="inlineStr">
        <is>
          <t>2026-07-12 07:29</t>
        </is>
      </c>
      <c r="B39" t="inlineStr">
        <is>
          <t>Clean tarama: 0 yeni ihale, 0 yeni fiyat kaydi, 0 zenginlestirme, 130 non-target atlandi</t>
        </is>
      </c>
      <c r="C39" t="inlineStr">
        <is>
          <t>bot</t>
        </is>
      </c>
    </row>
    <row r="40">
      <c r="A40" t="inlineStr">
        <is>
          <t>2026-07-13 08:18</t>
        </is>
      </c>
      <c r="B40" t="inlineStr">
        <is>
          <t>Clean tarama: 0 yeni ihale, 0 yeni fiyat kaydi, 0 zenginlestirme, 140 non-target atlandi</t>
        </is>
      </c>
      <c r="C40" t="inlineStr">
        <is>
          <t>bot</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4" customWidth="1" min="1" max="1"/>
    <col width="60" customWidth="1" min="2" max="2"/>
  </cols>
  <sheetData>
    <row r="1" ht="28" customHeight="1">
      <c r="A1" s="28" t="inlineStr">
        <is>
          <t>India Procurement Intelligence Database</t>
        </is>
      </c>
    </row>
    <row r="3">
      <c r="A3" s="32" t="inlineStr">
        <is>
          <t>Created for</t>
        </is>
      </c>
      <c r="B3" s="10" t="inlineStr">
        <is>
          <t>ESKA India regulator price/tender intelligence</t>
        </is>
      </c>
      <c r="D3" s="37" t="inlineStr">
        <is>
          <t>Tier</t>
        </is>
      </c>
      <c r="E3" s="37" t="inlineStr">
        <is>
          <t>Count</t>
        </is>
      </c>
    </row>
    <row r="4">
      <c r="A4" s="32" t="inlineStr">
        <is>
          <t>Created on</t>
        </is>
      </c>
      <c r="B4" s="10" t="inlineStr">
        <is>
          <t>2026-02-04</t>
        </is>
      </c>
      <c r="D4" t="inlineStr">
        <is>
          <t>Tier 1</t>
        </is>
      </c>
      <c r="E4" s="47">
        <f>COUNTIF('01 Portal Master'!A4:A200,"Tier 1")</f>
        <v/>
      </c>
    </row>
    <row r="5">
      <c r="A5" s="32" t="inlineStr">
        <is>
          <t>Portal rows</t>
        </is>
      </c>
      <c r="B5" s="48">
        <f>COUNTA('01 Portal Master'!B4:B200)</f>
        <v/>
      </c>
      <c r="D5" t="inlineStr">
        <is>
          <t>Tier 2</t>
        </is>
      </c>
      <c r="E5" s="47">
        <f>COUNTIF('01 Portal Master'!A4:A200,"Tier 2")</f>
        <v/>
      </c>
    </row>
    <row r="6">
      <c r="A6" s="32" t="inlineStr">
        <is>
          <t>High relevance targets</t>
        </is>
      </c>
      <c r="B6" s="48">
        <f>COUNTIF('01 Portal Master'!H4:H200,"High")</f>
        <v/>
      </c>
      <c r="D6" t="inlineStr">
        <is>
          <t>Tier 3</t>
        </is>
      </c>
      <c r="E6" s="47">
        <f>COUNTIF('01 Portal Master'!A4:A200,"Tier 3")</f>
        <v/>
      </c>
    </row>
    <row r="7">
      <c r="A7" s="32" t="inlineStr">
        <is>
          <t>Tenders logged</t>
        </is>
      </c>
      <c r="B7" s="48">
        <f>COUNTA('04 Tender Register'!A4:A500)</f>
        <v/>
      </c>
    </row>
    <row r="8">
      <c r="A8" s="32" t="inlineStr">
        <is>
          <t>Awarded / price rows</t>
        </is>
      </c>
      <c r="B8" s="48">
        <f>COUNTIF('04 Tender Register'!F4:F500,"Awarded")</f>
        <v/>
      </c>
    </row>
    <row r="9">
      <c r="A9" s="32" t="inlineStr">
        <is>
          <t>Primary search portal</t>
        </is>
      </c>
      <c r="B9" s="10" t="inlineStr">
        <is>
          <t>CPPP / GAIL / IGL / GGL / MNGL / Gasonet</t>
        </is>
      </c>
    </row>
    <row r="10">
      <c r="A10" s="32" t="inlineStr">
        <is>
          <t>FX default INR/EUR</t>
        </is>
      </c>
      <c r="B10" s="10" t="inlineStr">
        <is>
          <t>106.75</t>
        </is>
      </c>
    </row>
    <row r="11">
      <c r="A11" s="32" t="inlineStr">
        <is>
          <t>Next weekly action</t>
        </is>
      </c>
      <c r="B11" s="10" t="inlineStr">
        <is>
          <t>Add 10 PDFs and extract quantities/prices</t>
        </is>
      </c>
    </row>
    <row r="12">
      <c r="A12" s="32" t="n"/>
      <c r="B12" s="10" t="n"/>
    </row>
  </sheetData>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2026-07-01T09:07:34Z</dcterms:created>
  <dcterms:modified xsi:type="dcterms:W3CDTF">2026-07-13T08:18:13Z</dcterms:modified>
</cp:coreProperties>
</file>