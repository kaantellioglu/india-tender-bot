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1 Portal Master" sheetId="1" state="visible" r:id="rId1"/>
    <sheet name="02 Search Keywords" sheetId="2" state="visible" r:id="rId2"/>
    <sheet name="03 How To Search" sheetId="3" state="visible" r:id="rId3"/>
    <sheet name="04 Tender Register" sheetId="4" state="visible" r:id="rId4"/>
    <sheet name="05 Technical Database" sheetId="5" state="visible" r:id="rId5"/>
    <sheet name="06 Price Intelligence" sheetId="6" state="visible" r:id="rId6"/>
    <sheet name="07 Competitor DB" sheetId="7" state="visible" r:id="rId7"/>
    <sheet name="08 Source Log" sheetId="8" state="visible" r:id="rId8"/>
    <sheet name="00 Dashboard" sheetId="9" state="visible" r:id="rId9"/>
  </sheets>
  <definedNames/>
</workbook>
</file>

<file path=xl/styles.xml><?xml version="1.0" encoding="utf-8"?>
<styleSheet xmlns="http://schemas.openxmlformats.org/spreadsheetml/2006/main">
  <numFmts count="1">
    <numFmt numFmtId="164" formatCode="yyyy-mm-dd"/>
  </numFmts>
  <fonts count="5">
    <font>
      <name val="Carlito"/>
      <sz val="11"/>
    </font>
    <font>
      <name val="Carlito"/>
      <b val="1"/>
      <color rgb="FFFFFFFF"/>
      <sz val="14"/>
    </font>
    <font>
      <name val="Carlito"/>
      <b val="1"/>
      <color rgb="FFFFFFFF"/>
      <sz val="11"/>
    </font>
    <font>
      <name val="Carlito"/>
      <b val="1"/>
      <color rgb="FFFFFFFF"/>
      <sz val="16"/>
    </font>
    <font>
      <name val="Carlito"/>
      <b val="1"/>
      <sz val="11"/>
    </font>
  </fonts>
  <fills count="5">
    <fill>
      <patternFill/>
    </fill>
    <fill>
      <patternFill patternType="gray125"/>
    </fill>
    <fill>
      <patternFill patternType="solid">
        <fgColor rgb="FF0F766E"/>
      </patternFill>
    </fill>
    <fill>
      <patternFill patternType="solid">
        <fgColor rgb="FF115E59"/>
      </patternFill>
    </fill>
    <fill>
      <patternFill patternType="solid">
        <fgColor rgb="FFCCFBF1"/>
      </patternFill>
    </fill>
  </fills>
  <borders count="2">
    <border/>
    <border/>
  </borders>
  <cellStyleXfs count="1">
    <xf numFmtId="0" fontId="0" fillId="0" borderId="1"/>
  </cellStyleXfs>
  <cellXfs count="49">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0" borderId="0" applyAlignment="1" pivotButton="0" quotePrefix="0" xfId="0">
      <alignment wrapText="1"/>
    </xf>
    <xf numFmtId="0" fontId="0" fillId="0" borderId="1" applyAlignment="1" pivotButton="0" quotePrefix="0" xfId="0">
      <alignment wrapText="1"/>
    </xf>
    <xf numFmtId="0" fontId="0" fillId="3" borderId="0" applyAlignment="1" pivotButton="0" quotePrefix="0" xfId="0">
      <alignment wrapText="1"/>
    </xf>
    <xf numFmtId="0" fontId="2" fillId="3" borderId="0" applyAlignment="1" pivotButton="0" quotePrefix="0" xfId="0">
      <alignment wrapText="1"/>
    </xf>
    <xf numFmtId="0" fontId="2" fillId="3" borderId="0" applyAlignment="1" pivotButton="0" quotePrefix="0" xfId="0">
      <alignment horizontal="center" wrapText="1"/>
    </xf>
    <xf numFmtId="0" fontId="2" fillId="3" borderId="0" applyAlignment="1" pivotButton="0" quotePrefix="0" xfId="0">
      <alignment horizontal="center" vertical="center" wrapText="1"/>
    </xf>
    <xf numFmtId="0" fontId="0" fillId="3" borderId="1" applyAlignment="1" pivotButton="0" quotePrefix="0" xfId="0">
      <alignment wrapText="1"/>
    </xf>
    <xf numFmtId="0" fontId="2" fillId="3" borderId="1" applyAlignment="1" pivotButton="0" quotePrefix="0" xfId="0">
      <alignment wrapText="1"/>
    </xf>
    <xf numFmtId="0" fontId="2" fillId="3" borderId="1" applyAlignment="1" pivotButton="0" quotePrefix="0" xfId="0">
      <alignment horizontal="center" wrapText="1"/>
    </xf>
    <xf numFmtId="0" fontId="2" fillId="3" borderId="1" applyAlignment="1" pivotButton="0" quotePrefix="0" xfId="0">
      <alignment horizontal="center" vertical="center" wrapText="1"/>
    </xf>
    <xf numFmtId="164" fontId="0" fillId="0" borderId="0" applyAlignment="1" pivotButton="0" quotePrefix="0" xfId="0">
      <alignment wrapText="1"/>
    </xf>
    <xf numFmtId="164" fontId="0" fillId="0" borderId="0" pivotButton="0" quotePrefix="0" xfId="0"/>
    <xf numFmtId="164" fontId="0" fillId="0" borderId="1" applyAlignment="1" pivotButton="0" quotePrefix="0" xfId="0">
      <alignment wrapText="1"/>
    </xf>
    <xf numFmtId="164" fontId="0" fillId="0" borderId="1" pivotButton="0" quotePrefix="0" xfId="0"/>
    <xf numFmtId="4" fontId="0" fillId="0" borderId="0" applyAlignment="1" pivotButton="0" quotePrefix="0" xfId="0">
      <alignment wrapText="1"/>
    </xf>
    <xf numFmtId="4" fontId="0" fillId="0" borderId="0" pivotButton="0" quotePrefix="0" xfId="0"/>
    <xf numFmtId="4" fontId="0" fillId="0" borderId="1" applyAlignment="1" pivotButton="0" quotePrefix="0" xfId="0">
      <alignment wrapText="1"/>
    </xf>
    <xf numFmtId="4" fontId="0" fillId="0" borderId="1" pivotButton="0" quotePrefix="0" xfId="0"/>
    <xf numFmtId="0" fontId="3" fillId="2" borderId="0" pivotButton="0" quotePrefix="0" xfId="0"/>
    <xf numFmtId="0" fontId="3" fillId="2" borderId="1" pivotButton="0" quotePrefix="0" xfId="0"/>
    <xf numFmtId="0" fontId="0" fillId="4" borderId="0" pivotButton="0" quotePrefix="0" xfId="0"/>
    <xf numFmtId="0" fontId="4" fillId="4" borderId="0" pivotButton="0" quotePrefix="0" xfId="0"/>
    <xf numFmtId="0" fontId="4" fillId="4" borderId="0" applyAlignment="1" pivotButton="0" quotePrefix="0" xfId="0">
      <alignment horizontal="left"/>
    </xf>
    <xf numFmtId="0" fontId="0" fillId="4" borderId="1" pivotButton="0" quotePrefix="0" xfId="0"/>
    <xf numFmtId="0" fontId="4" fillId="4" borderId="1" pivotButton="0" quotePrefix="0" xfId="0"/>
    <xf numFmtId="0" fontId="4" fillId="4" borderId="1" applyAlignment="1" pivotButton="0" quotePrefix="0" xfId="0">
      <alignment horizontal="left"/>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1" fontId="0" fillId="0" borderId="0" applyAlignment="1" pivotButton="0" quotePrefix="0" xfId="0">
      <alignment wrapText="1"/>
    </xf>
    <xf numFmtId="1" fontId="0" fillId="0" borderId="1" applyAlignment="1" pivotButton="0" quotePrefix="0" xfId="0">
      <alignment wrapText="1"/>
    </xf>
    <xf numFmtId="1" fontId="0" fillId="0" borderId="0" pivotButton="0" quotePrefix="0" xfId="0"/>
    <xf numFmtId="164" fontId="0" fillId="0" borderId="0" applyAlignment="1" pivotButton="0" quotePrefix="0" xfId="0">
      <alignment wrapText="1"/>
    </xf>
    <xf numFmtId="4" fontId="0" fillId="0" borderId="0" applyAlignment="1" pivotButton="0" quotePrefix="0" xfId="0">
      <alignment wrapText="1"/>
    </xf>
    <xf numFmtId="164" fontId="0" fillId="0" borderId="0" pivotButton="0" quotePrefix="0" xfId="0"/>
    <xf numFmtId="4" fontId="0" fillId="0" borderId="0" pivotButton="0" quotePrefix="0" xfId="0"/>
    <xf numFmtId="1" fontId="0" fillId="0" borderId="0" pivotButton="0" quotePrefix="0" xfId="0"/>
    <xf numFmtId="1" fontId="0" fillId="0" borderId="0" applyAlignment="1" pivotButton="0" quotePrefix="0" xfId="0">
      <alignment wrapText="1"/>
    </xf>
  </cellXfs>
  <cellStyles count="1">
    <cellStyle name="Normal" xfId="0"/>
  </cellStyles>
  <dxfs count="6">
    <dxf>
      <fill>
        <patternFill patternType="solid">
          <bgColor rgb="FFDCFCE7"/>
        </patternFill>
      </fill>
    </dxf>
    <dxf>
      <fill>
        <patternFill patternType="solid">
          <bgColor rgb="FFFEF3C7"/>
        </patternFill>
      </fill>
    </dxf>
    <dxf>
      <fill>
        <patternFill patternType="solid">
          <bgColor rgb="FFFEE2E2"/>
        </patternFill>
      </fill>
    </dxf>
    <dxf>
      <fill>
        <patternFill patternType="solid">
          <bgColor rgb="FFDCFCE7"/>
        </patternFill>
      </fill>
    </dxf>
    <dxf>
      <fill>
        <patternFill patternType="solid">
          <bgColor rgb="FFDBEAFE"/>
        </patternFill>
      </fill>
    </dxf>
    <dxf>
      <fill>
        <patternFill patternType="solid">
          <bgColor rgb="FF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lstStyle/>
          <a:p>
            <a:r>
              <a:rPr/>
              <a:t>Portal Coverage by Tier</a:t>
            </a:r>
          </a:p>
        </rich>
      </tx>
      <overlay val="0"/>
    </title>
    <plotArea>
      <layout/>
      <barChart>
        <barDir val="col"/>
        <grouping val="clustered"/>
        <varyColors val="0"/>
        <ser>
          <idx val="0"/>
          <order val="0"/>
          <tx>
            <v>Count</v>
          </tx>
          <spPr>
            <a:ln>
              <a:prstDash val="solid"/>
            </a:ln>
          </spPr>
          <cat>
            <strRef>
              <f>'00 Dashboard'!$D$4:$D$6</f>
              <strCache>
                <ptCount val="0"/>
              </strCache>
            </strRef>
          </cat>
          <val>
            <numRef>
              <f>'00 Dashboard'!$E$4:$E$6</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3</col>
      <colOff>0</colOff>
      <row>7</row>
      <rowOff>0</rowOff>
    </from>
    <to>
      <col>10</col>
      <colOff>0</colOff>
      <row>24</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01PortalMasterTable" displayName="01PortalMasterTable" ref="A3:J54" headerRowCount="1">
  <tableColumns count="10">
    <tableColumn id="1" name="Priority Tier"/>
    <tableColumn id="2" name="Company / Portal"/>
    <tableColumn id="3" name="Type"/>
    <tableColumn id="4" name="Main Website"/>
    <tableColumn id="5" name="Tender Search Link"/>
    <tableColumn id="6" name="Vendor/Award Link"/>
    <tableColumn id="7" name="Login / DSC / Requirement"/>
    <tableColumn id="8" name="Regulator Relevance"/>
    <tableColumn id="9" name="Evidence / Current Note"/>
    <tableColumn id="10" name="Next Action"/>
  </tableColumns>
  <tableStyleInfo name="TableStyleMedium2" showRowStripes="1"/>
</table>
</file>

<file path=xl/tables/table2.xml><?xml version="1.0" encoding="utf-8"?>
<table xmlns="http://schemas.openxmlformats.org/spreadsheetml/2006/main" id="2" name="02SearchKeywordsTable" displayName="02SearchKeywordsTable" ref="A3:D27" headerRowCount="1">
  <tableColumns count="4">
    <tableColumn id="1" name="Segment"/>
    <tableColumn id="2" name="Keyword"/>
    <tableColumn id="3" name="Meaning / Use"/>
    <tableColumn id="4" name="Notes"/>
  </tableColumns>
  <tableStyleInfo name="TableStyleMedium2" showRowStripes="1"/>
</table>
</file>

<file path=xl/tables/table3.xml><?xml version="1.0" encoding="utf-8"?>
<table xmlns="http://schemas.openxmlformats.org/spreadsheetml/2006/main" id="3" name="03HowToSearchTable" displayName="03HowToSearchTable" ref="A3:E13" headerRowCount="1">
  <tableColumns count="5">
    <tableColumn id="1" name="Portal"/>
    <tableColumn id="2" name="Step 1"/>
    <tableColumn id="3" name="Step 2"/>
    <tableColumn id="4" name="Step 3"/>
    <tableColumn id="5" name="What to Save"/>
  </tableColumns>
  <tableStyleInfo name="TableStyleMedium2" showRowStripes="1"/>
</table>
</file>

<file path=xl/tables/table4.xml><?xml version="1.0" encoding="utf-8"?>
<table xmlns="http://schemas.openxmlformats.org/spreadsheetml/2006/main" id="4" name="04TenderRegisterTable" displayName="04TenderRegisterTable" ref="A3:V7" headerRowCount="1">
  <tableColumns count="22">
    <tableColumn id="1" name="Tender ID"/>
    <tableColumn id="2" name="Company"/>
    <tableColumn id="3" name="Portal"/>
    <tableColumn id="4" name="Tender Ref"/>
    <tableColumn id="5" name="Tender Date"/>
    <tableColumn id="6" name="Status"/>
    <tableColumn id="7" name="Product Segment"/>
    <tableColumn id="8" name="Product Description"/>
    <tableColumn id="9" name="Qty"/>
    <tableColumn id="10" name="UOM"/>
    <tableColumn id="11" name="Winner"/>
    <tableColumn id="12" name="Brand"/>
    <tableColumn id="13" name="Total INR Basic"/>
    <tableColumn id="14" name="GST INR"/>
    <tableColumn id="15" name="Total INR Incl GST"/>
    <tableColumn id="16" name="FX INR/EUR"/>
    <tableColumn id="17" name="Total EUR"/>
    <tableColumn id="18" name="Unit EUR Basic"/>
    <tableColumn id="19" name="Unit EUR Incl GST"/>
    <tableColumn id="20" name="Source URL"/>
    <tableColumn id="21" name="PDF Saved?"/>
    <tableColumn id="22" name="Notes"/>
  </tableColumns>
  <tableStyleInfo name="TableStyleMedium2" showRowStripes="1"/>
</table>
</file>

<file path=xl/tables/table5.xml><?xml version="1.0" encoding="utf-8"?>
<table xmlns="http://schemas.openxmlformats.org/spreadsheetml/2006/main" id="5" name="05TechnicalDatabaseTable" displayName="05TechnicalDatabaseTable" ref="A3:R5" headerRowCount="1">
  <tableColumns count="18">
    <tableColumn id="1" name="Tender ID"/>
    <tableColumn id="2" name="Product Segment"/>
    <tableColumn id="3" name="Model/Type"/>
    <tableColumn id="4" name="Inlet Pressure"/>
    <tableColumn id="5" name="Outlet Pressure"/>
    <tableColumn id="6" name="Capacity"/>
    <tableColumn id="7" name="Accuracy Class"/>
    <tableColumn id="8" name="Lock-up / SG"/>
    <tableColumn id="9" name="OPSO"/>
    <tableColumn id="10" name="UPSO"/>
    <tableColumn id="11" name="Relief"/>
    <tableColumn id="12" name="Monitor"/>
    <tableColumn id="13" name="Body Material"/>
    <tableColumn id="14" name="Connection"/>
    <tableColumn id="15" name="Standard"/>
    <tableColumn id="16" name="TPI / Certification"/>
    <tableColumn id="17" name="Source Page / URL"/>
    <tableColumn id="18" name="Notes"/>
  </tableColumns>
  <tableStyleInfo name="TableStyleMedium2" showRowStripes="1"/>
</table>
</file>

<file path=xl/tables/table6.xml><?xml version="1.0" encoding="utf-8"?>
<table xmlns="http://schemas.openxmlformats.org/spreadsheetml/2006/main" id="6" name="06PriceIntelligenceTable" displayName="06PriceIntelligenceTable" ref="A3:O6" headerRowCount="1">
  <tableColumns count="15">
    <tableColumn id="1" name="Tender ID"/>
    <tableColumn id="2" name="Company"/>
    <tableColumn id="3" name="Year"/>
    <tableColumn id="4" name="Product Segment"/>
    <tableColumn id="5" name="Capacity"/>
    <tableColumn id="6" name="Qty"/>
    <tableColumn id="7" name="Winner"/>
    <tableColumn id="8" name="Brand"/>
    <tableColumn id="9" name="Total INR Basic"/>
    <tableColumn id="10" name="Total EUR Basic"/>
    <tableColumn id="11" name="Unit EUR Basic"/>
    <tableColumn id="12" name="Unit EUR Incl GST"/>
    <tableColumn id="13" name="Confidence"/>
    <tableColumn id="14" name="Source URL"/>
    <tableColumn id="15" name="Notes"/>
  </tableColumns>
  <tableStyleInfo name="TableStyleMedium2" showRowStripes="1"/>
</table>
</file>

<file path=xl/tables/table7.xml><?xml version="1.0" encoding="utf-8"?>
<table xmlns="http://schemas.openxmlformats.org/spreadsheetml/2006/main" id="7" name="07CompetitorDBTable" displayName="07CompetitorDBTable" ref="A3:G14" headerRowCount="1">
  <tableColumns count="7">
    <tableColumn id="1" name="Competitor"/>
    <tableColumn id="2" name="Country"/>
    <tableColumn id="3" name="Role"/>
    <tableColumn id="4" name="Likely Segment"/>
    <tableColumn id="5" name="Website"/>
    <tableColumn id="6" name="Relevance"/>
    <tableColumn id="7" name="Notes"/>
  </tableColumns>
  <tableStyleInfo name="TableStyleMedium2" showRowStripes="1"/>
</table>
</file>

<file path=xl/tables/table8.xml><?xml version="1.0" encoding="utf-8"?>
<table xmlns="http://schemas.openxmlformats.org/spreadsheetml/2006/main" id="8" name="08SourceLogTable" displayName="08SourceLogTable" ref="A3:C19" headerRowCount="1">
  <tableColumns count="3">
    <tableColumn id="1" name="Source"/>
    <tableColumn id="2" name="Use"/>
    <tableColumn id="3" name="URL"/>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cols>
    <col width="10" customWidth="1" min="1" max="1"/>
    <col width="22" customWidth="1" min="2" max="2"/>
    <col width="18" customWidth="1" min="3" max="3"/>
    <col width="32" customWidth="1" min="4" max="4"/>
    <col width="36" customWidth="1" min="5" max="5"/>
    <col width="36" customWidth="1" min="6" max="6"/>
    <col width="24" customWidth="1" min="7" max="7"/>
    <col width="16" customWidth="1" min="8" max="8"/>
    <col width="38" customWidth="1" min="9" max="9"/>
    <col width="30" customWidth="1" min="10" max="10"/>
  </cols>
  <sheetData>
    <row r="1" ht="24" customHeight="1">
      <c r="A1" s="5" t="inlineStr">
        <is>
          <t>01 Portal Master</t>
        </is>
      </c>
    </row>
    <row r="3" ht="30" customHeight="1">
      <c r="A3" s="15" t="inlineStr">
        <is>
          <t>Priority Tier</t>
        </is>
      </c>
      <c r="B3" s="15" t="inlineStr">
        <is>
          <t>Company / Portal</t>
        </is>
      </c>
      <c r="C3" s="15" t="inlineStr">
        <is>
          <t>Type</t>
        </is>
      </c>
      <c r="D3" s="15" t="inlineStr">
        <is>
          <t>Main Website</t>
        </is>
      </c>
      <c r="E3" s="15" t="inlineStr">
        <is>
          <t>Tender Search Link</t>
        </is>
      </c>
      <c r="F3" s="15" t="inlineStr">
        <is>
          <t>Vendor/Award Link</t>
        </is>
      </c>
      <c r="G3" s="15" t="inlineStr">
        <is>
          <t>Login / DSC / Requirement</t>
        </is>
      </c>
      <c r="H3" s="15" t="inlineStr">
        <is>
          <t>Regulator Relevance</t>
        </is>
      </c>
      <c r="I3" s="15" t="inlineStr">
        <is>
          <t>Evidence / Current Note</t>
        </is>
      </c>
      <c r="J3" s="15" t="inlineStr">
        <is>
          <t>Next Action</t>
        </is>
      </c>
    </row>
    <row r="4">
      <c r="A4" s="10" t="inlineStr">
        <is>
          <t>Tier 1</t>
        </is>
      </c>
      <c r="B4" s="10" t="inlineStr">
        <is>
          <t>GAIL India</t>
        </is>
      </c>
      <c r="C4" s="10" t="inlineStr">
        <is>
          <t>PSU / Gas transmission + CGD parent</t>
        </is>
      </c>
      <c r="D4" s="10" t="inlineStr">
        <is>
          <t>https://gailtenders.in</t>
        </is>
      </c>
      <c r="E4" s="10" t="inlineStr">
        <is>
          <t>https://gailtenders.in/Gailtenders</t>
        </is>
      </c>
      <c r="F4" s="10" t="inlineStr">
        <is>
          <t>https://gailtenders.in/Gailtenders/writereaddata/AOC/</t>
        </is>
      </c>
      <c r="G4" s="10" t="inlineStr">
        <is>
          <t>May need vendor login/DSC for bids</t>
        </is>
      </c>
      <c r="H4" s="10" t="inlineStr">
        <is>
          <t>High</t>
        </is>
      </c>
      <c r="I4" s="10" t="inlineStr">
        <is>
          <t>FOA/LOA/AOC PDFs openly available</t>
        </is>
      </c>
      <c r="J4" s="10" t="inlineStr">
        <is>
          <t>Use GAIL AOC and archive searches</t>
        </is>
      </c>
    </row>
    <row r="5">
      <c r="A5" s="10" t="inlineStr">
        <is>
          <t>Tier 1</t>
        </is>
      </c>
      <c r="B5" s="10" t="inlineStr">
        <is>
          <t>GAIL Gas</t>
        </is>
      </c>
      <c r="C5" s="10" t="inlineStr">
        <is>
          <t>CGD operator</t>
        </is>
      </c>
      <c r="D5" s="10" t="inlineStr">
        <is>
          <t>https://gailgas.com</t>
        </is>
      </c>
      <c r="E5" s="10" t="inlineStr">
        <is>
          <t>https://gailgas.com/stakeholder-zone/vendor-zone</t>
        </is>
      </c>
      <c r="F5" s="10" t="inlineStr">
        <is>
          <t>https://gailgas.com/stakeholder-zone/vendor-zone</t>
        </is>
      </c>
      <c r="G5" s="10" t="inlineStr">
        <is>
          <t>Likely GeM/portal depending tender</t>
        </is>
      </c>
      <c r="H5" s="10" t="inlineStr">
        <is>
          <t>High</t>
        </is>
      </c>
      <c r="I5" s="10" t="inlineStr">
        <is>
          <t>Vendor zone points to tender information system</t>
        </is>
      </c>
      <c r="J5" s="10" t="inlineStr">
        <is>
          <t>Search domestic/service regulators and GeM refs</t>
        </is>
      </c>
    </row>
    <row r="6">
      <c r="A6" s="10" t="inlineStr">
        <is>
          <t>Tier 1</t>
        </is>
      </c>
      <c r="B6" s="10" t="inlineStr">
        <is>
          <t>Indraprastha Gas (IGL)</t>
        </is>
      </c>
      <c r="C6" s="10" t="inlineStr">
        <is>
          <t>CGD operator</t>
        </is>
      </c>
      <c r="D6" s="10" t="inlineStr">
        <is>
          <t>https://www.iglonline.net</t>
        </is>
      </c>
      <c r="E6" s="10" t="inlineStr">
        <is>
          <t>https://tenders.iglonline.net/tenderList</t>
        </is>
      </c>
      <c r="F6" s="10" t="inlineStr">
        <is>
          <t>https://tenders.iglonline.net/tenderList</t>
        </is>
      </c>
      <c r="G6" s="10" t="inlineStr">
        <is>
          <t>Vendor registration listed on tender portal</t>
        </is>
      </c>
      <c r="H6" s="10" t="inlineStr">
        <is>
          <t>High</t>
        </is>
      </c>
      <c r="I6" s="10" t="inlineStr">
        <is>
          <t>Portal has active tenders, vendor portal, e-tender guide</t>
        </is>
      </c>
      <c r="J6" s="10" t="inlineStr">
        <is>
          <t>Search FRS/MRS/C&amp;I regulators</t>
        </is>
      </c>
    </row>
    <row r="7">
      <c r="A7" s="10" t="inlineStr">
        <is>
          <t>Tier 1</t>
        </is>
      </c>
      <c r="B7" s="10" t="inlineStr">
        <is>
          <t>Mahanagar Gas (MGL)</t>
        </is>
      </c>
      <c r="C7" s="10" t="inlineStr">
        <is>
          <t>CGD operator</t>
        </is>
      </c>
      <c r="D7" s="10" t="inlineStr">
        <is>
          <t>https://www.mahanagargas.com</t>
        </is>
      </c>
      <c r="E7" s="10" t="inlineStr">
        <is>
          <t>https://www.mahanagargas.com/Tender</t>
        </is>
      </c>
      <c r="F7" s="10" t="inlineStr">
        <is>
          <t>https://www.mahanagargas.com/Tender</t>
        </is>
      </c>
      <c r="G7" s="10" t="inlineStr">
        <is>
          <t>SAP/RFx, DSC usually needed</t>
        </is>
      </c>
      <c r="H7" s="10" t="inlineStr">
        <is>
          <t>High</t>
        </is>
      </c>
      <c r="I7" s="10" t="inlineStr">
        <is>
          <t>Supplier bid guide shows digital signature requirement</t>
        </is>
      </c>
      <c r="J7" s="10" t="inlineStr">
        <is>
          <t>Need find archive/results</t>
        </is>
      </c>
    </row>
    <row r="8">
      <c r="A8" s="10" t="inlineStr">
        <is>
          <t>Tier 1</t>
        </is>
      </c>
      <c r="B8" s="10" t="inlineStr">
        <is>
          <t>Gujarat Gas (GGL)</t>
        </is>
      </c>
      <c r="C8" s="10" t="inlineStr">
        <is>
          <t>CGD operator</t>
        </is>
      </c>
      <c r="D8" s="10" t="inlineStr">
        <is>
          <t>https://www.gujaratgas.com</t>
        </is>
      </c>
      <c r="E8" s="10" t="inlineStr">
        <is>
          <t>https://www.gujaratgas.com/tenders/</t>
        </is>
      </c>
      <c r="F8" s="10" t="inlineStr">
        <is>
          <t>https://www.gujaratgas.com/tenders/</t>
        </is>
      </c>
      <c r="G8" s="10" t="inlineStr">
        <is>
          <t>nProcure registration; DSC likely</t>
        </is>
      </c>
      <c r="H8" s="10" t="inlineStr">
        <is>
          <t>High</t>
        </is>
      </c>
      <c r="I8" s="10" t="inlineStr">
        <is>
          <t>GGL tenders are published through nProcure</t>
        </is>
      </c>
      <c r="J8" s="10" t="inlineStr">
        <is>
          <t>Use nProcure support links</t>
        </is>
      </c>
    </row>
    <row r="9">
      <c r="A9" s="10" t="inlineStr">
        <is>
          <t>Tier 1</t>
        </is>
      </c>
      <c r="B9" s="10" t="inlineStr">
        <is>
          <t>Adani Total Gas (ATGL)</t>
        </is>
      </c>
      <c r="C9" s="10" t="inlineStr">
        <is>
          <t>CGD operator</t>
        </is>
      </c>
      <c r="D9" s="10" t="inlineStr">
        <is>
          <t>https://www.adanigas.com</t>
        </is>
      </c>
      <c r="E9" s="10" t="inlineStr">
        <is>
          <t>https://www.adanigas.com/commercials</t>
        </is>
      </c>
      <c r="F9" s="10" t="inlineStr">
        <is>
          <t>https://www.adanigas.com/commercials</t>
        </is>
      </c>
      <c r="G9" s="10" t="inlineStr">
        <is>
          <t>Vendor registration available</t>
        </is>
      </c>
      <c r="H9" s="10" t="inlineStr">
        <is>
          <t>High</t>
        </is>
      </c>
      <c r="I9" s="10" t="inlineStr">
        <is>
          <t>Commercials page has Vendor Registration, Tender and EOI</t>
        </is>
      </c>
      <c r="J9" s="10" t="inlineStr">
        <is>
          <t>Search tender category list</t>
        </is>
      </c>
    </row>
    <row r="10">
      <c r="A10" s="10" t="inlineStr">
        <is>
          <t>Tier 1</t>
        </is>
      </c>
      <c r="B10" s="10" t="inlineStr">
        <is>
          <t>Torrent Gas</t>
        </is>
      </c>
      <c r="C10" s="10" t="inlineStr">
        <is>
          <t>CGD operator</t>
        </is>
      </c>
      <c r="D10" s="10" t="inlineStr">
        <is>
          <t>https://www.torrentgas.com</t>
        </is>
      </c>
      <c r="E10" s="10" t="inlineStr">
        <is>
          <t>https://www.torrentgas.com/User/Info/Vendor</t>
        </is>
      </c>
      <c r="F10" s="10" t="inlineStr">
        <is>
          <t>https://www.torrentgas.com/User/Info/Vendor</t>
        </is>
      </c>
      <c r="G10" s="10" t="inlineStr">
        <is>
          <t>Vendor evaluation/registration</t>
        </is>
      </c>
      <c r="H10" s="10" t="inlineStr">
        <is>
          <t>High</t>
        </is>
      </c>
      <c r="I10" s="10" t="inlineStr">
        <is>
          <t>Vendor page lists procurement email</t>
        </is>
      </c>
      <c r="J10" s="10" t="inlineStr">
        <is>
          <t>procurement@torrentgas.com</t>
        </is>
      </c>
    </row>
    <row r="11">
      <c r="A11" s="10" t="inlineStr">
        <is>
          <t>Tier 1</t>
        </is>
      </c>
      <c r="B11" s="10" t="inlineStr">
        <is>
          <t>IndianOil-Adani Gas (IOAGPL)</t>
        </is>
      </c>
      <c r="C11" s="10" t="inlineStr">
        <is>
          <t>CGD JV</t>
        </is>
      </c>
      <c r="D11" s="10" t="inlineStr">
        <is>
          <t>https://ioagpl.com</t>
        </is>
      </c>
      <c r="E11" s="10" t="inlineStr">
        <is>
          <t>https://ioagpl.com/vendor-registration-form/</t>
        </is>
      </c>
      <c r="F11" s="10" t="inlineStr">
        <is>
          <t>https://ioagpl.com/tenders/</t>
        </is>
      </c>
      <c r="G11" s="10" t="inlineStr">
        <is>
          <t>Vendor form via courier/docs</t>
        </is>
      </c>
      <c r="H11" s="10" t="inlineStr">
        <is>
          <t>High</t>
        </is>
      </c>
      <c r="I11" s="10" t="inlineStr">
        <is>
          <t>Vendor registration form page lists required docs</t>
        </is>
      </c>
      <c r="J11" s="10" t="inlineStr">
        <is>
          <t>Search IOAGPL regulator on CPPP too</t>
        </is>
      </c>
    </row>
    <row r="12">
      <c r="A12" s="10" t="inlineStr">
        <is>
          <t>Tier 1</t>
        </is>
      </c>
      <c r="B12" s="10" t="inlineStr">
        <is>
          <t>Indian Oil Corporation (IOCL CGD)</t>
        </is>
      </c>
      <c r="C12" s="10" t="inlineStr">
        <is>
          <t>PSU CGD operator</t>
        </is>
      </c>
      <c r="D12" s="10" t="inlineStr">
        <is>
          <t>https://iocl.com</t>
        </is>
      </c>
      <c r="E12" s="10" t="inlineStr">
        <is>
          <t>https://iocl.com/tenders</t>
        </is>
      </c>
      <c r="F12" s="10" t="inlineStr">
        <is>
          <t>https://iocl.com/pages/cgd</t>
        </is>
      </c>
      <c r="G12" s="10" t="inlineStr">
        <is>
          <t>CPPP/IOCL portal/GeM</t>
        </is>
      </c>
      <c r="H12" s="10" t="inlineStr">
        <is>
          <t>High</t>
        </is>
      </c>
      <c r="I12" s="10" t="inlineStr">
        <is>
          <t>IOCL says it is present in 49 GAs with JVs</t>
        </is>
      </c>
      <c r="J12" s="10" t="inlineStr">
        <is>
          <t>Search organisation Indian Oil Corporation</t>
        </is>
      </c>
    </row>
    <row r="13">
      <c r="A13" s="10" t="inlineStr">
        <is>
          <t>Tier 1</t>
        </is>
      </c>
      <c r="B13" s="10" t="inlineStr">
        <is>
          <t>Bharat Petroleum (BPCL CGD)</t>
        </is>
      </c>
      <c r="C13" s="10" t="inlineStr">
        <is>
          <t>PSU CGD operator</t>
        </is>
      </c>
      <c r="D13" s="10" t="inlineStr">
        <is>
          <t>https://bharatpetroleum.in</t>
        </is>
      </c>
      <c r="E13" s="10" t="inlineStr">
        <is>
          <t>https://bharatpetroleum.in/tenders</t>
        </is>
      </c>
      <c r="F13" s="10" t="inlineStr">
        <is>
          <t>https://bharatpetroleum.in/bharat-petroleum-for/our-businesses/gas/city-gas-distribution</t>
        </is>
      </c>
      <c r="G13" s="10" t="inlineStr">
        <is>
          <t>CPPP/BPCL portal/GeM</t>
        </is>
      </c>
      <c r="H13" s="10" t="inlineStr">
        <is>
          <t>High</t>
        </is>
      </c>
      <c r="I13" s="10" t="inlineStr">
        <is>
          <t>BPCL CGD page confirms CGD business</t>
        </is>
      </c>
      <c r="J13" s="10" t="inlineStr">
        <is>
          <t>Search BPCL CGD regulator</t>
        </is>
      </c>
    </row>
    <row r="14">
      <c r="A14" s="10" t="inlineStr">
        <is>
          <t>Tier 1</t>
        </is>
      </c>
      <c r="B14" s="10" t="inlineStr">
        <is>
          <t>Hindustan Petroleum (HPCL CGD)</t>
        </is>
      </c>
      <c r="C14" s="10" t="inlineStr">
        <is>
          <t>PSU CGD operator</t>
        </is>
      </c>
      <c r="D14" s="10" t="inlineStr">
        <is>
          <t>https://www.hindustanpetroleum.com</t>
        </is>
      </c>
      <c r="E14" s="10" t="inlineStr">
        <is>
          <t>https://www.hindustanpetroleum.com/pages/tenders-and-contracts</t>
        </is>
      </c>
      <c r="F14" s="10" t="inlineStr">
        <is>
          <t>https://www.hindustanpetroleum.com</t>
        </is>
      </c>
      <c r="G14" s="10" t="inlineStr">
        <is>
          <t>CPPP/HPCL portal/GeM</t>
        </is>
      </c>
      <c r="H14" s="10" t="inlineStr">
        <is>
          <t>Medium</t>
        </is>
      </c>
      <c r="I14" s="10" t="inlineStr">
        <is>
          <t>Often central PSU procurement</t>
        </is>
      </c>
      <c r="J14" s="10" t="inlineStr">
        <is>
          <t>Search HPCL city gas distribution regulator</t>
        </is>
      </c>
    </row>
    <row r="15">
      <c r="A15" s="10" t="inlineStr">
        <is>
          <t>Tier 2</t>
        </is>
      </c>
      <c r="B15" s="10" t="inlineStr">
        <is>
          <t>Maharashtra Natural Gas (MNGL)</t>
        </is>
      </c>
      <c r="C15" s="10" t="inlineStr">
        <is>
          <t>CGD operator</t>
        </is>
      </c>
      <c r="D15" s="10" t="inlineStr">
        <is>
          <t>https://mngl.in</t>
        </is>
      </c>
      <c r="E15" s="10" t="inlineStr">
        <is>
          <t>https://mngl.in/active-tenders</t>
        </is>
      </c>
      <c r="F15" s="10" t="inlineStr">
        <is>
          <t>https://mngl.in/vendor/instructions-to-bridders</t>
        </is>
      </c>
      <c r="G15" s="10" t="inlineStr">
        <is>
          <t>CPPP; DSC required</t>
        </is>
      </c>
      <c r="H15" s="10" t="inlineStr">
        <is>
          <t>High</t>
        </is>
      </c>
      <c r="I15" s="10" t="inlineStr">
        <is>
          <t>Instructions say submit on CPP portal with DSC</t>
        </is>
      </c>
      <c r="J15" s="10" t="inlineStr">
        <is>
          <t>Important domestic regulator ARC source</t>
        </is>
      </c>
    </row>
    <row r="16">
      <c r="A16" s="10" t="inlineStr">
        <is>
          <t>Tier 2</t>
        </is>
      </c>
      <c r="B16" s="10" t="inlineStr">
        <is>
          <t>Gasonet Services</t>
        </is>
      </c>
      <c r="C16" s="10" t="inlineStr">
        <is>
          <t>CGD operator</t>
        </is>
      </c>
      <c r="D16" s="10" t="inlineStr">
        <is>
          <t>https://www.gasonet.in</t>
        </is>
      </c>
      <c r="E16" s="10" t="inlineStr">
        <is>
          <t>https://www.gasonet.in/tenders.html</t>
        </is>
      </c>
      <c r="F16" s="10" t="inlineStr">
        <is>
          <t>https://www.gasonet.in/tenders.html</t>
        </is>
      </c>
      <c r="G16" s="10" t="inlineStr">
        <is>
          <t>Open tender PDF; email in docs</t>
        </is>
      </c>
      <c r="H16" s="10" t="inlineStr">
        <is>
          <t>High</t>
        </is>
      </c>
      <c r="I16" s="10" t="inlineStr">
        <is>
          <t>Tenders page has domestic/service regulator PDF</t>
        </is>
      </c>
      <c r="J16" s="10" t="inlineStr">
        <is>
          <t>Good for technical/quantity extraction</t>
        </is>
      </c>
    </row>
    <row r="17">
      <c r="A17" s="10" t="inlineStr">
        <is>
          <t>Tier 2</t>
        </is>
      </c>
      <c r="B17" s="10" t="inlineStr">
        <is>
          <t>Green Gas Limited</t>
        </is>
      </c>
      <c r="C17" s="10" t="inlineStr">
        <is>
          <t>CGD JV</t>
        </is>
      </c>
      <c r="D17" s="10" t="inlineStr">
        <is>
          <t>https://www.gglonline.net</t>
        </is>
      </c>
      <c r="E17" s="10" t="inlineStr">
        <is>
          <t>https://www.gglonline.net/tender</t>
        </is>
      </c>
      <c r="F17" s="10" t="inlineStr">
        <is>
          <t>https://www.gglonline.net/tender</t>
        </is>
      </c>
      <c r="G17" s="10" t="inlineStr">
        <is>
          <t>To verify</t>
        </is>
      </c>
      <c r="H17" s="10" t="inlineStr">
        <is>
          <t>High</t>
        </is>
      </c>
      <c r="I17" s="10" t="inlineStr">
        <is>
          <t>CGD operator; tender page to monitor</t>
        </is>
      </c>
      <c r="J17" s="10" t="inlineStr">
        <is>
          <t>Search regulator/PRS</t>
        </is>
      </c>
    </row>
    <row r="18">
      <c r="A18" s="10" t="inlineStr">
        <is>
          <t>Tier 2</t>
        </is>
      </c>
      <c r="B18" s="10" t="inlineStr">
        <is>
          <t>Central U.P. Gas (CUGL)</t>
        </is>
      </c>
      <c r="C18" s="10" t="inlineStr">
        <is>
          <t>CGD operator</t>
        </is>
      </c>
      <c r="D18" s="10" t="inlineStr">
        <is>
          <t>https://www.cugl.co.in</t>
        </is>
      </c>
      <c r="E18" s="10" t="inlineStr">
        <is>
          <t>https://www.cugl.co.in/tenders</t>
        </is>
      </c>
      <c r="F18" s="10" t="inlineStr">
        <is>
          <t>https://www.cugl.co.in/tenders</t>
        </is>
      </c>
      <c r="G18" s="10" t="inlineStr">
        <is>
          <t>To verify</t>
        </is>
      </c>
      <c r="H18" s="10" t="inlineStr">
        <is>
          <t>High</t>
        </is>
      </c>
      <c r="I18" s="10" t="inlineStr">
        <is>
          <t>CGD operator in UP</t>
        </is>
      </c>
      <c r="J18" s="10" t="inlineStr">
        <is>
          <t>Search CUGL procurement regulator</t>
        </is>
      </c>
    </row>
    <row r="19">
      <c r="A19" s="10" t="inlineStr">
        <is>
          <t>Tier 2</t>
        </is>
      </c>
      <c r="B19" s="10" t="inlineStr">
        <is>
          <t>Sabarmati Gas</t>
        </is>
      </c>
      <c r="C19" s="10" t="inlineStr">
        <is>
          <t>CGD operator</t>
        </is>
      </c>
      <c r="D19" s="10" t="inlineStr">
        <is>
          <t>https://www.sabarmatigas.in</t>
        </is>
      </c>
      <c r="E19" s="10" t="inlineStr">
        <is>
          <t>https://www.sabarmatigas.in/tenders</t>
        </is>
      </c>
      <c r="F19" s="10" t="inlineStr">
        <is>
          <t>https://www.sabarmatigas.in/tenders</t>
        </is>
      </c>
      <c r="G19" s="10" t="inlineStr">
        <is>
          <t>To verify</t>
        </is>
      </c>
      <c r="H19" s="10" t="inlineStr">
        <is>
          <t>High</t>
        </is>
      </c>
      <c r="I19" s="10" t="inlineStr">
        <is>
          <t>CGD operator in Gujarat</t>
        </is>
      </c>
      <c r="J19" s="10" t="inlineStr">
        <is>
          <t>Search service/domestic regulators</t>
        </is>
      </c>
    </row>
    <row r="20">
      <c r="A20" s="10" t="inlineStr">
        <is>
          <t>Tier 2</t>
        </is>
      </c>
      <c r="B20" s="10" t="inlineStr">
        <is>
          <t>Charotar Gas</t>
        </is>
      </c>
      <c r="C20" s="10" t="inlineStr">
        <is>
          <t>CGD operator</t>
        </is>
      </c>
      <c r="D20" s="10" t="inlineStr">
        <is>
          <t>https://charotargas.com</t>
        </is>
      </c>
      <c r="E20" s="10" t="inlineStr">
        <is>
          <t>https://charotargas.com/tenders</t>
        </is>
      </c>
      <c r="F20" s="10" t="inlineStr">
        <is>
          <t>https://charotargas.com/tenders</t>
        </is>
      </c>
      <c r="G20" s="10" t="inlineStr">
        <is>
          <t>To verify</t>
        </is>
      </c>
      <c r="H20" s="10" t="inlineStr">
        <is>
          <t>Medium</t>
        </is>
      </c>
      <c r="I20" s="10" t="inlineStr">
        <is>
          <t>CGD operator</t>
        </is>
      </c>
      <c r="J20" s="10" t="inlineStr">
        <is>
          <t>Search tenders manually</t>
        </is>
      </c>
    </row>
    <row r="21">
      <c r="A21" s="10" t="inlineStr">
        <is>
          <t>Tier 2</t>
        </is>
      </c>
      <c r="B21" s="10" t="inlineStr">
        <is>
          <t>Goa Natural Gas</t>
        </is>
      </c>
      <c r="C21" s="10" t="inlineStr">
        <is>
          <t>CGD operator</t>
        </is>
      </c>
      <c r="D21" s="10" t="inlineStr">
        <is>
          <t>https://www.goanaturalgas.com</t>
        </is>
      </c>
      <c r="E21" s="10" t="inlineStr">
        <is>
          <t>https://www.goanaturalgas.com/tenders/</t>
        </is>
      </c>
      <c r="F21" s="10" t="inlineStr">
        <is>
          <t>https://www.goanaturalgas.com/tenders/</t>
        </is>
      </c>
      <c r="G21" s="10" t="inlineStr">
        <is>
          <t>Open docs possible</t>
        </is>
      </c>
      <c r="H21" s="10" t="inlineStr">
        <is>
          <t>High</t>
        </is>
      </c>
      <c r="I21" s="10" t="inlineStr">
        <is>
          <t>Previous docs include regulator quantities</t>
        </is>
      </c>
      <c r="J21" s="10" t="inlineStr">
        <is>
          <t>Good benchmark source</t>
        </is>
      </c>
    </row>
    <row r="22">
      <c r="A22" s="10" t="inlineStr">
        <is>
          <t>Tier 2</t>
        </is>
      </c>
      <c r="B22" s="10" t="inlineStr">
        <is>
          <t>Haryana City Gas</t>
        </is>
      </c>
      <c r="C22" s="10" t="inlineStr">
        <is>
          <t>CGD operator</t>
        </is>
      </c>
      <c r="D22" s="10" t="inlineStr">
        <is>
          <t>https://haryanacitygas.com</t>
        </is>
      </c>
      <c r="E22" s="10" t="inlineStr">
        <is>
          <t>https://haryanacitygas.com/tenders</t>
        </is>
      </c>
      <c r="F22" s="10" t="inlineStr">
        <is>
          <t>https://haryanacitygas.com/tenders</t>
        </is>
      </c>
      <c r="G22" s="10" t="inlineStr">
        <is>
          <t>To verify</t>
        </is>
      </c>
      <c r="H22" s="10" t="inlineStr">
        <is>
          <t>Medium</t>
        </is>
      </c>
      <c r="I22" s="10" t="inlineStr">
        <is>
          <t>CGD operator</t>
        </is>
      </c>
      <c r="J22" s="10" t="inlineStr">
        <is>
          <t>Search domestic regulator</t>
        </is>
      </c>
    </row>
    <row r="23">
      <c r="A23" s="10" t="inlineStr">
        <is>
          <t>Tier 2</t>
        </is>
      </c>
      <c r="B23" s="10" t="inlineStr">
        <is>
          <t>Bhagyanagar Gas</t>
        </is>
      </c>
      <c r="C23" s="10" t="inlineStr">
        <is>
          <t>CGD operator</t>
        </is>
      </c>
      <c r="D23" s="10" t="inlineStr">
        <is>
          <t>https://www.bglgas.com</t>
        </is>
      </c>
      <c r="E23" s="10" t="inlineStr">
        <is>
          <t>https://www.bglgas.com/tenders</t>
        </is>
      </c>
      <c r="F23" s="10" t="inlineStr">
        <is>
          <t>https://www.bglgas.com/tenders</t>
        </is>
      </c>
      <c r="G23" s="10" t="inlineStr">
        <is>
          <t>To verify</t>
        </is>
      </c>
      <c r="H23" s="10" t="inlineStr">
        <is>
          <t>Medium</t>
        </is>
      </c>
      <c r="I23" s="10" t="inlineStr">
        <is>
          <t>CGD operator; PNGRB listed entity</t>
        </is>
      </c>
      <c r="J23" s="10" t="inlineStr">
        <is>
          <t>Search BGL tenders</t>
        </is>
      </c>
    </row>
    <row r="24">
      <c r="A24" s="10" t="inlineStr">
        <is>
          <t>Tier 2</t>
        </is>
      </c>
      <c r="B24" s="10" t="inlineStr">
        <is>
          <t>Tripura Natural Gas</t>
        </is>
      </c>
      <c r="C24" s="10" t="inlineStr">
        <is>
          <t>CGD operator</t>
        </is>
      </c>
      <c r="D24" s="10" t="inlineStr">
        <is>
          <t>https://tngclonline.com</t>
        </is>
      </c>
      <c r="E24" s="10" t="inlineStr">
        <is>
          <t>https://tngclonline.com/tenders</t>
        </is>
      </c>
      <c r="F24" s="10" t="inlineStr">
        <is>
          <t>https://tngclonline.com/tenders</t>
        </is>
      </c>
      <c r="G24" s="10" t="inlineStr">
        <is>
          <t>To verify</t>
        </is>
      </c>
      <c r="H24" s="10" t="inlineStr">
        <is>
          <t>Medium</t>
        </is>
      </c>
      <c r="I24" s="10" t="inlineStr">
        <is>
          <t>CGD operator</t>
        </is>
      </c>
      <c r="J24" s="10" t="inlineStr">
        <is>
          <t>Search TNGCL regulator</t>
        </is>
      </c>
    </row>
    <row r="25">
      <c r="A25" s="10" t="inlineStr">
        <is>
          <t>Tier 2</t>
        </is>
      </c>
      <c r="B25" s="10" t="inlineStr">
        <is>
          <t>Avantika Gas</t>
        </is>
      </c>
      <c r="C25" s="10" t="inlineStr">
        <is>
          <t>CGD operator</t>
        </is>
      </c>
      <c r="D25" s="10" t="inlineStr">
        <is>
          <t>https://www.aglonline.net</t>
        </is>
      </c>
      <c r="E25" s="10" t="inlineStr">
        <is>
          <t>https://www.aglonline.net/tender</t>
        </is>
      </c>
      <c r="F25" s="10" t="inlineStr">
        <is>
          <t>https://www.aglonline.net/tender</t>
        </is>
      </c>
      <c r="G25" s="10" t="inlineStr">
        <is>
          <t>To verify</t>
        </is>
      </c>
      <c r="H25" s="10" t="inlineStr">
        <is>
          <t>Medium</t>
        </is>
      </c>
      <c r="I25" s="10" t="inlineStr">
        <is>
          <t>CGD operator in MP</t>
        </is>
      </c>
      <c r="J25" s="10" t="inlineStr">
        <is>
          <t>Search service regulator</t>
        </is>
      </c>
    </row>
    <row r="26">
      <c r="A26" s="10" t="inlineStr">
        <is>
          <t>Tier 2</t>
        </is>
      </c>
      <c r="B26" s="10" t="inlineStr">
        <is>
          <t>IRM Energy</t>
        </is>
      </c>
      <c r="C26" s="10" t="inlineStr">
        <is>
          <t>CGD operator</t>
        </is>
      </c>
      <c r="D26" s="10" t="inlineStr">
        <is>
          <t>https://www.irmenergy.com</t>
        </is>
      </c>
      <c r="E26" s="10" t="inlineStr">
        <is>
          <t>https://www.irmenergy.com/tenders</t>
        </is>
      </c>
      <c r="F26" s="10" t="inlineStr">
        <is>
          <t>https://www.irmenergy.com/tenders</t>
        </is>
      </c>
      <c r="G26" s="10" t="inlineStr">
        <is>
          <t>To verify</t>
        </is>
      </c>
      <c r="H26" s="10" t="inlineStr">
        <is>
          <t>Medium</t>
        </is>
      </c>
      <c r="I26" s="10" t="inlineStr">
        <is>
          <t>CGD operator</t>
        </is>
      </c>
      <c r="J26" s="10" t="inlineStr">
        <is>
          <t>Search procurements</t>
        </is>
      </c>
    </row>
    <row r="27">
      <c r="A27" s="10" t="inlineStr">
        <is>
          <t>Tier 2</t>
        </is>
      </c>
      <c r="B27" s="10" t="inlineStr">
        <is>
          <t>Think Gas</t>
        </is>
      </c>
      <c r="C27" s="10" t="inlineStr">
        <is>
          <t>CGD operator</t>
        </is>
      </c>
      <c r="D27" s="10" t="inlineStr">
        <is>
          <t>https://www.think-gas.com</t>
        </is>
      </c>
      <c r="E27" s="10" t="inlineStr">
        <is>
          <t>https://www.think-gas.com/tenders</t>
        </is>
      </c>
      <c r="F27" s="10" t="inlineStr">
        <is>
          <t>https://www.think-gas.com/tenders</t>
        </is>
      </c>
      <c r="G27" s="10" t="inlineStr">
        <is>
          <t>To verify</t>
        </is>
      </c>
      <c r="H27" s="10" t="inlineStr">
        <is>
          <t>Medium</t>
        </is>
      </c>
      <c r="I27" s="10" t="inlineStr">
        <is>
          <t>CGD operator</t>
        </is>
      </c>
      <c r="J27" s="10" t="inlineStr">
        <is>
          <t>Search procurement</t>
        </is>
      </c>
    </row>
    <row r="28">
      <c r="A28" s="10" t="inlineStr">
        <is>
          <t>Tier 2</t>
        </is>
      </c>
      <c r="B28" s="10" t="inlineStr">
        <is>
          <t>AG&amp;P Pratham</t>
        </is>
      </c>
      <c r="C28" s="10" t="inlineStr">
        <is>
          <t>CGD operator</t>
        </is>
      </c>
      <c r="D28" s="10" t="inlineStr">
        <is>
          <t>https://agppratham.com</t>
        </is>
      </c>
      <c r="E28" s="10" t="inlineStr">
        <is>
          <t>https://agppratham.com/tenders</t>
        </is>
      </c>
      <c r="F28" s="10" t="inlineStr">
        <is>
          <t>https://agppratham.com/tenders</t>
        </is>
      </c>
      <c r="G28" s="10" t="inlineStr">
        <is>
          <t>To verify</t>
        </is>
      </c>
      <c r="H28" s="10" t="inlineStr">
        <is>
          <t>Medium</t>
        </is>
      </c>
      <c r="I28" s="10" t="inlineStr">
        <is>
          <t>CGD operator</t>
        </is>
      </c>
      <c r="J28" s="10" t="inlineStr">
        <is>
          <t>Search procurement/contact</t>
        </is>
      </c>
    </row>
    <row r="29">
      <c r="A29" s="10" t="inlineStr">
        <is>
          <t>Tier 2</t>
        </is>
      </c>
      <c r="B29" s="10" t="inlineStr">
        <is>
          <t>Megha City Gas Distribution</t>
        </is>
      </c>
      <c r="C29" s="10" t="inlineStr">
        <is>
          <t>CGD operator</t>
        </is>
      </c>
      <c r="D29" s="10" t="inlineStr">
        <is>
          <t>https://meghagas.com</t>
        </is>
      </c>
      <c r="E29" s="10" t="inlineStr">
        <is>
          <t>https://meghagas.com/tenders</t>
        </is>
      </c>
      <c r="F29" s="10" t="inlineStr">
        <is>
          <t>https://meghagas.com/tenders</t>
        </is>
      </c>
      <c r="G29" s="10" t="inlineStr">
        <is>
          <t>To verify</t>
        </is>
      </c>
      <c r="H29" s="10" t="inlineStr">
        <is>
          <t>Medium</t>
        </is>
      </c>
      <c r="I29" s="10" t="inlineStr">
        <is>
          <t>PNGRB listed CGD entity</t>
        </is>
      </c>
      <c r="J29" s="10" t="inlineStr">
        <is>
          <t>Search MGCDPL tender</t>
        </is>
      </c>
    </row>
    <row r="30">
      <c r="A30" s="10" t="inlineStr">
        <is>
          <t>Tier 2</t>
        </is>
      </c>
      <c r="B30" s="10" t="inlineStr">
        <is>
          <t>Godavari Gas</t>
        </is>
      </c>
      <c r="C30" s="10" t="inlineStr">
        <is>
          <t>CGD operator</t>
        </is>
      </c>
      <c r="D30" s="10" t="inlineStr">
        <is>
          <t>https://www.godavarigas.in</t>
        </is>
      </c>
      <c r="E30" s="10" t="inlineStr">
        <is>
          <t>https://www.godavarigas.in/tenders</t>
        </is>
      </c>
      <c r="F30" s="10" t="inlineStr">
        <is>
          <t>https://www.godavarigas.in/tenders</t>
        </is>
      </c>
      <c r="G30" s="10" t="inlineStr">
        <is>
          <t>To verify</t>
        </is>
      </c>
      <c r="H30" s="10" t="inlineStr">
        <is>
          <t>Medium</t>
        </is>
      </c>
      <c r="I30" s="10" t="inlineStr">
        <is>
          <t>PNGRB listed CGD entity</t>
        </is>
      </c>
      <c r="J30" s="10" t="inlineStr">
        <is>
          <t>Search gas regulator</t>
        </is>
      </c>
    </row>
    <row r="31">
      <c r="A31" s="10" t="inlineStr">
        <is>
          <t>Tier 2</t>
        </is>
      </c>
      <c r="B31" s="10" t="inlineStr">
        <is>
          <t>Bengal Gas Company</t>
        </is>
      </c>
      <c r="C31" s="10" t="inlineStr">
        <is>
          <t>CGD operator</t>
        </is>
      </c>
      <c r="D31" s="10" t="inlineStr">
        <is>
          <t>https://bengalgas.com</t>
        </is>
      </c>
      <c r="E31" s="10" t="inlineStr">
        <is>
          <t>https://bengalgas.com/tenders</t>
        </is>
      </c>
      <c r="F31" s="10" t="inlineStr">
        <is>
          <t>https://bengalgas.com/tenders</t>
        </is>
      </c>
      <c r="G31" s="10" t="inlineStr">
        <is>
          <t>To verify</t>
        </is>
      </c>
      <c r="H31" s="10" t="inlineStr">
        <is>
          <t>Medium</t>
        </is>
      </c>
      <c r="I31" s="10" t="inlineStr">
        <is>
          <t>GAIL/GCGS JV; CGD operator</t>
        </is>
      </c>
      <c r="J31" s="10" t="inlineStr">
        <is>
          <t>Search tender</t>
        </is>
      </c>
    </row>
    <row r="32">
      <c r="A32" s="10" t="inlineStr">
        <is>
          <t>Tier 2</t>
        </is>
      </c>
      <c r="B32" s="10" t="inlineStr">
        <is>
          <t>Purba Bharati Gas</t>
        </is>
      </c>
      <c r="C32" s="10" t="inlineStr">
        <is>
          <t>CGD operator</t>
        </is>
      </c>
      <c r="D32" s="10" t="inlineStr">
        <is>
          <t>https://www.purbabharatigas.in</t>
        </is>
      </c>
      <c r="E32" s="10" t="inlineStr">
        <is>
          <t>https://www.purbabharatigas.in/tenders</t>
        </is>
      </c>
      <c r="F32" s="10" t="inlineStr">
        <is>
          <t>https://www.purbabharatigas.in/tenders</t>
        </is>
      </c>
      <c r="G32" s="10" t="inlineStr">
        <is>
          <t>To verify</t>
        </is>
      </c>
      <c r="H32" s="10" t="inlineStr">
        <is>
          <t>Medium</t>
        </is>
      </c>
      <c r="I32" s="10" t="inlineStr">
        <is>
          <t>CGD operator in NE India</t>
        </is>
      </c>
      <c r="J32" s="10" t="inlineStr">
        <is>
          <t>Search tenders</t>
        </is>
      </c>
    </row>
    <row r="33">
      <c r="A33" s="10" t="inlineStr">
        <is>
          <t>Tier 3</t>
        </is>
      </c>
      <c r="B33" s="10" t="inlineStr">
        <is>
          <t>Assam Gas Company</t>
        </is>
      </c>
      <c r="C33" s="10" t="inlineStr">
        <is>
          <t>Gas utility / CGD related</t>
        </is>
      </c>
      <c r="D33" s="10" t="inlineStr">
        <is>
          <t>https://assamgas.org</t>
        </is>
      </c>
      <c r="E33" s="10" t="inlineStr">
        <is>
          <t>https://assamgas.org/tenders</t>
        </is>
      </c>
      <c r="F33" s="10" t="inlineStr">
        <is>
          <t>https://assamgas.org/tenders</t>
        </is>
      </c>
      <c r="G33" s="10" t="inlineStr">
        <is>
          <t>To verify</t>
        </is>
      </c>
      <c r="H33" s="10" t="inlineStr">
        <is>
          <t>Medium</t>
        </is>
      </c>
      <c r="I33" s="10" t="inlineStr">
        <is>
          <t>Regional gas utility</t>
        </is>
      </c>
      <c r="J33" s="10" t="inlineStr">
        <is>
          <t>Search regulator/PRS</t>
        </is>
      </c>
    </row>
    <row r="34">
      <c r="A34" s="10" t="inlineStr">
        <is>
          <t>Tier 3</t>
        </is>
      </c>
      <c r="B34" s="10" t="inlineStr">
        <is>
          <t>Rajasthan State Gas</t>
        </is>
      </c>
      <c r="C34" s="10" t="inlineStr">
        <is>
          <t>CGD JV</t>
        </is>
      </c>
      <c r="D34" s="10" t="inlineStr">
        <is>
          <t>https://rsgl.rajasthan.gov.in</t>
        </is>
      </c>
      <c r="E34" s="10" t="inlineStr">
        <is>
          <t>https://rsgl.rajasthan.gov.in/tenders</t>
        </is>
      </c>
      <c r="F34" s="10" t="inlineStr">
        <is>
          <t>https://rsgl.rajasthan.gov.in/tenders</t>
        </is>
      </c>
      <c r="G34" s="10" t="inlineStr">
        <is>
          <t>To verify</t>
        </is>
      </c>
      <c r="H34" s="10" t="inlineStr">
        <is>
          <t>Medium</t>
        </is>
      </c>
      <c r="I34" s="10" t="inlineStr">
        <is>
          <t>Regional CGD player</t>
        </is>
      </c>
      <c r="J34" s="10" t="inlineStr">
        <is>
          <t>Search tenders</t>
        </is>
      </c>
    </row>
    <row r="35">
      <c r="A35" s="10" t="inlineStr">
        <is>
          <t>Tier 3</t>
        </is>
      </c>
      <c r="B35" s="10" t="inlineStr">
        <is>
          <t>Naveriya Gas</t>
        </is>
      </c>
      <c r="C35" s="10" t="inlineStr">
        <is>
          <t>CGD operator</t>
        </is>
      </c>
      <c r="D35" s="10" t="inlineStr">
        <is>
          <t>https://naveriyagas.com</t>
        </is>
      </c>
      <c r="E35" s="10" t="inlineStr">
        <is>
          <t>https://naveriyagas.com/tenders</t>
        </is>
      </c>
      <c r="F35" s="10" t="inlineStr">
        <is>
          <t>https://naveriyagas.com/tenders</t>
        </is>
      </c>
      <c r="G35" s="10" t="inlineStr">
        <is>
          <t>To verify</t>
        </is>
      </c>
      <c r="H35" s="10" t="inlineStr">
        <is>
          <t>Low</t>
        </is>
      </c>
      <c r="I35" s="10" t="inlineStr">
        <is>
          <t>PNGRB listed entity</t>
        </is>
      </c>
      <c r="J35" s="10" t="inlineStr">
        <is>
          <t>Verify website/contacts</t>
        </is>
      </c>
    </row>
    <row r="36">
      <c r="A36" s="10" t="inlineStr">
        <is>
          <t>Tier 3</t>
        </is>
      </c>
      <c r="B36" s="10" t="inlineStr">
        <is>
          <t>BGRL / BGR Energy CGD</t>
        </is>
      </c>
      <c r="C36" s="10" t="inlineStr">
        <is>
          <t>CGD entity/contractor</t>
        </is>
      </c>
      <c r="D36" s="10" t="inlineStr">
        <is>
          <t>https://www.bgrcorp.com</t>
        </is>
      </c>
      <c r="E36" s="10" t="inlineStr">
        <is>
          <t>https://www.bgrcorp.com</t>
        </is>
      </c>
      <c r="F36" s="10" t="inlineStr">
        <is>
          <t>https://www.bgrcorp.com</t>
        </is>
      </c>
      <c r="G36" s="10" t="inlineStr">
        <is>
          <t>To verify</t>
        </is>
      </c>
      <c r="H36" s="10" t="inlineStr">
        <is>
          <t>Low</t>
        </is>
      </c>
      <c r="I36" s="10" t="inlineStr">
        <is>
          <t>May be project/GA entity</t>
        </is>
      </c>
      <c r="J36" s="10" t="inlineStr">
        <is>
          <t>Verify relevance</t>
        </is>
      </c>
    </row>
    <row r="37">
      <c r="A37" s="10" t="inlineStr">
        <is>
          <t>Tier 3</t>
        </is>
      </c>
      <c r="B37" s="10" t="inlineStr">
        <is>
          <t>Aavantika Gas / similar spelling check</t>
        </is>
      </c>
      <c r="C37" s="10" t="inlineStr">
        <is>
          <t>CGD operator</t>
        </is>
      </c>
      <c r="D37" s="10" t="inlineStr">
        <is>
          <t>https://www.aglonline.net</t>
        </is>
      </c>
      <c r="E37" s="10" t="inlineStr">
        <is>
          <t>https://www.aglonline.net/tender</t>
        </is>
      </c>
      <c r="F37" s="10" t="inlineStr">
        <is>
          <t>https://www.aglonline.net/tender</t>
        </is>
      </c>
      <c r="G37" s="10" t="inlineStr">
        <is>
          <t>To verify</t>
        </is>
      </c>
      <c r="H37" s="10" t="inlineStr">
        <is>
          <t>Medium</t>
        </is>
      </c>
      <c r="I37" s="10" t="inlineStr">
        <is>
          <t>Duplicate spelling check of Avantika Gas</t>
        </is>
      </c>
      <c r="J37" s="10" t="inlineStr">
        <is>
          <t>Normalize later</t>
        </is>
      </c>
    </row>
    <row r="38">
      <c r="A38" s="10" t="inlineStr">
        <is>
          <t>Tier 3</t>
        </is>
      </c>
      <c r="B38" s="10" t="inlineStr">
        <is>
          <t>Vadodara Gas Limited</t>
        </is>
      </c>
      <c r="C38" s="10" t="inlineStr">
        <is>
          <t>CGD operator</t>
        </is>
      </c>
      <c r="D38" s="10" t="inlineStr">
        <is>
          <t>https://www.vgl.co.in</t>
        </is>
      </c>
      <c r="E38" s="10" t="inlineStr">
        <is>
          <t>https://www.vgl.co.in/tenders/</t>
        </is>
      </c>
      <c r="F38" s="10" t="inlineStr">
        <is>
          <t>https://www.vgl.co.in/tenders/</t>
        </is>
      </c>
      <c r="G38" s="10" t="inlineStr">
        <is>
          <t>Tender PDFs open</t>
        </is>
      </c>
      <c r="H38" s="10" t="inlineStr">
        <is>
          <t>High</t>
        </is>
      </c>
      <c r="I38" s="10" t="inlineStr">
        <is>
          <t>Known 50,000 domestic regulator tender source</t>
        </is>
      </c>
      <c r="J38" s="10" t="inlineStr">
        <is>
          <t>Search P066/23-24 etc.</t>
        </is>
      </c>
    </row>
    <row r="39">
      <c r="A39" s="10" t="inlineStr">
        <is>
          <t>Tier 3</t>
        </is>
      </c>
      <c r="B39" s="10" t="inlineStr">
        <is>
          <t>Rajasthan Rajya Gas / Local CGD</t>
        </is>
      </c>
      <c r="C39" s="10" t="inlineStr">
        <is>
          <t>CGD related</t>
        </is>
      </c>
      <c r="D39" s="10" t="inlineStr">
        <is>
          <t>https://rsgl.rajasthan.gov.in</t>
        </is>
      </c>
      <c r="E39" s="10" t="inlineStr">
        <is>
          <t>https://rsgl.rajasthan.gov.in/tenders</t>
        </is>
      </c>
      <c r="F39" s="10" t="inlineStr">
        <is>
          <t>https://rsgl.rajasthan.gov.in/tenders</t>
        </is>
      </c>
      <c r="G39" s="10" t="inlineStr">
        <is>
          <t>To verify</t>
        </is>
      </c>
      <c r="H39" s="10" t="inlineStr">
        <is>
          <t>Low</t>
        </is>
      </c>
      <c r="I39" s="10" t="inlineStr">
        <is>
          <t>Consolidate with RSGL</t>
        </is>
      </c>
      <c r="J39" s="10" t="inlineStr">
        <is>
          <t>Verify entity name</t>
        </is>
      </c>
    </row>
    <row r="40">
      <c r="A40" s="10" t="inlineStr">
        <is>
          <t>Tier 3</t>
        </is>
      </c>
      <c r="B40" s="10" t="inlineStr">
        <is>
          <t>Aegis Gas / Aegis Logistics</t>
        </is>
      </c>
      <c r="C40" s="10" t="inlineStr">
        <is>
          <t>LPG/gas; possible procurement</t>
        </is>
      </c>
      <c r="D40" s="10" t="inlineStr">
        <is>
          <t>https://www.aegisindia.com</t>
        </is>
      </c>
      <c r="E40" s="10" t="inlineStr">
        <is>
          <t>https://www.aegisindia.com</t>
        </is>
      </c>
      <c r="F40" s="10" t="inlineStr">
        <is>
          <t>https://www.aegisindia.com</t>
        </is>
      </c>
      <c r="G40" s="10" t="inlineStr">
        <is>
          <t>To verify</t>
        </is>
      </c>
      <c r="H40" s="10" t="inlineStr">
        <is>
          <t>Low</t>
        </is>
      </c>
      <c r="I40" s="10" t="inlineStr">
        <is>
          <t>Not core CGD; optional distributor/procurement</t>
        </is>
      </c>
      <c r="J40" s="10" t="inlineStr">
        <is>
          <t>Use only for equipment leads</t>
        </is>
      </c>
    </row>
    <row r="41">
      <c r="A41" s="10" t="inlineStr">
        <is>
          <t>Tier 3</t>
        </is>
      </c>
      <c r="B41" s="10" t="inlineStr">
        <is>
          <t>Oil India Limited CGD JV</t>
        </is>
      </c>
      <c r="C41" s="10" t="inlineStr">
        <is>
          <t>PSU/JV partner</t>
        </is>
      </c>
      <c r="D41" s="10" t="inlineStr">
        <is>
          <t>https://www.oil-india.com</t>
        </is>
      </c>
      <c r="E41" s="10" t="inlineStr">
        <is>
          <t>https://www.oil-india.com/tender</t>
        </is>
      </c>
      <c r="F41" s="10" t="inlineStr">
        <is>
          <t>https://www.oil-india.com/tender</t>
        </is>
      </c>
      <c r="G41" s="10" t="inlineStr">
        <is>
          <t>CPPP/OIL portal</t>
        </is>
      </c>
      <c r="H41" s="10" t="inlineStr">
        <is>
          <t>Medium</t>
        </is>
      </c>
      <c r="I41" s="10" t="inlineStr">
        <is>
          <t>JV with BPCL in Arunachal reported</t>
        </is>
      </c>
      <c r="J41" s="10" t="inlineStr">
        <is>
          <t>Search CGD procurement</t>
        </is>
      </c>
    </row>
    <row r="42">
      <c r="A42" s="10" t="inlineStr">
        <is>
          <t>Tier 3</t>
        </is>
      </c>
      <c r="B42" s="10" t="inlineStr">
        <is>
          <t>Reliance BP Mobility / Jio-bp gas related</t>
        </is>
      </c>
      <c r="C42" s="10" t="inlineStr">
        <is>
          <t>Energy retailer; not core CGD</t>
        </is>
      </c>
      <c r="D42" s="10" t="inlineStr">
        <is>
          <t>https://www.jiobp.com</t>
        </is>
      </c>
      <c r="E42" s="10" t="inlineStr">
        <is>
          <t>https://www.jiobp.com</t>
        </is>
      </c>
      <c r="F42" s="10" t="inlineStr">
        <is>
          <t>https://www.jiobp.com</t>
        </is>
      </c>
      <c r="G42" s="10" t="inlineStr">
        <is>
          <t>To verify</t>
        </is>
      </c>
      <c r="H42" s="10" t="inlineStr">
        <is>
          <t>Low</t>
        </is>
      </c>
      <c r="I42" s="10" t="inlineStr">
        <is>
          <t>Potential gas retail/CNG assets; not DSO benchmark</t>
        </is>
      </c>
      <c r="J42" s="10" t="inlineStr">
        <is>
          <t>Optional</t>
        </is>
      </c>
    </row>
    <row r="43">
      <c r="A43" s="10" t="inlineStr">
        <is>
          <t>Tier 3</t>
        </is>
      </c>
      <c r="B43" s="10" t="inlineStr">
        <is>
          <t>MECON Limited</t>
        </is>
      </c>
      <c r="C43" s="10" t="inlineStr">
        <is>
          <t>Engineering consultant</t>
        </is>
      </c>
      <c r="D43" s="10" t="inlineStr">
        <is>
          <t>https://www.meconlimited.co.in</t>
        </is>
      </c>
      <c r="E43" s="10" t="inlineStr">
        <is>
          <t>https://www.meconlimited.co.in/tenders</t>
        </is>
      </c>
      <c r="F43" s="10" t="inlineStr">
        <is>
          <t>https://www.meconlimited.co.in/tenders</t>
        </is>
      </c>
      <c r="G43" s="10" t="inlineStr">
        <is>
          <t>CPPP/MECON portal</t>
        </is>
      </c>
      <c r="H43" s="10" t="inlineStr">
        <is>
          <t>High</t>
        </is>
      </c>
      <c r="I43" s="10" t="inlineStr">
        <is>
          <t>EPCM/PMC technical specs for gas projects</t>
        </is>
      </c>
      <c r="J43" s="10" t="inlineStr">
        <is>
          <t>Use for spec intelligence</t>
        </is>
      </c>
    </row>
    <row r="44">
      <c r="A44" s="10" t="inlineStr">
        <is>
          <t>Tier 3</t>
        </is>
      </c>
      <c r="B44" s="10" t="inlineStr">
        <is>
          <t>Engineers India Limited (EIL)</t>
        </is>
      </c>
      <c r="C44" s="10" t="inlineStr">
        <is>
          <t>EPCM/PMC consultant</t>
        </is>
      </c>
      <c r="D44" s="10" t="inlineStr">
        <is>
          <t>https://engineersindia.com</t>
        </is>
      </c>
      <c r="E44" s="10" t="inlineStr">
        <is>
          <t>https://engineersindia.com/tenders/</t>
        </is>
      </c>
      <c r="F44" s="10" t="inlineStr">
        <is>
          <t>https://engineersindia.com/tenders/</t>
        </is>
      </c>
      <c r="G44" s="10" t="inlineStr">
        <is>
          <t>EIL portal/CPPP</t>
        </is>
      </c>
      <c r="H44" s="10" t="inlineStr">
        <is>
          <t>High</t>
        </is>
      </c>
      <c r="I44" s="10" t="inlineStr">
        <is>
          <t>PMC/spec maker for gas infrastructure</t>
        </is>
      </c>
      <c r="J44" s="10" t="inlineStr">
        <is>
          <t>Search PRS/MRS/CGS</t>
        </is>
      </c>
    </row>
    <row r="45">
      <c r="A45" s="10" t="inlineStr">
        <is>
          <t>Tier 3</t>
        </is>
      </c>
      <c r="B45" s="10" t="inlineStr">
        <is>
          <t>L&amp;T Hydrocarbon / L&amp;T Energy</t>
        </is>
      </c>
      <c r="C45" s="10" t="inlineStr">
        <is>
          <t>EPC contractor</t>
        </is>
      </c>
      <c r="D45" s="10" t="inlineStr">
        <is>
          <t>https://www.larsentoubro.com</t>
        </is>
      </c>
      <c r="E45" s="10" t="inlineStr">
        <is>
          <t>https://www.larsentoubro.com/corporate/suppliers/</t>
        </is>
      </c>
      <c r="F45" s="10" t="inlineStr">
        <is>
          <t>https://www.larsentoubro.com/corporate/suppliers/</t>
        </is>
      </c>
      <c r="G45" s="10" t="inlineStr">
        <is>
          <t>Supplier registration</t>
        </is>
      </c>
      <c r="H45" s="10" t="inlineStr">
        <is>
          <t>Medium</t>
        </is>
      </c>
      <c r="I45" s="10" t="inlineStr">
        <is>
          <t>EPC vendor route</t>
        </is>
      </c>
      <c r="J45" s="10" t="inlineStr">
        <is>
          <t>Not buyer; strategic channel</t>
        </is>
      </c>
    </row>
    <row r="46">
      <c r="A46" s="10" t="inlineStr">
        <is>
          <t>Tier 3</t>
        </is>
      </c>
      <c r="B46" s="10" t="inlineStr">
        <is>
          <t>Kalpataru Projects International</t>
        </is>
      </c>
      <c r="C46" s="10" t="inlineStr">
        <is>
          <t>Pipeline EPC</t>
        </is>
      </c>
      <c r="D46" s="10" t="inlineStr">
        <is>
          <t>https://www.kalpataruprojects.com</t>
        </is>
      </c>
      <c r="E46" s="10" t="inlineStr">
        <is>
          <t>https://www.kalpataruprojects.com/suppliers</t>
        </is>
      </c>
      <c r="F46" s="10" t="inlineStr">
        <is>
          <t>https://www.kalpataruprojects.com/suppliers</t>
        </is>
      </c>
      <c r="G46" s="10" t="inlineStr">
        <is>
          <t>Supplier route</t>
        </is>
      </c>
      <c r="H46" s="10" t="inlineStr">
        <is>
          <t>Medium</t>
        </is>
      </c>
      <c r="I46" s="10" t="inlineStr">
        <is>
          <t>Pipeline EPC channel</t>
        </is>
      </c>
      <c r="J46" s="10" t="inlineStr">
        <is>
          <t>Optional for PRS/RMS equipment</t>
        </is>
      </c>
    </row>
    <row r="47">
      <c r="A47" s="10" t="inlineStr">
        <is>
          <t>Tier 3</t>
        </is>
      </c>
      <c r="B47" s="10" t="inlineStr">
        <is>
          <t>Dinesh Engineers / DEL</t>
        </is>
      </c>
      <c r="C47" s="10" t="inlineStr">
        <is>
          <t>Pipeline contractor</t>
        </is>
      </c>
      <c r="D47" s="10" t="inlineStr">
        <is>
          <t>https://www.dineshengineers.com</t>
        </is>
      </c>
      <c r="E47" s="10" t="inlineStr">
        <is>
          <t>https://www.dineshengineers.com</t>
        </is>
      </c>
      <c r="F47" s="10" t="inlineStr">
        <is>
          <t>https://www.dineshengineers.com</t>
        </is>
      </c>
      <c r="G47" s="10" t="inlineStr">
        <is>
          <t>To verify</t>
        </is>
      </c>
      <c r="H47" s="10" t="inlineStr">
        <is>
          <t>Medium</t>
        </is>
      </c>
      <c r="I47" s="10" t="inlineStr">
        <is>
          <t>Gasonet consortium source mentions Dinesh Engineers</t>
        </is>
      </c>
      <c r="J47" s="10" t="inlineStr">
        <is>
          <t>EPC/subcontractor route</t>
        </is>
      </c>
    </row>
    <row r="48">
      <c r="A48" s="10" t="inlineStr">
        <is>
          <t>Tier 3</t>
        </is>
      </c>
      <c r="B48" s="10" t="inlineStr">
        <is>
          <t>Resonance Energy</t>
        </is>
      </c>
      <c r="C48" s="10" t="inlineStr">
        <is>
          <t>Gas infra EPC/consortium</t>
        </is>
      </c>
      <c r="D48" s="10" t="inlineStr">
        <is>
          <t>https://resonanceenergy.in</t>
        </is>
      </c>
      <c r="E48" s="10" t="inlineStr">
        <is>
          <t>https://resonanceenergy.in</t>
        </is>
      </c>
      <c r="F48" s="10" t="inlineStr">
        <is>
          <t>https://resonanceenergy.in</t>
        </is>
      </c>
      <c r="G48" s="10" t="inlineStr">
        <is>
          <t>To verify</t>
        </is>
      </c>
      <c r="H48" s="10" t="inlineStr">
        <is>
          <t>Medium</t>
        </is>
      </c>
      <c r="I48" s="10" t="inlineStr">
        <is>
          <t>Gasonet consortium source mentions Resonance Energy</t>
        </is>
      </c>
      <c r="J48" s="10" t="inlineStr">
        <is>
          <t>EPC/subcontractor route</t>
        </is>
      </c>
    </row>
    <row r="49">
      <c r="A49" s="10" t="inlineStr">
        <is>
          <t>Tier 3</t>
        </is>
      </c>
      <c r="B49" s="10" t="inlineStr">
        <is>
          <t>Tolani Projects</t>
        </is>
      </c>
      <c r="C49" s="10" t="inlineStr">
        <is>
          <t>Project contractor</t>
        </is>
      </c>
      <c r="D49" s="10" t="inlineStr">
        <is>
          <t>https://tolaniprojects.com</t>
        </is>
      </c>
      <c r="E49" s="10" t="inlineStr">
        <is>
          <t>https://tolaniprojects.com</t>
        </is>
      </c>
      <c r="F49" s="10" t="inlineStr">
        <is>
          <t>https://tolaniprojects.com</t>
        </is>
      </c>
      <c r="G49" s="10" t="inlineStr">
        <is>
          <t>To verify</t>
        </is>
      </c>
      <c r="H49" s="10" t="inlineStr">
        <is>
          <t>Low</t>
        </is>
      </c>
      <c r="I49" s="10" t="inlineStr">
        <is>
          <t>Gasonet consortium source mentions Tolani Projects</t>
        </is>
      </c>
      <c r="J49" s="10" t="inlineStr">
        <is>
          <t>Verify</t>
        </is>
      </c>
    </row>
    <row r="50">
      <c r="A50" s="10" t="inlineStr">
        <is>
          <t>Tier 3</t>
        </is>
      </c>
      <c r="B50" s="10" t="inlineStr">
        <is>
          <t>GeM Portal</t>
        </is>
      </c>
      <c r="C50" s="10" t="inlineStr">
        <is>
          <t>Government procurement marketplace</t>
        </is>
      </c>
      <c r="D50" s="10" t="inlineStr">
        <is>
          <t>https://gem.gov.in</t>
        </is>
      </c>
      <c r="E50" s="10" t="inlineStr">
        <is>
          <t>https://gem.gov.in</t>
        </is>
      </c>
      <c r="F50" s="10" t="inlineStr">
        <is>
          <t>https://gem.gov.in</t>
        </is>
      </c>
      <c r="G50" s="10" t="inlineStr">
        <is>
          <t>Registration required</t>
        </is>
      </c>
      <c r="H50" s="10" t="inlineStr">
        <is>
          <t>High</t>
        </is>
      </c>
      <c r="I50" s="10" t="inlineStr">
        <is>
          <t>GAIL Gas regulator GeM specs appeared in search results</t>
        </is>
      </c>
      <c r="J50" s="10" t="inlineStr">
        <is>
          <t>Search GeM specs / bid docs</t>
        </is>
      </c>
    </row>
    <row r="51">
      <c r="A51" s="10" t="inlineStr">
        <is>
          <t>Tier 3</t>
        </is>
      </c>
      <c r="B51" s="10" t="inlineStr">
        <is>
          <t>CPPP / eProcure</t>
        </is>
      </c>
      <c r="C51" s="10" t="inlineStr">
        <is>
          <t>Central portal</t>
        </is>
      </c>
      <c r="D51" s="10" t="inlineStr">
        <is>
          <t>https://www.etenders.gov.in/eprocure/app</t>
        </is>
      </c>
      <c r="E51" s="10" t="inlineStr">
        <is>
          <t>https://www.etenders.gov.in/eprocure/app</t>
        </is>
      </c>
      <c r="F51" s="10" t="inlineStr">
        <is>
          <t>https://www.etenders.gov.in/eprocure/app</t>
        </is>
      </c>
      <c r="G51" s="10" t="inlineStr">
        <is>
          <t>DSC required for bids; search open</t>
        </is>
      </c>
      <c r="H51" s="10" t="inlineStr">
        <is>
          <t>High</t>
        </is>
      </c>
      <c r="I51" s="10" t="inlineStr">
        <is>
          <t>Central Govt eProcurement system</t>
        </is>
      </c>
      <c r="J51" s="10" t="inlineStr">
        <is>
          <t>Archive search for PSU/MNGL</t>
        </is>
      </c>
    </row>
    <row r="52">
      <c r="A52" s="10" t="inlineStr">
        <is>
          <t>Tier 3</t>
        </is>
      </c>
      <c r="B52" s="10" t="inlineStr">
        <is>
          <t>nProcure</t>
        </is>
      </c>
      <c r="C52" s="10" t="inlineStr">
        <is>
          <t>Gujarat e-procurement</t>
        </is>
      </c>
      <c r="D52" s="10" t="inlineStr">
        <is>
          <t>https://www.nprocure.com</t>
        </is>
      </c>
      <c r="E52" s="10" t="inlineStr">
        <is>
          <t>https://www.nprocure.com</t>
        </is>
      </c>
      <c r="F52" s="10" t="inlineStr">
        <is>
          <t>https://www.nprocure.com</t>
        </is>
      </c>
      <c r="G52" s="10" t="inlineStr">
        <is>
          <t>Registration/DSC likely</t>
        </is>
      </c>
      <c r="H52" s="10" t="inlineStr">
        <is>
          <t>High</t>
        </is>
      </c>
      <c r="I52" s="10" t="inlineStr">
        <is>
          <t>Gujarat Gas uses nProcure</t>
        </is>
      </c>
      <c r="J52" s="10" t="inlineStr">
        <is>
          <t>Monitor GGL</t>
        </is>
      </c>
    </row>
    <row r="53">
      <c r="A53" s="10" t="inlineStr">
        <is>
          <t>Tier 3</t>
        </is>
      </c>
      <c r="B53" s="10" t="inlineStr">
        <is>
          <t>TenderWizard / eProcurement Technologies</t>
        </is>
      </c>
      <c r="C53" s="10" t="inlineStr">
        <is>
          <t>Tender platform</t>
        </is>
      </c>
      <c r="D53" s="10" t="inlineStr">
        <is>
          <t>https://www.tenderwizard.com</t>
        </is>
      </c>
      <c r="E53" s="10" t="inlineStr">
        <is>
          <t>https://www.tenderwizard.com</t>
        </is>
      </c>
      <c r="F53" s="10" t="inlineStr">
        <is>
          <t>https://www.tenderwizard.com</t>
        </is>
      </c>
      <c r="G53" s="10" t="inlineStr">
        <is>
          <t>Registration/DSC</t>
        </is>
      </c>
      <c r="H53" s="10" t="inlineStr">
        <is>
          <t>Medium</t>
        </is>
      </c>
      <c r="I53" s="10" t="inlineStr">
        <is>
          <t>Some utilities use eProcurement vendors</t>
        </is>
      </c>
      <c r="J53" s="10" t="inlineStr">
        <is>
          <t>Use as portal family</t>
        </is>
      </c>
    </row>
    <row r="54">
      <c r="A54" s="10" t="inlineStr">
        <is>
          <t>Tier 3</t>
        </is>
      </c>
      <c r="B54" s="10" t="inlineStr">
        <is>
          <t>SAP Ariba Discovery</t>
        </is>
      </c>
      <c r="C54" s="10" t="inlineStr">
        <is>
          <t>Enterprise procurement</t>
        </is>
      </c>
      <c r="D54" s="10" t="inlineStr">
        <is>
          <t>https://www.ariba.com</t>
        </is>
      </c>
      <c r="E54" s="10" t="inlineStr">
        <is>
          <t>https://service.ariba.com</t>
        </is>
      </c>
      <c r="F54" s="10" t="inlineStr">
        <is>
          <t>https://discovery.ariba.com</t>
        </is>
      </c>
      <c r="G54" s="10" t="inlineStr">
        <is>
          <t>Registration</t>
        </is>
      </c>
      <c r="H54" s="10" t="inlineStr">
        <is>
          <t>Medium</t>
        </is>
      </c>
      <c r="I54" s="10" t="inlineStr">
        <is>
          <t>Many private/large utilities use Ariba-like RFx</t>
        </is>
      </c>
      <c r="J54" s="10" t="inlineStr">
        <is>
          <t>Track when cited in documents</t>
        </is>
      </c>
    </row>
  </sheetData>
  <conditionalFormatting sqref="H4:H100">
    <cfRule type="expression" priority="1" dxfId="0">
      <formula>H4="High"</formula>
    </cfRule>
    <cfRule type="expression" priority="2" dxfId="1">
      <formula>H4="Medium"</formula>
    </cfRule>
    <cfRule type="expression" priority="3" dxfId="2">
      <formula>H4="Low"</formula>
    </cfRule>
  </conditionalFormatting>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2" customWidth="1" min="1" max="1"/>
    <col width="24" customWidth="1" min="2" max="2"/>
    <col width="36" customWidth="1" min="3" max="3"/>
    <col width="36" customWidth="1" min="4" max="4"/>
  </cols>
  <sheetData>
    <row r="1" ht="24" customHeight="1">
      <c r="A1" s="5" t="inlineStr">
        <is>
          <t>02 Search Keywords</t>
        </is>
      </c>
    </row>
    <row r="3" ht="30" customHeight="1">
      <c r="A3" s="15" t="inlineStr">
        <is>
          <t>Segment</t>
        </is>
      </c>
      <c r="B3" s="15" t="inlineStr">
        <is>
          <t>Keyword</t>
        </is>
      </c>
      <c r="C3" s="15" t="inlineStr">
        <is>
          <t>Meaning / Use</t>
        </is>
      </c>
      <c r="D3" s="15" t="inlineStr">
        <is>
          <t>Notes</t>
        </is>
      </c>
    </row>
    <row r="4">
      <c r="A4" s="10" t="inlineStr">
        <is>
          <t>Domestic regulator</t>
        </is>
      </c>
      <c r="B4" s="10" t="inlineStr">
        <is>
          <t>domestic regulator</t>
        </is>
      </c>
      <c r="C4" s="10" t="inlineStr">
        <is>
          <t>Domestic PNG, 100 mbar to 21 mbar</t>
        </is>
      </c>
      <c r="D4" s="10" t="inlineStr">
        <is>
          <t>Use on all portals</t>
        </is>
      </c>
    </row>
    <row r="5">
      <c r="A5" s="10" t="inlineStr">
        <is>
          <t>Service regulator</t>
        </is>
      </c>
      <c r="B5" s="10" t="inlineStr">
        <is>
          <t>service regulator</t>
        </is>
      </c>
      <c r="C5" s="10" t="inlineStr">
        <is>
          <t>10/25/50/100 SCMH customer regulator</t>
        </is>
      </c>
      <c r="D5" s="10" t="inlineStr">
        <is>
          <t>High value vs domestic</t>
        </is>
      </c>
    </row>
    <row r="6">
      <c r="A6" s="10" t="inlineStr">
        <is>
          <t>Commercial regulator</t>
        </is>
      </c>
      <c r="B6" s="10" t="inlineStr">
        <is>
          <t>commercial regulator</t>
        </is>
      </c>
      <c r="C6" s="10" t="inlineStr">
        <is>
          <t>C&amp;I customer regulators</t>
        </is>
      </c>
      <c r="D6" s="10" t="inlineStr">
        <is>
          <t>Search C&amp;I too</t>
        </is>
      </c>
    </row>
    <row r="7">
      <c r="A7" s="10" t="inlineStr">
        <is>
          <t>Industrial regulator</t>
        </is>
      </c>
      <c r="B7" s="10" t="inlineStr">
        <is>
          <t>industrial regulator</t>
        </is>
      </c>
      <c r="C7" s="10" t="inlineStr">
        <is>
          <t>Industrial customer skid/regulator</t>
        </is>
      </c>
      <c r="D7" s="10" t="inlineStr">
        <is>
          <t>High margin</t>
        </is>
      </c>
    </row>
    <row r="8">
      <c r="A8" s="10" t="inlineStr">
        <is>
          <t>Meter regulator</t>
        </is>
      </c>
      <c r="B8" s="10" t="inlineStr">
        <is>
          <t>meter regulator</t>
        </is>
      </c>
      <c r="C8" s="10" t="inlineStr">
        <is>
          <t>Regulator with meter / meter regulator</t>
        </is>
      </c>
      <c r="D8" s="10" t="inlineStr">
        <is>
          <t>Often bundled</t>
        </is>
      </c>
    </row>
    <row r="9">
      <c r="A9" s="10" t="inlineStr">
        <is>
          <t>Pressure regulator</t>
        </is>
      </c>
      <c r="B9" s="10" t="inlineStr">
        <is>
          <t>pressure regulator</t>
        </is>
      </c>
      <c r="C9" s="10" t="inlineStr">
        <is>
          <t>Generic keyword</t>
        </is>
      </c>
      <c r="D9" s="10" t="inlineStr">
        <is>
          <t>Broad search</t>
        </is>
      </c>
    </row>
    <row r="10">
      <c r="A10" s="10" t="inlineStr">
        <is>
          <t>Gas pressure regulator</t>
        </is>
      </c>
      <c r="B10" s="10" t="inlineStr">
        <is>
          <t>gas pressure regulator</t>
        </is>
      </c>
      <c r="C10" s="10" t="inlineStr">
        <is>
          <t>Specific keyword</t>
        </is>
      </c>
      <c r="D10" s="10" t="inlineStr">
        <is>
          <t>Good for CPPP</t>
        </is>
      </c>
    </row>
    <row r="11">
      <c r="A11" s="10" t="inlineStr">
        <is>
          <t>Regulator skid</t>
        </is>
      </c>
      <c r="B11" s="10" t="inlineStr">
        <is>
          <t>regulator skid</t>
        </is>
      </c>
      <c r="C11" s="10" t="inlineStr">
        <is>
          <t>Skid/package system</t>
        </is>
      </c>
      <c r="D11" s="10" t="inlineStr">
        <is>
          <t>High value</t>
        </is>
      </c>
    </row>
    <row r="12">
      <c r="A12" s="10" t="inlineStr">
        <is>
          <t>Metering skid</t>
        </is>
      </c>
      <c r="B12" s="10" t="inlineStr">
        <is>
          <t>metering skid</t>
        </is>
      </c>
      <c r="C12" s="10" t="inlineStr">
        <is>
          <t>Metering skid / RPD / turbine</t>
        </is>
      </c>
      <c r="D12" s="10" t="inlineStr">
        <is>
          <t>Comparable equipment</t>
        </is>
      </c>
    </row>
    <row r="13">
      <c r="A13" s="10" t="inlineStr">
        <is>
          <t>MRS</t>
        </is>
      </c>
      <c r="B13" s="10" t="inlineStr">
        <is>
          <t>MRS</t>
        </is>
      </c>
      <c r="C13" s="10" t="inlineStr">
        <is>
          <t>Metering &amp; regulating station</t>
        </is>
      </c>
      <c r="D13" s="10" t="inlineStr">
        <is>
          <t>Search acronym and full form</t>
        </is>
      </c>
    </row>
    <row r="14">
      <c r="A14" s="10" t="inlineStr">
        <is>
          <t>DRS</t>
        </is>
      </c>
      <c r="B14" s="10" t="inlineStr">
        <is>
          <t>DRS</t>
        </is>
      </c>
      <c r="C14" s="10" t="inlineStr">
        <is>
          <t>District regulating station</t>
        </is>
      </c>
      <c r="D14" s="10" t="inlineStr">
        <is>
          <t>Search acronym and full form</t>
        </is>
      </c>
    </row>
    <row r="15">
      <c r="A15" s="10" t="inlineStr">
        <is>
          <t>FRS</t>
        </is>
      </c>
      <c r="B15" s="10" t="inlineStr">
        <is>
          <t>FRS</t>
        </is>
      </c>
      <c r="C15" s="10" t="inlineStr">
        <is>
          <t>Field regulating station</t>
        </is>
      </c>
      <c r="D15" s="10" t="inlineStr">
        <is>
          <t>IGL/MGL use this</t>
        </is>
      </c>
    </row>
    <row r="16">
      <c r="A16" s="10" t="inlineStr">
        <is>
          <t>PRS</t>
        </is>
      </c>
      <c r="B16" s="10" t="inlineStr">
        <is>
          <t>PRS</t>
        </is>
      </c>
      <c r="C16" s="10" t="inlineStr">
        <is>
          <t>Pressure reducing station</t>
        </is>
      </c>
      <c r="D16" s="10" t="inlineStr">
        <is>
          <t>PRS/package</t>
        </is>
      </c>
    </row>
    <row r="17">
      <c r="A17" s="10" t="inlineStr">
        <is>
          <t>CGS</t>
        </is>
      </c>
      <c r="B17" s="10" t="inlineStr">
        <is>
          <t>CGS</t>
        </is>
      </c>
      <c r="C17" s="10" t="inlineStr">
        <is>
          <t>City Gate Station</t>
        </is>
      </c>
      <c r="D17" s="10" t="inlineStr">
        <is>
          <t>City gate / CGS</t>
        </is>
      </c>
    </row>
    <row r="18">
      <c r="A18" s="10" t="inlineStr">
        <is>
          <t>City Gate</t>
        </is>
      </c>
      <c r="B18" s="10" t="inlineStr">
        <is>
          <t>city gate</t>
        </is>
      </c>
      <c r="C18" s="10" t="inlineStr">
        <is>
          <t>Transmission to distribution entry point</t>
        </is>
      </c>
      <c r="D18" s="10" t="inlineStr">
        <is>
          <t>High pressure projects</t>
        </is>
      </c>
    </row>
    <row r="19">
      <c r="A19" s="10" t="inlineStr">
        <is>
          <t>Slam shut</t>
        </is>
      </c>
      <c r="B19" s="10" t="inlineStr">
        <is>
          <t>slam shut</t>
        </is>
      </c>
      <c r="C19" s="10" t="inlineStr">
        <is>
          <t>SSV/OPSO safety valve</t>
        </is>
      </c>
      <c r="D19" s="10" t="inlineStr">
        <is>
          <t>Can be component tender</t>
        </is>
      </c>
    </row>
    <row r="20">
      <c r="A20" s="10" t="inlineStr">
        <is>
          <t>SSV</t>
        </is>
      </c>
      <c r="B20" s="10" t="inlineStr">
        <is>
          <t>SSV</t>
        </is>
      </c>
      <c r="C20" s="10" t="inlineStr">
        <is>
          <t>Slam shut valve</t>
        </is>
      </c>
      <c r="D20" s="10" t="inlineStr">
        <is>
          <t>Search with regulator</t>
        </is>
      </c>
    </row>
    <row r="21">
      <c r="A21" s="10" t="inlineStr">
        <is>
          <t>Monitor regulator</t>
        </is>
      </c>
      <c r="B21" s="10" t="inlineStr">
        <is>
          <t>monitor regulator</t>
        </is>
      </c>
      <c r="C21" s="10" t="inlineStr">
        <is>
          <t>Active/monitor configuration</t>
        </is>
      </c>
      <c r="D21" s="10" t="inlineStr">
        <is>
          <t>High spec</t>
        </is>
      </c>
    </row>
    <row r="22">
      <c r="A22" s="10" t="inlineStr">
        <is>
          <t>Relief valve</t>
        </is>
      </c>
      <c r="B22" s="10" t="inlineStr">
        <is>
          <t>relief valve</t>
        </is>
      </c>
      <c r="C22" s="10" t="inlineStr">
        <is>
          <t>SRV/relief included in specs</t>
        </is>
      </c>
      <c r="D22" s="10" t="inlineStr">
        <is>
          <t>Component search</t>
        </is>
      </c>
    </row>
    <row r="23">
      <c r="A23" s="10" t="inlineStr">
        <is>
          <t>Gas train</t>
        </is>
      </c>
      <c r="B23" s="10" t="inlineStr">
        <is>
          <t>gas train</t>
        </is>
      </c>
      <c r="C23" s="10" t="inlineStr">
        <is>
          <t>Industrial/commercial train</t>
        </is>
      </c>
      <c r="D23" s="10" t="inlineStr">
        <is>
          <t>Broader</t>
        </is>
      </c>
    </row>
    <row r="24">
      <c r="A24" s="10" t="inlineStr">
        <is>
          <t>Governor</t>
        </is>
      </c>
      <c r="B24" s="10" t="inlineStr">
        <is>
          <t>governor</t>
        </is>
      </c>
      <c r="C24" s="10" t="inlineStr">
        <is>
          <t>Older term for regulator</t>
        </is>
      </c>
      <c r="D24" s="10" t="inlineStr">
        <is>
          <t>Some Indian docs use it</t>
        </is>
      </c>
    </row>
    <row r="25">
      <c r="A25" s="10" t="inlineStr">
        <is>
          <t>RMS</t>
        </is>
      </c>
      <c r="B25" s="10" t="inlineStr">
        <is>
          <t>RMS</t>
        </is>
      </c>
      <c r="C25" s="10" t="inlineStr">
        <is>
          <t>Regulating and metering station</t>
        </is>
      </c>
      <c r="D25" s="10" t="inlineStr">
        <is>
          <t>High value</t>
        </is>
      </c>
    </row>
    <row r="26">
      <c r="A26" s="10" t="inlineStr">
        <is>
          <t>PNG regulator</t>
        </is>
      </c>
      <c r="B26" s="10" t="inlineStr">
        <is>
          <t>PNG regulator</t>
        </is>
      </c>
      <c r="C26" s="10" t="inlineStr">
        <is>
          <t>Domestic/commercial PNG</t>
        </is>
      </c>
      <c r="D26" s="10" t="inlineStr">
        <is>
          <t>Use on CGD sites</t>
        </is>
      </c>
    </row>
    <row r="27">
      <c r="A27" s="10" t="inlineStr">
        <is>
          <t>CNG regulator</t>
        </is>
      </c>
      <c r="B27" s="10" t="inlineStr">
        <is>
          <t>CNG regulator</t>
        </is>
      </c>
      <c r="C27" s="10" t="inlineStr">
        <is>
          <t>CNG station/vehicle side often irrelevant</t>
        </is>
      </c>
      <c r="D27" s="10" t="inlineStr">
        <is>
          <t>Filter carefully</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4" customWidth="1" min="1" max="1"/>
    <col width="34" customWidth="1" min="2" max="2"/>
    <col width="36" customWidth="1" min="3" max="3"/>
    <col width="36" customWidth="1" min="4" max="4"/>
    <col width="40" customWidth="1" min="5" max="5"/>
  </cols>
  <sheetData>
    <row r="1" ht="24" customHeight="1">
      <c r="A1" s="5" t="inlineStr">
        <is>
          <t>03 How To Search</t>
        </is>
      </c>
    </row>
    <row r="3" ht="30" customHeight="1">
      <c r="A3" s="15" t="inlineStr">
        <is>
          <t>Portal</t>
        </is>
      </c>
      <c r="B3" s="15" t="inlineStr">
        <is>
          <t>Step 1</t>
        </is>
      </c>
      <c r="C3" s="15" t="inlineStr">
        <is>
          <t>Step 2</t>
        </is>
      </c>
      <c r="D3" s="15" t="inlineStr">
        <is>
          <t>Step 3</t>
        </is>
      </c>
      <c r="E3" s="15" t="inlineStr">
        <is>
          <t>What to Save</t>
        </is>
      </c>
    </row>
    <row r="4">
      <c r="A4" s="10" t="inlineStr">
        <is>
          <t>CPPP / etenders.gov.in</t>
        </is>
      </c>
      <c r="B4" s="10" t="inlineStr">
        <is>
          <t>Use Tenders in Archive first</t>
        </is>
      </c>
      <c r="C4" s="10" t="inlineStr">
        <is>
          <t>Organisation = GAIL / GAIL Gas / MNGL / IOCL / BPCL / HPCL / EIL / MECON</t>
        </is>
      </c>
      <c r="D4" s="10" t="inlineStr">
        <is>
          <t>Search each keyword separately</t>
        </is>
      </c>
      <c r="E4" s="10" t="inlineStr">
        <is>
          <t>Download NIT, Technical Volume, Price BOQ if open, AOC/LOA</t>
        </is>
      </c>
    </row>
    <row r="5">
      <c r="A5" s="10" t="inlineStr">
        <is>
          <t>GAIL Tenders</t>
        </is>
      </c>
      <c r="B5" s="10" t="inlineStr">
        <is>
          <t>Use tender/AOC pages</t>
        </is>
      </c>
      <c r="C5" s="10" t="inlineStr">
        <is>
          <t>Search file names and award folders</t>
        </is>
      </c>
      <c r="D5" s="10" t="inlineStr">
        <is>
          <t>Try LOA/FOA/AOC PDF links</t>
        </is>
      </c>
      <c r="E5" s="10" t="inlineStr">
        <is>
          <t>Record tender no, LOA no, awarded vendor, item quantities</t>
        </is>
      </c>
    </row>
    <row r="6">
      <c r="A6" s="10" t="inlineStr">
        <is>
          <t>GAIL Gas</t>
        </is>
      </c>
      <c r="B6" s="10" t="inlineStr">
        <is>
          <t>Vendor Zone / GeM references</t>
        </is>
      </c>
      <c r="C6" s="10" t="inlineStr">
        <is>
          <t>Search portal and Google with site:gailgas.com regulator</t>
        </is>
      </c>
      <c r="D6" s="10" t="inlineStr">
        <is>
          <t>Download GeM specification PDFs</t>
        </is>
      </c>
      <c r="E6" s="10" t="inlineStr">
        <is>
          <t>Record GeM bid no if present</t>
        </is>
      </c>
    </row>
    <row r="7">
      <c r="A7" s="10" t="inlineStr">
        <is>
          <t>IGL</t>
        </is>
      </c>
      <c r="B7" s="10" t="inlineStr">
        <is>
          <t>Tender list and archive</t>
        </is>
      </c>
      <c r="C7" s="10" t="inlineStr">
        <is>
          <t>Search FRS/MRS/regulator/C&amp;I</t>
        </is>
      </c>
      <c r="D7" s="10" t="inlineStr">
        <is>
          <t>Vendor registration may be needed</t>
        </is>
      </c>
      <c r="E7" s="10" t="inlineStr">
        <is>
          <t>Download active and corrigendum docs</t>
        </is>
      </c>
    </row>
    <row r="8">
      <c r="A8" s="10" t="inlineStr">
        <is>
          <t>Gujarat Gas</t>
        </is>
      </c>
      <c r="B8" s="10" t="inlineStr">
        <is>
          <t>GGL tenders page points to nProcure</t>
        </is>
      </c>
      <c r="C8" s="10" t="inlineStr">
        <is>
          <t>Use nProcure open tenders/archive</t>
        </is>
      </c>
      <c r="D8" s="10" t="inlineStr">
        <is>
          <t>Registration/DSC likely</t>
        </is>
      </c>
      <c r="E8" s="10" t="inlineStr">
        <is>
          <t>Record nProcure tender ID</t>
        </is>
      </c>
    </row>
    <row r="9">
      <c r="A9" s="10" t="inlineStr">
        <is>
          <t>Torrent Gas</t>
        </is>
      </c>
      <c r="B9" s="10" t="inlineStr">
        <is>
          <t>Vendor page and procurement email</t>
        </is>
      </c>
      <c r="C9" s="10" t="inlineStr">
        <is>
          <t>Search tender/category list</t>
        </is>
      </c>
      <c r="D9" s="10" t="inlineStr">
        <is>
          <t>Email procurement if docs hidden</t>
        </is>
      </c>
      <c r="E9" s="10" t="inlineStr">
        <is>
          <t>Record response status</t>
        </is>
      </c>
    </row>
    <row r="10">
      <c r="A10" s="10" t="inlineStr">
        <is>
          <t>Adani Total Gas</t>
        </is>
      </c>
      <c r="B10" s="10" t="inlineStr">
        <is>
          <t>Commercials page</t>
        </is>
      </c>
      <c r="C10" s="10" t="inlineStr">
        <is>
          <t>Open Vendor Registration / Tender / EOI</t>
        </is>
      </c>
      <c r="D10" s="10" t="inlineStr">
        <is>
          <t>Category list can reveal procurement category</t>
        </is>
      </c>
      <c r="E10" s="10" t="inlineStr">
        <is>
          <t>Monitor steel pipeline and O&amp;M projects</t>
        </is>
      </c>
    </row>
    <row r="11">
      <c r="A11" s="10" t="inlineStr">
        <is>
          <t>MNGL</t>
        </is>
      </c>
      <c r="B11" s="10" t="inlineStr">
        <is>
          <t>Active tenders + CPPP</t>
        </is>
      </c>
      <c r="C11" s="10" t="inlineStr">
        <is>
          <t>Search regulator archive on CPPP</t>
        </is>
      </c>
      <c r="D11" s="10" t="inlineStr">
        <is>
          <t>DSC required for participation</t>
        </is>
      </c>
      <c r="E11" s="10" t="inlineStr">
        <is>
          <t>Good price benchmark source</t>
        </is>
      </c>
    </row>
    <row r="12">
      <c r="A12" s="10" t="inlineStr">
        <is>
          <t>Gasonet</t>
        </is>
      </c>
      <c r="B12" s="10" t="inlineStr">
        <is>
          <t>Official tenders page</t>
        </is>
      </c>
      <c r="C12" s="10" t="inlineStr">
        <is>
          <t>PDF docs often public</t>
        </is>
      </c>
      <c r="D12" s="10" t="inlineStr">
        <is>
          <t>Use quantities from BOQ/SOR</t>
        </is>
      </c>
      <c r="E12" s="10" t="inlineStr">
        <is>
          <t>Good service/domestic regulator benchmark</t>
        </is>
      </c>
    </row>
    <row r="13">
      <c r="A13" s="10" t="inlineStr">
        <is>
          <t>GeM</t>
        </is>
      </c>
      <c r="B13" s="10" t="inlineStr">
        <is>
          <t>Search by buyer / bid no</t>
        </is>
      </c>
      <c r="C13" s="10" t="inlineStr">
        <is>
          <t>Look for domestic/service regulator specs</t>
        </is>
      </c>
      <c r="D13" s="10" t="inlineStr">
        <is>
          <t>Prices often closed, specs useful</t>
        </is>
      </c>
      <c r="E13" s="10" t="inlineStr">
        <is>
          <t>Record GeM bid link and product specs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2735"/>
  <sheetViews>
    <sheetView workbookViewId="0">
      <selection activeCell="A1" sqref="A1"/>
    </sheetView>
  </sheetViews>
  <sheetFormatPr baseColWidth="8" defaultRowHeight="15"/>
  <cols>
    <col width="12" customWidth="1" min="1" max="1"/>
    <col width="20" customWidth="1" min="2" max="2"/>
    <col width="18" customWidth="1" min="3" max="3"/>
    <col width="24" customWidth="1" min="4" max="4"/>
    <col width="14" customWidth="1" min="5" max="5"/>
    <col width="14" customWidth="1" min="6" max="6"/>
    <col width="20" customWidth="1" min="7" max="7"/>
    <col width="36" customWidth="1" min="8" max="8"/>
    <col width="10" customWidth="1" min="9" max="9"/>
    <col width="10" customWidth="1" min="10" max="10"/>
    <col width="22" customWidth="1" min="11" max="11"/>
    <col width="18" customWidth="1" min="12" max="12"/>
    <col width="16" customWidth="1" min="13" max="13"/>
    <col width="14" customWidth="1" min="14" max="14"/>
    <col width="16" customWidth="1" min="15" max="15"/>
    <col width="12" customWidth="1" min="16" max="16"/>
    <col width="14" customWidth="1" min="17" max="17"/>
    <col width="15" customWidth="1" min="18" max="18"/>
    <col width="16" customWidth="1" min="19" max="19"/>
    <col width="40" customWidth="1" min="20" max="20"/>
    <col width="12" customWidth="1" min="21" max="21"/>
    <col width="36" customWidth="1" min="22" max="22"/>
  </cols>
  <sheetData>
    <row r="1" ht="24" customHeight="1">
      <c r="A1" s="5" t="inlineStr">
        <is>
          <t>04 Tender Register</t>
        </is>
      </c>
    </row>
    <row r="3" ht="30" customHeight="1">
      <c r="A3" s="15" t="inlineStr">
        <is>
          <t>Tender ID</t>
        </is>
      </c>
      <c r="B3" s="15" t="inlineStr">
        <is>
          <t>Company</t>
        </is>
      </c>
      <c r="C3" s="15" t="inlineStr">
        <is>
          <t>Portal</t>
        </is>
      </c>
      <c r="D3" s="15" t="inlineStr">
        <is>
          <t>Tender Ref</t>
        </is>
      </c>
      <c r="E3" s="15" t="inlineStr">
        <is>
          <t>Tender Date</t>
        </is>
      </c>
      <c r="F3" s="15" t="inlineStr">
        <is>
          <t>Status</t>
        </is>
      </c>
      <c r="G3" s="15" t="inlineStr">
        <is>
          <t>Product Segment</t>
        </is>
      </c>
      <c r="H3" s="15" t="inlineStr">
        <is>
          <t>Product Description</t>
        </is>
      </c>
      <c r="I3" s="15" t="inlineStr">
        <is>
          <t>Qty</t>
        </is>
      </c>
      <c r="J3" s="15" t="inlineStr">
        <is>
          <t>UOM</t>
        </is>
      </c>
      <c r="K3" s="15" t="inlineStr">
        <is>
          <t>Winner</t>
        </is>
      </c>
      <c r="L3" s="15" t="inlineStr">
        <is>
          <t>Brand</t>
        </is>
      </c>
      <c r="M3" s="15" t="inlineStr">
        <is>
          <t>Total INR Basic</t>
        </is>
      </c>
      <c r="N3" s="15" t="inlineStr">
        <is>
          <t>GST INR</t>
        </is>
      </c>
      <c r="O3" s="15" t="inlineStr">
        <is>
          <t>Total INR Incl GST</t>
        </is>
      </c>
      <c r="P3" s="15" t="inlineStr">
        <is>
          <t>FX INR/EUR</t>
        </is>
      </c>
      <c r="Q3" s="15" t="inlineStr">
        <is>
          <t>Total EUR</t>
        </is>
      </c>
      <c r="R3" s="15" t="inlineStr">
        <is>
          <t>Unit EUR Basic</t>
        </is>
      </c>
      <c r="S3" s="15" t="inlineStr">
        <is>
          <t>Unit EUR Incl GST</t>
        </is>
      </c>
      <c r="T3" s="15" t="inlineStr">
        <is>
          <t>Source URL</t>
        </is>
      </c>
      <c r="U3" s="15" t="inlineStr">
        <is>
          <t>PDF Saved?</t>
        </is>
      </c>
      <c r="V3" s="15" t="inlineStr">
        <is>
          <t>Notes</t>
        </is>
      </c>
    </row>
    <row r="4">
      <c r="A4" s="10" t="inlineStr">
        <is>
          <t>T-0001</t>
        </is>
      </c>
      <c r="B4" s="10" t="inlineStr">
        <is>
          <t>GAIL India</t>
        </is>
      </c>
      <c r="C4" s="10" t="inlineStr">
        <is>
          <t>GAIL Tenders</t>
        </is>
      </c>
      <c r="D4" s="10" t="inlineStr">
        <is>
          <t>LOA 20250806_102439</t>
        </is>
      </c>
      <c r="E4" s="43" t="inlineStr">
        <is>
          <t>2025-06-11</t>
        </is>
      </c>
      <c r="F4" s="10" t="inlineStr">
        <is>
          <t>Awarded</t>
        </is>
      </c>
      <c r="G4" s="10" t="inlineStr">
        <is>
          <t>Metering skid</t>
        </is>
      </c>
      <c r="H4" s="10" t="inlineStr">
        <is>
          <t>RPD metering skid / KG Basin</t>
        </is>
      </c>
      <c r="I4" s="10" t="n">
        <v>3</v>
      </c>
      <c r="J4" s="10" t="inlineStr">
        <is>
          <t>set/stream</t>
        </is>
      </c>
      <c r="K4" s="10" t="inlineStr">
        <is>
          <t>Kimpex Flow Pvt. Ltd.</t>
        </is>
      </c>
      <c r="L4" s="10" t="inlineStr">
        <is>
          <t>Unknown</t>
        </is>
      </c>
      <c r="M4" s="44" t="n">
        <v>3000222</v>
      </c>
      <c r="N4" s="44" t="n">
        <v>540039.96</v>
      </c>
      <c r="O4" s="44" t="n">
        <v>3540261.96</v>
      </c>
      <c r="P4" s="44" t="n">
        <v>106.75</v>
      </c>
      <c r="Q4" s="44">
        <f>O4/P4</f>
        <v/>
      </c>
      <c r="R4" s="44">
        <f>M4/I4/P4</f>
        <v/>
      </c>
      <c r="S4" s="44">
        <f>O4/I4/P4</f>
        <v/>
      </c>
      <c r="T4" s="10" t="inlineStr">
        <is>
          <t>https://gailtenders.in/Gailtenders/writereaddata/AOC/loa_20250806_102439.pdf</t>
        </is>
      </c>
      <c r="U4" s="10" t="inlineStr">
        <is>
          <t>Yes</t>
        </is>
      </c>
      <c r="V4" s="10" t="inlineStr">
        <is>
          <t>Existing tracker source</t>
        </is>
      </c>
    </row>
    <row r="5">
      <c r="A5" s="10" t="inlineStr">
        <is>
          <t>T-0002</t>
        </is>
      </c>
      <c r="B5" s="10" t="inlineStr">
        <is>
          <t>GAIL India</t>
        </is>
      </c>
      <c r="C5" s="10" t="inlineStr">
        <is>
          <t>GAIL Tenders</t>
        </is>
      </c>
      <c r="D5" s="10" t="inlineStr">
        <is>
          <t>FOA 20231230_102206</t>
        </is>
      </c>
      <c r="E5" s="43" t="inlineStr">
        <is>
          <t>2023-12-30</t>
        </is>
      </c>
      <c r="F5" s="10" t="inlineStr">
        <is>
          <t>Awarded</t>
        </is>
      </c>
      <c r="G5" s="10" t="inlineStr">
        <is>
          <t>Gas meters</t>
        </is>
      </c>
      <c r="H5" s="10" t="inlineStr">
        <is>
          <t>Commercial/Domestic gas meters</t>
        </is>
      </c>
      <c r="I5" s="10" t="n"/>
      <c r="J5" s="10" t="inlineStr">
        <is>
          <t>nos</t>
        </is>
      </c>
      <c r="K5" s="10" t="inlineStr">
        <is>
          <t>Kimpex / Raychem</t>
        </is>
      </c>
      <c r="L5" s="10" t="inlineStr">
        <is>
          <t>Unknown</t>
        </is>
      </c>
      <c r="M5" s="44" t="n"/>
      <c r="N5" s="44" t="n"/>
      <c r="O5" s="44" t="n"/>
      <c r="P5" s="44" t="n">
        <v>106.75</v>
      </c>
      <c r="Q5" s="44">
        <f>IFERROR(O5/P5,"")</f>
        <v/>
      </c>
      <c r="R5" s="44">
        <f>IFERROR(M5/I5/P5,"")</f>
        <v/>
      </c>
      <c r="S5" s="44">
        <f>IFERROR(O5/I5/P5,"")</f>
        <v/>
      </c>
      <c r="T5" s="10" t="inlineStr">
        <is>
          <t>https://gailtenders.in/Gailtenders/writereaddata/AOC/foa_20231230_102206.pdf</t>
        </is>
      </c>
      <c r="U5" s="10" t="inlineStr">
        <is>
          <t>Yes</t>
        </is>
      </c>
      <c r="V5" s="10" t="inlineStr">
        <is>
          <t>Meter benchmark, not regulator</t>
        </is>
      </c>
    </row>
    <row r="6">
      <c r="A6" s="10" t="inlineStr">
        <is>
          <t>T-0003</t>
        </is>
      </c>
      <c r="B6" s="10" t="inlineStr">
        <is>
          <t>Gasonet</t>
        </is>
      </c>
      <c r="C6" s="10" t="inlineStr">
        <is>
          <t>Gasonet Tenders</t>
        </is>
      </c>
      <c r="D6" s="10" t="inlineStr">
        <is>
          <t>GASONET/C&amp;P-GSL/REGULATOR-/2023-24/014</t>
        </is>
      </c>
      <c r="E6" s="43" t="inlineStr">
        <is>
          <t>2024-03-10</t>
        </is>
      </c>
      <c r="F6" s="10" t="inlineStr">
        <is>
          <t>Docs Found</t>
        </is>
      </c>
      <c r="G6" s="10" t="inlineStr">
        <is>
          <t>Domestic + Service Regulator</t>
        </is>
      </c>
      <c r="H6" s="10" t="inlineStr">
        <is>
          <t>Domestic regulators and service regulators</t>
        </is>
      </c>
      <c r="I6" s="10" t="n">
        <v>938</v>
      </c>
      <c r="J6" s="10" t="inlineStr">
        <is>
          <t>mixed</t>
        </is>
      </c>
      <c r="K6" s="10" t="inlineStr">
        <is>
          <t>Not found</t>
        </is>
      </c>
      <c r="L6" s="10" t="inlineStr">
        <is>
          <t>Unknown</t>
        </is>
      </c>
      <c r="M6" s="44" t="n"/>
      <c r="N6" s="44" t="n"/>
      <c r="O6" s="44" t="n"/>
      <c r="P6" s="44" t="n">
        <v>106.75</v>
      </c>
      <c r="Q6" s="44">
        <f>IFERROR(O6/P6,"")</f>
        <v/>
      </c>
      <c r="R6" s="44">
        <f>IFERROR(M6/I6/P6,"")</f>
        <v/>
      </c>
      <c r="S6" s="44">
        <f>IFERROR(O6/I6/P6,"")</f>
        <v/>
      </c>
      <c r="T6" s="10" t="inlineStr">
        <is>
          <t>https://www.gasonet.in/files/Tender-%20Domestic%20Service%20Regulator.pdf</t>
        </is>
      </c>
      <c r="U6" s="10" t="inlineStr">
        <is>
          <t>Yes</t>
        </is>
      </c>
      <c r="V6" s="10" t="inlineStr">
        <is>
          <t>Qty mix: 800 domestic, 8 service, others? extract details</t>
        </is>
      </c>
    </row>
    <row r="7">
      <c r="A7" s="10" t="inlineStr">
        <is>
          <t>T-0004</t>
        </is>
      </c>
      <c r="B7" s="10" t="inlineStr">
        <is>
          <t>Vadodara Gas</t>
        </is>
      </c>
      <c r="C7" s="10" t="inlineStr">
        <is>
          <t>VGL Tenders</t>
        </is>
      </c>
      <c r="D7" s="10" t="inlineStr">
        <is>
          <t>P066/23-24</t>
        </is>
      </c>
      <c r="E7" s="43" t="inlineStr">
        <is>
          <t>2025-01-01</t>
        </is>
      </c>
      <c r="F7" s="10" t="inlineStr">
        <is>
          <t>Awarded</t>
        </is>
      </c>
      <c r="G7" s="10" t="inlineStr">
        <is>
          <t>Domestic Regulator</t>
        </is>
      </c>
      <c r="H7" s="10" t="inlineStr">
        <is>
          <t>Domestic gas regulator</t>
        </is>
      </c>
      <c r="I7" s="10" t="n">
        <v>50000</v>
      </c>
      <c r="J7" s="10" t="inlineStr">
        <is>
          <t>nos</t>
        </is>
      </c>
      <c r="K7" s="10" t="inlineStr">
        <is>
          <t>Not found</t>
        </is>
      </c>
      <c r="L7" s="10" t="inlineStr">
        <is>
          <t>Unknown</t>
        </is>
      </c>
      <c r="M7" s="44" t="n"/>
      <c r="N7" s="44" t="n"/>
      <c r="O7" s="44" t="n"/>
      <c r="P7" s="44" t="n">
        <v>106.75</v>
      </c>
      <c r="Q7" s="44">
        <f>IFERROR(O7/P7,"")</f>
        <v/>
      </c>
      <c r="R7" s="44">
        <f>IFERROR(M7/I7/P7,"")</f>
        <v/>
      </c>
      <c r="S7" s="44">
        <f>IFERROR(O7/I7/P7,"")</f>
        <v/>
      </c>
      <c r="T7" s="10" t="inlineStr">
        <is>
          <t>https://www.vgl.co.in/wp-content/uploads/2025/pdf/Replies-to-Bidders-Domestic-Regulator-P066-23-24-Additional.pdf</t>
        </is>
      </c>
      <c r="U7" s="10" t="inlineStr">
        <is>
          <t>Yes</t>
        </is>
      </c>
      <c r="V7" s="10" t="inlineStr">
        <is>
          <t>Known quantity; price not found | Bot enrich; date=2026-07-01; type=pdf; score=230; Bot tespit/zenginlestirme (2026-07-01); meta:score=100;priority=High;source_type=html_link;closing_date=None;equipment=Domestic regulator;reasons=equipment:Domestic regulator,target regulator keyword,document source,quantity signal,tender reference signal; Bot clean extraction (2026-07-01); meta:score=100;priority=High;source_type=html_link;closing_date=None;equipment=Domestic gas regulator;quality_status=market_target;market_relevance=High;document_type=po_work_order;unit_price_inr=;amount_label=;matched_terms=Domestic gas regulator;reject_reasons=employment/corporate;scope=market_intelligence_only;excluded_scope=no_bid_or_offer_submission_automation</t>
        </is>
      </c>
    </row>
    <row r="8">
      <c r="E8" s="45" t="n"/>
      <c r="M8" s="46" t="n"/>
      <c r="N8" s="46" t="n"/>
      <c r="O8" s="46" t="n"/>
      <c r="P8" s="46" t="n"/>
      <c r="Q8" s="46" t="n"/>
      <c r="R8" s="46" t="n"/>
      <c r="S8" s="46" t="n"/>
    </row>
    <row r="9">
      <c r="E9" s="45" t="n"/>
      <c r="M9" s="46" t="n"/>
      <c r="N9" s="46" t="n"/>
      <c r="O9" s="46" t="n"/>
      <c r="P9" s="46" t="n"/>
      <c r="Q9" s="46" t="n"/>
      <c r="R9" s="46" t="n"/>
      <c r="S9" s="46" t="n"/>
    </row>
    <row r="10">
      <c r="E10" s="45" t="n"/>
      <c r="M10" s="46" t="n"/>
      <c r="N10" s="46" t="n"/>
      <c r="O10" s="46" t="n"/>
      <c r="P10" s="46" t="n"/>
      <c r="Q10" s="46" t="n"/>
      <c r="R10" s="46" t="n"/>
      <c r="S10" s="46" t="n"/>
    </row>
    <row r="11">
      <c r="E11" s="45" t="n"/>
      <c r="M11" s="46" t="n"/>
      <c r="N11" s="46" t="n"/>
      <c r="O11" s="46" t="n"/>
      <c r="P11" s="46" t="n"/>
      <c r="Q11" s="46" t="n"/>
      <c r="R11" s="46" t="n"/>
      <c r="S11" s="46" t="n"/>
    </row>
    <row r="12">
      <c r="E12" s="45" t="n"/>
      <c r="M12" s="46" t="n"/>
      <c r="N12" s="46" t="n"/>
      <c r="O12" s="46" t="n"/>
      <c r="P12" s="46" t="n"/>
      <c r="Q12" s="46" t="n"/>
      <c r="R12" s="46" t="n"/>
      <c r="S12" s="46" t="n"/>
    </row>
    <row r="13">
      <c r="E13" s="45" t="n"/>
      <c r="M13" s="46" t="n"/>
      <c r="N13" s="46" t="n"/>
      <c r="O13" s="46" t="n"/>
      <c r="P13" s="46" t="n"/>
      <c r="Q13" s="46" t="n"/>
      <c r="R13" s="46" t="n"/>
      <c r="S13" s="46" t="n"/>
    </row>
    <row r="14">
      <c r="E14" s="45" t="n"/>
      <c r="M14" s="46" t="n"/>
      <c r="N14" s="46" t="n"/>
      <c r="O14" s="46" t="n"/>
      <c r="P14" s="46" t="n"/>
      <c r="Q14" s="46" t="n"/>
      <c r="R14" s="46" t="n"/>
      <c r="S14" s="46" t="n"/>
    </row>
    <row r="15">
      <c r="E15" s="45" t="n"/>
      <c r="M15" s="46" t="n"/>
      <c r="N15" s="46" t="n"/>
      <c r="O15" s="46" t="n"/>
      <c r="P15" s="46" t="n"/>
      <c r="Q15" s="46" t="n"/>
      <c r="R15" s="46" t="n"/>
      <c r="S15" s="46" t="n"/>
    </row>
    <row r="16">
      <c r="E16" s="45" t="n"/>
      <c r="M16" s="46" t="n"/>
      <c r="N16" s="46" t="n"/>
      <c r="O16" s="46" t="n"/>
      <c r="P16" s="46" t="n"/>
      <c r="Q16" s="46" t="n"/>
      <c r="R16" s="46" t="n"/>
      <c r="S16" s="46" t="n"/>
    </row>
    <row r="17">
      <c r="E17" s="45" t="n"/>
      <c r="M17" s="46" t="n"/>
      <c r="N17" s="46" t="n"/>
      <c r="O17" s="46" t="n"/>
      <c r="P17" s="46" t="n"/>
      <c r="Q17" s="46" t="n"/>
      <c r="R17" s="46" t="n"/>
      <c r="S17" s="46" t="n"/>
    </row>
    <row r="18">
      <c r="E18" s="45" t="n"/>
      <c r="M18" s="46" t="n"/>
      <c r="N18" s="46" t="n"/>
      <c r="O18" s="46" t="n"/>
      <c r="P18" s="46" t="n"/>
      <c r="Q18" s="46" t="n"/>
      <c r="R18" s="46" t="n"/>
      <c r="S18" s="46" t="n"/>
    </row>
    <row r="19">
      <c r="E19" s="45" t="n"/>
      <c r="M19" s="46" t="n"/>
      <c r="N19" s="46" t="n"/>
      <c r="O19" s="46" t="n"/>
      <c r="P19" s="46" t="n"/>
      <c r="Q19" s="46" t="n"/>
      <c r="R19" s="46" t="n"/>
      <c r="S19" s="46" t="n"/>
    </row>
    <row r="20">
      <c r="E20" s="45" t="n"/>
      <c r="M20" s="46" t="n"/>
      <c r="N20" s="46" t="n"/>
      <c r="O20" s="46" t="n"/>
      <c r="P20" s="46" t="n"/>
      <c r="Q20" s="46" t="n"/>
      <c r="R20" s="46" t="n"/>
      <c r="S20" s="46" t="n"/>
    </row>
    <row r="21">
      <c r="E21" s="45" t="n"/>
      <c r="M21" s="46" t="n"/>
      <c r="N21" s="46" t="n"/>
      <c r="O21" s="46" t="n"/>
      <c r="P21" s="46" t="n"/>
      <c r="Q21" s="46" t="n"/>
      <c r="R21" s="46" t="n"/>
      <c r="S21" s="46" t="n"/>
    </row>
    <row r="22">
      <c r="E22" s="45" t="n"/>
      <c r="M22" s="46" t="n"/>
      <c r="N22" s="46" t="n"/>
      <c r="O22" s="46" t="n"/>
      <c r="P22" s="46" t="n"/>
      <c r="Q22" s="46" t="n"/>
      <c r="R22" s="46" t="n"/>
      <c r="S22" s="46" t="n"/>
    </row>
    <row r="23">
      <c r="E23" s="45" t="n"/>
      <c r="M23" s="46" t="n"/>
      <c r="N23" s="46" t="n"/>
      <c r="O23" s="46" t="n"/>
      <c r="P23" s="46" t="n"/>
      <c r="Q23" s="46" t="n"/>
      <c r="R23" s="46" t="n"/>
      <c r="S23" s="46" t="n"/>
    </row>
    <row r="24">
      <c r="E24" s="45" t="n"/>
      <c r="M24" s="46" t="n"/>
      <c r="N24" s="46" t="n"/>
      <c r="O24" s="46" t="n"/>
      <c r="P24" s="46" t="n"/>
      <c r="Q24" s="46" t="n"/>
      <c r="R24" s="46" t="n"/>
      <c r="S24" s="46" t="n"/>
    </row>
    <row r="25">
      <c r="E25" s="45" t="n"/>
      <c r="M25" s="46" t="n"/>
      <c r="N25" s="46" t="n"/>
      <c r="O25" s="46" t="n"/>
      <c r="P25" s="46" t="n"/>
      <c r="Q25" s="46" t="n"/>
      <c r="R25" s="46" t="n"/>
      <c r="S25" s="46" t="n"/>
    </row>
    <row r="26">
      <c r="E26" s="45" t="n"/>
      <c r="M26" s="46" t="n"/>
      <c r="N26" s="46" t="n"/>
      <c r="O26" s="46" t="n"/>
      <c r="P26" s="46" t="n"/>
      <c r="Q26" s="46" t="n"/>
      <c r="R26" s="46" t="n"/>
      <c r="S26" s="46" t="n"/>
    </row>
    <row r="27">
      <c r="E27" s="45" t="n"/>
      <c r="M27" s="46" t="n"/>
      <c r="N27" s="46" t="n"/>
      <c r="O27" s="46" t="n"/>
      <c r="P27" s="46" t="n"/>
      <c r="Q27" s="46" t="n"/>
      <c r="R27" s="46" t="n"/>
      <c r="S27" s="46" t="n"/>
    </row>
    <row r="28">
      <c r="E28" s="45" t="n"/>
      <c r="M28" s="46" t="n"/>
      <c r="N28" s="46" t="n"/>
      <c r="O28" s="46" t="n"/>
      <c r="P28" s="46" t="n"/>
      <c r="Q28" s="46" t="n"/>
      <c r="R28" s="46" t="n"/>
      <c r="S28" s="46" t="n"/>
    </row>
    <row r="29">
      <c r="E29" s="45" t="n"/>
      <c r="M29" s="46" t="n"/>
      <c r="N29" s="46" t="n"/>
      <c r="O29" s="46" t="n"/>
      <c r="P29" s="46" t="n"/>
      <c r="Q29" s="46" t="n"/>
      <c r="R29" s="46" t="n"/>
      <c r="S29" s="46" t="n"/>
    </row>
    <row r="30">
      <c r="E30" s="45" t="n"/>
      <c r="M30" s="46" t="n"/>
      <c r="N30" s="46" t="n"/>
      <c r="O30" s="46" t="n"/>
      <c r="P30" s="46" t="n"/>
      <c r="Q30" s="46" t="n"/>
      <c r="R30" s="46" t="n"/>
      <c r="S30" s="46" t="n"/>
    </row>
    <row r="31">
      <c r="E31" s="45" t="n"/>
      <c r="M31" s="46" t="n"/>
      <c r="N31" s="46" t="n"/>
      <c r="O31" s="46" t="n"/>
      <c r="P31" s="46" t="n"/>
      <c r="Q31" s="46" t="n"/>
      <c r="R31" s="46" t="n"/>
      <c r="S31" s="46" t="n"/>
    </row>
    <row r="32">
      <c r="E32" s="45" t="n"/>
      <c r="M32" s="46" t="n"/>
      <c r="N32" s="46" t="n"/>
      <c r="O32" s="46" t="n"/>
      <c r="P32" s="46" t="n"/>
      <c r="Q32" s="46" t="n"/>
      <c r="R32" s="46" t="n"/>
      <c r="S32" s="46" t="n"/>
    </row>
    <row r="33">
      <c r="E33" s="45" t="n"/>
      <c r="M33" s="46" t="n"/>
      <c r="N33" s="46" t="n"/>
      <c r="O33" s="46" t="n"/>
      <c r="P33" s="46" t="n"/>
      <c r="Q33" s="46" t="n"/>
      <c r="R33" s="46" t="n"/>
      <c r="S33" s="46" t="n"/>
    </row>
    <row r="34">
      <c r="E34" s="45" t="n"/>
      <c r="M34" s="46" t="n"/>
      <c r="N34" s="46" t="n"/>
      <c r="O34" s="46" t="n"/>
      <c r="P34" s="46" t="n"/>
      <c r="Q34" s="46" t="n"/>
      <c r="R34" s="46" t="n"/>
      <c r="S34" s="46" t="n"/>
    </row>
    <row r="35">
      <c r="E35" s="45" t="n"/>
      <c r="M35" s="46" t="n"/>
      <c r="N35" s="46" t="n"/>
      <c r="O35" s="46" t="n"/>
      <c r="P35" s="46" t="n"/>
      <c r="Q35" s="46" t="n"/>
      <c r="R35" s="46" t="n"/>
      <c r="S35" s="46" t="n"/>
    </row>
    <row r="36">
      <c r="E36" s="45" t="n"/>
      <c r="M36" s="46" t="n"/>
      <c r="N36" s="46" t="n"/>
      <c r="O36" s="46" t="n"/>
      <c r="P36" s="46" t="n"/>
      <c r="Q36" s="46" t="n"/>
      <c r="R36" s="46" t="n"/>
      <c r="S36" s="46" t="n"/>
    </row>
    <row r="37">
      <c r="E37" s="45" t="n"/>
      <c r="M37" s="46" t="n"/>
      <c r="N37" s="46" t="n"/>
      <c r="O37" s="46" t="n"/>
      <c r="P37" s="46" t="n"/>
      <c r="Q37" s="46" t="n"/>
      <c r="R37" s="46" t="n"/>
      <c r="S37" s="46" t="n"/>
    </row>
    <row r="38">
      <c r="E38" s="45" t="n"/>
      <c r="M38" s="46" t="n"/>
      <c r="N38" s="46" t="n"/>
      <c r="O38" s="46" t="n"/>
      <c r="P38" s="46" t="n"/>
      <c r="Q38" s="46" t="n"/>
      <c r="R38" s="46" t="n"/>
      <c r="S38" s="46" t="n"/>
    </row>
    <row r="39">
      <c r="E39" s="45" t="n"/>
      <c r="M39" s="46" t="n"/>
      <c r="N39" s="46" t="n"/>
      <c r="O39" s="46" t="n"/>
      <c r="P39" s="46" t="n"/>
      <c r="Q39" s="46" t="n"/>
      <c r="R39" s="46" t="n"/>
      <c r="S39" s="46" t="n"/>
    </row>
    <row r="40">
      <c r="E40" s="45" t="n"/>
      <c r="M40" s="46" t="n"/>
      <c r="N40" s="46" t="n"/>
      <c r="O40" s="46" t="n"/>
      <c r="P40" s="46" t="n"/>
      <c r="Q40" s="46" t="n"/>
      <c r="R40" s="46" t="n"/>
      <c r="S40" s="46" t="n"/>
    </row>
    <row r="41">
      <c r="E41" s="45" t="n"/>
      <c r="M41" s="46" t="n"/>
      <c r="N41" s="46" t="n"/>
      <c r="O41" s="46" t="n"/>
      <c r="P41" s="46" t="n"/>
      <c r="Q41" s="46" t="n"/>
      <c r="R41" s="46" t="n"/>
      <c r="S41" s="46" t="n"/>
    </row>
    <row r="42">
      <c r="E42" s="45" t="n"/>
      <c r="M42" s="46" t="n"/>
      <c r="N42" s="46" t="n"/>
      <c r="O42" s="46" t="n"/>
      <c r="P42" s="46" t="n"/>
      <c r="Q42" s="46" t="n"/>
      <c r="R42" s="46" t="n"/>
      <c r="S42" s="46" t="n"/>
    </row>
    <row r="43">
      <c r="E43" s="45" t="n"/>
      <c r="M43" s="46" t="n"/>
      <c r="N43" s="46" t="n"/>
      <c r="O43" s="46" t="n"/>
      <c r="P43" s="46" t="n"/>
      <c r="Q43" s="46" t="n"/>
      <c r="R43" s="46" t="n"/>
      <c r="S43" s="46" t="n"/>
    </row>
    <row r="44">
      <c r="E44" s="45" t="n"/>
      <c r="M44" s="46" t="n"/>
      <c r="N44" s="46" t="n"/>
      <c r="O44" s="46" t="n"/>
      <c r="P44" s="46" t="n"/>
      <c r="Q44" s="46" t="n"/>
      <c r="R44" s="46" t="n"/>
      <c r="S44" s="46" t="n"/>
    </row>
    <row r="45">
      <c r="E45" s="45" t="n"/>
      <c r="M45" s="46" t="n"/>
      <c r="N45" s="46" t="n"/>
      <c r="O45" s="46" t="n"/>
      <c r="P45" s="46" t="n"/>
      <c r="Q45" s="46" t="n"/>
      <c r="R45" s="46" t="n"/>
      <c r="S45" s="46" t="n"/>
    </row>
    <row r="46">
      <c r="E46" s="45" t="n"/>
      <c r="M46" s="46" t="n"/>
      <c r="N46" s="46" t="n"/>
      <c r="O46" s="46" t="n"/>
      <c r="P46" s="46" t="n"/>
      <c r="Q46" s="46" t="n"/>
      <c r="R46" s="46" t="n"/>
      <c r="S46" s="46" t="n"/>
    </row>
    <row r="47">
      <c r="E47" s="45" t="n"/>
      <c r="M47" s="46" t="n"/>
      <c r="N47" s="46" t="n"/>
      <c r="O47" s="46" t="n"/>
      <c r="P47" s="46" t="n"/>
      <c r="Q47" s="46" t="n"/>
      <c r="R47" s="46" t="n"/>
      <c r="S47" s="46" t="n"/>
    </row>
    <row r="48">
      <c r="E48" s="45" t="n"/>
      <c r="M48" s="46" t="n"/>
      <c r="N48" s="46" t="n"/>
      <c r="O48" s="46" t="n"/>
      <c r="P48" s="46" t="n"/>
      <c r="Q48" s="46" t="n"/>
      <c r="R48" s="46" t="n"/>
      <c r="S48" s="46" t="n"/>
    </row>
    <row r="49">
      <c r="E49" s="45" t="n"/>
      <c r="M49" s="46" t="n"/>
      <c r="N49" s="46" t="n"/>
      <c r="O49" s="46" t="n"/>
      <c r="P49" s="46" t="n"/>
      <c r="Q49" s="46" t="n"/>
      <c r="R49" s="46" t="n"/>
      <c r="S49" s="46" t="n"/>
    </row>
    <row r="50">
      <c r="E50" s="45" t="n"/>
      <c r="M50" s="46" t="n"/>
      <c r="N50" s="46" t="n"/>
      <c r="O50" s="46" t="n"/>
      <c r="P50" s="46" t="n"/>
      <c r="Q50" s="46" t="n"/>
      <c r="R50" s="46" t="n"/>
      <c r="S50" s="46" t="n"/>
    </row>
    <row r="51">
      <c r="E51" s="45" t="n"/>
      <c r="M51" s="46" t="n"/>
      <c r="N51" s="46" t="n"/>
      <c r="O51" s="46" t="n"/>
      <c r="P51" s="46" t="n"/>
      <c r="Q51" s="46" t="n"/>
      <c r="R51" s="46" t="n"/>
      <c r="S51" s="46" t="n"/>
    </row>
    <row r="52">
      <c r="E52" s="45" t="n"/>
      <c r="M52" s="46" t="n"/>
      <c r="N52" s="46" t="n"/>
      <c r="O52" s="46" t="n"/>
      <c r="P52" s="46" t="n"/>
      <c r="Q52" s="46" t="n"/>
      <c r="R52" s="46" t="n"/>
      <c r="S52" s="46" t="n"/>
    </row>
    <row r="53">
      <c r="E53" s="45" t="n"/>
      <c r="M53" s="46" t="n"/>
      <c r="N53" s="46" t="n"/>
      <c r="O53" s="46" t="n"/>
      <c r="P53" s="46" t="n"/>
      <c r="Q53" s="46" t="n"/>
      <c r="R53" s="46" t="n"/>
      <c r="S53" s="46" t="n"/>
    </row>
    <row r="54">
      <c r="E54" s="45" t="n"/>
      <c r="M54" s="46" t="n"/>
      <c r="N54" s="46" t="n"/>
      <c r="O54" s="46" t="n"/>
      <c r="P54" s="46" t="n"/>
      <c r="Q54" s="46" t="n"/>
      <c r="R54" s="46" t="n"/>
      <c r="S54" s="46" t="n"/>
    </row>
    <row r="55">
      <c r="E55" s="45" t="n"/>
      <c r="M55" s="46" t="n"/>
      <c r="N55" s="46" t="n"/>
      <c r="O55" s="46" t="n"/>
      <c r="P55" s="46" t="n"/>
      <c r="Q55" s="46" t="n"/>
      <c r="R55" s="46" t="n"/>
      <c r="S55" s="46" t="n"/>
    </row>
    <row r="56">
      <c r="E56" s="45" t="n"/>
      <c r="M56" s="46" t="n"/>
      <c r="N56" s="46" t="n"/>
      <c r="O56" s="46" t="n"/>
      <c r="P56" s="46" t="n"/>
      <c r="Q56" s="46" t="n"/>
      <c r="R56" s="46" t="n"/>
      <c r="S56" s="46" t="n"/>
    </row>
    <row r="57">
      <c r="E57" s="45" t="n"/>
      <c r="M57" s="46" t="n"/>
      <c r="N57" s="46" t="n"/>
      <c r="O57" s="46" t="n"/>
      <c r="P57" s="46" t="n"/>
      <c r="Q57" s="46" t="n"/>
      <c r="R57" s="46" t="n"/>
      <c r="S57" s="46" t="n"/>
    </row>
    <row r="58">
      <c r="E58" s="45" t="n"/>
      <c r="M58" s="46" t="n"/>
      <c r="N58" s="46" t="n"/>
      <c r="O58" s="46" t="n"/>
      <c r="P58" s="46" t="n"/>
      <c r="Q58" s="46" t="n"/>
      <c r="R58" s="46" t="n"/>
      <c r="S58" s="46" t="n"/>
    </row>
    <row r="59">
      <c r="E59" s="45" t="n"/>
      <c r="M59" s="46" t="n"/>
      <c r="N59" s="46" t="n"/>
      <c r="O59" s="46" t="n"/>
      <c r="P59" s="46" t="n"/>
      <c r="Q59" s="46" t="n"/>
      <c r="R59" s="46" t="n"/>
      <c r="S59" s="46" t="n"/>
    </row>
    <row r="60">
      <c r="E60" s="45" t="n"/>
      <c r="M60" s="46" t="n"/>
      <c r="N60" s="46" t="n"/>
      <c r="O60" s="46" t="n"/>
      <c r="P60" s="46" t="n"/>
      <c r="Q60" s="46" t="n"/>
      <c r="R60" s="46" t="n"/>
      <c r="S60" s="46" t="n"/>
    </row>
    <row r="61">
      <c r="E61" s="45" t="n"/>
      <c r="M61" s="46" t="n"/>
      <c r="N61" s="46" t="n"/>
      <c r="O61" s="46" t="n"/>
      <c r="P61" s="46" t="n"/>
      <c r="Q61" s="46" t="n"/>
      <c r="R61" s="46" t="n"/>
      <c r="S61" s="46" t="n"/>
    </row>
    <row r="62">
      <c r="E62" s="45" t="n"/>
      <c r="M62" s="46" t="n"/>
      <c r="N62" s="46" t="n"/>
      <c r="O62" s="46" t="n"/>
      <c r="P62" s="46" t="n"/>
      <c r="Q62" s="46" t="n"/>
      <c r="R62" s="46" t="n"/>
      <c r="S62" s="46" t="n"/>
    </row>
    <row r="63">
      <c r="E63" s="45" t="n"/>
      <c r="M63" s="46" t="n"/>
      <c r="N63" s="46" t="n"/>
      <c r="O63" s="46" t="n"/>
      <c r="P63" s="46" t="n"/>
      <c r="Q63" s="46" t="n"/>
      <c r="R63" s="46" t="n"/>
      <c r="S63" s="46" t="n"/>
    </row>
    <row r="64">
      <c r="E64" s="45" t="n"/>
      <c r="M64" s="46" t="n"/>
      <c r="N64" s="46" t="n"/>
      <c r="O64" s="46" t="n"/>
      <c r="P64" s="46" t="n"/>
      <c r="Q64" s="46" t="n"/>
      <c r="R64" s="46" t="n"/>
      <c r="S64" s="46" t="n"/>
    </row>
    <row r="65">
      <c r="E65" s="45" t="n"/>
      <c r="M65" s="46" t="n"/>
      <c r="N65" s="46" t="n"/>
      <c r="O65" s="46" t="n"/>
      <c r="P65" s="46" t="n"/>
      <c r="Q65" s="46" t="n"/>
      <c r="R65" s="46" t="n"/>
      <c r="S65" s="46" t="n"/>
    </row>
    <row r="66">
      <c r="E66" s="45" t="n"/>
      <c r="M66" s="46" t="n"/>
      <c r="N66" s="46" t="n"/>
      <c r="O66" s="46" t="n"/>
      <c r="P66" s="46" t="n"/>
      <c r="Q66" s="46" t="n"/>
      <c r="R66" s="46" t="n"/>
      <c r="S66" s="46" t="n"/>
    </row>
    <row r="67">
      <c r="E67" s="45" t="n"/>
      <c r="M67" s="46" t="n"/>
      <c r="N67" s="46" t="n"/>
      <c r="O67" s="46" t="n"/>
      <c r="P67" s="46" t="n"/>
      <c r="Q67" s="46" t="n"/>
      <c r="R67" s="46" t="n"/>
      <c r="S67" s="46" t="n"/>
    </row>
    <row r="68">
      <c r="E68" s="45" t="n"/>
      <c r="M68" s="46" t="n"/>
      <c r="N68" s="46" t="n"/>
      <c r="O68" s="46" t="n"/>
      <c r="P68" s="46" t="n"/>
      <c r="Q68" s="46" t="n"/>
      <c r="R68" s="46" t="n"/>
      <c r="S68" s="46" t="n"/>
    </row>
    <row r="69">
      <c r="E69" s="45" t="n"/>
      <c r="M69" s="46" t="n"/>
      <c r="N69" s="46" t="n"/>
      <c r="O69" s="46" t="n"/>
      <c r="P69" s="46" t="n"/>
      <c r="Q69" s="46" t="n"/>
      <c r="R69" s="46" t="n"/>
      <c r="S69" s="46" t="n"/>
    </row>
    <row r="70">
      <c r="E70" s="45" t="n"/>
      <c r="M70" s="46" t="n"/>
      <c r="N70" s="46" t="n"/>
      <c r="O70" s="46" t="n"/>
      <c r="P70" s="46" t="n"/>
      <c r="Q70" s="46" t="n"/>
      <c r="R70" s="46" t="n"/>
      <c r="S70" s="46" t="n"/>
    </row>
    <row r="71">
      <c r="E71" s="45" t="n"/>
      <c r="M71" s="46" t="n"/>
      <c r="N71" s="46" t="n"/>
      <c r="O71" s="46" t="n"/>
      <c r="P71" s="46" t="n"/>
      <c r="Q71" s="46" t="n"/>
      <c r="R71" s="46" t="n"/>
      <c r="S71" s="46" t="n"/>
    </row>
    <row r="72">
      <c r="E72" s="45" t="n"/>
      <c r="M72" s="46" t="n"/>
      <c r="N72" s="46" t="n"/>
      <c r="O72" s="46" t="n"/>
      <c r="P72" s="46" t="n"/>
      <c r="Q72" s="46" t="n"/>
      <c r="R72" s="46" t="n"/>
      <c r="S72" s="46" t="n"/>
    </row>
    <row r="73">
      <c r="E73" s="45" t="n"/>
      <c r="M73" s="46" t="n"/>
      <c r="N73" s="46" t="n"/>
      <c r="O73" s="46" t="n"/>
      <c r="P73" s="46" t="n"/>
      <c r="Q73" s="46" t="n"/>
      <c r="R73" s="46" t="n"/>
      <c r="S73" s="46" t="n"/>
    </row>
    <row r="74">
      <c r="E74" s="45" t="n"/>
      <c r="M74" s="46" t="n"/>
      <c r="N74" s="46" t="n"/>
      <c r="O74" s="46" t="n"/>
      <c r="P74" s="46" t="n"/>
      <c r="Q74" s="46" t="n"/>
      <c r="R74" s="46" t="n"/>
      <c r="S74" s="46" t="n"/>
    </row>
    <row r="75">
      <c r="E75" s="45" t="n"/>
      <c r="M75" s="46" t="n"/>
      <c r="N75" s="46" t="n"/>
      <c r="O75" s="46" t="n"/>
      <c r="P75" s="46" t="n"/>
      <c r="Q75" s="46" t="n"/>
      <c r="R75" s="46" t="n"/>
      <c r="S75" s="46" t="n"/>
    </row>
    <row r="76">
      <c r="E76" s="45" t="n"/>
      <c r="M76" s="46" t="n"/>
      <c r="N76" s="46" t="n"/>
      <c r="O76" s="46" t="n"/>
      <c r="P76" s="46" t="n"/>
      <c r="Q76" s="46" t="n"/>
      <c r="R76" s="46" t="n"/>
      <c r="S76" s="46" t="n"/>
    </row>
    <row r="77">
      <c r="E77" s="45" t="n"/>
      <c r="M77" s="46" t="n"/>
      <c r="N77" s="46" t="n"/>
      <c r="O77" s="46" t="n"/>
      <c r="P77" s="46" t="n"/>
      <c r="Q77" s="46" t="n"/>
      <c r="R77" s="46" t="n"/>
      <c r="S77" s="46" t="n"/>
    </row>
    <row r="78">
      <c r="E78" s="45" t="n"/>
      <c r="M78" s="46" t="n"/>
      <c r="N78" s="46" t="n"/>
      <c r="O78" s="46" t="n"/>
      <c r="P78" s="46" t="n"/>
      <c r="Q78" s="46" t="n"/>
      <c r="R78" s="46" t="n"/>
      <c r="S78" s="46" t="n"/>
    </row>
    <row r="79">
      <c r="E79" s="45" t="n"/>
      <c r="M79" s="46" t="n"/>
      <c r="N79" s="46" t="n"/>
      <c r="O79" s="46" t="n"/>
      <c r="P79" s="46" t="n"/>
      <c r="Q79" s="46" t="n"/>
      <c r="R79" s="46" t="n"/>
      <c r="S79" s="46" t="n"/>
    </row>
    <row r="80">
      <c r="E80" s="45" t="n"/>
      <c r="M80" s="46" t="n"/>
      <c r="N80" s="46" t="n"/>
      <c r="O80" s="46" t="n"/>
      <c r="P80" s="46" t="n"/>
      <c r="Q80" s="46" t="n"/>
      <c r="R80" s="46" t="n"/>
      <c r="S80" s="46" t="n"/>
    </row>
    <row r="81">
      <c r="E81" s="45" t="n"/>
      <c r="M81" s="46" t="n"/>
      <c r="N81" s="46" t="n"/>
      <c r="O81" s="46" t="n"/>
      <c r="P81" s="46" t="n"/>
      <c r="Q81" s="46" t="n"/>
      <c r="R81" s="46" t="n"/>
      <c r="S81" s="46" t="n"/>
    </row>
    <row r="82">
      <c r="E82" s="45" t="n"/>
      <c r="M82" s="46" t="n"/>
      <c r="N82" s="46" t="n"/>
      <c r="O82" s="46" t="n"/>
      <c r="P82" s="46" t="n"/>
      <c r="Q82" s="46" t="n"/>
      <c r="R82" s="46" t="n"/>
      <c r="S82" s="46" t="n"/>
    </row>
    <row r="83">
      <c r="E83" s="45" t="n"/>
      <c r="M83" s="46" t="n"/>
      <c r="N83" s="46" t="n"/>
      <c r="O83" s="46" t="n"/>
      <c r="P83" s="46" t="n"/>
      <c r="Q83" s="46" t="n"/>
      <c r="R83" s="46" t="n"/>
      <c r="S83" s="46" t="n"/>
    </row>
    <row r="84">
      <c r="E84" s="45" t="n"/>
      <c r="M84" s="46" t="n"/>
      <c r="N84" s="46" t="n"/>
      <c r="O84" s="46" t="n"/>
      <c r="P84" s="46" t="n"/>
      <c r="Q84" s="46" t="n"/>
      <c r="R84" s="46" t="n"/>
      <c r="S84" s="46" t="n"/>
    </row>
    <row r="85">
      <c r="E85" s="45" t="n"/>
      <c r="M85" s="46" t="n"/>
      <c r="N85" s="46" t="n"/>
      <c r="O85" s="46" t="n"/>
      <c r="P85" s="46" t="n"/>
      <c r="Q85" s="46" t="n"/>
      <c r="R85" s="46" t="n"/>
      <c r="S85" s="46" t="n"/>
    </row>
    <row r="86">
      <c r="E86" s="45" t="n"/>
      <c r="M86" s="46" t="n"/>
      <c r="N86" s="46" t="n"/>
      <c r="O86" s="46" t="n"/>
      <c r="P86" s="46" t="n"/>
      <c r="Q86" s="46" t="n"/>
      <c r="R86" s="46" t="n"/>
      <c r="S86" s="46" t="n"/>
    </row>
    <row r="87">
      <c r="E87" s="45" t="n"/>
      <c r="M87" s="46" t="n"/>
      <c r="N87" s="46" t="n"/>
      <c r="O87" s="46" t="n"/>
      <c r="P87" s="46" t="n"/>
      <c r="Q87" s="46" t="n"/>
      <c r="R87" s="46" t="n"/>
      <c r="S87" s="46" t="n"/>
    </row>
    <row r="88">
      <c r="E88" s="45" t="n"/>
      <c r="M88" s="46" t="n"/>
      <c r="N88" s="46" t="n"/>
      <c r="O88" s="46" t="n"/>
      <c r="P88" s="46" t="n"/>
      <c r="Q88" s="46" t="n"/>
      <c r="R88" s="46" t="n"/>
      <c r="S88" s="46" t="n"/>
    </row>
    <row r="89">
      <c r="E89" s="45" t="n"/>
      <c r="M89" s="46" t="n"/>
      <c r="N89" s="46" t="n"/>
      <c r="O89" s="46" t="n"/>
      <c r="P89" s="46" t="n"/>
      <c r="Q89" s="46" t="n"/>
      <c r="R89" s="46" t="n"/>
      <c r="S89" s="46" t="n"/>
    </row>
    <row r="90">
      <c r="E90" s="45" t="n"/>
      <c r="M90" s="46" t="n"/>
      <c r="N90" s="46" t="n"/>
      <c r="O90" s="46" t="n"/>
      <c r="P90" s="46" t="n"/>
      <c r="Q90" s="46" t="n"/>
      <c r="R90" s="46" t="n"/>
      <c r="S90" s="46" t="n"/>
    </row>
    <row r="91">
      <c r="E91" s="45" t="n"/>
      <c r="M91" s="46" t="n"/>
      <c r="N91" s="46" t="n"/>
      <c r="O91" s="46" t="n"/>
      <c r="P91" s="46" t="n"/>
      <c r="Q91" s="46" t="n"/>
      <c r="R91" s="46" t="n"/>
      <c r="S91" s="46" t="n"/>
    </row>
    <row r="92">
      <c r="E92" s="45" t="n"/>
      <c r="M92" s="46" t="n"/>
      <c r="N92" s="46" t="n"/>
      <c r="O92" s="46" t="n"/>
      <c r="P92" s="46" t="n"/>
      <c r="Q92" s="46" t="n"/>
      <c r="R92" s="46" t="n"/>
      <c r="S92" s="46" t="n"/>
    </row>
    <row r="93">
      <c r="E93" s="45" t="n"/>
      <c r="M93" s="46" t="n"/>
      <c r="N93" s="46" t="n"/>
      <c r="O93" s="46" t="n"/>
      <c r="P93" s="46" t="n"/>
      <c r="Q93" s="46" t="n"/>
      <c r="R93" s="46" t="n"/>
      <c r="S93" s="46" t="n"/>
    </row>
    <row r="94">
      <c r="E94" s="45" t="n"/>
      <c r="M94" s="46" t="n"/>
      <c r="N94" s="46" t="n"/>
      <c r="O94" s="46" t="n"/>
      <c r="P94" s="46" t="n"/>
      <c r="Q94" s="46" t="n"/>
      <c r="R94" s="46" t="n"/>
      <c r="S94" s="46" t="n"/>
    </row>
    <row r="95">
      <c r="E95" s="45" t="n"/>
      <c r="M95" s="46" t="n"/>
      <c r="N95" s="46" t="n"/>
      <c r="O95" s="46" t="n"/>
      <c r="P95" s="46" t="n"/>
      <c r="Q95" s="46" t="n"/>
      <c r="R95" s="46" t="n"/>
      <c r="S95" s="46" t="n"/>
    </row>
    <row r="96">
      <c r="E96" s="45" t="n"/>
      <c r="M96" s="46" t="n"/>
      <c r="N96" s="46" t="n"/>
      <c r="O96" s="46" t="n"/>
      <c r="P96" s="46" t="n"/>
      <c r="Q96" s="46" t="n"/>
      <c r="R96" s="46" t="n"/>
      <c r="S96" s="46" t="n"/>
    </row>
    <row r="97">
      <c r="E97" s="45" t="n"/>
      <c r="M97" s="46" t="n"/>
      <c r="N97" s="46" t="n"/>
      <c r="O97" s="46" t="n"/>
      <c r="P97" s="46" t="n"/>
      <c r="Q97" s="46" t="n"/>
      <c r="R97" s="46" t="n"/>
      <c r="S97" s="46" t="n"/>
    </row>
    <row r="98">
      <c r="E98" s="45" t="n"/>
      <c r="M98" s="46" t="n"/>
      <c r="N98" s="46" t="n"/>
      <c r="O98" s="46" t="n"/>
      <c r="P98" s="46" t="n"/>
      <c r="Q98" s="46" t="n"/>
      <c r="R98" s="46" t="n"/>
      <c r="S98" s="46" t="n"/>
    </row>
    <row r="99">
      <c r="E99" s="45" t="n"/>
      <c r="M99" s="46" t="n"/>
      <c r="N99" s="46" t="n"/>
      <c r="O99" s="46" t="n"/>
      <c r="P99" s="46" t="n"/>
      <c r="Q99" s="46" t="n"/>
      <c r="R99" s="46" t="n"/>
      <c r="S99" s="46" t="n"/>
    </row>
    <row r="100">
      <c r="E100" s="45" t="n"/>
      <c r="M100" s="46" t="n"/>
      <c r="N100" s="46" t="n"/>
      <c r="O100" s="46" t="n"/>
      <c r="P100" s="46" t="n"/>
      <c r="Q100" s="46" t="n"/>
      <c r="R100" s="46" t="n"/>
      <c r="S100" s="46" t="n"/>
    </row>
    <row r="101">
      <c r="E101" s="45" t="n"/>
      <c r="M101" s="46" t="n"/>
      <c r="N101" s="46" t="n"/>
      <c r="O101" s="46" t="n"/>
      <c r="P101" s="46" t="n"/>
      <c r="Q101" s="46" t="n"/>
      <c r="R101" s="46" t="n"/>
      <c r="S101" s="46" t="n"/>
    </row>
    <row r="102">
      <c r="E102" s="45" t="n"/>
      <c r="M102" s="46" t="n"/>
      <c r="N102" s="46" t="n"/>
      <c r="O102" s="46" t="n"/>
      <c r="P102" s="46" t="n"/>
      <c r="Q102" s="46" t="n"/>
      <c r="R102" s="46" t="n"/>
      <c r="S102" s="46" t="n"/>
    </row>
    <row r="103">
      <c r="E103" s="45" t="n"/>
      <c r="M103" s="46" t="n"/>
      <c r="N103" s="46" t="n"/>
      <c r="O103" s="46" t="n"/>
      <c r="P103" s="46" t="n"/>
      <c r="Q103" s="46" t="n"/>
      <c r="R103" s="46" t="n"/>
      <c r="S103" s="46" t="n"/>
    </row>
    <row r="104">
      <c r="E104" s="45" t="n"/>
      <c r="M104" s="46" t="n"/>
      <c r="N104" s="46" t="n"/>
      <c r="O104" s="46" t="n"/>
      <c r="P104" s="46" t="n"/>
      <c r="Q104" s="46" t="n"/>
      <c r="R104" s="46" t="n"/>
      <c r="S104" s="46" t="n"/>
    </row>
    <row r="105">
      <c r="E105" s="45" t="n"/>
      <c r="M105" s="46" t="n"/>
      <c r="N105" s="46" t="n"/>
      <c r="O105" s="46" t="n"/>
      <c r="P105" s="46" t="n"/>
      <c r="Q105" s="46" t="n"/>
      <c r="R105" s="46" t="n"/>
      <c r="S105" s="46" t="n"/>
    </row>
    <row r="106">
      <c r="E106" s="45" t="n"/>
      <c r="M106" s="46" t="n"/>
      <c r="N106" s="46" t="n"/>
      <c r="O106" s="46" t="n"/>
      <c r="P106" s="46" t="n"/>
      <c r="Q106" s="46" t="n"/>
      <c r="R106" s="46" t="n"/>
      <c r="S106" s="46" t="n"/>
    </row>
    <row r="107">
      <c r="E107" s="45" t="n"/>
      <c r="M107" s="46" t="n"/>
      <c r="N107" s="46" t="n"/>
      <c r="O107" s="46" t="n"/>
      <c r="P107" s="46" t="n"/>
      <c r="Q107" s="46" t="n"/>
      <c r="R107" s="46" t="n"/>
      <c r="S107" s="46" t="n"/>
    </row>
    <row r="108">
      <c r="E108" s="45" t="n"/>
      <c r="M108" s="46" t="n"/>
      <c r="N108" s="46" t="n"/>
      <c r="O108" s="46" t="n"/>
      <c r="P108" s="46" t="n"/>
      <c r="Q108" s="46" t="n"/>
      <c r="R108" s="46" t="n"/>
      <c r="S108" s="46" t="n"/>
    </row>
    <row r="109">
      <c r="E109" s="45" t="n"/>
      <c r="M109" s="46" t="n"/>
      <c r="N109" s="46" t="n"/>
      <c r="O109" s="46" t="n"/>
      <c r="P109" s="46" t="n"/>
      <c r="Q109" s="46" t="n"/>
      <c r="R109" s="46" t="n"/>
      <c r="S109" s="46" t="n"/>
    </row>
    <row r="110">
      <c r="E110" s="45" t="n"/>
      <c r="M110" s="46" t="n"/>
      <c r="N110" s="46" t="n"/>
      <c r="O110" s="46" t="n"/>
      <c r="P110" s="46" t="n"/>
      <c r="Q110" s="46" t="n"/>
      <c r="R110" s="46" t="n"/>
      <c r="S110" s="46" t="n"/>
    </row>
    <row r="111">
      <c r="E111" s="45" t="n"/>
      <c r="M111" s="46" t="n"/>
      <c r="N111" s="46" t="n"/>
      <c r="O111" s="46" t="n"/>
      <c r="P111" s="46" t="n"/>
      <c r="Q111" s="46" t="n"/>
      <c r="R111" s="46" t="n"/>
      <c r="S111" s="46" t="n"/>
    </row>
    <row r="112">
      <c r="E112" s="45" t="n"/>
      <c r="M112" s="46" t="n"/>
      <c r="N112" s="46" t="n"/>
      <c r="O112" s="46" t="n"/>
      <c r="P112" s="46" t="n"/>
      <c r="Q112" s="46" t="n"/>
      <c r="R112" s="46" t="n"/>
      <c r="S112" s="46" t="n"/>
    </row>
    <row r="113">
      <c r="E113" s="45" t="n"/>
      <c r="M113" s="46" t="n"/>
      <c r="N113" s="46" t="n"/>
      <c r="O113" s="46" t="n"/>
      <c r="P113" s="46" t="n"/>
      <c r="Q113" s="46" t="n"/>
      <c r="R113" s="46" t="n"/>
      <c r="S113" s="46" t="n"/>
    </row>
    <row r="114">
      <c r="E114" s="45" t="n"/>
      <c r="M114" s="46" t="n"/>
      <c r="N114" s="46" t="n"/>
      <c r="O114" s="46" t="n"/>
      <c r="P114" s="46" t="n"/>
      <c r="Q114" s="46" t="n"/>
      <c r="R114" s="46" t="n"/>
      <c r="S114" s="46" t="n"/>
    </row>
    <row r="115">
      <c r="E115" s="45" t="n"/>
      <c r="M115" s="46" t="n"/>
      <c r="N115" s="46" t="n"/>
      <c r="O115" s="46" t="n"/>
      <c r="P115" s="46" t="n"/>
      <c r="Q115" s="46" t="n"/>
      <c r="R115" s="46" t="n"/>
      <c r="S115" s="46" t="n"/>
    </row>
    <row r="116">
      <c r="E116" s="45" t="n"/>
      <c r="M116" s="46" t="n"/>
      <c r="N116" s="46" t="n"/>
      <c r="O116" s="46" t="n"/>
      <c r="P116" s="46" t="n"/>
      <c r="Q116" s="46" t="n"/>
      <c r="R116" s="46" t="n"/>
      <c r="S116" s="46" t="n"/>
    </row>
    <row r="117">
      <c r="E117" s="45" t="n"/>
      <c r="M117" s="46" t="n"/>
      <c r="N117" s="46" t="n"/>
      <c r="O117" s="46" t="n"/>
      <c r="P117" s="46" t="n"/>
      <c r="Q117" s="46" t="n"/>
      <c r="R117" s="46" t="n"/>
      <c r="S117" s="46" t="n"/>
    </row>
    <row r="118">
      <c r="E118" s="45" t="n"/>
      <c r="M118" s="46" t="n"/>
      <c r="N118" s="46" t="n"/>
      <c r="O118" s="46" t="n"/>
      <c r="P118" s="46" t="n"/>
      <c r="Q118" s="46" t="n"/>
      <c r="R118" s="46" t="n"/>
      <c r="S118" s="46" t="n"/>
    </row>
    <row r="119">
      <c r="E119" s="45" t="n"/>
      <c r="M119" s="46" t="n"/>
      <c r="N119" s="46" t="n"/>
      <c r="O119" s="46" t="n"/>
      <c r="P119" s="46" t="n"/>
      <c r="Q119" s="46" t="n"/>
      <c r="R119" s="46" t="n"/>
      <c r="S119" s="46" t="n"/>
    </row>
    <row r="120">
      <c r="E120" s="45" t="n"/>
      <c r="M120" s="46" t="n"/>
      <c r="N120" s="46" t="n"/>
      <c r="O120" s="46" t="n"/>
      <c r="P120" s="46" t="n"/>
      <c r="Q120" s="46" t="n"/>
      <c r="R120" s="46" t="n"/>
      <c r="S120" s="46" t="n"/>
    </row>
    <row r="121">
      <c r="E121" s="45" t="n"/>
      <c r="M121" s="46" t="n"/>
      <c r="N121" s="46" t="n"/>
      <c r="O121" s="46" t="n"/>
      <c r="P121" s="46" t="n"/>
      <c r="Q121" s="46" t="n"/>
      <c r="R121" s="46" t="n"/>
      <c r="S121" s="46" t="n"/>
    </row>
    <row r="122">
      <c r="E122" s="45" t="n"/>
      <c r="M122" s="46" t="n"/>
      <c r="N122" s="46" t="n"/>
      <c r="O122" s="46" t="n"/>
      <c r="P122" s="46" t="n"/>
      <c r="Q122" s="46" t="n"/>
      <c r="R122" s="46" t="n"/>
      <c r="S122" s="46" t="n"/>
    </row>
    <row r="123">
      <c r="E123" s="45" t="n"/>
      <c r="M123" s="46" t="n"/>
      <c r="N123" s="46" t="n"/>
      <c r="O123" s="46" t="n"/>
      <c r="P123" s="46" t="n"/>
      <c r="Q123" s="46" t="n"/>
      <c r="R123" s="46" t="n"/>
      <c r="S123" s="46" t="n"/>
    </row>
    <row r="124">
      <c r="E124" s="45" t="n"/>
      <c r="M124" s="46" t="n"/>
      <c r="N124" s="46" t="n"/>
      <c r="O124" s="46" t="n"/>
      <c r="P124" s="46" t="n"/>
      <c r="Q124" s="46" t="n"/>
      <c r="R124" s="46" t="n"/>
      <c r="S124" s="46" t="n"/>
    </row>
    <row r="125">
      <c r="E125" s="45" t="n"/>
      <c r="M125" s="46" t="n"/>
      <c r="N125" s="46" t="n"/>
      <c r="O125" s="46" t="n"/>
      <c r="P125" s="46" t="n"/>
      <c r="Q125" s="46" t="n"/>
      <c r="R125" s="46" t="n"/>
      <c r="S125" s="46" t="n"/>
    </row>
    <row r="126">
      <c r="E126" s="45" t="n"/>
      <c r="M126" s="46" t="n"/>
      <c r="N126" s="46" t="n"/>
      <c r="O126" s="46" t="n"/>
      <c r="P126" s="46" t="n"/>
      <c r="Q126" s="46" t="n"/>
      <c r="R126" s="46" t="n"/>
      <c r="S126" s="46" t="n"/>
    </row>
    <row r="127">
      <c r="E127" s="45" t="n"/>
      <c r="M127" s="46" t="n"/>
      <c r="N127" s="46" t="n"/>
      <c r="O127" s="46" t="n"/>
      <c r="P127" s="46" t="n"/>
      <c r="Q127" s="46" t="n"/>
      <c r="R127" s="46" t="n"/>
      <c r="S127" s="46" t="n"/>
    </row>
    <row r="128">
      <c r="E128" s="45" t="n"/>
      <c r="M128" s="46" t="n"/>
      <c r="N128" s="46" t="n"/>
      <c r="O128" s="46" t="n"/>
      <c r="P128" s="46" t="n"/>
      <c r="Q128" s="46" t="n"/>
      <c r="R128" s="46" t="n"/>
      <c r="S128" s="46" t="n"/>
    </row>
    <row r="129">
      <c r="E129" s="45" t="n"/>
      <c r="M129" s="46" t="n"/>
      <c r="N129" s="46" t="n"/>
      <c r="O129" s="46" t="n"/>
      <c r="P129" s="46" t="n"/>
      <c r="Q129" s="46" t="n"/>
      <c r="R129" s="46" t="n"/>
      <c r="S129" s="46" t="n"/>
    </row>
    <row r="130">
      <c r="E130" s="45" t="n"/>
      <c r="M130" s="46" t="n"/>
      <c r="N130" s="46" t="n"/>
      <c r="O130" s="46" t="n"/>
      <c r="P130" s="46" t="n"/>
      <c r="Q130" s="46" t="n"/>
      <c r="R130" s="46" t="n"/>
      <c r="S130" s="46" t="n"/>
    </row>
    <row r="131">
      <c r="E131" s="45" t="n"/>
      <c r="M131" s="46" t="n"/>
      <c r="N131" s="46" t="n"/>
      <c r="O131" s="46" t="n"/>
      <c r="P131" s="46" t="n"/>
      <c r="Q131" s="46" t="n"/>
      <c r="R131" s="46" t="n"/>
      <c r="S131" s="46" t="n"/>
    </row>
    <row r="132">
      <c r="E132" s="45" t="n"/>
      <c r="M132" s="46" t="n"/>
      <c r="N132" s="46" t="n"/>
      <c r="O132" s="46" t="n"/>
      <c r="P132" s="46" t="n"/>
      <c r="Q132" s="46" t="n"/>
      <c r="R132" s="46" t="n"/>
      <c r="S132" s="46" t="n"/>
    </row>
    <row r="133">
      <c r="E133" s="45" t="n"/>
      <c r="M133" s="46" t="n"/>
      <c r="N133" s="46" t="n"/>
      <c r="O133" s="46" t="n"/>
      <c r="P133" s="46" t="n"/>
      <c r="Q133" s="46" t="n"/>
      <c r="R133" s="46" t="n"/>
      <c r="S133" s="46" t="n"/>
    </row>
    <row r="134">
      <c r="E134" s="45" t="n"/>
      <c r="M134" s="46" t="n"/>
      <c r="N134" s="46" t="n"/>
      <c r="O134" s="46" t="n"/>
      <c r="P134" s="46" t="n"/>
      <c r="Q134" s="46" t="n"/>
      <c r="R134" s="46" t="n"/>
      <c r="S134" s="46" t="n"/>
    </row>
    <row r="135">
      <c r="E135" s="45" t="n"/>
      <c r="M135" s="46" t="n"/>
      <c r="N135" s="46" t="n"/>
      <c r="O135" s="46" t="n"/>
      <c r="P135" s="46" t="n"/>
      <c r="Q135" s="46" t="n"/>
      <c r="R135" s="46" t="n"/>
      <c r="S135" s="46" t="n"/>
    </row>
    <row r="136">
      <c r="E136" s="45" t="n"/>
      <c r="M136" s="46" t="n"/>
      <c r="N136" s="46" t="n"/>
      <c r="O136" s="46" t="n"/>
      <c r="P136" s="46" t="n"/>
      <c r="Q136" s="46" t="n"/>
      <c r="R136" s="46" t="n"/>
      <c r="S136" s="46" t="n"/>
    </row>
    <row r="137">
      <c r="E137" s="45" t="n"/>
      <c r="M137" s="46" t="n"/>
      <c r="N137" s="46" t="n"/>
      <c r="O137" s="46" t="n"/>
      <c r="P137" s="46" t="n"/>
      <c r="Q137" s="46" t="n"/>
      <c r="R137" s="46" t="n"/>
      <c r="S137" s="46" t="n"/>
    </row>
    <row r="138">
      <c r="E138" s="45" t="n"/>
      <c r="M138" s="46" t="n"/>
      <c r="N138" s="46" t="n"/>
      <c r="O138" s="46" t="n"/>
      <c r="P138" s="46" t="n"/>
      <c r="Q138" s="46" t="n"/>
      <c r="R138" s="46" t="n"/>
      <c r="S138" s="46" t="n"/>
    </row>
    <row r="139">
      <c r="E139" s="45" t="n"/>
      <c r="M139" s="46" t="n"/>
      <c r="N139" s="46" t="n"/>
      <c r="O139" s="46" t="n"/>
      <c r="P139" s="46" t="n"/>
      <c r="Q139" s="46" t="n"/>
      <c r="R139" s="46" t="n"/>
      <c r="S139" s="46" t="n"/>
    </row>
    <row r="140">
      <c r="E140" s="45" t="n"/>
      <c r="M140" s="46" t="n"/>
      <c r="N140" s="46" t="n"/>
      <c r="O140" s="46" t="n"/>
      <c r="P140" s="46" t="n"/>
      <c r="Q140" s="46" t="n"/>
      <c r="R140" s="46" t="n"/>
      <c r="S140" s="46" t="n"/>
    </row>
    <row r="141">
      <c r="E141" s="45" t="n"/>
      <c r="M141" s="46" t="n"/>
      <c r="N141" s="46" t="n"/>
      <c r="O141" s="46" t="n"/>
      <c r="P141" s="46" t="n"/>
      <c r="Q141" s="46" t="n"/>
      <c r="R141" s="46" t="n"/>
      <c r="S141" s="46" t="n"/>
    </row>
    <row r="142">
      <c r="E142" s="45" t="n"/>
      <c r="M142" s="46" t="n"/>
      <c r="N142" s="46" t="n"/>
      <c r="O142" s="46" t="n"/>
      <c r="P142" s="46" t="n"/>
      <c r="Q142" s="46" t="n"/>
      <c r="R142" s="46" t="n"/>
      <c r="S142" s="46" t="n"/>
    </row>
    <row r="143">
      <c r="E143" s="45" t="n"/>
      <c r="M143" s="46" t="n"/>
      <c r="N143" s="46" t="n"/>
      <c r="O143" s="46" t="n"/>
      <c r="P143" s="46" t="n"/>
      <c r="Q143" s="46" t="n"/>
      <c r="R143" s="46" t="n"/>
      <c r="S143" s="46" t="n"/>
    </row>
    <row r="144">
      <c r="E144" s="45" t="n"/>
      <c r="M144" s="46" t="n"/>
      <c r="N144" s="46" t="n"/>
      <c r="O144" s="46" t="n"/>
      <c r="P144" s="46" t="n"/>
      <c r="Q144" s="46" t="n"/>
      <c r="R144" s="46" t="n"/>
      <c r="S144" s="46" t="n"/>
    </row>
    <row r="145">
      <c r="E145" s="45" t="n"/>
      <c r="M145" s="46" t="n"/>
      <c r="N145" s="46" t="n"/>
      <c r="O145" s="46" t="n"/>
      <c r="P145" s="46" t="n"/>
      <c r="Q145" s="46" t="n"/>
      <c r="R145" s="46" t="n"/>
      <c r="S145" s="46" t="n"/>
    </row>
    <row r="146">
      <c r="E146" s="45" t="n"/>
      <c r="M146" s="46" t="n"/>
      <c r="N146" s="46" t="n"/>
      <c r="O146" s="46" t="n"/>
      <c r="P146" s="46" t="n"/>
      <c r="Q146" s="46" t="n"/>
      <c r="R146" s="46" t="n"/>
      <c r="S146" s="46" t="n"/>
    </row>
    <row r="147">
      <c r="E147" s="45" t="n"/>
      <c r="M147" s="46" t="n"/>
      <c r="N147" s="46" t="n"/>
      <c r="O147" s="46" t="n"/>
      <c r="P147" s="46" t="n"/>
      <c r="Q147" s="46" t="n"/>
      <c r="R147" s="46" t="n"/>
      <c r="S147" s="46" t="n"/>
    </row>
    <row r="148">
      <c r="E148" s="45" t="n"/>
      <c r="M148" s="46" t="n"/>
      <c r="N148" s="46" t="n"/>
      <c r="O148" s="46" t="n"/>
      <c r="P148" s="46" t="n"/>
      <c r="Q148" s="46" t="n"/>
      <c r="R148" s="46" t="n"/>
      <c r="S148" s="46" t="n"/>
    </row>
    <row r="149">
      <c r="E149" s="45" t="n"/>
      <c r="M149" s="46" t="n"/>
      <c r="N149" s="46" t="n"/>
      <c r="O149" s="46" t="n"/>
      <c r="P149" s="46" t="n"/>
      <c r="Q149" s="46" t="n"/>
      <c r="R149" s="46" t="n"/>
      <c r="S149" s="46" t="n"/>
    </row>
    <row r="150">
      <c r="E150" s="45" t="n"/>
      <c r="M150" s="46" t="n"/>
      <c r="N150" s="46" t="n"/>
      <c r="O150" s="46" t="n"/>
      <c r="P150" s="46" t="n"/>
      <c r="Q150" s="46" t="n"/>
      <c r="R150" s="46" t="n"/>
      <c r="S150" s="46" t="n"/>
    </row>
    <row r="151">
      <c r="E151" s="45" t="n"/>
      <c r="M151" s="46" t="n"/>
      <c r="N151" s="46" t="n"/>
      <c r="O151" s="46" t="n"/>
      <c r="P151" s="46" t="n"/>
      <c r="Q151" s="46" t="n"/>
      <c r="R151" s="46" t="n"/>
      <c r="S151" s="46" t="n"/>
    </row>
    <row r="152">
      <c r="E152" s="45" t="n"/>
      <c r="M152" s="46" t="n"/>
      <c r="N152" s="46" t="n"/>
      <c r="O152" s="46" t="n"/>
      <c r="P152" s="46" t="n"/>
      <c r="Q152" s="46" t="n"/>
      <c r="R152" s="46" t="n"/>
      <c r="S152" s="46" t="n"/>
    </row>
    <row r="153">
      <c r="E153" s="45" t="n"/>
      <c r="M153" s="46" t="n"/>
      <c r="N153" s="46" t="n"/>
      <c r="O153" s="46" t="n"/>
      <c r="P153" s="46" t="n"/>
      <c r="Q153" s="46" t="n"/>
      <c r="R153" s="46" t="n"/>
      <c r="S153" s="46" t="n"/>
    </row>
    <row r="154">
      <c r="E154" s="45" t="n"/>
      <c r="M154" s="46" t="n"/>
      <c r="N154" s="46" t="n"/>
      <c r="O154" s="46" t="n"/>
      <c r="P154" s="46" t="n"/>
      <c r="Q154" s="46" t="n"/>
      <c r="R154" s="46" t="n"/>
      <c r="S154" s="46" t="n"/>
    </row>
    <row r="155">
      <c r="E155" s="45" t="n"/>
      <c r="M155" s="46" t="n"/>
      <c r="N155" s="46" t="n"/>
      <c r="O155" s="46" t="n"/>
      <c r="P155" s="46" t="n"/>
      <c r="Q155" s="46" t="n"/>
      <c r="R155" s="46" t="n"/>
      <c r="S155" s="46" t="n"/>
    </row>
    <row r="156">
      <c r="E156" s="45" t="n"/>
      <c r="M156" s="46" t="n"/>
      <c r="N156" s="46" t="n"/>
      <c r="O156" s="46" t="n"/>
      <c r="P156" s="46" t="n"/>
      <c r="Q156" s="46" t="n"/>
      <c r="R156" s="46" t="n"/>
      <c r="S156" s="46" t="n"/>
    </row>
    <row r="157">
      <c r="E157" s="45" t="n"/>
      <c r="M157" s="46" t="n"/>
      <c r="N157" s="46" t="n"/>
      <c r="O157" s="46" t="n"/>
      <c r="P157" s="46" t="n"/>
      <c r="Q157" s="46" t="n"/>
      <c r="R157" s="46" t="n"/>
      <c r="S157" s="46" t="n"/>
    </row>
    <row r="158">
      <c r="E158" s="45" t="n"/>
      <c r="M158" s="46" t="n"/>
      <c r="N158" s="46" t="n"/>
      <c r="O158" s="46" t="n"/>
      <c r="P158" s="46" t="n"/>
      <c r="Q158" s="46" t="n"/>
      <c r="R158" s="46" t="n"/>
      <c r="S158" s="46" t="n"/>
    </row>
    <row r="159">
      <c r="E159" s="45" t="n"/>
      <c r="M159" s="46" t="n"/>
      <c r="N159" s="46" t="n"/>
      <c r="O159" s="46" t="n"/>
      <c r="P159" s="46" t="n"/>
      <c r="Q159" s="46" t="n"/>
      <c r="R159" s="46" t="n"/>
      <c r="S159" s="46" t="n"/>
    </row>
    <row r="160">
      <c r="E160" s="45" t="n"/>
      <c r="M160" s="46" t="n"/>
      <c r="N160" s="46" t="n"/>
      <c r="O160" s="46" t="n"/>
      <c r="P160" s="46" t="n"/>
      <c r="Q160" s="46" t="n"/>
      <c r="R160" s="46" t="n"/>
      <c r="S160" s="46" t="n"/>
    </row>
    <row r="161">
      <c r="E161" s="45" t="n"/>
      <c r="M161" s="46" t="n"/>
      <c r="N161" s="46" t="n"/>
      <c r="O161" s="46" t="n"/>
      <c r="P161" s="46" t="n"/>
      <c r="Q161" s="46" t="n"/>
      <c r="R161" s="46" t="n"/>
      <c r="S161" s="46" t="n"/>
    </row>
    <row r="162">
      <c r="E162" s="45" t="n"/>
      <c r="M162" s="46" t="n"/>
      <c r="N162" s="46" t="n"/>
      <c r="O162" s="46" t="n"/>
      <c r="P162" s="46" t="n"/>
      <c r="Q162" s="46" t="n"/>
      <c r="R162" s="46" t="n"/>
      <c r="S162" s="46" t="n"/>
    </row>
    <row r="163">
      <c r="E163" s="45" t="n"/>
      <c r="M163" s="46" t="n"/>
      <c r="N163" s="46" t="n"/>
      <c r="O163" s="46" t="n"/>
      <c r="P163" s="46" t="n"/>
      <c r="Q163" s="46" t="n"/>
      <c r="R163" s="46" t="n"/>
      <c r="S163" s="46" t="n"/>
    </row>
    <row r="164">
      <c r="E164" s="45" t="n"/>
      <c r="M164" s="46" t="n"/>
      <c r="N164" s="46" t="n"/>
      <c r="O164" s="46" t="n"/>
      <c r="P164" s="46" t="n"/>
      <c r="Q164" s="46" t="n"/>
      <c r="R164" s="46" t="n"/>
      <c r="S164" s="46" t="n"/>
    </row>
    <row r="165">
      <c r="E165" s="45" t="n"/>
      <c r="M165" s="46" t="n"/>
      <c r="N165" s="46" t="n"/>
      <c r="O165" s="46" t="n"/>
      <c r="P165" s="46" t="n"/>
      <c r="Q165" s="46" t="n"/>
      <c r="R165" s="46" t="n"/>
      <c r="S165" s="46" t="n"/>
    </row>
    <row r="166">
      <c r="E166" s="45" t="n"/>
      <c r="M166" s="46" t="n"/>
      <c r="N166" s="46" t="n"/>
      <c r="O166" s="46" t="n"/>
      <c r="P166" s="46" t="n"/>
      <c r="Q166" s="46" t="n"/>
      <c r="R166" s="46" t="n"/>
      <c r="S166" s="46" t="n"/>
    </row>
    <row r="167">
      <c r="E167" s="45" t="n"/>
      <c r="M167" s="46" t="n"/>
      <c r="N167" s="46" t="n"/>
      <c r="O167" s="46" t="n"/>
      <c r="P167" s="46" t="n"/>
      <c r="Q167" s="46" t="n"/>
      <c r="R167" s="46" t="n"/>
      <c r="S167" s="46" t="n"/>
    </row>
    <row r="168">
      <c r="E168" s="45" t="n"/>
      <c r="M168" s="46" t="n"/>
      <c r="N168" s="46" t="n"/>
      <c r="O168" s="46" t="n"/>
      <c r="P168" s="46" t="n"/>
      <c r="Q168" s="46" t="n"/>
      <c r="R168" s="46" t="n"/>
      <c r="S168" s="46" t="n"/>
    </row>
    <row r="169">
      <c r="E169" s="45" t="n"/>
      <c r="M169" s="46" t="n"/>
      <c r="N169" s="46" t="n"/>
      <c r="O169" s="46" t="n"/>
      <c r="P169" s="46" t="n"/>
      <c r="Q169" s="46" t="n"/>
      <c r="R169" s="46" t="n"/>
      <c r="S169" s="46" t="n"/>
    </row>
    <row r="170">
      <c r="E170" s="45" t="n"/>
      <c r="M170" s="46" t="n"/>
      <c r="N170" s="46" t="n"/>
      <c r="O170" s="46" t="n"/>
      <c r="P170" s="46" t="n"/>
      <c r="Q170" s="46" t="n"/>
      <c r="R170" s="46" t="n"/>
      <c r="S170" s="46" t="n"/>
    </row>
    <row r="171">
      <c r="E171" s="45" t="n"/>
      <c r="M171" s="46" t="n"/>
      <c r="N171" s="46" t="n"/>
      <c r="O171" s="46" t="n"/>
      <c r="P171" s="46" t="n"/>
      <c r="Q171" s="46" t="n"/>
      <c r="R171" s="46" t="n"/>
      <c r="S171" s="46" t="n"/>
    </row>
    <row r="172">
      <c r="E172" s="45" t="n"/>
      <c r="M172" s="46" t="n"/>
      <c r="N172" s="46" t="n"/>
      <c r="O172" s="46" t="n"/>
      <c r="P172" s="46" t="n"/>
      <c r="Q172" s="46" t="n"/>
      <c r="R172" s="46" t="n"/>
      <c r="S172" s="46" t="n"/>
    </row>
    <row r="173">
      <c r="E173" s="45" t="n"/>
      <c r="M173" s="46" t="n"/>
      <c r="N173" s="46" t="n"/>
      <c r="O173" s="46" t="n"/>
      <c r="P173" s="46" t="n"/>
      <c r="Q173" s="46" t="n"/>
      <c r="R173" s="46" t="n"/>
      <c r="S173" s="46" t="n"/>
    </row>
    <row r="174">
      <c r="E174" s="45" t="n"/>
      <c r="M174" s="46" t="n"/>
      <c r="N174" s="46" t="n"/>
      <c r="O174" s="46" t="n"/>
      <c r="P174" s="46" t="n"/>
      <c r="Q174" s="46" t="n"/>
      <c r="R174" s="46" t="n"/>
      <c r="S174" s="46" t="n"/>
    </row>
    <row r="175">
      <c r="E175" s="45" t="n"/>
      <c r="M175" s="46" t="n"/>
      <c r="N175" s="46" t="n"/>
      <c r="O175" s="46" t="n"/>
      <c r="P175" s="46" t="n"/>
      <c r="Q175" s="46" t="n"/>
      <c r="R175" s="46" t="n"/>
      <c r="S175" s="46" t="n"/>
    </row>
    <row r="176">
      <c r="E176" s="45" t="n"/>
      <c r="M176" s="46" t="n"/>
      <c r="N176" s="46" t="n"/>
      <c r="O176" s="46" t="n"/>
      <c r="P176" s="46" t="n"/>
      <c r="Q176" s="46" t="n"/>
      <c r="R176" s="46" t="n"/>
      <c r="S176" s="46" t="n"/>
    </row>
    <row r="177">
      <c r="E177" s="45" t="n"/>
      <c r="M177" s="46" t="n"/>
      <c r="N177" s="46" t="n"/>
      <c r="O177" s="46" t="n"/>
      <c r="P177" s="46" t="n"/>
      <c r="Q177" s="46" t="n"/>
      <c r="R177" s="46" t="n"/>
      <c r="S177" s="46" t="n"/>
    </row>
    <row r="178">
      <c r="E178" s="45" t="n"/>
      <c r="M178" s="46" t="n"/>
      <c r="N178" s="46" t="n"/>
      <c r="O178" s="46" t="n"/>
      <c r="P178" s="46" t="n"/>
      <c r="Q178" s="46" t="n"/>
      <c r="R178" s="46" t="n"/>
      <c r="S178" s="46" t="n"/>
    </row>
    <row r="179">
      <c r="E179" s="45" t="n"/>
      <c r="M179" s="46" t="n"/>
      <c r="N179" s="46" t="n"/>
      <c r="O179" s="46" t="n"/>
      <c r="P179" s="46" t="n"/>
      <c r="Q179" s="46" t="n"/>
      <c r="R179" s="46" t="n"/>
      <c r="S179" s="46" t="n"/>
    </row>
    <row r="180">
      <c r="E180" s="45" t="n"/>
      <c r="M180" s="46" t="n"/>
      <c r="N180" s="46" t="n"/>
      <c r="O180" s="46" t="n"/>
      <c r="P180" s="46" t="n"/>
      <c r="Q180" s="46" t="n"/>
      <c r="R180" s="46" t="n"/>
      <c r="S180" s="46" t="n"/>
    </row>
    <row r="181">
      <c r="E181" s="45" t="n"/>
      <c r="M181" s="46" t="n"/>
      <c r="N181" s="46" t="n"/>
      <c r="O181" s="46" t="n"/>
      <c r="P181" s="46" t="n"/>
      <c r="Q181" s="46" t="n"/>
      <c r="R181" s="46" t="n"/>
      <c r="S181" s="46" t="n"/>
    </row>
    <row r="182">
      <c r="E182" s="45" t="n"/>
      <c r="M182" s="46" t="n"/>
      <c r="N182" s="46" t="n"/>
      <c r="O182" s="46" t="n"/>
      <c r="P182" s="46" t="n"/>
      <c r="Q182" s="46" t="n"/>
      <c r="R182" s="46" t="n"/>
      <c r="S182" s="46" t="n"/>
    </row>
    <row r="183">
      <c r="E183" s="45" t="n"/>
      <c r="M183" s="46" t="n"/>
      <c r="N183" s="46" t="n"/>
      <c r="O183" s="46" t="n"/>
      <c r="P183" s="46" t="n"/>
      <c r="Q183" s="46" t="n"/>
      <c r="R183" s="46" t="n"/>
      <c r="S183" s="46" t="n"/>
    </row>
    <row r="184">
      <c r="E184" s="45" t="n"/>
      <c r="M184" s="46" t="n"/>
      <c r="N184" s="46" t="n"/>
      <c r="O184" s="46" t="n"/>
      <c r="P184" s="46" t="n"/>
      <c r="Q184" s="46" t="n"/>
      <c r="R184" s="46" t="n"/>
      <c r="S184" s="46" t="n"/>
    </row>
    <row r="185">
      <c r="E185" s="45" t="n"/>
      <c r="M185" s="46" t="n"/>
      <c r="N185" s="46" t="n"/>
      <c r="O185" s="46" t="n"/>
      <c r="P185" s="46" t="n"/>
      <c r="Q185" s="46" t="n"/>
      <c r="R185" s="46" t="n"/>
      <c r="S185" s="46" t="n"/>
    </row>
    <row r="186">
      <c r="E186" s="45" t="n"/>
      <c r="M186" s="46" t="n"/>
      <c r="N186" s="46" t="n"/>
      <c r="O186" s="46" t="n"/>
      <c r="P186" s="46" t="n"/>
      <c r="Q186" s="46" t="n"/>
      <c r="R186" s="46" t="n"/>
      <c r="S186" s="46" t="n"/>
    </row>
    <row r="187">
      <c r="E187" s="45" t="n"/>
      <c r="M187" s="46" t="n"/>
      <c r="N187" s="46" t="n"/>
      <c r="O187" s="46" t="n"/>
      <c r="P187" s="46" t="n"/>
      <c r="Q187" s="46" t="n"/>
      <c r="R187" s="46" t="n"/>
      <c r="S187" s="46" t="n"/>
    </row>
    <row r="188">
      <c r="E188" s="45" t="n"/>
      <c r="M188" s="46" t="n"/>
      <c r="N188" s="46" t="n"/>
      <c r="O188" s="46" t="n"/>
      <c r="P188" s="46" t="n"/>
      <c r="Q188" s="46" t="n"/>
      <c r="R188" s="46" t="n"/>
      <c r="S188" s="46" t="n"/>
    </row>
    <row r="189">
      <c r="E189" s="45" t="n"/>
      <c r="M189" s="46" t="n"/>
      <c r="N189" s="46" t="n"/>
      <c r="O189" s="46" t="n"/>
      <c r="P189" s="46" t="n"/>
      <c r="Q189" s="46" t="n"/>
      <c r="R189" s="46" t="n"/>
      <c r="S189" s="46" t="n"/>
    </row>
    <row r="190">
      <c r="E190" s="45" t="n"/>
      <c r="M190" s="46" t="n"/>
      <c r="N190" s="46" t="n"/>
      <c r="O190" s="46" t="n"/>
      <c r="P190" s="46" t="n"/>
      <c r="Q190" s="46" t="n"/>
      <c r="R190" s="46" t="n"/>
      <c r="S190" s="46" t="n"/>
    </row>
    <row r="191">
      <c r="E191" s="45" t="n"/>
      <c r="M191" s="46" t="n"/>
      <c r="N191" s="46" t="n"/>
      <c r="O191" s="46" t="n"/>
      <c r="P191" s="46" t="n"/>
      <c r="Q191" s="46" t="n"/>
      <c r="R191" s="46" t="n"/>
      <c r="S191" s="46" t="n"/>
    </row>
    <row r="192">
      <c r="E192" s="45" t="n"/>
      <c r="M192" s="46" t="n"/>
      <c r="N192" s="46" t="n"/>
      <c r="O192" s="46" t="n"/>
      <c r="P192" s="46" t="n"/>
      <c r="Q192" s="46" t="n"/>
      <c r="R192" s="46" t="n"/>
      <c r="S192" s="46" t="n"/>
    </row>
    <row r="193">
      <c r="E193" s="45" t="n"/>
      <c r="M193" s="46" t="n"/>
      <c r="N193" s="46" t="n"/>
      <c r="O193" s="46" t="n"/>
      <c r="P193" s="46" t="n"/>
      <c r="Q193" s="46" t="n"/>
      <c r="R193" s="46" t="n"/>
      <c r="S193" s="46" t="n"/>
    </row>
    <row r="194">
      <c r="E194" s="45" t="n"/>
      <c r="M194" s="46" t="n"/>
      <c r="N194" s="46" t="n"/>
      <c r="O194" s="46" t="n"/>
      <c r="P194" s="46" t="n"/>
      <c r="Q194" s="46" t="n"/>
      <c r="R194" s="46" t="n"/>
      <c r="S194" s="46" t="n"/>
    </row>
    <row r="195">
      <c r="E195" s="45" t="n"/>
      <c r="M195" s="46" t="n"/>
      <c r="N195" s="46" t="n"/>
      <c r="O195" s="46" t="n"/>
      <c r="P195" s="46" t="n"/>
      <c r="Q195" s="46" t="n"/>
      <c r="R195" s="46" t="n"/>
      <c r="S195" s="46" t="n"/>
    </row>
    <row r="196">
      <c r="E196" s="45" t="n"/>
      <c r="M196" s="46" t="n"/>
      <c r="N196" s="46" t="n"/>
      <c r="O196" s="46" t="n"/>
      <c r="P196" s="46" t="n"/>
      <c r="Q196" s="46" t="n"/>
      <c r="R196" s="46" t="n"/>
      <c r="S196" s="46" t="n"/>
    </row>
    <row r="197">
      <c r="E197" s="45" t="n"/>
      <c r="M197" s="46" t="n"/>
      <c r="N197" s="46" t="n"/>
      <c r="O197" s="46" t="n"/>
      <c r="P197" s="46" t="n"/>
      <c r="Q197" s="46" t="n"/>
      <c r="R197" s="46" t="n"/>
      <c r="S197" s="46" t="n"/>
    </row>
    <row r="198">
      <c r="E198" s="45" t="n"/>
      <c r="M198" s="46" t="n"/>
      <c r="N198" s="46" t="n"/>
      <c r="O198" s="46" t="n"/>
      <c r="P198" s="46" t="n"/>
      <c r="Q198" s="46" t="n"/>
      <c r="R198" s="46" t="n"/>
      <c r="S198" s="46" t="n"/>
    </row>
    <row r="199">
      <c r="E199" s="45" t="n"/>
      <c r="M199" s="46" t="n"/>
      <c r="N199" s="46" t="n"/>
      <c r="O199" s="46" t="n"/>
      <c r="P199" s="46" t="n"/>
      <c r="Q199" s="46" t="n"/>
      <c r="R199" s="46" t="n"/>
      <c r="S199" s="46" t="n"/>
    </row>
    <row r="200">
      <c r="E200" s="45" t="n"/>
      <c r="M200" s="46" t="n"/>
      <c r="N200" s="46" t="n"/>
      <c r="O200" s="46" t="n"/>
      <c r="P200" s="46" t="n"/>
      <c r="Q200" s="46" t="n"/>
      <c r="R200" s="46" t="n"/>
      <c r="S200" s="46" t="n"/>
    </row>
    <row r="201">
      <c r="A201" t="inlineStr">
        <is>
          <t>T-0005</t>
        </is>
      </c>
      <c r="B201" t="inlineStr">
        <is>
          <t>GAIL India</t>
        </is>
      </c>
      <c r="C201" t="inlineStr">
        <is>
          <t>GAIL India</t>
        </is>
      </c>
      <c r="F201" t="inlineStr">
        <is>
          <t>New Lead</t>
        </is>
      </c>
      <c r="H201" t="inlineStr">
        <is>
          <t>All Active Tenders</t>
        </is>
      </c>
      <c r="K201" t="inlineStr">
        <is>
          <t>Not found</t>
        </is>
      </c>
      <c r="L201" t="inlineStr">
        <is>
          <t>Unknown</t>
        </is>
      </c>
      <c r="T201" t="inlineStr">
        <is>
          <t>https://gailtenders.in/general_url.asp?val=4&amp;inb=1</t>
        </is>
      </c>
      <c r="U201" t="inlineStr">
        <is>
          <t>No</t>
        </is>
      </c>
      <c r="V201" t="inlineStr">
        <is>
          <t>Bot tarafindan tespit edildi (2026-07-01)</t>
        </is>
      </c>
    </row>
    <row r="202">
      <c r="A202" t="inlineStr">
        <is>
          <t>T-0006</t>
        </is>
      </c>
      <c r="B202" t="inlineStr">
        <is>
          <t>GAIL India</t>
        </is>
      </c>
      <c r="C202" t="inlineStr">
        <is>
          <t>GAIL India</t>
        </is>
      </c>
      <c r="F202" t="inlineStr">
        <is>
          <t>New Lead</t>
        </is>
      </c>
      <c r="H202" t="inlineStr">
        <is>
          <t>CORRIGENDUM</t>
        </is>
      </c>
      <c r="K202" t="inlineStr">
        <is>
          <t>Not found</t>
        </is>
      </c>
      <c r="L202" t="inlineStr">
        <is>
          <t>Unknown</t>
        </is>
      </c>
      <c r="T202" t="inlineStr">
        <is>
          <t>https://gailtenders.in/general_url.asp?val=4&amp;inb=2</t>
        </is>
      </c>
      <c r="U202" t="inlineStr">
        <is>
          <t>No</t>
        </is>
      </c>
      <c r="V202" t="inlineStr">
        <is>
          <t>Bot tarafindan tespit edildi (2026-07-01)</t>
        </is>
      </c>
    </row>
    <row r="203">
      <c r="A203" t="inlineStr">
        <is>
          <t>T-0007</t>
        </is>
      </c>
      <c r="B203" t="inlineStr">
        <is>
          <t>GAIL India</t>
        </is>
      </c>
      <c r="C203" t="inlineStr">
        <is>
          <t>GAIL India</t>
        </is>
      </c>
      <c r="F203" t="inlineStr">
        <is>
          <t>New Lead</t>
        </is>
      </c>
      <c r="H203" t="inlineStr">
        <is>
          <t>TENDER AWARDED</t>
        </is>
      </c>
      <c r="K203" t="inlineStr">
        <is>
          <t>Not found</t>
        </is>
      </c>
      <c r="L203" t="inlineStr">
        <is>
          <t>Unknown</t>
        </is>
      </c>
      <c r="T203" t="inlineStr">
        <is>
          <t>https://gailtenders.in/admin/AOC_param.asp</t>
        </is>
      </c>
      <c r="U203" t="inlineStr">
        <is>
          <t>No</t>
        </is>
      </c>
      <c r="V203" t="inlineStr">
        <is>
          <t>Bot tarafindan tespit edildi (2026-07-01)</t>
        </is>
      </c>
    </row>
    <row r="204">
      <c r="A204" t="inlineStr">
        <is>
          <t>T-0008</t>
        </is>
      </c>
      <c r="B204" t="inlineStr">
        <is>
          <t>GAIL India</t>
        </is>
      </c>
      <c r="C204" t="inlineStr">
        <is>
          <t>GAIL India</t>
        </is>
      </c>
      <c r="F204" t="inlineStr">
        <is>
          <t>New Lead</t>
        </is>
      </c>
      <c r="H204" t="inlineStr">
        <is>
          <t>https://gailtenders.in/tenderarchives_old.asp</t>
        </is>
      </c>
      <c r="K204" t="inlineStr">
        <is>
          <t>Not found</t>
        </is>
      </c>
      <c r="L204" t="inlineStr">
        <is>
          <t>Unknown</t>
        </is>
      </c>
      <c r="T204" t="inlineStr">
        <is>
          <t>https://gailtenders.in/tenderarchives_old.asp</t>
        </is>
      </c>
      <c r="U204" t="inlineStr">
        <is>
          <t>No</t>
        </is>
      </c>
      <c r="V204" t="inlineStr">
        <is>
          <t>Bot tarafindan tespit edildi (2026-07-01)</t>
        </is>
      </c>
    </row>
    <row r="205">
      <c r="A205" t="inlineStr">
        <is>
          <t>T-0009</t>
        </is>
      </c>
      <c r="B205" t="inlineStr">
        <is>
          <t>GAIL India</t>
        </is>
      </c>
      <c r="C205" t="inlineStr">
        <is>
          <t>GAIL India</t>
        </is>
      </c>
      <c r="D205" t="inlineStr">
        <is>
          <t>ERENCE</t>
        </is>
      </c>
      <c r="E205" t="inlineStr">
        <is>
          <t>26-06-2026</t>
        </is>
      </c>
      <c r="F205" t="inlineStr">
        <is>
          <t>New Lead</t>
        </is>
      </c>
      <c r="G205" t="inlineStr">
        <is>
          <t>Irrelevant / non-target</t>
        </is>
      </c>
      <c r="H205" t="inlineStr">
        <is>
          <t>E-Tenders</t>
        </is>
      </c>
      <c r="K205" t="inlineStr">
        <is>
          <t>Not found</t>
        </is>
      </c>
      <c r="L205" t="inlineStr">
        <is>
          <t>Unknown</t>
        </is>
      </c>
      <c r="T205" t="inlineStr">
        <is>
          <t>https://etenders.gov.in/eprocure/app</t>
        </is>
      </c>
      <c r="U205" t="inlineStr">
        <is>
          <t>No</t>
        </is>
      </c>
      <c r="V205" t="inlineStr">
        <is>
          <t>Bot tarafindan tespit edildi (2026-07-01); Bot tespit/zenginlestirme (2026-07-01); meta:score=40;priority=Medium;source_type=html_table;closing_date=21-12-2025;equipment=Irrelevant / non-target;reasons=irrelevant_equipment,station/skid keyword,quantity signal,commercial/price signal,tender reference signal,closing date signal; Bot clean extraction (2026-07-01); meta:score=55;priority=Medium;source_type=html_table;closing_date=21-12-2025;equipment=Regulating / metering station;quality_status=market_target;market_relevance=High;document_type=boq;unit_price_inr=;amount_label=;matched_terms=Regulating / metering station;reject_reasons=retail/cng station noise,civil/electrical only;scope=market_intelligence_only;excluded_scope=no_bid_or_offer_submission_automation</t>
        </is>
      </c>
    </row>
    <row r="206">
      <c r="A206" t="inlineStr">
        <is>
          <t>T-0010</t>
        </is>
      </c>
      <c r="B206" t="inlineStr">
        <is>
          <t>GAIL India</t>
        </is>
      </c>
      <c r="C206" t="inlineStr">
        <is>
          <t>GAIL India</t>
        </is>
      </c>
      <c r="F206" t="inlineStr">
        <is>
          <t>New Lead</t>
        </is>
      </c>
      <c r="H206" t="inlineStr">
        <is>
          <t>Click here to Login for uploadingTenders / Corrigendum</t>
        </is>
      </c>
      <c r="K206" t="inlineStr">
        <is>
          <t>Not found</t>
        </is>
      </c>
      <c r="L206" t="inlineStr">
        <is>
          <t>Unknown</t>
        </is>
      </c>
      <c r="T206" t="inlineStr">
        <is>
          <t>https://gailtenders.in/admin/index.asp</t>
        </is>
      </c>
      <c r="U206" t="inlineStr">
        <is>
          <t>No</t>
        </is>
      </c>
      <c r="V206" t="inlineStr">
        <is>
          <t>Bot tarafindan tespit edildi (2026-07-01)</t>
        </is>
      </c>
    </row>
    <row r="207">
      <c r="A207" t="inlineStr">
        <is>
          <t>T-0011</t>
        </is>
      </c>
      <c r="B207" t="inlineStr">
        <is>
          <t>GAIL India</t>
        </is>
      </c>
      <c r="C207" t="inlineStr">
        <is>
          <t>GAIL India</t>
        </is>
      </c>
      <c r="D207" t="inlineStr">
        <is>
          <t>TENDER WEBSITE</t>
        </is>
      </c>
      <c r="F207" t="inlineStr">
        <is>
          <t>Awarded</t>
        </is>
      </c>
      <c r="H207" t="inlineStr">
        <is>
          <t>Annual Procurement Plan</t>
        </is>
      </c>
      <c r="L207" t="inlineStr">
        <is>
          <t>Unknown</t>
        </is>
      </c>
      <c r="T207" t="inlineStr">
        <is>
          <t>https://gailtenders.in/pdf/APP2425002_19062024.pdf</t>
        </is>
      </c>
      <c r="U207" t="inlineStr">
        <is>
          <t>No</t>
        </is>
      </c>
      <c r="V207" t="inlineStr">
        <is>
          <t>Bot tarafindan tespit edildi (2026-07-01) | Bot enrich; date=2026-07-01; type=pdf; score=170; pdf_conf=Low</t>
        </is>
      </c>
    </row>
    <row r="208">
      <c r="A208" t="inlineStr">
        <is>
          <t>T-0012</t>
        </is>
      </c>
      <c r="B208" t="inlineStr">
        <is>
          <t>GAIL India</t>
        </is>
      </c>
      <c r="C208" t="inlineStr">
        <is>
          <t>GAIL India</t>
        </is>
      </c>
      <c r="F208" t="inlineStr">
        <is>
          <t>New Lead</t>
        </is>
      </c>
      <c r="H208" t="inlineStr">
        <is>
          <t>DETAILS OF PRE-TENDER CONFERENCE</t>
        </is>
      </c>
      <c r="K208" t="inlineStr">
        <is>
          <t>Not found</t>
        </is>
      </c>
      <c r="L208" t="inlineStr">
        <is>
          <t>Unknown</t>
        </is>
      </c>
      <c r="T208" t="inlineStr">
        <is>
          <t>https://gailtenders.in/new2.asp</t>
        </is>
      </c>
      <c r="U208" t="inlineStr">
        <is>
          <t>No</t>
        </is>
      </c>
      <c r="V208" t="inlineStr">
        <is>
          <t>Bot tarafindan tespit edildi (2026-07-01)</t>
        </is>
      </c>
    </row>
    <row r="209">
      <c r="A209" t="inlineStr">
        <is>
          <t>T-0013</t>
        </is>
      </c>
      <c r="B209" t="inlineStr">
        <is>
          <t>GAIL India</t>
        </is>
      </c>
      <c r="C209" t="inlineStr">
        <is>
          <t>GAIL India</t>
        </is>
      </c>
      <c r="D209" t="inlineStr">
        <is>
          <t>TENDER CONFERENCE</t>
        </is>
      </c>
      <c r="F209" t="inlineStr">
        <is>
          <t>New Lead</t>
        </is>
      </c>
      <c r="H209" t="inlineStr">
        <is>
          <t>ADDENDUM TO INSTRUCTIONS TO BIDDERS
				(INSTRUCTIONS FOR PARTICIPATION IN E-TENDER)</t>
        </is>
      </c>
      <c r="L209" t="inlineStr">
        <is>
          <t>Unknown</t>
        </is>
      </c>
      <c r="T209" t="inlineStr">
        <is>
          <t>https://gailtenders.in/AddendumtoITBeTender.pdf</t>
        </is>
      </c>
      <c r="U209" t="inlineStr">
        <is>
          <t>No</t>
        </is>
      </c>
      <c r="V209" t="inlineStr">
        <is>
          <t>Bot tarafindan tespit edildi (2026-07-01) | Bot enrich; date=2026-07-01; type=pdf; score=125; pdf_conf=Low</t>
        </is>
      </c>
    </row>
    <row r="210">
      <c r="A210" t="inlineStr">
        <is>
          <t>T-0014</t>
        </is>
      </c>
      <c r="B210" t="inlineStr">
        <is>
          <t>GAIL India</t>
        </is>
      </c>
      <c r="C210" t="inlineStr">
        <is>
          <t>GAIL India</t>
        </is>
      </c>
      <c r="F210" t="inlineStr">
        <is>
          <t>New Lead</t>
        </is>
      </c>
      <c r="G210" t="inlineStr">
        <is>
          <t>Unclassified</t>
        </is>
      </c>
      <c r="H210" t="inlineStr">
        <is>
          <t>A brief document about implementation of vendor invoice management system.</t>
        </is>
      </c>
      <c r="L210" t="inlineStr">
        <is>
          <t>Unknown</t>
        </is>
      </c>
      <c r="T210" t="inlineStr">
        <is>
          <t>https://gailebank.gail.co.in/gailtenders/annextures/Annexure1IntroductiontoVIMandSPARSHUpdated.pdf</t>
        </is>
      </c>
      <c r="U210" t="inlineStr">
        <is>
          <t>Yes</t>
        </is>
      </c>
      <c r="V210" t="inlineStr">
        <is>
          <t>Bot tarafindan tespit edildi (2026-07-01); Bot tespit/zenginlestirme (2026-07-01); meta:score=20;priority=Low;source_type=html_table;closing_date=;equipment=Unclassified;reasons=document source</t>
        </is>
      </c>
    </row>
    <row r="211">
      <c r="A211" t="inlineStr">
        <is>
          <t>T-0015</t>
        </is>
      </c>
      <c r="B211" t="inlineStr">
        <is>
          <t>GAIL India</t>
        </is>
      </c>
      <c r="C211" t="inlineStr">
        <is>
          <t>GAIL India</t>
        </is>
      </c>
      <c r="F211" t="inlineStr">
        <is>
          <t>New Lead</t>
        </is>
      </c>
      <c r="G211" t="inlineStr">
        <is>
          <t>Unclassified</t>
        </is>
      </c>
      <c r="H211" t="inlineStr">
        <is>
          <t>SPARSH Portal User Manual</t>
        </is>
      </c>
      <c r="L211" t="inlineStr">
        <is>
          <t>Unknown</t>
        </is>
      </c>
      <c r="T211" t="inlineStr">
        <is>
          <t>https://gailebank.gail.co.in/gailtenders/annextures/Annexure2SPARSHUsermanualUpdated.pdf</t>
        </is>
      </c>
      <c r="U211" t="inlineStr">
        <is>
          <t>Yes</t>
        </is>
      </c>
      <c r="V211" t="inlineStr">
        <is>
          <t>Bot tarafindan tespit edildi (2026-07-01); Bot tespit/zenginlestirme (2026-07-01); meta:score=20;priority=Low;source_type=html_table;closing_date=;equipment=Unclassified;reasons=document source</t>
        </is>
      </c>
    </row>
    <row r="212">
      <c r="A212" t="inlineStr">
        <is>
          <t>T-0016</t>
        </is>
      </c>
      <c r="B212" t="inlineStr">
        <is>
          <t>GAIL India</t>
        </is>
      </c>
      <c r="C212" t="inlineStr">
        <is>
          <t>GAIL India</t>
        </is>
      </c>
      <c r="F212" t="inlineStr">
        <is>
          <t>New Lead</t>
        </is>
      </c>
      <c r="G212" t="inlineStr">
        <is>
          <t>Unclassified</t>
        </is>
      </c>
      <c r="H212" t="inlineStr">
        <is>
          <t>SPARSH FAQs Document</t>
        </is>
      </c>
      <c r="L212" t="inlineStr">
        <is>
          <t>Unknown</t>
        </is>
      </c>
      <c r="T212" t="inlineStr">
        <is>
          <t>https://gailebank.gail.co.in/gailtenders/annextures/Annexure3SPARSHFAQDocReviewedUpdated.pdf</t>
        </is>
      </c>
      <c r="U212" t="inlineStr">
        <is>
          <t>Yes</t>
        </is>
      </c>
      <c r="V212" t="inlineStr">
        <is>
          <t>Bot tarafindan tespit edildi (2026-07-01); Bot tespit/zenginlestirme (2026-07-01); meta:score=20;priority=Low;source_type=html_table;closing_date=;equipment=Unclassified;reasons=document source</t>
        </is>
      </c>
    </row>
    <row r="213">
      <c r="A213" t="inlineStr">
        <is>
          <t>T-0017</t>
        </is>
      </c>
      <c r="B213" t="inlineStr">
        <is>
          <t>GAIL India</t>
        </is>
      </c>
      <c r="C213" t="inlineStr">
        <is>
          <t>GAIL India</t>
        </is>
      </c>
      <c r="F213" t="inlineStr">
        <is>
          <t>New Lead</t>
        </is>
      </c>
      <c r="G213" t="inlineStr">
        <is>
          <t>Unclassified</t>
        </is>
      </c>
      <c r="H213" t="inlineStr">
        <is>
          <t>Presentation containing information about various tab and buttons available of the portal.</t>
        </is>
      </c>
      <c r="L213" t="inlineStr">
        <is>
          <t>Unknown</t>
        </is>
      </c>
      <c r="T213" t="inlineStr">
        <is>
          <t>https://gailebank.gail.co.in/gailtenders/annextures/Annexure4PresentationonSPARSHUpdated.pdf</t>
        </is>
      </c>
      <c r="U213" t="inlineStr">
        <is>
          <t>Yes</t>
        </is>
      </c>
      <c r="V213" t="inlineStr">
        <is>
          <t>Bot tarafindan tespit edildi (2026-07-01); Bot tespit/zenginlestirme (2026-07-01); meta:score=20;priority=Low;source_type=html_table;closing_date=;equipment=Unclassified;reasons=document source</t>
        </is>
      </c>
    </row>
    <row r="214">
      <c r="A214" t="inlineStr">
        <is>
          <t>T-0018</t>
        </is>
      </c>
      <c r="B214" t="inlineStr">
        <is>
          <t>Indraprastha Gas (IGL)</t>
        </is>
      </c>
      <c r="C214" t="inlineStr">
        <is>
          <t>Indraprastha Gas (IGL)</t>
        </is>
      </c>
      <c r="F214" t="inlineStr">
        <is>
          <t>New Lead</t>
        </is>
      </c>
      <c r="H214" t="inlineStr">
        <is>
          <t>https://tenders.iglonline.net/dashboard</t>
        </is>
      </c>
      <c r="K214" t="inlineStr">
        <is>
          <t>Not found</t>
        </is>
      </c>
      <c r="L214" t="inlineStr">
        <is>
          <t>Unknown</t>
        </is>
      </c>
      <c r="T214" t="inlineStr">
        <is>
          <t>https://tenders.iglonline.net/dashboard</t>
        </is>
      </c>
      <c r="U214" t="inlineStr">
        <is>
          <t>No</t>
        </is>
      </c>
      <c r="V214" t="inlineStr">
        <is>
          <t>Bot tarafindan tespit edildi (2026-07-01)</t>
        </is>
      </c>
    </row>
    <row r="215">
      <c r="A215" t="inlineStr">
        <is>
          <t>T-0019</t>
        </is>
      </c>
      <c r="B215" t="inlineStr">
        <is>
          <t>Indraprastha Gas (IGL)</t>
        </is>
      </c>
      <c r="C215" t="inlineStr">
        <is>
          <t>Indraprastha Gas (IGL)</t>
        </is>
      </c>
      <c r="F215" t="inlineStr">
        <is>
          <t>New Lead</t>
        </is>
      </c>
      <c r="H215" t="inlineStr">
        <is>
          <t>Download Government Registration form</t>
        </is>
      </c>
      <c r="L215" t="inlineStr">
        <is>
          <t>Unknown</t>
        </is>
      </c>
      <c r="T215" t="inlineStr">
        <is>
          <t>https://www.iglonline.net/uploads/files/FOR_GOVERNMENT_ACCOMODATION-.pdf</t>
        </is>
      </c>
      <c r="U215" t="inlineStr">
        <is>
          <t>Yes</t>
        </is>
      </c>
      <c r="V215" t="inlineStr">
        <is>
          <t>Bot tarafindan tespit edildi (2026-07-01)</t>
        </is>
      </c>
    </row>
    <row r="216">
      <c r="A216" t="inlineStr">
        <is>
          <t>T-0020</t>
        </is>
      </c>
      <c r="B216" t="inlineStr">
        <is>
          <t>Indraprastha Gas (IGL)</t>
        </is>
      </c>
      <c r="C216" t="inlineStr">
        <is>
          <t>Indraprastha Gas (IGL)</t>
        </is>
      </c>
      <c r="F216" t="inlineStr">
        <is>
          <t>New Lead</t>
        </is>
      </c>
      <c r="H216" t="inlineStr">
        <is>
          <t>Download your EMI Schedule</t>
        </is>
      </c>
      <c r="K216" t="inlineStr">
        <is>
          <t>Not found</t>
        </is>
      </c>
      <c r="L216" t="inlineStr">
        <is>
          <t>Unknown</t>
        </is>
      </c>
      <c r="T216" t="inlineStr">
        <is>
          <t>https://webonline.igl.co.in:8077/sap/bc/ui5_ui5/sap/zumcui5/index.html?installmentPlan&amp;_ga=2.5668855</t>
        </is>
      </c>
      <c r="U216" t="inlineStr">
        <is>
          <t>No</t>
        </is>
      </c>
      <c r="V216" t="inlineStr">
        <is>
          <t>Bot tarafindan tespit edildi (2026-07-01)</t>
        </is>
      </c>
    </row>
    <row r="217">
      <c r="A217" t="inlineStr">
        <is>
          <t>T-0021</t>
        </is>
      </c>
      <c r="B217" t="inlineStr">
        <is>
          <t>Indraprastha Gas (IGL)</t>
        </is>
      </c>
      <c r="C217" t="inlineStr">
        <is>
          <t>Indraprastha Gas (IGL)</t>
        </is>
      </c>
      <c r="F217" t="inlineStr">
        <is>
          <t>New Lead</t>
        </is>
      </c>
      <c r="H217" t="inlineStr">
        <is>
          <t>Download NOC</t>
        </is>
      </c>
      <c r="K217" t="inlineStr">
        <is>
          <t>Not found</t>
        </is>
      </c>
      <c r="L217" t="inlineStr">
        <is>
          <t>Unknown</t>
        </is>
      </c>
      <c r="T217" t="inlineStr">
        <is>
          <t>https://webonline.igl.co.in:8077/sap/bc/ui5_ui5/sap/zumcui5/index.html?nocDownload&amp;_ga=2.56688554.18</t>
        </is>
      </c>
      <c r="U217" t="inlineStr">
        <is>
          <t>No</t>
        </is>
      </c>
      <c r="V217" t="inlineStr">
        <is>
          <t>Bot tarafindan tespit edildi (2026-07-01)</t>
        </is>
      </c>
    </row>
    <row r="218">
      <c r="A218" t="inlineStr">
        <is>
          <t>T-0022</t>
        </is>
      </c>
      <c r="B218" t="inlineStr">
        <is>
          <t>Indraprastha Gas (IGL)</t>
        </is>
      </c>
      <c r="C218" t="inlineStr">
        <is>
          <t>Indraprastha Gas (IGL)</t>
        </is>
      </c>
      <c r="F218" t="inlineStr">
        <is>
          <t>New Lead</t>
        </is>
      </c>
      <c r="H218" t="inlineStr">
        <is>
          <t>Upload Pan</t>
        </is>
      </c>
      <c r="K218" t="inlineStr">
        <is>
          <t>Not found</t>
        </is>
      </c>
      <c r="L218" t="inlineStr">
        <is>
          <t>Unknown</t>
        </is>
      </c>
      <c r="T218" t="inlineStr">
        <is>
          <t>https://tenders.iglonline.net/uploadPan</t>
        </is>
      </c>
      <c r="U218" t="inlineStr">
        <is>
          <t>No</t>
        </is>
      </c>
      <c r="V218" t="inlineStr">
        <is>
          <t>Bot tarafindan tespit edildi (2026-07-01)</t>
        </is>
      </c>
    </row>
    <row r="219">
      <c r="A219" t="inlineStr">
        <is>
          <t>T-0023</t>
        </is>
      </c>
      <c r="B219" t="inlineStr">
        <is>
          <t>Indraprastha Gas (IGL)</t>
        </is>
      </c>
      <c r="C219" t="inlineStr">
        <is>
          <t>Indraprastha Gas (IGL)</t>
        </is>
      </c>
      <c r="F219" t="inlineStr">
        <is>
          <t>New Lead</t>
        </is>
      </c>
      <c r="H219" t="inlineStr">
        <is>
          <t>https://tenders.iglonline.net//dashboard</t>
        </is>
      </c>
      <c r="K219" t="inlineStr">
        <is>
          <t>Not found</t>
        </is>
      </c>
      <c r="L219" t="inlineStr">
        <is>
          <t>Unknown</t>
        </is>
      </c>
      <c r="T219" t="inlineStr">
        <is>
          <t>https://tenders.iglonline.net//dashboard</t>
        </is>
      </c>
      <c r="U219" t="inlineStr">
        <is>
          <t>No</t>
        </is>
      </c>
      <c r="V219" t="inlineStr">
        <is>
          <t>Bot tarafindan tespit edildi (2026-07-01)</t>
        </is>
      </c>
    </row>
    <row r="220">
      <c r="A220" t="inlineStr">
        <is>
          <t>T-0024</t>
        </is>
      </c>
      <c r="B220" t="inlineStr">
        <is>
          <t>Indraprastha Gas (IGL)</t>
        </is>
      </c>
      <c r="C220" t="inlineStr">
        <is>
          <t>Indraprastha Gas (IGL)</t>
        </is>
      </c>
      <c r="F220" t="inlineStr">
        <is>
          <t>New Lead</t>
        </is>
      </c>
      <c r="H220" t="inlineStr">
        <is>
          <t>Active Tenders and Corrigendum/Addendum</t>
        </is>
      </c>
      <c r="K220" t="inlineStr">
        <is>
          <t>Not found</t>
        </is>
      </c>
      <c r="L220" t="inlineStr">
        <is>
          <t>Unknown</t>
        </is>
      </c>
      <c r="T220" t="inlineStr">
        <is>
          <t>https://tenders.iglonline.net/tenderList</t>
        </is>
      </c>
      <c r="U220" t="inlineStr">
        <is>
          <t>No</t>
        </is>
      </c>
      <c r="V220" t="inlineStr">
        <is>
          <t>Bot tarafindan tespit edildi (2026-07-01)</t>
        </is>
      </c>
    </row>
    <row r="221">
      <c r="A221" t="inlineStr">
        <is>
          <t>T-0025</t>
        </is>
      </c>
      <c r="B221" t="inlineStr">
        <is>
          <t>Indraprastha Gas (IGL)</t>
        </is>
      </c>
      <c r="C221" t="inlineStr">
        <is>
          <t>Indraprastha Gas (IGL)</t>
        </is>
      </c>
      <c r="F221" t="inlineStr">
        <is>
          <t>New Lead</t>
        </is>
      </c>
      <c r="H221" t="inlineStr">
        <is>
          <t>Old Tenders</t>
        </is>
      </c>
      <c r="K221" t="inlineStr">
        <is>
          <t>Not found</t>
        </is>
      </c>
      <c r="L221" t="inlineStr">
        <is>
          <t>Unknown</t>
        </is>
      </c>
      <c r="T221" t="inlineStr">
        <is>
          <t>https://tenders.iglonline.net/old-tenders</t>
        </is>
      </c>
      <c r="U221" t="inlineStr">
        <is>
          <t>No</t>
        </is>
      </c>
      <c r="V221" t="inlineStr">
        <is>
          <t>Bot tarafindan tespit edildi (2026-07-01)</t>
        </is>
      </c>
    </row>
    <row r="222">
      <c r="A222" t="inlineStr">
        <is>
          <t>T-0026</t>
        </is>
      </c>
      <c r="B222" t="inlineStr">
        <is>
          <t>Indraprastha Gas (IGL)</t>
        </is>
      </c>
      <c r="C222" t="inlineStr">
        <is>
          <t>Indraprastha Gas (IGL)</t>
        </is>
      </c>
      <c r="F222" t="inlineStr">
        <is>
          <t>New Lead</t>
        </is>
      </c>
      <c r="H222" t="inlineStr">
        <is>
          <t>Expression of Interest</t>
        </is>
      </c>
      <c r="K222" t="inlineStr">
        <is>
          <t>Not found</t>
        </is>
      </c>
      <c r="L222" t="inlineStr">
        <is>
          <t>Unknown</t>
        </is>
      </c>
      <c r="T222" t="inlineStr">
        <is>
          <t>https://tenders.iglonline.net/expression-of-interest</t>
        </is>
      </c>
      <c r="U222" t="inlineStr">
        <is>
          <t>No</t>
        </is>
      </c>
      <c r="V222" t="inlineStr">
        <is>
          <t>Bot tarafindan tespit edildi (2026-07-01)</t>
        </is>
      </c>
    </row>
    <row r="223">
      <c r="A223" t="inlineStr">
        <is>
          <t>T-0027</t>
        </is>
      </c>
      <c r="B223" t="inlineStr">
        <is>
          <t>Indraprastha Gas (IGL)</t>
        </is>
      </c>
      <c r="C223" t="inlineStr">
        <is>
          <t>Indraprastha Gas (IGL)</t>
        </is>
      </c>
      <c r="F223" t="inlineStr">
        <is>
          <t>New Lead</t>
        </is>
      </c>
      <c r="H223" t="inlineStr">
        <is>
          <t>Old EOI</t>
        </is>
      </c>
      <c r="K223" t="inlineStr">
        <is>
          <t>Not found</t>
        </is>
      </c>
      <c r="L223" t="inlineStr">
        <is>
          <t>Unknown</t>
        </is>
      </c>
      <c r="T223" t="inlineStr">
        <is>
          <t>https://iglonline.net/old-eoi</t>
        </is>
      </c>
      <c r="U223" t="inlineStr">
        <is>
          <t>No</t>
        </is>
      </c>
      <c r="V223" t="inlineStr">
        <is>
          <t>Bot tarafindan tespit edildi (2026-07-01)</t>
        </is>
      </c>
    </row>
    <row r="224">
      <c r="A224" t="inlineStr">
        <is>
          <t>T-0028</t>
        </is>
      </c>
      <c r="B224" t="inlineStr">
        <is>
          <t>Indraprastha Gas (IGL)</t>
        </is>
      </c>
      <c r="C224" t="inlineStr">
        <is>
          <t>Indraprastha Gas (IGL)</t>
        </is>
      </c>
      <c r="F224" t="inlineStr">
        <is>
          <t>New Lead</t>
        </is>
      </c>
      <c r="H224" t="inlineStr">
        <is>
          <t>Bank Guarantee Format</t>
        </is>
      </c>
      <c r="L224" t="inlineStr">
        <is>
          <t>Unknown</t>
        </is>
      </c>
      <c r="T224" t="inlineStr">
        <is>
          <t>https://www.iglonline.net/uploads/files/CPBG_Original_Format.pdf</t>
        </is>
      </c>
      <c r="U224" t="inlineStr">
        <is>
          <t>Yes</t>
        </is>
      </c>
      <c r="V224" t="inlineStr">
        <is>
          <t>Bot tarafindan tespit edildi (2026-07-01)</t>
        </is>
      </c>
    </row>
    <row r="225">
      <c r="A225" t="inlineStr">
        <is>
          <t>T-0029</t>
        </is>
      </c>
      <c r="B225" t="inlineStr">
        <is>
          <t>Indraprastha Gas (IGL)</t>
        </is>
      </c>
      <c r="C225" t="inlineStr">
        <is>
          <t>Indraprastha Gas (IGL)</t>
        </is>
      </c>
      <c r="D225" t="inlineStr">
        <is>
          <t>TENDER NO. FOR</t>
        </is>
      </c>
      <c r="F225" t="inlineStr">
        <is>
          <t>Docs Found</t>
        </is>
      </c>
      <c r="H225" t="inlineStr">
        <is>
          <t>Bid Bond Proforma/Proforma of Bid</t>
        </is>
      </c>
      <c r="K225" t="inlineStr">
        <is>
          <t>INDRAPRASTHA GAS</t>
        </is>
      </c>
      <c r="L225" t="inlineStr">
        <is>
          <t>Unknown</t>
        </is>
      </c>
      <c r="T225" t="inlineStr">
        <is>
          <t>https://www.iglonline.net/uploads/files/BID_BOND_PROFORMA.pdf</t>
        </is>
      </c>
      <c r="U225" t="inlineStr">
        <is>
          <t>Yes</t>
        </is>
      </c>
      <c r="V225" t="inlineStr">
        <is>
          <t>Bot tarafindan tespit edildi (2026-07-01)</t>
        </is>
      </c>
    </row>
    <row r="226">
      <c r="A226" t="inlineStr">
        <is>
          <t>T-0030</t>
        </is>
      </c>
      <c r="B226" t="inlineStr">
        <is>
          <t>Indraprastha Gas (IGL)</t>
        </is>
      </c>
      <c r="C226" t="inlineStr">
        <is>
          <t>Indraprastha Gas (IGL)</t>
        </is>
      </c>
      <c r="F226" t="inlineStr">
        <is>
          <t>New Lead</t>
        </is>
      </c>
      <c r="H226" t="inlineStr">
        <is>
          <t>IGL GST Details</t>
        </is>
      </c>
      <c r="K226" t="inlineStr">
        <is>
          <t>INDRAPRASTHA GAS LIMITED</t>
        </is>
      </c>
      <c r="L226" t="inlineStr">
        <is>
          <t>Unknown</t>
        </is>
      </c>
      <c r="T226" t="inlineStr">
        <is>
          <t>https://www.iglonline.net/uploads/files/IGL GST Certificate Details_v2.pdf</t>
        </is>
      </c>
      <c r="U226" t="inlineStr">
        <is>
          <t>Yes</t>
        </is>
      </c>
      <c r="V226" t="inlineStr">
        <is>
          <t>Bot tarafindan tespit edildi (2026-07-01)</t>
        </is>
      </c>
    </row>
    <row r="227">
      <c r="A227" t="inlineStr">
        <is>
          <t>T-0031</t>
        </is>
      </c>
      <c r="B227" t="inlineStr">
        <is>
          <t>Indraprastha Gas (IGL)</t>
        </is>
      </c>
      <c r="C227" t="inlineStr">
        <is>
          <t>Indraprastha Gas (IGL)</t>
        </is>
      </c>
      <c r="F227" t="inlineStr">
        <is>
          <t>New Lead</t>
        </is>
      </c>
      <c r="H227" t="inlineStr">
        <is>
          <t>Vendor Evaluation Policy</t>
        </is>
      </c>
      <c r="L227" t="inlineStr">
        <is>
          <t>Unknown</t>
        </is>
      </c>
      <c r="T227" t="inlineStr">
        <is>
          <t>https://iglonline.net/uploads/files/Vendor_Evaluation_Policy_v2_01.pdf</t>
        </is>
      </c>
      <c r="U227" t="inlineStr">
        <is>
          <t>Yes</t>
        </is>
      </c>
      <c r="V227" t="inlineStr">
        <is>
          <t>Bot tarafindan tespit edildi (2026-07-01)</t>
        </is>
      </c>
    </row>
    <row r="228">
      <c r="A228" t="inlineStr">
        <is>
          <t>T-0032</t>
        </is>
      </c>
      <c r="B228" t="inlineStr">
        <is>
          <t>Indraprastha Gas (IGL)</t>
        </is>
      </c>
      <c r="C228" t="inlineStr">
        <is>
          <t>Indraprastha Gas (IGL)</t>
        </is>
      </c>
      <c r="F228" t="inlineStr">
        <is>
          <t>New Lead</t>
        </is>
      </c>
      <c r="H228" t="inlineStr">
        <is>
          <t>IGL Holiday Listing Policy</t>
        </is>
      </c>
      <c r="L228" t="inlineStr">
        <is>
          <t>Unknown</t>
        </is>
      </c>
      <c r="T228" t="inlineStr">
        <is>
          <t>https://www.iglonline.net/uploads/files/IGL_Holiday_Listing_Policy.pdf</t>
        </is>
      </c>
      <c r="U228" t="inlineStr">
        <is>
          <t>Yes</t>
        </is>
      </c>
      <c r="V228" t="inlineStr">
        <is>
          <t>Bot tarafindan tespit edildi (2026-07-01)</t>
        </is>
      </c>
    </row>
    <row r="229">
      <c r="A229" t="inlineStr">
        <is>
          <t>T-0033</t>
        </is>
      </c>
      <c r="B229" t="inlineStr">
        <is>
          <t>Indraprastha Gas (IGL)</t>
        </is>
      </c>
      <c r="C229" t="inlineStr">
        <is>
          <t>Indraprastha Gas (IGL)</t>
        </is>
      </c>
      <c r="F229" t="inlineStr">
        <is>
          <t>New Lead</t>
        </is>
      </c>
      <c r="H229" t="inlineStr">
        <is>
          <t>E-tender Guide</t>
        </is>
      </c>
      <c r="L229" t="inlineStr">
        <is>
          <t>Unknown</t>
        </is>
      </c>
      <c r="T229" t="inlineStr">
        <is>
          <t>https://www.iglonline.net/uploads/files/E-tender_guide_for_bidders.pdf</t>
        </is>
      </c>
      <c r="U229" t="inlineStr">
        <is>
          <t>Yes</t>
        </is>
      </c>
      <c r="V229" t="inlineStr">
        <is>
          <t>Bot tarafindan tespit edildi (2026-07-01)</t>
        </is>
      </c>
    </row>
    <row r="230">
      <c r="A230" t="inlineStr">
        <is>
          <t>T-0034</t>
        </is>
      </c>
      <c r="B230" t="inlineStr">
        <is>
          <t>Indraprastha Gas (IGL)</t>
        </is>
      </c>
      <c r="C230" t="inlineStr">
        <is>
          <t>Indraprastha Gas (IGL)</t>
        </is>
      </c>
      <c r="F230" t="inlineStr">
        <is>
          <t>New Lead</t>
        </is>
      </c>
      <c r="H230" t="inlineStr">
        <is>
          <t>Vendor Registration For e-tender Portal`s</t>
        </is>
      </c>
      <c r="K230" t="inlineStr">
        <is>
          <t>Not found</t>
        </is>
      </c>
      <c r="L230" t="inlineStr">
        <is>
          <t>Unknown</t>
        </is>
      </c>
      <c r="T230" t="inlineStr">
        <is>
          <t>https://petroleum.euniwizarde.com/HomePage/loadSiteHomePage/Vy66Wa1zwHmM99LvXvGIkA</t>
        </is>
      </c>
      <c r="U230" t="inlineStr">
        <is>
          <t>No</t>
        </is>
      </c>
      <c r="V230" t="inlineStr">
        <is>
          <t>Bot tarafindan tespit edildi (2026-07-01)</t>
        </is>
      </c>
    </row>
    <row r="231">
      <c r="A231" t="inlineStr">
        <is>
          <t>T-0035</t>
        </is>
      </c>
      <c r="B231" t="inlineStr">
        <is>
          <t>Indraprastha Gas (IGL)</t>
        </is>
      </c>
      <c r="C231" t="inlineStr">
        <is>
          <t>Indraprastha Gas (IGL)</t>
        </is>
      </c>
      <c r="F231" t="inlineStr">
        <is>
          <t>New Lead</t>
        </is>
      </c>
      <c r="H231" t="inlineStr">
        <is>
          <t>BEC For pre tender</t>
        </is>
      </c>
      <c r="L231" t="inlineStr">
        <is>
          <t>Unknown</t>
        </is>
      </c>
      <c r="T231" t="inlineStr">
        <is>
          <t>https://www.iglonline.net/uploads/files/BEC For pre tender.pdf</t>
        </is>
      </c>
      <c r="U231" t="inlineStr">
        <is>
          <t>Yes</t>
        </is>
      </c>
      <c r="V231" t="inlineStr">
        <is>
          <t>Bot tarafindan tespit edildi (2026-07-01)</t>
        </is>
      </c>
    </row>
    <row r="232">
      <c r="A232" t="inlineStr">
        <is>
          <t>T-0036</t>
        </is>
      </c>
      <c r="B232" t="inlineStr">
        <is>
          <t>Indraprastha Gas (IGL)</t>
        </is>
      </c>
      <c r="C232" t="inlineStr">
        <is>
          <t>Indraprastha Gas (IGL)</t>
        </is>
      </c>
      <c r="F232" t="inlineStr">
        <is>
          <t>New Lead</t>
        </is>
      </c>
      <c r="H232" t="inlineStr">
        <is>
          <t>SOR</t>
        </is>
      </c>
      <c r="K232" t="inlineStr">
        <is>
          <t>Not found</t>
        </is>
      </c>
      <c r="L232" t="inlineStr">
        <is>
          <t>Unknown</t>
        </is>
      </c>
      <c r="T232" t="inlineStr">
        <is>
          <t>https://www.iglonline.net/uploads/files/SOR.xlsx</t>
        </is>
      </c>
      <c r="U232" t="inlineStr">
        <is>
          <t>No</t>
        </is>
      </c>
      <c r="V232" t="inlineStr">
        <is>
          <t>Bot tarafindan tespit edildi (2026-07-01)</t>
        </is>
      </c>
    </row>
    <row r="233">
      <c r="A233" t="inlineStr">
        <is>
          <t>T-0037</t>
        </is>
      </c>
      <c r="B233" t="inlineStr">
        <is>
          <t>Indraprastha Gas (IGL)</t>
        </is>
      </c>
      <c r="C233" t="inlineStr">
        <is>
          <t>Indraprastha Gas (IGL)</t>
        </is>
      </c>
      <c r="F233" t="inlineStr">
        <is>
          <t>New Lead</t>
        </is>
      </c>
      <c r="H233" t="inlineStr">
        <is>
          <t>Tech. Specs</t>
        </is>
      </c>
      <c r="K233" t="inlineStr">
        <is>
          <t>Oldham, Spectrex Detronics Honeywell Net</t>
        </is>
      </c>
      <c r="L233" t="inlineStr">
        <is>
          <t>Unknown</t>
        </is>
      </c>
      <c r="M233" t="n">
        <v>100</v>
      </c>
      <c r="T233" t="inlineStr">
        <is>
          <t>https://www.iglonline.net/uploads/files/Tech_Specs.pdf</t>
        </is>
      </c>
      <c r="U233" t="inlineStr">
        <is>
          <t>Yes</t>
        </is>
      </c>
      <c r="V233" t="inlineStr">
        <is>
          <t>Bot tarafindan tespit edildi (2026-07-01)</t>
        </is>
      </c>
    </row>
    <row r="234">
      <c r="A234" t="inlineStr">
        <is>
          <t>T-0038</t>
        </is>
      </c>
      <c r="B234" t="inlineStr">
        <is>
          <t>Indraprastha Gas (IGL)</t>
        </is>
      </c>
      <c r="C234" t="inlineStr">
        <is>
          <t>Indraprastha Gas (IGL)</t>
        </is>
      </c>
      <c r="D234" t="inlineStr">
        <is>
          <t>erence</t>
        </is>
      </c>
      <c r="E234" t="inlineStr">
        <is>
          <t>28-02-2025</t>
        </is>
      </c>
      <c r="F234" t="inlineStr">
        <is>
          <t>New Lead</t>
        </is>
      </c>
      <c r="G234" t="inlineStr">
        <is>
          <t>Domestic gas regulator</t>
        </is>
      </c>
      <c r="H234" t="inlineStr">
        <is>
          <t>Pre-bid meeting for Implementation of vendor invoice system in IGL</t>
        </is>
      </c>
      <c r="L234" t="inlineStr">
        <is>
          <t>Unknown</t>
        </is>
      </c>
      <c r="T234" t="inlineStr">
        <is>
          <t>https://www.iglonline.net/uploads/files/VIM_Draft_scope.pdf</t>
        </is>
      </c>
      <c r="U234" t="inlineStr">
        <is>
          <t>Yes</t>
        </is>
      </c>
      <c r="V234" t="inlineStr">
        <is>
          <t>Bot tarafindan tespit edildi (2026-07-01); Bot clean extraction (2026-07-01); meta:score=10;priority=Low;source_type=html_table;closing_date=;equipment=Domestic gas regulator;quality_status=market_target;market_relevance=High;document_type=corrigendum;unit_price_inr=;amount_label=;matched_terms=Domestic gas regulator,Service / pressure regulator,Regulating / metering station,Skid / gas train,Gas filter station / filter equipment,Safety / shut-off equipment;reject_reasons=employment/corporate,non-product service,retail/cng station noise,civil/electrical only;scope=market_intelligence_only;excluded_scope=no_bid_or_offer_submission_automation</t>
        </is>
      </c>
    </row>
    <row r="235">
      <c r="A235" t="inlineStr">
        <is>
          <t>T-0039</t>
        </is>
      </c>
      <c r="B235" t="inlineStr">
        <is>
          <t>Indraprastha Gas (IGL)</t>
        </is>
      </c>
      <c r="C235" t="inlineStr">
        <is>
          <t>Indraprastha Gas (IGL)</t>
        </is>
      </c>
      <c r="D235" t="inlineStr">
        <is>
          <t>erence</t>
        </is>
      </c>
      <c r="E235" t="inlineStr">
        <is>
          <t>28-02-2025</t>
        </is>
      </c>
      <c r="F235" t="inlineStr">
        <is>
          <t>New Lead</t>
        </is>
      </c>
      <c r="G235" t="inlineStr">
        <is>
          <t>Domestic gas regulator</t>
        </is>
      </c>
      <c r="H235" t="inlineStr">
        <is>
          <t>Pre-tender Meet for Supply of Master Mass Flow Meter (Prover System) Used for Calibration of Flowmeters Used in CNG Dispensers and at LCV points on Igl Website</t>
        </is>
      </c>
      <c r="L235" t="inlineStr">
        <is>
          <t>Unknown</t>
        </is>
      </c>
      <c r="T235" t="inlineStr">
        <is>
          <t>https://www.iglonline.net/uploads/files/Pre_tender_meet.pdf</t>
        </is>
      </c>
      <c r="U235" t="inlineStr">
        <is>
          <t>No</t>
        </is>
      </c>
      <c r="V235" t="inlineStr">
        <is>
          <t>Bot tarafindan tespit edildi (2026-07-01); Bot clean extraction (2026-07-01); meta:score=10;priority=Low;source_type=html_table;closing_date=;equipment=Domestic gas regulator;quality_status=market_target;market_relevance=High;document_type=corrigendum;unit_price_inr=;amount_label=;matched_terms=Domestic gas regulator,Service / pressure regulator,Regulating / metering station,Skid / gas train,Gas filter station / filter equipment,Safety / shut-off equipment;reject_reasons=employment/corporate,non-product service,retail/cng station noise,civil/electrical only;scope=market_intelligence_only;excluded_scope=no_bid_or_offer_submission_automation</t>
        </is>
      </c>
    </row>
    <row r="236">
      <c r="A236" t="inlineStr">
        <is>
          <t>T-0040</t>
        </is>
      </c>
      <c r="B236" t="inlineStr">
        <is>
          <t>Indraprastha Gas (IGL)</t>
        </is>
      </c>
      <c r="C236" t="inlineStr">
        <is>
          <t>Indraprastha Gas (IGL)</t>
        </is>
      </c>
      <c r="D236" t="inlineStr">
        <is>
          <t>erence</t>
        </is>
      </c>
      <c r="E236" t="inlineStr">
        <is>
          <t>28-02-2025</t>
        </is>
      </c>
      <c r="F236" t="inlineStr">
        <is>
          <t>New Lead</t>
        </is>
      </c>
      <c r="G236" t="inlineStr">
        <is>
          <t>Domestic gas regulator</t>
        </is>
      </c>
      <c r="H236" t="inlineStr">
        <is>
          <t>Pre-Tender Meet for Procurement of Manual and Hydraulic Squeezers for Control Room Operation and Maintenance Work</t>
        </is>
      </c>
      <c r="K236" t="inlineStr">
        <is>
          <t>shall furnish to the Purchaser, the Contract Performance Bank</t>
        </is>
      </c>
      <c r="L236" t="inlineStr">
        <is>
          <t>Unknown</t>
        </is>
      </c>
      <c r="T236" t="inlineStr">
        <is>
          <t>https://www.iglonline.net/uploads/files/Pre_Tender_Squeezers.pdf</t>
        </is>
      </c>
      <c r="U236" t="inlineStr">
        <is>
          <t>Yes</t>
        </is>
      </c>
      <c r="V236" t="inlineStr">
        <is>
          <t>Bot tarafindan tespit edildi (2026-07-01); Bot clean extraction (2026-07-01); meta:score=10;priority=Low;source_type=html_table;closing_date=;equipment=Domestic gas regulator;quality_status=market_target;market_relevance=High;document_type=corrigendum;unit_price_inr=;amount_label=;matched_terms=Domestic gas regulator,Service / pressure regulator,Regulating / metering station,Skid / gas train,Gas filter station / filter equipment,Safety / shut-off equipment;reject_reasons=employment/corporate,non-product service,retail/cng station noise,civil/electrical only;scope=market_intelligence_only;excluded_scope=no_bid_or_offer_submission_automation</t>
        </is>
      </c>
    </row>
    <row r="237">
      <c r="A237" t="inlineStr">
        <is>
          <t>T-0041</t>
        </is>
      </c>
      <c r="B237" t="inlineStr">
        <is>
          <t>Indraprastha Gas (IGL)</t>
        </is>
      </c>
      <c r="C237" t="inlineStr">
        <is>
          <t>Indraprastha Gas (IGL)</t>
        </is>
      </c>
      <c r="D237" t="inlineStr">
        <is>
          <t>erence</t>
        </is>
      </c>
      <c r="E237" t="inlineStr">
        <is>
          <t>28-02-2025</t>
        </is>
      </c>
      <c r="F237" t="inlineStr">
        <is>
          <t>New Lead</t>
        </is>
      </c>
      <c r="G237" t="inlineStr">
        <is>
          <t>Domestic gas regulator</t>
        </is>
      </c>
      <c r="H237" t="inlineStr">
        <is>
          <t>DESIGN, SUPPLY, INSTALLATION, COMMISSIONING AND 10 YEARS OF OPERATION &amp; COMPREHENSIVE MAINTENANCE OF 350 SCMH ELECTRIC MOTOR DRIVEN COMPRESSOR PACKAGES</t>
        </is>
      </c>
      <c r="I237" t="inlineStr">
        <is>
          <t>1.0</t>
        </is>
      </c>
      <c r="K237" t="inlineStr">
        <is>
          <t>before dispatch. 4. In case any new GAs is added (in future), within above mentioned states, bidder</t>
        </is>
      </c>
      <c r="L237" t="inlineStr">
        <is>
          <t>Unknown</t>
        </is>
      </c>
      <c r="M237" t="n">
        <v>4</v>
      </c>
      <c r="R237" t="n">
        <v>10000</v>
      </c>
      <c r="S237" t="n">
        <v>10000</v>
      </c>
      <c r="T237" t="inlineStr">
        <is>
          <t>https://www.iglonline.net/uploads/files/Pre Tender Meet for 350 SCMH EMD packages.pdf</t>
        </is>
      </c>
      <c r="U237" t="inlineStr">
        <is>
          <t>Yes</t>
        </is>
      </c>
      <c r="V237" t="inlineStr">
        <is>
          <t>Bot tarafindan tespit edildi (2026-07-01); Bot clean extraction (2026-07-01); meta:score=10;priority=Low;source_type=html_table;closing_date=;equipment=Domestic gas regulator;quality_status=market_target;market_relevance=High;document_type=corrigendum;unit_price_inr=;amount_label=;matched_terms=Domestic gas regulator,Service / pressure regulator,Regulating / metering station,Skid / gas train,Gas filter station / filter equipment,Safety / shut-off equipment;reject_reasons=employment/corporate,non-product service,retail/cng station noise,civil/electrical only;scope=market_intelligence_only;excluded_scope=no_bid_or_offer_submission_automation</t>
        </is>
      </c>
    </row>
    <row r="238">
      <c r="A238" t="inlineStr">
        <is>
          <t>T-0042</t>
        </is>
      </c>
      <c r="B238" t="inlineStr">
        <is>
          <t>Indraprastha Gas (IGL)</t>
        </is>
      </c>
      <c r="C238" t="inlineStr">
        <is>
          <t>Indraprastha Gas (IGL)</t>
        </is>
      </c>
      <c r="F238" t="inlineStr">
        <is>
          <t>New Lead</t>
        </is>
      </c>
      <c r="H238" t="inlineStr">
        <is>
          <t>View Tender</t>
        </is>
      </c>
      <c r="K238" t="inlineStr">
        <is>
          <t>Not found</t>
        </is>
      </c>
      <c r="L238" t="inlineStr">
        <is>
          <t>Unknown</t>
        </is>
      </c>
      <c r="T238" t="inlineStr">
        <is>
          <t>https://tenders.iglonline.net/tenderDetail/545/Active Tenders And Corrigendum-Addendum</t>
        </is>
      </c>
      <c r="U238" t="inlineStr">
        <is>
          <t>No</t>
        </is>
      </c>
      <c r="V238" t="inlineStr">
        <is>
          <t>Bot tarafindan tespit edildi (2026-07-01)</t>
        </is>
      </c>
    </row>
    <row r="239">
      <c r="A239" t="inlineStr">
        <is>
          <t>T-0043</t>
        </is>
      </c>
      <c r="B239" t="inlineStr">
        <is>
          <t>Indraprastha Gas (IGL)</t>
        </is>
      </c>
      <c r="C239" t="inlineStr">
        <is>
          <t>Indraprastha Gas (IGL)</t>
        </is>
      </c>
      <c r="F239" t="inlineStr">
        <is>
          <t>New Lead</t>
        </is>
      </c>
      <c r="H239" t="inlineStr">
        <is>
          <t>View Tender</t>
        </is>
      </c>
      <c r="K239" t="inlineStr">
        <is>
          <t>Not found</t>
        </is>
      </c>
      <c r="L239" t="inlineStr">
        <is>
          <t>Unknown</t>
        </is>
      </c>
      <c r="T239" t="inlineStr">
        <is>
          <t>https://tenders.iglonline.net/tenderDetail/544/Active Tenders And Corrigendum-Addendum</t>
        </is>
      </c>
      <c r="U239" t="inlineStr">
        <is>
          <t>No</t>
        </is>
      </c>
      <c r="V239" t="inlineStr">
        <is>
          <t>Bot tarafindan tespit edildi (2026-07-01)</t>
        </is>
      </c>
    </row>
    <row r="240">
      <c r="A240" t="inlineStr">
        <is>
          <t>T-0044</t>
        </is>
      </c>
      <c r="B240" t="inlineStr">
        <is>
          <t>Indraprastha Gas (IGL)</t>
        </is>
      </c>
      <c r="C240" t="inlineStr">
        <is>
          <t>Indraprastha Gas (IGL)</t>
        </is>
      </c>
      <c r="F240" t="inlineStr">
        <is>
          <t>New Lead</t>
        </is>
      </c>
      <c r="H240" t="inlineStr">
        <is>
          <t>View Tender</t>
        </is>
      </c>
      <c r="K240" t="inlineStr">
        <is>
          <t>Not found</t>
        </is>
      </c>
      <c r="L240" t="inlineStr">
        <is>
          <t>Unknown</t>
        </is>
      </c>
      <c r="T240" t="inlineStr">
        <is>
          <t>https://tenders.iglonline.net/tenderDetail/543/Active Tenders And Corrigendum-Addendum</t>
        </is>
      </c>
      <c r="U240" t="inlineStr">
        <is>
          <t>No</t>
        </is>
      </c>
      <c r="V240" t="inlineStr">
        <is>
          <t>Bot tarafindan tespit edildi (2026-07-01)</t>
        </is>
      </c>
    </row>
    <row r="241">
      <c r="A241" t="inlineStr">
        <is>
          <t>T-0045</t>
        </is>
      </c>
      <c r="B241" t="inlineStr">
        <is>
          <t>Indraprastha Gas (IGL)</t>
        </is>
      </c>
      <c r="C241" t="inlineStr">
        <is>
          <t>Indraprastha Gas (IGL)</t>
        </is>
      </c>
      <c r="F241" t="inlineStr">
        <is>
          <t>New Lead</t>
        </is>
      </c>
      <c r="H241" t="inlineStr">
        <is>
          <t>View Tender</t>
        </is>
      </c>
      <c r="K241" t="inlineStr">
        <is>
          <t>Not found</t>
        </is>
      </c>
      <c r="L241" t="inlineStr">
        <is>
          <t>Unknown</t>
        </is>
      </c>
      <c r="T241" t="inlineStr">
        <is>
          <t>https://tenders.iglonline.net/tenderDetail/542/Active Tenders And Corrigendum-Addendum</t>
        </is>
      </c>
      <c r="U241" t="inlineStr">
        <is>
          <t>No</t>
        </is>
      </c>
      <c r="V241" t="inlineStr">
        <is>
          <t>Bot tarafindan tespit edildi (2026-07-01)</t>
        </is>
      </c>
    </row>
    <row r="242">
      <c r="A242" t="inlineStr">
        <is>
          <t>T-0046</t>
        </is>
      </c>
      <c r="B242" t="inlineStr">
        <is>
          <t>Indraprastha Gas (IGL)</t>
        </is>
      </c>
      <c r="C242" t="inlineStr">
        <is>
          <t>Indraprastha Gas (IGL)</t>
        </is>
      </c>
      <c r="D242" t="inlineStr">
        <is>
          <t>Tender Ref. No.</t>
        </is>
      </c>
      <c r="F242" t="inlineStr">
        <is>
          <t>Docs Found</t>
        </is>
      </c>
      <c r="G242" t="inlineStr">
        <is>
          <t>Gas-related / review</t>
        </is>
      </c>
      <c r="H242" t="inlineStr">
        <is>
          <t>Corrigendum_1_CP18908.pdf</t>
        </is>
      </c>
      <c r="L242" t="inlineStr">
        <is>
          <t>Unknown</t>
        </is>
      </c>
      <c r="T242" t="inlineStr">
        <is>
          <t>https://tenders.iglonline.net/uploads/tender/Corrigendum_1_CP18908.pdf</t>
        </is>
      </c>
      <c r="U242" t="inlineStr">
        <is>
          <t>Yes</t>
        </is>
      </c>
      <c r="V242" t="inlineStr">
        <is>
          <t>Bot tarafindan tespit edildi (2026-07-01); Bot tespit/zenginlestirme (2026-07-01); meta:score=35;priority=Low;source_type=html_table;closing_date=;equipment=Gas-related / review;reasons=equipment:Gas-related / review,document source</t>
        </is>
      </c>
    </row>
    <row r="243">
      <c r="A243" t="inlineStr">
        <is>
          <t>T-0047</t>
        </is>
      </c>
      <c r="B243" t="inlineStr">
        <is>
          <t>Indraprastha Gas (IGL)</t>
        </is>
      </c>
      <c r="C243" t="inlineStr">
        <is>
          <t>Indraprastha Gas (IGL)</t>
        </is>
      </c>
      <c r="F243" t="inlineStr">
        <is>
          <t>New Lead</t>
        </is>
      </c>
      <c r="H243" t="inlineStr">
        <is>
          <t>View Tender</t>
        </is>
      </c>
      <c r="K243" t="inlineStr">
        <is>
          <t>Not found</t>
        </is>
      </c>
      <c r="L243" t="inlineStr">
        <is>
          <t>Unknown</t>
        </is>
      </c>
      <c r="T243" t="inlineStr">
        <is>
          <t>https://tenders.iglonline.net/tenderDetail/541/Active Tenders And Corrigendum-Addendum</t>
        </is>
      </c>
      <c r="U243" t="inlineStr">
        <is>
          <t>No</t>
        </is>
      </c>
      <c r="V243" t="inlineStr">
        <is>
          <t>Bot tarafindan tespit edildi (2026-07-01)</t>
        </is>
      </c>
    </row>
    <row r="244">
      <c r="A244" t="inlineStr">
        <is>
          <t>T-0048</t>
        </is>
      </c>
      <c r="B244" t="inlineStr">
        <is>
          <t>Indraprastha Gas (IGL)</t>
        </is>
      </c>
      <c r="C244" t="inlineStr">
        <is>
          <t>Indraprastha Gas (IGL)</t>
        </is>
      </c>
      <c r="D244" t="inlineStr">
        <is>
          <t>Tender Ref. No.</t>
        </is>
      </c>
      <c r="F244" t="inlineStr">
        <is>
          <t>Awarded</t>
        </is>
      </c>
      <c r="G244" t="inlineStr">
        <is>
          <t>Metering skid</t>
        </is>
      </c>
      <c r="H244" t="inlineStr">
        <is>
          <t>Corrigendum_1_CP18866.pdf</t>
        </is>
      </c>
      <c r="L244" t="inlineStr">
        <is>
          <t>Unknown</t>
        </is>
      </c>
      <c r="M244" t="n">
        <v>13</v>
      </c>
      <c r="T244" t="inlineStr">
        <is>
          <t>https://tenders.iglonline.net/uploads/tender/Corrigendum_1_CP18866.pdf</t>
        </is>
      </c>
      <c r="U244" t="inlineStr">
        <is>
          <t>Yes</t>
        </is>
      </c>
      <c r="V244" t="inlineStr">
        <is>
          <t>Bot tarafindan tespit edildi (2026-07-01) | Bot enrich; date=2026-07-01; type=pdf; score=230; pdf_conf=Medium</t>
        </is>
      </c>
    </row>
    <row r="245">
      <c r="A245" t="inlineStr">
        <is>
          <t>T-0049</t>
        </is>
      </c>
      <c r="B245" t="inlineStr">
        <is>
          <t>Indraprastha Gas (IGL)</t>
        </is>
      </c>
      <c r="C245" t="inlineStr">
        <is>
          <t>Indraprastha Gas (IGL)</t>
        </is>
      </c>
      <c r="F245" t="inlineStr">
        <is>
          <t>New Lead</t>
        </is>
      </c>
      <c r="H245" t="inlineStr">
        <is>
          <t>View Tender</t>
        </is>
      </c>
      <c r="K245" t="inlineStr">
        <is>
          <t>Not found</t>
        </is>
      </c>
      <c r="L245" t="inlineStr">
        <is>
          <t>Unknown</t>
        </is>
      </c>
      <c r="T245" t="inlineStr">
        <is>
          <t>https://tenders.iglonline.net/tenderDetail/540/Active Tenders And Corrigendum-Addendum</t>
        </is>
      </c>
      <c r="U245" t="inlineStr">
        <is>
          <t>No</t>
        </is>
      </c>
      <c r="V245" t="inlineStr">
        <is>
          <t>Bot tarafindan tespit edildi (2026-07-01)</t>
        </is>
      </c>
    </row>
    <row r="246">
      <c r="A246" t="inlineStr">
        <is>
          <t>T-0050</t>
        </is>
      </c>
      <c r="B246" t="inlineStr">
        <is>
          <t>Indraprastha Gas (IGL)</t>
        </is>
      </c>
      <c r="C246" t="inlineStr">
        <is>
          <t>Indraprastha Gas (IGL)</t>
        </is>
      </c>
      <c r="F246" t="inlineStr">
        <is>
          <t>New Lead</t>
        </is>
      </c>
      <c r="H246" t="inlineStr">
        <is>
          <t>View Tender</t>
        </is>
      </c>
      <c r="K246" t="inlineStr">
        <is>
          <t>Not found</t>
        </is>
      </c>
      <c r="L246" t="inlineStr">
        <is>
          <t>Unknown</t>
        </is>
      </c>
      <c r="T246" t="inlineStr">
        <is>
          <t>https://tenders.iglonline.net/tenderDetail/539/Active Tenders And Corrigendum-Addendum</t>
        </is>
      </c>
      <c r="U246" t="inlineStr">
        <is>
          <t>No</t>
        </is>
      </c>
      <c r="V246" t="inlineStr">
        <is>
          <t>Bot tarafindan tespit edildi (2026-07-01)</t>
        </is>
      </c>
    </row>
    <row r="247">
      <c r="A247" t="inlineStr">
        <is>
          <t>T-0051</t>
        </is>
      </c>
      <c r="B247" t="inlineStr">
        <is>
          <t>Indraprastha Gas (IGL)</t>
        </is>
      </c>
      <c r="C247" t="inlineStr">
        <is>
          <t>Indraprastha Gas (IGL)</t>
        </is>
      </c>
      <c r="F247" t="inlineStr">
        <is>
          <t>New Lead</t>
        </is>
      </c>
      <c r="H247" t="inlineStr">
        <is>
          <t>View Tender</t>
        </is>
      </c>
      <c r="K247" t="inlineStr">
        <is>
          <t>Not found</t>
        </is>
      </c>
      <c r="L247" t="inlineStr">
        <is>
          <t>Unknown</t>
        </is>
      </c>
      <c r="T247" t="inlineStr">
        <is>
          <t>https://tenders.iglonline.net/tenderDetail/538/Active Tenders And Corrigendum-Addendum</t>
        </is>
      </c>
      <c r="U247" t="inlineStr">
        <is>
          <t>No</t>
        </is>
      </c>
      <c r="V247" t="inlineStr">
        <is>
          <t>Bot tarafindan tespit edildi (2026-07-01)</t>
        </is>
      </c>
    </row>
    <row r="248">
      <c r="A248" t="inlineStr">
        <is>
          <t>T-0052</t>
        </is>
      </c>
      <c r="B248" t="inlineStr">
        <is>
          <t>Indraprastha Gas (IGL)</t>
        </is>
      </c>
      <c r="C248" t="inlineStr">
        <is>
          <t>Indraprastha Gas (IGL)</t>
        </is>
      </c>
      <c r="F248" t="inlineStr">
        <is>
          <t>New Lead</t>
        </is>
      </c>
      <c r="H248" t="inlineStr">
        <is>
          <t>View Tender</t>
        </is>
      </c>
      <c r="K248" t="inlineStr">
        <is>
          <t>Not found</t>
        </is>
      </c>
      <c r="L248" t="inlineStr">
        <is>
          <t>Unknown</t>
        </is>
      </c>
      <c r="T248" t="inlineStr">
        <is>
          <t>https://tenders.iglonline.net/tenderDetail/537/Active Tenders And Corrigendum-Addendum</t>
        </is>
      </c>
      <c r="U248" t="inlineStr">
        <is>
          <t>No</t>
        </is>
      </c>
      <c r="V248" t="inlineStr">
        <is>
          <t>Bot tarafindan tespit edildi (2026-07-01)</t>
        </is>
      </c>
    </row>
    <row r="249">
      <c r="A249" t="inlineStr">
        <is>
          <t>T-0053</t>
        </is>
      </c>
      <c r="B249" t="inlineStr">
        <is>
          <t>Indraprastha Gas (IGL)</t>
        </is>
      </c>
      <c r="C249" t="inlineStr">
        <is>
          <t>Indraprastha Gas (IGL)</t>
        </is>
      </c>
      <c r="F249" t="inlineStr">
        <is>
          <t>New Lead</t>
        </is>
      </c>
      <c r="H249" t="inlineStr">
        <is>
          <t>RTPBQ_CM18730.pdf</t>
        </is>
      </c>
      <c r="L249" t="inlineStr">
        <is>
          <t>Unknown</t>
        </is>
      </c>
      <c r="T249" t="inlineStr">
        <is>
          <t>https://tenders.iglonline.net/uploads/tender/RTPBQ_CM18730.pdf</t>
        </is>
      </c>
      <c r="U249" t="inlineStr">
        <is>
          <t>Yes</t>
        </is>
      </c>
      <c r="V249" t="inlineStr">
        <is>
          <t>Bot tarafindan tespit edildi (2026-07-01)</t>
        </is>
      </c>
    </row>
    <row r="250">
      <c r="A250" t="inlineStr">
        <is>
          <t>T-0054</t>
        </is>
      </c>
      <c r="B250" t="inlineStr">
        <is>
          <t>Indraprastha Gas (IGL)</t>
        </is>
      </c>
      <c r="C250" t="inlineStr">
        <is>
          <t>Indraprastha Gas (IGL)</t>
        </is>
      </c>
      <c r="F250" t="inlineStr">
        <is>
          <t>New Lead</t>
        </is>
      </c>
      <c r="H250" t="inlineStr">
        <is>
          <t>View Tender</t>
        </is>
      </c>
      <c r="K250" t="inlineStr">
        <is>
          <t>Not found</t>
        </is>
      </c>
      <c r="L250" t="inlineStr">
        <is>
          <t>Unknown</t>
        </is>
      </c>
      <c r="T250" t="inlineStr">
        <is>
          <t>https://tenders.iglonline.net/tenderDetail/536/Active Tenders And Corrigendum-Addendum</t>
        </is>
      </c>
      <c r="U250" t="inlineStr">
        <is>
          <t>No</t>
        </is>
      </c>
      <c r="V250" t="inlineStr">
        <is>
          <t>Bot tarafindan tespit edildi (2026-07-01)</t>
        </is>
      </c>
    </row>
    <row r="251">
      <c r="A251" t="inlineStr">
        <is>
          <t>T-0055</t>
        </is>
      </c>
      <c r="B251" t="inlineStr">
        <is>
          <t>Indraprastha Gas (IGL)</t>
        </is>
      </c>
      <c r="C251" t="inlineStr">
        <is>
          <t>Indraprastha Gas (IGL)</t>
        </is>
      </c>
      <c r="D251" t="inlineStr">
        <is>
          <t>TENDER NO. IGL/ET2/CP/CM18852</t>
        </is>
      </c>
      <c r="F251" t="inlineStr">
        <is>
          <t>Docs Found</t>
        </is>
      </c>
      <c r="H251" t="inlineStr">
        <is>
          <t>RTBQ_CM18852.pdf</t>
        </is>
      </c>
      <c r="L251" t="inlineStr">
        <is>
          <t>Unknown</t>
        </is>
      </c>
      <c r="T251" t="inlineStr">
        <is>
          <t>https://tenders.iglonline.net/uploads/tender/RTBQ_CM18852.pdf</t>
        </is>
      </c>
      <c r="U251" t="inlineStr">
        <is>
          <t>Yes</t>
        </is>
      </c>
      <c r="V251" t="inlineStr">
        <is>
          <t>Bot tarafindan tespit edildi (2026-07-01)</t>
        </is>
      </c>
    </row>
    <row r="252">
      <c r="A252" t="inlineStr">
        <is>
          <t>T-0056</t>
        </is>
      </c>
      <c r="B252" t="inlineStr">
        <is>
          <t>Indraprastha Gas (IGL)</t>
        </is>
      </c>
      <c r="C252" t="inlineStr">
        <is>
          <t>Indraprastha Gas (IGL)</t>
        </is>
      </c>
      <c r="F252" t="inlineStr">
        <is>
          <t>New Lead</t>
        </is>
      </c>
      <c r="H252" t="inlineStr">
        <is>
          <t>View Tender</t>
        </is>
      </c>
      <c r="K252" t="inlineStr">
        <is>
          <t>Not found</t>
        </is>
      </c>
      <c r="L252" t="inlineStr">
        <is>
          <t>Unknown</t>
        </is>
      </c>
      <c r="T252" t="inlineStr">
        <is>
          <t>https://tenders.iglonline.net/tenderDetail/535/Active Tenders And Corrigendum-Addendum</t>
        </is>
      </c>
      <c r="U252" t="inlineStr">
        <is>
          <t>No</t>
        </is>
      </c>
      <c r="V252" t="inlineStr">
        <is>
          <t>Bot tarafindan tespit edildi (2026-07-01)</t>
        </is>
      </c>
    </row>
    <row r="253">
      <c r="A253" t="inlineStr">
        <is>
          <t>T-0057</t>
        </is>
      </c>
      <c r="B253" t="inlineStr">
        <is>
          <t>Indraprastha Gas (IGL)</t>
        </is>
      </c>
      <c r="C253" t="inlineStr">
        <is>
          <t>Indraprastha Gas (IGL)</t>
        </is>
      </c>
      <c r="F253" t="inlineStr">
        <is>
          <t>New Lead</t>
        </is>
      </c>
      <c r="H253" t="inlineStr">
        <is>
          <t>View Tender</t>
        </is>
      </c>
      <c r="K253" t="inlineStr">
        <is>
          <t>Not found</t>
        </is>
      </c>
      <c r="L253" t="inlineStr">
        <is>
          <t>Unknown</t>
        </is>
      </c>
      <c r="T253" t="inlineStr">
        <is>
          <t>https://tenders.iglonline.net/tenderDetail/534/Active Tenders And Corrigendum-Addendum</t>
        </is>
      </c>
      <c r="U253" t="inlineStr">
        <is>
          <t>No</t>
        </is>
      </c>
      <c r="V253" t="inlineStr">
        <is>
          <t>Bot tarafindan tespit edildi (2026-07-01)</t>
        </is>
      </c>
    </row>
    <row r="254">
      <c r="A254" t="inlineStr">
        <is>
          <t>T-0058</t>
        </is>
      </c>
      <c r="B254" t="inlineStr">
        <is>
          <t>Indraprastha Gas (IGL)</t>
        </is>
      </c>
      <c r="C254" t="inlineStr">
        <is>
          <t>Indraprastha Gas (IGL)</t>
        </is>
      </c>
      <c r="D254" t="inlineStr">
        <is>
          <t>Tender
No.</t>
        </is>
      </c>
      <c r="F254" t="inlineStr">
        <is>
          <t>Awarded</t>
        </is>
      </c>
      <c r="G254" t="inlineStr">
        <is>
          <t>Metering skid</t>
        </is>
      </c>
      <c r="H254" t="inlineStr">
        <is>
          <t>Corrigendum_1_CP18845.pdf</t>
        </is>
      </c>
      <c r="L254" t="inlineStr">
        <is>
          <t>Unknown</t>
        </is>
      </c>
      <c r="M254" t="n">
        <v>100</v>
      </c>
      <c r="T254" t="inlineStr">
        <is>
          <t>https://tenders.iglonline.net/uploads/tender/Corrigendum_1_CP18845.pdf</t>
        </is>
      </c>
      <c r="U254" t="inlineStr">
        <is>
          <t>Yes</t>
        </is>
      </c>
      <c r="V254" t="inlineStr">
        <is>
          <t>Bot tarafindan tespit edildi (2026-07-01) | Bot enrich; date=2026-07-01; type=pdf; score=230; pdf_conf=Medium; Bot tespit/zenginlestirme (2026-07-01); meta:score=35;priority=Low;source_type=html_table;closing_date=;equipment=Gas-related / review;reasons=equipment:Gas-related / review,document source</t>
        </is>
      </c>
    </row>
    <row r="255">
      <c r="A255" t="inlineStr">
        <is>
          <t>T-0059</t>
        </is>
      </c>
      <c r="B255" t="inlineStr">
        <is>
          <t>Indraprastha Gas (IGL)</t>
        </is>
      </c>
      <c r="C255" t="inlineStr">
        <is>
          <t>Indraprastha Gas (IGL)</t>
        </is>
      </c>
      <c r="D255" t="inlineStr">
        <is>
          <t>tender norms.</t>
        </is>
      </c>
      <c r="F255" t="inlineStr">
        <is>
          <t>Awarded</t>
        </is>
      </c>
      <c r="G255" t="inlineStr">
        <is>
          <t>Metering skid</t>
        </is>
      </c>
      <c r="H255" t="inlineStr">
        <is>
          <t>RTPBQ_CP18845.pdf</t>
        </is>
      </c>
      <c r="K255" t="inlineStr">
        <is>
          <t>Contract start date</t>
        </is>
      </c>
      <c r="L255" t="inlineStr">
        <is>
          <t>Unknown</t>
        </is>
      </c>
      <c r="T255" t="inlineStr">
        <is>
          <t>https://tenders.iglonline.net/uploads/tender/RTPBQ_CP18845.pdf</t>
        </is>
      </c>
      <c r="U255" t="inlineStr">
        <is>
          <t>Yes</t>
        </is>
      </c>
      <c r="V255" t="inlineStr">
        <is>
          <t>Bot tarafindan tespit edildi (2026-07-01) | Bot enrich; date=2026-07-01; type=pdf; score=230; pdf_conf=Medium; Bot tespit/zenginlestirme (2026-07-01); meta:score=35;priority=Low;source_type=html_table;closing_date=;equipment=Gas-related / review;reasons=equipment:Gas-related / review,document source</t>
        </is>
      </c>
    </row>
    <row r="256">
      <c r="A256" t="inlineStr">
        <is>
          <t>T-0060</t>
        </is>
      </c>
      <c r="B256" t="inlineStr">
        <is>
          <t>Indraprastha Gas (IGL)</t>
        </is>
      </c>
      <c r="C256" t="inlineStr">
        <is>
          <t>Indraprastha Gas (IGL)</t>
        </is>
      </c>
      <c r="F256" t="inlineStr">
        <is>
          <t>New Lead</t>
        </is>
      </c>
      <c r="H256" t="inlineStr">
        <is>
          <t>View Tender</t>
        </is>
      </c>
      <c r="K256" t="inlineStr">
        <is>
          <t>Not found</t>
        </is>
      </c>
      <c r="L256" t="inlineStr">
        <is>
          <t>Unknown</t>
        </is>
      </c>
      <c r="T256" t="inlineStr">
        <is>
          <t>https://tenders.iglonline.net/tenderDetail/533/Active Tenders And Corrigendum-Addendum</t>
        </is>
      </c>
      <c r="U256" t="inlineStr">
        <is>
          <t>No</t>
        </is>
      </c>
      <c r="V256" t="inlineStr">
        <is>
          <t>Bot tarafindan tespit edildi (2026-07-01)</t>
        </is>
      </c>
    </row>
    <row r="257">
      <c r="A257" t="inlineStr">
        <is>
          <t>T-0061</t>
        </is>
      </c>
      <c r="B257" t="inlineStr">
        <is>
          <t>Indraprastha Gas (IGL)</t>
        </is>
      </c>
      <c r="C257" t="inlineStr">
        <is>
          <t>Indraprastha Gas (IGL)</t>
        </is>
      </c>
      <c r="D257" t="inlineStr">
        <is>
          <t>Tender
No.</t>
        </is>
      </c>
      <c r="F257" t="inlineStr">
        <is>
          <t>Awarded</t>
        </is>
      </c>
      <c r="G257" t="inlineStr">
        <is>
          <t>Metering skid</t>
        </is>
      </c>
      <c r="H257" t="inlineStr">
        <is>
          <t>Corrigendum_1_CP18838.pdf</t>
        </is>
      </c>
      <c r="L257" t="inlineStr">
        <is>
          <t>Unknown</t>
        </is>
      </c>
      <c r="M257" t="n">
        <v>100</v>
      </c>
      <c r="T257" t="inlineStr">
        <is>
          <t>https://tenders.iglonline.net/uploads/tender/Corrigendum_1_CP18838.pdf</t>
        </is>
      </c>
      <c r="U257" t="inlineStr">
        <is>
          <t>Yes</t>
        </is>
      </c>
      <c r="V257" t="inlineStr">
        <is>
          <t>Bot tarafindan tespit edildi (2026-07-01) | Bot enrich; date=2026-07-01; type=pdf; score=230; pdf_conf=Medium; Bot tespit/zenginlestirme (2026-07-01); meta:score=35;priority=Low;source_type=html_table;closing_date=;equipment=Gas-related / review;reasons=equipment:Gas-related / review,document source</t>
        </is>
      </c>
    </row>
    <row r="258">
      <c r="A258" t="inlineStr">
        <is>
          <t>T-0062</t>
        </is>
      </c>
      <c r="B258" t="inlineStr">
        <is>
          <t>Indraprastha Gas (IGL)</t>
        </is>
      </c>
      <c r="C258" t="inlineStr">
        <is>
          <t>Indraprastha Gas (IGL)</t>
        </is>
      </c>
      <c r="D258" t="inlineStr">
        <is>
          <t>DOCUMENT</t>
        </is>
      </c>
      <c r="F258" t="inlineStr">
        <is>
          <t>Awarded</t>
        </is>
      </c>
      <c r="G258" t="inlineStr">
        <is>
          <t>Commercial regulator</t>
        </is>
      </c>
      <c r="H258" t="inlineStr">
        <is>
          <t>RTPBQ_CP18838.pdf</t>
        </is>
      </c>
      <c r="L258" t="inlineStr">
        <is>
          <t>Unknown</t>
        </is>
      </c>
      <c r="M258" t="n">
        <v>200</v>
      </c>
      <c r="T258" t="inlineStr">
        <is>
          <t>https://tenders.iglonline.net/uploads/tender/RTPBQ_CP18838.pdf</t>
        </is>
      </c>
      <c r="U258" t="inlineStr">
        <is>
          <t>Yes</t>
        </is>
      </c>
      <c r="V258" t="inlineStr">
        <is>
          <t>Bot tarafindan tespit edildi (2026-07-01) | Bot enrich; date=2026-07-01; type=pdf; score=230; pdf_conf=Medium; Bot tespit/zenginlestirme (2026-07-01); meta:score=35;priority=Low;source_type=html_table;closing_date=;equipment=Gas-related / review;reasons=equipment:Gas-related / review,document source</t>
        </is>
      </c>
    </row>
    <row r="259">
      <c r="A259" t="inlineStr">
        <is>
          <t>T-0063</t>
        </is>
      </c>
      <c r="B259" t="inlineStr">
        <is>
          <t>Indraprastha Gas (IGL)</t>
        </is>
      </c>
      <c r="C259" t="inlineStr">
        <is>
          <t>Indraprastha Gas (IGL)</t>
        </is>
      </c>
      <c r="F259" t="inlineStr">
        <is>
          <t>New Lead</t>
        </is>
      </c>
      <c r="H259" t="inlineStr">
        <is>
          <t>View Tender</t>
        </is>
      </c>
      <c r="K259" t="inlineStr">
        <is>
          <t>Not found</t>
        </is>
      </c>
      <c r="L259" t="inlineStr">
        <is>
          <t>Unknown</t>
        </is>
      </c>
      <c r="T259" t="inlineStr">
        <is>
          <t>https://tenders.iglonline.net/tenderDetail/532/Active Tenders And Corrigendum-Addendum</t>
        </is>
      </c>
      <c r="U259" t="inlineStr">
        <is>
          <t>No</t>
        </is>
      </c>
      <c r="V259" t="inlineStr">
        <is>
          <t>Bot tarafindan tespit edildi (2026-07-01)</t>
        </is>
      </c>
    </row>
    <row r="260">
      <c r="A260" t="inlineStr">
        <is>
          <t>T-0064</t>
        </is>
      </c>
      <c r="B260" t="inlineStr">
        <is>
          <t>Indraprastha Gas (IGL)</t>
        </is>
      </c>
      <c r="C260" t="inlineStr">
        <is>
          <t>Indraprastha Gas (IGL)</t>
        </is>
      </c>
      <c r="F260" t="inlineStr">
        <is>
          <t>New Lead</t>
        </is>
      </c>
      <c r="H260" t="inlineStr">
        <is>
          <t>Corrigendum_1_CP18827.pdf</t>
        </is>
      </c>
      <c r="L260" t="inlineStr">
        <is>
          <t>Unknown</t>
        </is>
      </c>
      <c r="T260" t="inlineStr">
        <is>
          <t>https://tenders.iglonline.net/uploads/tender/Corrigendum_1_CP18827.pdf</t>
        </is>
      </c>
      <c r="U260" t="inlineStr">
        <is>
          <t>Yes</t>
        </is>
      </c>
      <c r="V260" t="inlineStr">
        <is>
          <t>Bot tarafindan tespit edildi (2026-07-01)</t>
        </is>
      </c>
    </row>
    <row r="261">
      <c r="A261" t="inlineStr">
        <is>
          <t>T-0065</t>
        </is>
      </c>
      <c r="B261" t="inlineStr">
        <is>
          <t>Indraprastha Gas (IGL)</t>
        </is>
      </c>
      <c r="C261" t="inlineStr">
        <is>
          <t>Indraprastha Gas (IGL)</t>
        </is>
      </c>
      <c r="F261" t="inlineStr">
        <is>
          <t>New Lead</t>
        </is>
      </c>
      <c r="H261" t="inlineStr">
        <is>
          <t>RTPBQ_CP18827.pdf</t>
        </is>
      </c>
      <c r="K261" t="inlineStr">
        <is>
          <t>ABC is an MSME-registered company and the authorized</t>
        </is>
      </c>
      <c r="L261" t="inlineStr">
        <is>
          <t>Unknown</t>
        </is>
      </c>
      <c r="T261" t="inlineStr">
        <is>
          <t>https://tenders.iglonline.net/uploads/tender/RTPBQ_CP18827.pdf</t>
        </is>
      </c>
      <c r="U261" t="inlineStr">
        <is>
          <t>Yes</t>
        </is>
      </c>
      <c r="V261" t="inlineStr">
        <is>
          <t>Bot tarafindan tespit edildi (2026-07-01)</t>
        </is>
      </c>
    </row>
    <row r="262">
      <c r="A262" t="inlineStr">
        <is>
          <t>T-0066</t>
        </is>
      </c>
      <c r="B262" t="inlineStr">
        <is>
          <t>Indraprastha Gas (IGL)</t>
        </is>
      </c>
      <c r="C262" t="inlineStr">
        <is>
          <t>Indraprastha Gas (IGL)</t>
        </is>
      </c>
      <c r="F262" t="inlineStr">
        <is>
          <t>New Lead</t>
        </is>
      </c>
      <c r="H262" t="inlineStr">
        <is>
          <t>View Tender</t>
        </is>
      </c>
      <c r="K262" t="inlineStr">
        <is>
          <t>Not found</t>
        </is>
      </c>
      <c r="L262" t="inlineStr">
        <is>
          <t>Unknown</t>
        </is>
      </c>
      <c r="T262" t="inlineStr">
        <is>
          <t>https://tenders.iglonline.net/tenderDetail/531/Active Tenders And Corrigendum-Addendum</t>
        </is>
      </c>
      <c r="U262" t="inlineStr">
        <is>
          <t>No</t>
        </is>
      </c>
      <c r="V262" t="inlineStr">
        <is>
          <t>Bot tarafindan tespit edildi (2026-07-01)</t>
        </is>
      </c>
    </row>
    <row r="263">
      <c r="A263" t="inlineStr">
        <is>
          <t>T-0067</t>
        </is>
      </c>
      <c r="B263" t="inlineStr">
        <is>
          <t>Indraprastha Gas (IGL)</t>
        </is>
      </c>
      <c r="C263" t="inlineStr">
        <is>
          <t>Indraprastha Gas (IGL)</t>
        </is>
      </c>
      <c r="D263" t="inlineStr">
        <is>
          <t>TENDER NO. IGL/ET2/CP/CC18846</t>
        </is>
      </c>
      <c r="F263" t="inlineStr">
        <is>
          <t>Awarded</t>
        </is>
      </c>
      <c r="G263" t="inlineStr">
        <is>
          <t>Gas-related / review</t>
        </is>
      </c>
      <c r="H263" t="inlineStr">
        <is>
          <t>Corrigendum_I_CC18846.pdf</t>
        </is>
      </c>
      <c r="L263" t="inlineStr">
        <is>
          <t>Unknown</t>
        </is>
      </c>
      <c r="T263" t="inlineStr">
        <is>
          <t>https://tenders.iglonline.net/uploads/tender/Corrigendum_I_CC18846.pdf</t>
        </is>
      </c>
      <c r="U263" t="inlineStr">
        <is>
          <t>Yes</t>
        </is>
      </c>
      <c r="V263" t="inlineStr">
        <is>
          <t>Bot tarafindan tespit edildi (2026-07-01) | Bot enrich; date=2026-07-01; type=pdf; score=230; pdf_conf=Low; Bot tespit/zenginlestirme (2026-07-01); meta:score=35;priority=Low;source_type=html_table;closing_date=;equipment=Gas-related / review;reasons=equipment:Gas-related / review,document source</t>
        </is>
      </c>
    </row>
    <row r="264">
      <c r="A264" t="inlineStr">
        <is>
          <t>T-0068</t>
        </is>
      </c>
      <c r="B264" t="inlineStr">
        <is>
          <t>Indraprastha Gas (IGL)</t>
        </is>
      </c>
      <c r="C264" t="inlineStr">
        <is>
          <t>Indraprastha Gas (IGL)</t>
        </is>
      </c>
      <c r="D264" t="inlineStr">
        <is>
          <t>Tender No.IGL/ET2/CP/CC18846</t>
        </is>
      </c>
      <c r="F264" t="inlineStr">
        <is>
          <t>Awarded</t>
        </is>
      </c>
      <c r="G264" t="inlineStr">
        <is>
          <t>PRS / DRS / FRS</t>
        </is>
      </c>
      <c r="H264" t="inlineStr">
        <is>
          <t>RTBQ_CC18846.pdf</t>
        </is>
      </c>
      <c r="L264" t="inlineStr">
        <is>
          <t>Unknown</t>
        </is>
      </c>
      <c r="M264" t="n">
        <v>14.75</v>
      </c>
      <c r="T264" t="inlineStr">
        <is>
          <t>https://tenders.iglonline.net/uploads/tender/RTBQ_CC18846.pdf</t>
        </is>
      </c>
      <c r="U264" t="inlineStr">
        <is>
          <t>Yes</t>
        </is>
      </c>
      <c r="V264" t="inlineStr">
        <is>
          <t>Bot tarafindan tespit edildi (2026-07-01) | Bot enrich; date=2026-07-01; type=pdf; score=230; pdf_conf=Medium; Bot tespit/zenginlestirme (2026-07-01); meta:score=35;priority=Low;source_type=html_table;closing_date=;equipment=Gas-related / review;reasons=equipment:Gas-related / review,document source</t>
        </is>
      </c>
    </row>
    <row r="265">
      <c r="A265" t="inlineStr">
        <is>
          <t>T-0069</t>
        </is>
      </c>
      <c r="B265" t="inlineStr">
        <is>
          <t>Indraprastha Gas (IGL)</t>
        </is>
      </c>
      <c r="C265" t="inlineStr">
        <is>
          <t>Indraprastha Gas (IGL)</t>
        </is>
      </c>
      <c r="D265" t="inlineStr">
        <is>
          <t>TENDER NO. IGL/ET2/CP/CC18846</t>
        </is>
      </c>
      <c r="F265" t="inlineStr">
        <is>
          <t>Awarded</t>
        </is>
      </c>
      <c r="G265" t="inlineStr">
        <is>
          <t>Gas-related / review</t>
        </is>
      </c>
      <c r="H265" t="inlineStr">
        <is>
          <t>Corrigendum_II_CC18846.pdf</t>
        </is>
      </c>
      <c r="L265" t="inlineStr">
        <is>
          <t>Unknown</t>
        </is>
      </c>
      <c r="T265" t="inlineStr">
        <is>
          <t>https://tenders.iglonline.net/uploads/tender/Corrigendum_II_CC18846.pdf</t>
        </is>
      </c>
      <c r="U265" t="inlineStr">
        <is>
          <t>Yes</t>
        </is>
      </c>
      <c r="V265" t="inlineStr">
        <is>
          <t>Bot tarafindan tespit edildi (2026-07-01) | Bot enrich; date=2026-07-01; type=pdf; score=230; pdf_conf=Low; Bot tespit/zenginlestirme (2026-07-01); meta:score=35;priority=Low;source_type=html_table;closing_date=;equipment=Gas-related / review;reasons=equipment:Gas-related / review,document source</t>
        </is>
      </c>
    </row>
    <row r="266">
      <c r="A266" t="inlineStr">
        <is>
          <t>T-0070</t>
        </is>
      </c>
      <c r="B266" t="inlineStr">
        <is>
          <t>Indraprastha Gas (IGL)</t>
        </is>
      </c>
      <c r="C266" t="inlineStr">
        <is>
          <t>Indraprastha Gas (IGL)</t>
        </is>
      </c>
      <c r="F266" t="inlineStr">
        <is>
          <t>New Lead</t>
        </is>
      </c>
      <c r="H266" t="inlineStr">
        <is>
          <t>View Tender</t>
        </is>
      </c>
      <c r="K266" t="inlineStr">
        <is>
          <t>Not found</t>
        </is>
      </c>
      <c r="L266" t="inlineStr">
        <is>
          <t>Unknown</t>
        </is>
      </c>
      <c r="T266" t="inlineStr">
        <is>
          <t>https://tenders.iglonline.net/tenderDetail/530/Active Tenders And Corrigendum-Addendum</t>
        </is>
      </c>
      <c r="U266" t="inlineStr">
        <is>
          <t>No</t>
        </is>
      </c>
      <c r="V266" t="inlineStr">
        <is>
          <t>Bot tarafindan tespit edildi (2026-07-01)</t>
        </is>
      </c>
    </row>
    <row r="267">
      <c r="A267" t="inlineStr">
        <is>
          <t>T-0071</t>
        </is>
      </c>
      <c r="B267" t="inlineStr">
        <is>
          <t>Indraprastha Gas (IGL)</t>
        </is>
      </c>
      <c r="C267" t="inlineStr">
        <is>
          <t>Indraprastha Gas (IGL)</t>
        </is>
      </c>
      <c r="F267" t="inlineStr">
        <is>
          <t>New Lead</t>
        </is>
      </c>
      <c r="H267" t="inlineStr">
        <is>
          <t>View Tender</t>
        </is>
      </c>
      <c r="K267" t="inlineStr">
        <is>
          <t>Not found</t>
        </is>
      </c>
      <c r="L267" t="inlineStr">
        <is>
          <t>Unknown</t>
        </is>
      </c>
      <c r="T267" t="inlineStr">
        <is>
          <t>https://tenders.iglonline.net/tenderDetail/529/Active Tenders And Corrigendum-Addendum</t>
        </is>
      </c>
      <c r="U267" t="inlineStr">
        <is>
          <t>No</t>
        </is>
      </c>
      <c r="V267" t="inlineStr">
        <is>
          <t>Bot tarafindan tespit edildi (2026-07-01)</t>
        </is>
      </c>
    </row>
    <row r="268">
      <c r="A268" t="inlineStr">
        <is>
          <t>T-0072</t>
        </is>
      </c>
      <c r="B268" t="inlineStr">
        <is>
          <t>Indraprastha Gas (IGL)</t>
        </is>
      </c>
      <c r="C268" t="inlineStr">
        <is>
          <t>Indraprastha Gas (IGL)</t>
        </is>
      </c>
      <c r="F268" t="inlineStr">
        <is>
          <t>New Lead</t>
        </is>
      </c>
      <c r="H268" t="inlineStr">
        <is>
          <t>Reply_to_Pre_Bid_Queries_CM18777.pdf</t>
        </is>
      </c>
      <c r="K268" t="inlineStr">
        <is>
          <t>may subsequently arrange and furnish the required land docume</t>
        </is>
      </c>
      <c r="L268" t="inlineStr">
        <is>
          <t>Unknown</t>
        </is>
      </c>
      <c r="T268" t="inlineStr">
        <is>
          <t>https://tenders.iglonline.net/uploads/tender/Reply_to_Pre_Bid_Queries_CM18777.pdf</t>
        </is>
      </c>
      <c r="U268" t="inlineStr">
        <is>
          <t>Yes</t>
        </is>
      </c>
      <c r="V268" t="inlineStr">
        <is>
          <t>Bot tarafindan tespit edildi (2026-07-01)</t>
        </is>
      </c>
    </row>
    <row r="269">
      <c r="A269" t="inlineStr">
        <is>
          <t>T-0073</t>
        </is>
      </c>
      <c r="B269" t="inlineStr">
        <is>
          <t>Indraprastha Gas (IGL)</t>
        </is>
      </c>
      <c r="C269" t="inlineStr">
        <is>
          <t>Indraprastha Gas (IGL)</t>
        </is>
      </c>
      <c r="D269" t="inlineStr">
        <is>
          <t>TENDER NO. IGL/ET2/CP/CM18777</t>
        </is>
      </c>
      <c r="F269" t="inlineStr">
        <is>
          <t>Docs Found</t>
        </is>
      </c>
      <c r="H269" t="inlineStr">
        <is>
          <t>Corrigendum_I_CM18777.pdf</t>
        </is>
      </c>
      <c r="L269" t="inlineStr">
        <is>
          <t>Unknown</t>
        </is>
      </c>
      <c r="T269" t="inlineStr">
        <is>
          <t>https://tenders.iglonline.net/uploads/tender/Corrigendum_I_CM18777.pdf</t>
        </is>
      </c>
      <c r="U269" t="inlineStr">
        <is>
          <t>Yes</t>
        </is>
      </c>
      <c r="V269" t="inlineStr">
        <is>
          <t>Bot tarafindan tespit edildi (2026-07-01)</t>
        </is>
      </c>
    </row>
    <row r="270">
      <c r="A270" t="inlineStr">
        <is>
          <t>T-0074</t>
        </is>
      </c>
      <c r="B270" t="inlineStr">
        <is>
          <t>Indraprastha Gas (IGL)</t>
        </is>
      </c>
      <c r="C270" t="inlineStr">
        <is>
          <t>Indraprastha Gas (IGL)</t>
        </is>
      </c>
      <c r="D270" t="inlineStr">
        <is>
          <t>TENDER NO. IGL/ET2/CP/CM18777</t>
        </is>
      </c>
      <c r="F270" t="inlineStr">
        <is>
          <t>Docs Found</t>
        </is>
      </c>
      <c r="H270" t="inlineStr">
        <is>
          <t>Corrigendum_II_CM18777.pdf</t>
        </is>
      </c>
      <c r="L270" t="inlineStr">
        <is>
          <t>Unknown</t>
        </is>
      </c>
      <c r="T270" t="inlineStr">
        <is>
          <t>https://tenders.iglonline.net/uploads/tender/Corrigendum_II_CM18777.pdf</t>
        </is>
      </c>
      <c r="U270" t="inlineStr">
        <is>
          <t>Yes</t>
        </is>
      </c>
      <c r="V270" t="inlineStr">
        <is>
          <t>Bot tarafindan tespit edildi (2026-07-01)</t>
        </is>
      </c>
    </row>
    <row r="271">
      <c r="A271" t="inlineStr">
        <is>
          <t>T-0075</t>
        </is>
      </c>
      <c r="B271" t="inlineStr">
        <is>
          <t>Indraprastha Gas (IGL)</t>
        </is>
      </c>
      <c r="C271" t="inlineStr">
        <is>
          <t>Indraprastha Gas (IGL)</t>
        </is>
      </c>
      <c r="F271" t="inlineStr">
        <is>
          <t>New Lead</t>
        </is>
      </c>
      <c r="H271" t="inlineStr">
        <is>
          <t>View Tender</t>
        </is>
      </c>
      <c r="K271" t="inlineStr">
        <is>
          <t>Not found</t>
        </is>
      </c>
      <c r="L271" t="inlineStr">
        <is>
          <t>Unknown</t>
        </is>
      </c>
      <c r="T271" t="inlineStr">
        <is>
          <t>https://tenders.iglonline.net/tenderDetail/528/Active Tenders And Corrigendum-Addendum</t>
        </is>
      </c>
      <c r="U271" t="inlineStr">
        <is>
          <t>No</t>
        </is>
      </c>
      <c r="V271" t="inlineStr">
        <is>
          <t>Bot tarafindan tespit edildi (2026-07-01)</t>
        </is>
      </c>
    </row>
    <row r="272">
      <c r="A272" t="inlineStr">
        <is>
          <t>T-0076</t>
        </is>
      </c>
      <c r="B272" t="inlineStr">
        <is>
          <t>Indraprastha Gas (IGL)</t>
        </is>
      </c>
      <c r="C272" t="inlineStr">
        <is>
          <t>Indraprastha Gas (IGL)</t>
        </is>
      </c>
      <c r="D272" t="inlineStr">
        <is>
          <t>document</t>
        </is>
      </c>
      <c r="F272" t="inlineStr">
        <is>
          <t>Awarded</t>
        </is>
      </c>
      <c r="G272" t="inlineStr">
        <is>
          <t>FRS</t>
        </is>
      </c>
      <c r="H272" t="inlineStr">
        <is>
          <t>Corrigendum_1_CP18797.pdf</t>
        </is>
      </c>
      <c r="L272" t="inlineStr">
        <is>
          <t>Unknown</t>
        </is>
      </c>
      <c r="T272" t="inlineStr">
        <is>
          <t>https://tenders.iglonline.net/uploads/tender/Corrigendum_1_CP18797.pdf</t>
        </is>
      </c>
      <c r="U272" t="inlineStr">
        <is>
          <t>Yes</t>
        </is>
      </c>
      <c r="V272" t="inlineStr">
        <is>
          <t>Bot tarafindan tespit edildi (2026-07-01) | Bot enrich; date=2026-07-01; type=pdf; score=330; pdf_conf=Low</t>
        </is>
      </c>
    </row>
    <row r="273">
      <c r="A273" t="inlineStr">
        <is>
          <t>T-0077</t>
        </is>
      </c>
      <c r="B273" t="inlineStr">
        <is>
          <t>Indraprastha Gas (IGL)</t>
        </is>
      </c>
      <c r="C273" t="inlineStr">
        <is>
          <t>Indraprastha Gas (IGL)</t>
        </is>
      </c>
      <c r="D273" t="inlineStr">
        <is>
          <t>document</t>
        </is>
      </c>
      <c r="F273" t="inlineStr">
        <is>
          <t>Awarded</t>
        </is>
      </c>
      <c r="G273" t="inlineStr">
        <is>
          <t>FRS</t>
        </is>
      </c>
      <c r="H273" t="inlineStr">
        <is>
          <t>Corrigendum_2_CP18797.pdf</t>
        </is>
      </c>
      <c r="K273" t="inlineStr">
        <is>
          <t>Not found</t>
        </is>
      </c>
      <c r="L273" t="inlineStr">
        <is>
          <t>Unknown</t>
        </is>
      </c>
      <c r="T273" t="inlineStr">
        <is>
          <t>https://tenders.iglonline.net/uploads/tender/Corrigendum_2_CP18797.pdf</t>
        </is>
      </c>
      <c r="U273" t="inlineStr">
        <is>
          <t>No</t>
        </is>
      </c>
      <c r="V273" t="inlineStr">
        <is>
          <t>Bot tarafindan tespit edildi (2026-07-01) | Bot enrich; date=2026-07-01; type=pdf; score=330; pdf_conf=Low</t>
        </is>
      </c>
    </row>
    <row r="274">
      <c r="A274" t="inlineStr">
        <is>
          <t>T-0078</t>
        </is>
      </c>
      <c r="B274" t="inlineStr">
        <is>
          <t>Indraprastha Gas (IGL)</t>
        </is>
      </c>
      <c r="C274" t="inlineStr">
        <is>
          <t>Indraprastha Gas (IGL)</t>
        </is>
      </c>
      <c r="D274" t="inlineStr">
        <is>
          <t>Loading</t>
        </is>
      </c>
      <c r="F274" t="inlineStr">
        <is>
          <t>Awarded</t>
        </is>
      </c>
      <c r="G274" t="inlineStr">
        <is>
          <t>FRS</t>
        </is>
      </c>
      <c r="H274" t="inlineStr">
        <is>
          <t>RTPBQ_CP18797.pdf</t>
        </is>
      </c>
      <c r="K274" t="inlineStr">
        <is>
          <t>Not found</t>
        </is>
      </c>
      <c r="L274" t="inlineStr">
        <is>
          <t>Unknown</t>
        </is>
      </c>
      <c r="M274" t="n">
        <v>2000</v>
      </c>
      <c r="T274" t="inlineStr">
        <is>
          <t>https://tenders.iglonline.net/uploads/tender/RTPBQ_CP18797.pdf</t>
        </is>
      </c>
      <c r="U274" t="inlineStr">
        <is>
          <t>No</t>
        </is>
      </c>
      <c r="V274" t="inlineStr">
        <is>
          <t>Bot tarafindan tespit edildi (2026-07-01) | Bot enrich; date=2026-07-01; type=pdf; score=330; pdf_conf=Medium</t>
        </is>
      </c>
    </row>
    <row r="275">
      <c r="A275" t="inlineStr">
        <is>
          <t>T-0079</t>
        </is>
      </c>
      <c r="B275" t="inlineStr">
        <is>
          <t>Indraprastha Gas (IGL)</t>
        </is>
      </c>
      <c r="C275" t="inlineStr">
        <is>
          <t>Indraprastha Gas (IGL)</t>
        </is>
      </c>
      <c r="D275" t="inlineStr">
        <is>
          <t>DOCUMENT</t>
        </is>
      </c>
      <c r="F275" t="inlineStr">
        <is>
          <t>Awarded</t>
        </is>
      </c>
      <c r="G275" t="inlineStr">
        <is>
          <t>FRS</t>
        </is>
      </c>
      <c r="H275" t="inlineStr">
        <is>
          <t>RTPBQ_2_CP18797.pdf</t>
        </is>
      </c>
      <c r="K275" t="inlineStr">
        <is>
          <t>Not found</t>
        </is>
      </c>
      <c r="L275" t="inlineStr">
        <is>
          <t>Unknown</t>
        </is>
      </c>
      <c r="T275" t="inlineStr">
        <is>
          <t>https://tenders.iglonline.net/uploads/tender/RTPBQ_2_CP18797.pdf</t>
        </is>
      </c>
      <c r="U275" t="inlineStr">
        <is>
          <t>No</t>
        </is>
      </c>
      <c r="V275" t="inlineStr">
        <is>
          <t>Bot tarafindan tespit edildi (2026-07-01) | Bot enrich; date=2026-07-01; type=pdf; score=330; pdf_conf=Low</t>
        </is>
      </c>
    </row>
    <row r="276">
      <c r="A276" t="inlineStr">
        <is>
          <t>T-0080</t>
        </is>
      </c>
      <c r="B276" t="inlineStr">
        <is>
          <t>Indraprastha Gas (IGL)</t>
        </is>
      </c>
      <c r="C276" t="inlineStr">
        <is>
          <t>Indraprastha Gas (IGL)</t>
        </is>
      </c>
      <c r="F276" t="inlineStr">
        <is>
          <t>New Lead</t>
        </is>
      </c>
      <c r="H276" t="inlineStr">
        <is>
          <t>View Tender</t>
        </is>
      </c>
      <c r="K276" t="inlineStr">
        <is>
          <t>Not found</t>
        </is>
      </c>
      <c r="L276" t="inlineStr">
        <is>
          <t>Unknown</t>
        </is>
      </c>
      <c r="T276" t="inlineStr">
        <is>
          <t>https://tenders.iglonline.net/tenderDetail/527/Active Tenders And Corrigendum-Addendum</t>
        </is>
      </c>
      <c r="U276" t="inlineStr">
        <is>
          <t>No</t>
        </is>
      </c>
      <c r="V276" t="inlineStr">
        <is>
          <t>Bot tarafindan tespit edildi (2026-07-01)</t>
        </is>
      </c>
    </row>
    <row r="277">
      <c r="A277" t="inlineStr">
        <is>
          <t>T-0081</t>
        </is>
      </c>
      <c r="B277" t="inlineStr">
        <is>
          <t>Indraprastha Gas (IGL)</t>
        </is>
      </c>
      <c r="C277" t="inlineStr">
        <is>
          <t>Indraprastha Gas (IGL)</t>
        </is>
      </c>
      <c r="D277" t="inlineStr">
        <is>
          <t>DOCUMENT</t>
        </is>
      </c>
      <c r="F277" t="inlineStr">
        <is>
          <t>Awarded</t>
        </is>
      </c>
      <c r="G277" t="inlineStr">
        <is>
          <t>Gas-related / review</t>
        </is>
      </c>
      <c r="H277" t="inlineStr">
        <is>
          <t>Corrigendum_I_CC18800.pdf</t>
        </is>
      </c>
      <c r="K277" t="inlineStr">
        <is>
          <t>Not found</t>
        </is>
      </c>
      <c r="L277" t="inlineStr">
        <is>
          <t>Unknown</t>
        </is>
      </c>
      <c r="T277" t="inlineStr">
        <is>
          <t>https://tenders.iglonline.net/uploads/tender/Corrigendum_I_CC18800.pdf</t>
        </is>
      </c>
      <c r="U277" t="inlineStr">
        <is>
          <t>No</t>
        </is>
      </c>
      <c r="V277" t="inlineStr">
        <is>
          <t>Bot tarafindan tespit edildi (2026-07-01) | Bot enrich; date=2026-07-01; type=pdf; score=230; pdf_conf=Low; Bot tespit/zenginlestirme (2026-07-01); meta:score=35;priority=Low;source_type=html_table;closing_date=;equipment=Gas-related / review;reasons=equipment:Gas-related / review,document source</t>
        </is>
      </c>
    </row>
    <row r="278">
      <c r="A278" t="inlineStr">
        <is>
          <t>T-0082</t>
        </is>
      </c>
      <c r="B278" t="inlineStr">
        <is>
          <t>Indraprastha Gas (IGL)</t>
        </is>
      </c>
      <c r="C278" t="inlineStr">
        <is>
          <t>Indraprastha Gas (IGL)</t>
        </is>
      </c>
      <c r="D278" t="inlineStr">
        <is>
          <t>DOCUMENT</t>
        </is>
      </c>
      <c r="F278" t="inlineStr">
        <is>
          <t>Awarded</t>
        </is>
      </c>
      <c r="G278" t="inlineStr">
        <is>
          <t>Gas-related / review</t>
        </is>
      </c>
      <c r="H278" t="inlineStr">
        <is>
          <t>Corrigendum_II_CC18800.pdf</t>
        </is>
      </c>
      <c r="K278" t="inlineStr">
        <is>
          <t>Not found</t>
        </is>
      </c>
      <c r="L278" t="inlineStr">
        <is>
          <t>Unknown</t>
        </is>
      </c>
      <c r="T278" t="inlineStr">
        <is>
          <t>https://tenders.iglonline.net/uploads/tender/Corrigendum_II_CC18800.pdf</t>
        </is>
      </c>
      <c r="U278" t="inlineStr">
        <is>
          <t>No</t>
        </is>
      </c>
      <c r="V278" t="inlineStr">
        <is>
          <t>Bot tarafindan tespit edildi (2026-07-01) | Bot enrich; date=2026-07-01; type=pdf; score=230; pdf_conf=Low; Bot tespit/zenginlestirme (2026-07-01); meta:score=35;priority=Low;source_type=html_table;closing_date=;equipment=Gas-related / review;reasons=equipment:Gas-related / review,document source</t>
        </is>
      </c>
    </row>
    <row r="279">
      <c r="A279" t="inlineStr">
        <is>
          <t>T-0083</t>
        </is>
      </c>
      <c r="B279" t="inlineStr">
        <is>
          <t>Indraprastha Gas (IGL)</t>
        </is>
      </c>
      <c r="C279" t="inlineStr">
        <is>
          <t>Indraprastha Gas (IGL)</t>
        </is>
      </c>
      <c r="F279" t="inlineStr">
        <is>
          <t>New Lead</t>
        </is>
      </c>
      <c r="H279" t="inlineStr">
        <is>
          <t>View Tender</t>
        </is>
      </c>
      <c r="K279" t="inlineStr">
        <is>
          <t>Not found</t>
        </is>
      </c>
      <c r="L279" t="inlineStr">
        <is>
          <t>Unknown</t>
        </is>
      </c>
      <c r="T279" t="inlineStr">
        <is>
          <t>https://tenders.iglonline.net/tenderDetail/526/Active Tenders And Corrigendum-Addendum</t>
        </is>
      </c>
      <c r="U279" t="inlineStr">
        <is>
          <t>No</t>
        </is>
      </c>
      <c r="V279" t="inlineStr">
        <is>
          <t>Bot tarafindan tespit edildi (2026-07-01)</t>
        </is>
      </c>
    </row>
    <row r="280">
      <c r="A280" t="inlineStr">
        <is>
          <t>T-0084</t>
        </is>
      </c>
      <c r="B280" t="inlineStr">
        <is>
          <t>Indraprastha Gas (IGL)</t>
        </is>
      </c>
      <c r="C280" t="inlineStr">
        <is>
          <t>Indraprastha Gas (IGL)</t>
        </is>
      </c>
      <c r="F280" t="inlineStr">
        <is>
          <t>New Lead</t>
        </is>
      </c>
      <c r="H280" t="inlineStr">
        <is>
          <t>RTBQ_CM18824.pdf</t>
        </is>
      </c>
      <c r="K280" t="inlineStr">
        <is>
          <t>Not found</t>
        </is>
      </c>
      <c r="L280" t="inlineStr">
        <is>
          <t>Unknown</t>
        </is>
      </c>
      <c r="T280" t="inlineStr">
        <is>
          <t>https://tenders.iglonline.net/uploads/tender/RTBQ_CM18824.pdf</t>
        </is>
      </c>
      <c r="U280" t="inlineStr">
        <is>
          <t>No</t>
        </is>
      </c>
      <c r="V280" t="inlineStr">
        <is>
          <t>Bot tarafindan tespit edildi (2026-07-01)</t>
        </is>
      </c>
    </row>
    <row r="281">
      <c r="A281" t="inlineStr">
        <is>
          <t>T-0085</t>
        </is>
      </c>
      <c r="B281" t="inlineStr">
        <is>
          <t>Indraprastha Gas (IGL)</t>
        </is>
      </c>
      <c r="C281" t="inlineStr">
        <is>
          <t>Indraprastha Gas (IGL)</t>
        </is>
      </c>
      <c r="F281" t="inlineStr">
        <is>
          <t>New Lead</t>
        </is>
      </c>
      <c r="H281" t="inlineStr">
        <is>
          <t>CORRIGENDUM_I_CM18824.pdf</t>
        </is>
      </c>
      <c r="K281" t="inlineStr">
        <is>
          <t>Not found</t>
        </is>
      </c>
      <c r="L281" t="inlineStr">
        <is>
          <t>Unknown</t>
        </is>
      </c>
      <c r="T281" t="inlineStr">
        <is>
          <t>https://tenders.iglonline.net/uploads/tender/CORRIGENDUM_I_CM18824.pdf</t>
        </is>
      </c>
      <c r="U281" t="inlineStr">
        <is>
          <t>No</t>
        </is>
      </c>
      <c r="V281" t="inlineStr">
        <is>
          <t>Bot tarafindan tespit edildi (2026-07-01)</t>
        </is>
      </c>
    </row>
    <row r="282">
      <c r="A282" t="inlineStr">
        <is>
          <t>T-0086</t>
        </is>
      </c>
      <c r="B282" t="inlineStr">
        <is>
          <t>Indraprastha Gas (IGL)</t>
        </is>
      </c>
      <c r="C282" t="inlineStr">
        <is>
          <t>Indraprastha Gas (IGL)</t>
        </is>
      </c>
      <c r="F282" t="inlineStr">
        <is>
          <t>New Lead</t>
        </is>
      </c>
      <c r="H282" t="inlineStr">
        <is>
          <t>View Tender</t>
        </is>
      </c>
      <c r="K282" t="inlineStr">
        <is>
          <t>Not found</t>
        </is>
      </c>
      <c r="L282" t="inlineStr">
        <is>
          <t>Unknown</t>
        </is>
      </c>
      <c r="T282" t="inlineStr">
        <is>
          <t>https://tenders.iglonline.net/tenderDetail/525/Active Tenders And Corrigendum-Addendum</t>
        </is>
      </c>
      <c r="U282" t="inlineStr">
        <is>
          <t>No</t>
        </is>
      </c>
      <c r="V282" t="inlineStr">
        <is>
          <t>Bot tarafindan tespit edildi (2026-07-01)</t>
        </is>
      </c>
    </row>
    <row r="283">
      <c r="A283" t="inlineStr">
        <is>
          <t>T-0087</t>
        </is>
      </c>
      <c r="B283" t="inlineStr">
        <is>
          <t>Indraprastha Gas (IGL)</t>
        </is>
      </c>
      <c r="C283" t="inlineStr">
        <is>
          <t>Indraprastha Gas (IGL)</t>
        </is>
      </c>
      <c r="F283" t="inlineStr">
        <is>
          <t>New Lead</t>
        </is>
      </c>
      <c r="H283" t="inlineStr">
        <is>
          <t>View Tender</t>
        </is>
      </c>
      <c r="K283" t="inlineStr">
        <is>
          <t>Not found</t>
        </is>
      </c>
      <c r="L283" t="inlineStr">
        <is>
          <t>Unknown</t>
        </is>
      </c>
      <c r="T283" t="inlineStr">
        <is>
          <t>https://tenders.iglonline.net/tenderDetail/524/Active Tenders And Corrigendum-Addendum</t>
        </is>
      </c>
      <c r="U283" t="inlineStr">
        <is>
          <t>No</t>
        </is>
      </c>
      <c r="V283" t="inlineStr">
        <is>
          <t>Bot tarafindan tespit edildi (2026-07-01)</t>
        </is>
      </c>
    </row>
    <row r="284">
      <c r="A284" t="inlineStr">
        <is>
          <t>T-0088</t>
        </is>
      </c>
      <c r="B284" t="inlineStr">
        <is>
          <t>Indraprastha Gas (IGL)</t>
        </is>
      </c>
      <c r="C284" t="inlineStr">
        <is>
          <t>Indraprastha Gas (IGL)</t>
        </is>
      </c>
      <c r="D284" t="inlineStr">
        <is>
          <t>DOCUMENT</t>
        </is>
      </c>
      <c r="F284" t="inlineStr">
        <is>
          <t>Awarded</t>
        </is>
      </c>
      <c r="G284" t="inlineStr">
        <is>
          <t>Gas-related / review</t>
        </is>
      </c>
      <c r="H284" t="inlineStr">
        <is>
          <t>Corrigendum_I_CC18786.pdf</t>
        </is>
      </c>
      <c r="K284" t="inlineStr">
        <is>
          <t>Not found</t>
        </is>
      </c>
      <c r="L284" t="inlineStr">
        <is>
          <t>Unknown</t>
        </is>
      </c>
      <c r="T284" t="inlineStr">
        <is>
          <t>https://tenders.iglonline.net/uploads/tender/Corrigendum_I_CC18786.pdf</t>
        </is>
      </c>
      <c r="U284" t="inlineStr">
        <is>
          <t>No</t>
        </is>
      </c>
      <c r="V284" t="inlineStr">
        <is>
          <t>Bot tarafindan tespit edildi (2026-07-01) | Bot enrich; date=2026-07-01; type=pdf; score=230; pdf_conf=Low; Bot tespit/zenginlestirme (2026-07-01); meta:score=35;priority=Low;source_type=html_table;closing_date=;equipment=Gas-related / review;reasons=equipment:Gas-related / review,document source</t>
        </is>
      </c>
    </row>
    <row r="285">
      <c r="A285" t="inlineStr">
        <is>
          <t>T-0089</t>
        </is>
      </c>
      <c r="B285" t="inlineStr">
        <is>
          <t>Indraprastha Gas (IGL)</t>
        </is>
      </c>
      <c r="C285" t="inlineStr">
        <is>
          <t>Indraprastha Gas (IGL)</t>
        </is>
      </c>
      <c r="D285" t="inlineStr">
        <is>
          <t>QUERIES</t>
        </is>
      </c>
      <c r="F285" t="inlineStr">
        <is>
          <t>Awarded</t>
        </is>
      </c>
      <c r="G285" t="inlineStr">
        <is>
          <t>Gas-related / review</t>
        </is>
      </c>
      <c r="H285" t="inlineStr">
        <is>
          <t>RTBQ_CC18786.pdf</t>
        </is>
      </c>
      <c r="K285" t="inlineStr">
        <is>
          <t>Not found</t>
        </is>
      </c>
      <c r="L285" t="inlineStr">
        <is>
          <t>Unknown</t>
        </is>
      </c>
      <c r="M285" t="n">
        <v>2000000</v>
      </c>
      <c r="T285" t="inlineStr">
        <is>
          <t>https://tenders.iglonline.net/uploads/tender/RTBQ_CC18786.pdf</t>
        </is>
      </c>
      <c r="U285" t="inlineStr">
        <is>
          <t>No</t>
        </is>
      </c>
      <c r="V285" t="inlineStr">
        <is>
          <t>Bot tarafindan tespit edildi (2026-07-01) | Bot enrich; date=2026-07-01; type=pdf; score=230; pdf_conf=Low; Bot tespit/zenginlestirme (2026-07-01); meta:score=35;priority=Low;source_type=html_table;closing_date=;equipment=Gas-related / review;reasons=equipment:Gas-related / review,document source</t>
        </is>
      </c>
    </row>
    <row r="286">
      <c r="A286" t="inlineStr">
        <is>
          <t>T-0090</t>
        </is>
      </c>
      <c r="B286" t="inlineStr">
        <is>
          <t>Indraprastha Gas (IGL)</t>
        </is>
      </c>
      <c r="C286" t="inlineStr">
        <is>
          <t>Indraprastha Gas (IGL)</t>
        </is>
      </c>
      <c r="F286" t="inlineStr">
        <is>
          <t>New Lead</t>
        </is>
      </c>
      <c r="H286" t="inlineStr">
        <is>
          <t>View Tender</t>
        </is>
      </c>
      <c r="K286" t="inlineStr">
        <is>
          <t>Not found</t>
        </is>
      </c>
      <c r="L286" t="inlineStr">
        <is>
          <t>Unknown</t>
        </is>
      </c>
      <c r="T286" t="inlineStr">
        <is>
          <t>https://tenders.iglonline.net/tenderDetail/523/Active Tenders And Corrigendum-Addendum</t>
        </is>
      </c>
      <c r="U286" t="inlineStr">
        <is>
          <t>No</t>
        </is>
      </c>
      <c r="V286" t="inlineStr">
        <is>
          <t>Bot tarafindan tespit edildi (2026-07-01)</t>
        </is>
      </c>
    </row>
    <row r="287">
      <c r="A287" t="inlineStr">
        <is>
          <t>T-0091</t>
        </is>
      </c>
      <c r="B287" t="inlineStr">
        <is>
          <t>Indraprastha Gas (IGL)</t>
        </is>
      </c>
      <c r="C287" t="inlineStr">
        <is>
          <t>Indraprastha Gas (IGL)</t>
        </is>
      </c>
      <c r="F287" t="inlineStr">
        <is>
          <t>New Lead</t>
        </is>
      </c>
      <c r="H287" t="inlineStr">
        <is>
          <t>View Tender</t>
        </is>
      </c>
      <c r="K287" t="inlineStr">
        <is>
          <t>Not found</t>
        </is>
      </c>
      <c r="L287" t="inlineStr">
        <is>
          <t>Unknown</t>
        </is>
      </c>
      <c r="T287" t="inlineStr">
        <is>
          <t>https://tenders.iglonline.net/tenderDetail/522/Active Tenders And Corrigendum-Addendum</t>
        </is>
      </c>
      <c r="U287" t="inlineStr">
        <is>
          <t>No</t>
        </is>
      </c>
      <c r="V287" t="inlineStr">
        <is>
          <t>Bot tarafindan tespit edildi (2026-07-01)</t>
        </is>
      </c>
    </row>
    <row r="288">
      <c r="A288" t="inlineStr">
        <is>
          <t>T-0092</t>
        </is>
      </c>
      <c r="B288" t="inlineStr">
        <is>
          <t>Indraprastha Gas (IGL)</t>
        </is>
      </c>
      <c r="C288" t="inlineStr">
        <is>
          <t>Indraprastha Gas (IGL)</t>
        </is>
      </c>
      <c r="F288" t="inlineStr">
        <is>
          <t>New Lead</t>
        </is>
      </c>
      <c r="G288" t="inlineStr">
        <is>
          <t>Gas-related / review</t>
        </is>
      </c>
      <c r="H288" t="inlineStr">
        <is>
          <t>RTPBQ_CP18807.pdf</t>
        </is>
      </c>
      <c r="K288" t="inlineStr">
        <is>
          <t>Not found</t>
        </is>
      </c>
      <c r="L288" t="inlineStr">
        <is>
          <t>Unknown</t>
        </is>
      </c>
      <c r="T288" t="inlineStr">
        <is>
          <t>https://tenders.iglonline.net/uploads/tender/RTPBQ_CP18807.pdf</t>
        </is>
      </c>
      <c r="U288" t="inlineStr">
        <is>
          <t>No</t>
        </is>
      </c>
      <c r="V288" t="inlineStr">
        <is>
          <t>Bot tarafindan tespit edildi (2026-07-01); Bot tespit/zenginlestirme (2026-07-01); meta:score=35;priority=Low;source_type=html_table;closing_date=;equipment=Gas-related / review;reasons=equipment:Gas-related / review,document source</t>
        </is>
      </c>
    </row>
    <row r="289">
      <c r="A289" t="inlineStr">
        <is>
          <t>T-0093</t>
        </is>
      </c>
      <c r="B289" t="inlineStr">
        <is>
          <t>Indraprastha Gas (IGL)</t>
        </is>
      </c>
      <c r="C289" t="inlineStr">
        <is>
          <t>Indraprastha Gas (IGL)</t>
        </is>
      </c>
      <c r="F289" t="inlineStr">
        <is>
          <t>New Lead</t>
        </is>
      </c>
      <c r="G289" t="inlineStr">
        <is>
          <t>Safety / shut-off equipment</t>
        </is>
      </c>
      <c r="H289" t="inlineStr">
        <is>
          <t>View Tender</t>
        </is>
      </c>
      <c r="K289" t="inlineStr">
        <is>
          <t>Not found</t>
        </is>
      </c>
      <c r="L289" t="inlineStr">
        <is>
          <t>Unknown</t>
        </is>
      </c>
      <c r="T289" t="inlineStr">
        <is>
          <t>https://tenders.iglonline.net/tenderDetail/521/Active Tenders And Corrigendum-Addendum</t>
        </is>
      </c>
      <c r="U289" t="inlineStr">
        <is>
          <t>No</t>
        </is>
      </c>
      <c r="V289" t="inlineStr">
        <is>
          <t>Bot tarafindan tespit edildi (2026-07-01); Bot clean extraction (2026-07-01); meta:score=45;priority=Medium;source_type=html_table;closing_date=;equipment=Safety / shut-off equipment;quality_status=market_target;market_relevance=High;document_type=corrigendum;unit_price_inr=;amount_label=;matched_terms=Safety / shut-off equipment;reject_reasons=;scope=market_intelligence_only;excluded_scope=no_bid_or_offer_submission_automation</t>
        </is>
      </c>
    </row>
    <row r="290">
      <c r="A290" t="inlineStr">
        <is>
          <t>T-0094</t>
        </is>
      </c>
      <c r="B290" t="inlineStr">
        <is>
          <t>Indraprastha Gas (IGL)</t>
        </is>
      </c>
      <c r="C290" t="inlineStr">
        <is>
          <t>Indraprastha Gas (IGL)</t>
        </is>
      </c>
      <c r="D290" t="inlineStr">
        <is>
          <t>DOCUMENT</t>
        </is>
      </c>
      <c r="F290" t="inlineStr">
        <is>
          <t>Awarded</t>
        </is>
      </c>
      <c r="G290" t="inlineStr">
        <is>
          <t>slam shut</t>
        </is>
      </c>
      <c r="H290" t="inlineStr">
        <is>
          <t>Corrigendum_1_CP18752.pdf</t>
        </is>
      </c>
      <c r="K290" t="inlineStr">
        <is>
          <t>Not found</t>
        </is>
      </c>
      <c r="L290" t="inlineStr">
        <is>
          <t>Unknown</t>
        </is>
      </c>
      <c r="T290" t="inlineStr">
        <is>
          <t>https://tenders.iglonline.net/uploads/tender/Corrigendum_1_CP18752.pdf</t>
        </is>
      </c>
      <c r="U290" t="inlineStr">
        <is>
          <t>No</t>
        </is>
      </c>
      <c r="V290" t="inlineStr">
        <is>
          <t>Bot tarafindan tespit edildi (2026-07-01) | Bot enrich; date=2026-07-01; type=pdf; score=330; pdf_conf=Low; Bot tespit/zenginlestirme (2026-07-01); meta:score=35;priority=Low;source_type=html_table;closing_date=;equipment=Safety valve;reasons=equipment:Safety valve,document source; Bot clean extraction (2026-07-01); meta:score=45;priority=Medium;source_type=html_table;closing_date=None;equipment=Safety / shut-off equipment;quality_status=market_target;market_relevance=High;document_type=corrigendum;unit_price_inr=;amount_label=;matched_terms=Safety / shut-off equipment;reject_reasons=employment/corporate;scope=market_intelligence_only;excluded_scope=no_bid_or_offer_submission_automation</t>
        </is>
      </c>
    </row>
    <row r="291">
      <c r="A291" t="inlineStr">
        <is>
          <t>T-0095</t>
        </is>
      </c>
      <c r="B291" t="inlineStr">
        <is>
          <t>Indraprastha Gas (IGL)</t>
        </is>
      </c>
      <c r="C291" t="inlineStr">
        <is>
          <t>Indraprastha Gas (IGL)</t>
        </is>
      </c>
      <c r="D291" t="inlineStr">
        <is>
          <t>DOCUMENT</t>
        </is>
      </c>
      <c r="F291" t="inlineStr">
        <is>
          <t>Awarded</t>
        </is>
      </c>
      <c r="G291" t="inlineStr">
        <is>
          <t>slam shut</t>
        </is>
      </c>
      <c r="H291" t="inlineStr">
        <is>
          <t>RTPBQ_CP18752.pdf</t>
        </is>
      </c>
      <c r="K291" t="inlineStr">
        <is>
          <t>Not found</t>
        </is>
      </c>
      <c r="L291" t="inlineStr">
        <is>
          <t>Unknown</t>
        </is>
      </c>
      <c r="T291" t="inlineStr">
        <is>
          <t>https://tenders.iglonline.net/uploads/tender/RTPBQ_CP18752.pdf</t>
        </is>
      </c>
      <c r="U291" t="inlineStr">
        <is>
          <t>No</t>
        </is>
      </c>
      <c r="V291" t="inlineStr">
        <is>
          <t>Bot tarafindan tespit edildi (2026-07-01) | Bot enrich; date=2026-07-01; type=pdf; score=330; pdf_conf=Low; Bot tespit/zenginlestirme (2026-07-01); meta:score=35;priority=Low;source_type=html_table;closing_date=;equipment=Safety valve;reasons=equipment:Safety valve,document source; Bot clean extraction (2026-07-01); meta:score=45;priority=Medium;source_type=html_table;closing_date=None;equipment=Safety / shut-off equipment;quality_status=market_target;market_relevance=High;document_type=corrigendum;unit_price_inr=;amount_label=;matched_terms=Safety / shut-off equipment;reject_reasons=;scope=market_intelligence_only;excluded_scope=no_bid_or_offer_submission_automation</t>
        </is>
      </c>
    </row>
    <row r="292">
      <c r="A292" t="inlineStr">
        <is>
          <t>T-0096</t>
        </is>
      </c>
      <c r="B292" t="inlineStr">
        <is>
          <t>Indraprastha Gas (IGL)</t>
        </is>
      </c>
      <c r="C292" t="inlineStr">
        <is>
          <t>Indraprastha Gas (IGL)</t>
        </is>
      </c>
      <c r="D292" t="inlineStr">
        <is>
          <t>document</t>
        </is>
      </c>
      <c r="F292" t="inlineStr">
        <is>
          <t>Awarded</t>
        </is>
      </c>
      <c r="G292" t="inlineStr">
        <is>
          <t>slam shut</t>
        </is>
      </c>
      <c r="H292" t="inlineStr">
        <is>
          <t>Corrigendum_2_CP18752.pdf</t>
        </is>
      </c>
      <c r="K292" t="inlineStr">
        <is>
          <t>Not found</t>
        </is>
      </c>
      <c r="L292" t="inlineStr">
        <is>
          <t>Unknown</t>
        </is>
      </c>
      <c r="T292" t="inlineStr">
        <is>
          <t>https://tenders.iglonline.net/uploads/tender/Corrigendum_2_CP18752.pdf</t>
        </is>
      </c>
      <c r="U292" t="inlineStr">
        <is>
          <t>No</t>
        </is>
      </c>
      <c r="V292" t="inlineStr">
        <is>
          <t>Bot tarafindan tespit edildi (2026-07-01) | Bot enrich; date=2026-07-01; type=pdf; score=330; pdf_conf=Low; Bot tespit/zenginlestirme (2026-07-01); meta:score=35;priority=Low;source_type=html_table;closing_date=;equipment=Safety valve;reasons=equipment:Safety valve,document source; Bot clean extraction (2026-07-01); meta:score=45;priority=Medium;source_type=html_table;closing_date=None;equipment=Safety / shut-off equipment;quality_status=market_target;market_relevance=High;document_type=corrigendum;unit_price_inr=;amount_label=;matched_terms=Safety / shut-off equipment;reject_reasons=employment/corporate;scope=market_intelligence_only;excluded_scope=no_bid_or_offer_submission_automation</t>
        </is>
      </c>
    </row>
    <row r="293">
      <c r="A293" t="inlineStr">
        <is>
          <t>T-0097</t>
        </is>
      </c>
      <c r="B293" t="inlineStr">
        <is>
          <t>Indraprastha Gas (IGL)</t>
        </is>
      </c>
      <c r="C293" t="inlineStr">
        <is>
          <t>Indraprastha Gas (IGL)</t>
        </is>
      </c>
      <c r="D293" t="inlineStr">
        <is>
          <t>document</t>
        </is>
      </c>
      <c r="F293" t="inlineStr">
        <is>
          <t>Awarded</t>
        </is>
      </c>
      <c r="G293" t="inlineStr">
        <is>
          <t>slam shut</t>
        </is>
      </c>
      <c r="H293" t="inlineStr">
        <is>
          <t>Corrigendum_3_CP18752.pdf</t>
        </is>
      </c>
      <c r="K293" t="inlineStr">
        <is>
          <t>Not found</t>
        </is>
      </c>
      <c r="L293" t="inlineStr">
        <is>
          <t>Unknown</t>
        </is>
      </c>
      <c r="T293" t="inlineStr">
        <is>
          <t>https://tenders.iglonline.net/uploads/tender/Corrigendum_3_CP18752.pdf</t>
        </is>
      </c>
      <c r="U293" t="inlineStr">
        <is>
          <t>No</t>
        </is>
      </c>
      <c r="V293" t="inlineStr">
        <is>
          <t>Bot tarafindan tespit edildi (2026-07-01) | Bot enrich; date=2026-07-01; type=pdf; score=330; pdf_conf=Low; Bot tespit/zenginlestirme (2026-07-01); meta:score=35;priority=Low;source_type=html_table;closing_date=;equipment=Safety valve;reasons=equipment:Safety valve,document source; Bot clean extraction (2026-07-01); meta:score=45;priority=Medium;source_type=html_table;closing_date=None;equipment=Safety / shut-off equipment;quality_status=market_target;market_relevance=High;document_type=corrigendum;unit_price_inr=;amount_label=;matched_terms=Safety / shut-off equipment;reject_reasons=employment/corporate;scope=market_intelligence_only;excluded_scope=no_bid_or_offer_submission_automation</t>
        </is>
      </c>
    </row>
    <row r="294">
      <c r="A294" t="inlineStr">
        <is>
          <t>T-0098</t>
        </is>
      </c>
      <c r="B294" t="inlineStr">
        <is>
          <t>Indraprastha Gas (IGL)</t>
        </is>
      </c>
      <c r="C294" t="inlineStr">
        <is>
          <t>Indraprastha Gas (IGL)</t>
        </is>
      </c>
      <c r="D294" t="inlineStr">
        <is>
          <t>DOCUMENT</t>
        </is>
      </c>
      <c r="F294" t="inlineStr">
        <is>
          <t>Awarded</t>
        </is>
      </c>
      <c r="G294" t="inlineStr">
        <is>
          <t>slam shut</t>
        </is>
      </c>
      <c r="H294" t="inlineStr">
        <is>
          <t>RTPBQ_2_CP18752.pdf</t>
        </is>
      </c>
      <c r="K294" t="inlineStr">
        <is>
          <t>Indraprastha Gas Limited Consultant</t>
        </is>
      </c>
      <c r="L294" t="inlineStr">
        <is>
          <t>Unknown</t>
        </is>
      </c>
      <c r="T294" t="inlineStr">
        <is>
          <t>https://tenders.iglonline.net/uploads/tender/RTPBQ_2_CP18752.pdf</t>
        </is>
      </c>
      <c r="U294" t="inlineStr">
        <is>
          <t>No</t>
        </is>
      </c>
      <c r="V294" t="inlineStr">
        <is>
          <t>Bot tarafindan tespit edildi (2026-07-01) | Bot enrich; date=2026-07-01; type=pdf; score=330; pdf_conf=Medium; Bot tespit/zenginlestirme (2026-07-01); meta:score=35;priority=Low;source_type=html_table;closing_date=;equipment=Safety valve;reasons=equipment:Safety valve,document source; Bot clean extraction (2026-07-01); meta:score=45;priority=Medium;source_type=html_table;closing_date=None;equipment=Safety / shut-off equipment;quality_status=market_target;market_relevance=High;document_type=corrigendum;unit_price_inr=;amount_label=;matched_terms=Safety / shut-off equipment;reject_reasons=civil/electrical only;scope=market_intelligence_only;excluded_scope=no_bid_or_offer_submission_automation</t>
        </is>
      </c>
    </row>
    <row r="295">
      <c r="A295" t="inlineStr">
        <is>
          <t>T-0099</t>
        </is>
      </c>
      <c r="B295" t="inlineStr">
        <is>
          <t>Indraprastha Gas (IGL)</t>
        </is>
      </c>
      <c r="C295" t="inlineStr">
        <is>
          <t>Indraprastha Gas (IGL)</t>
        </is>
      </c>
      <c r="F295" t="inlineStr">
        <is>
          <t>New Lead</t>
        </is>
      </c>
      <c r="H295" t="inlineStr">
        <is>
          <t>View Tender</t>
        </is>
      </c>
      <c r="K295" t="inlineStr">
        <is>
          <t>Not found</t>
        </is>
      </c>
      <c r="L295" t="inlineStr">
        <is>
          <t>Unknown</t>
        </is>
      </c>
      <c r="T295" t="inlineStr">
        <is>
          <t>https://tenders.iglonline.net/tenderDetail/520/Active Tenders And Corrigendum-Addendum</t>
        </is>
      </c>
      <c r="U295" t="inlineStr">
        <is>
          <t>No</t>
        </is>
      </c>
      <c r="V295" t="inlineStr">
        <is>
          <t>Bot tarafindan tespit edildi (2026-07-01)</t>
        </is>
      </c>
    </row>
    <row r="296">
      <c r="A296" t="inlineStr">
        <is>
          <t>T-0100</t>
        </is>
      </c>
      <c r="B296" t="inlineStr">
        <is>
          <t>Indraprastha Gas (IGL)</t>
        </is>
      </c>
      <c r="C296" t="inlineStr">
        <is>
          <t>Indraprastha Gas (IGL)</t>
        </is>
      </c>
      <c r="F296" t="inlineStr">
        <is>
          <t>New Lead</t>
        </is>
      </c>
      <c r="H296" t="inlineStr">
        <is>
          <t>CP18735.pdf</t>
        </is>
      </c>
      <c r="K296" t="inlineStr">
        <is>
          <t>Not found</t>
        </is>
      </c>
      <c r="L296" t="inlineStr">
        <is>
          <t>Unknown</t>
        </is>
      </c>
      <c r="T296" t="inlineStr">
        <is>
          <t>https://tenders.iglonline.net/uploads/tender/CP18735.pdf</t>
        </is>
      </c>
      <c r="U296" t="inlineStr">
        <is>
          <t>No</t>
        </is>
      </c>
      <c r="V296" t="inlineStr">
        <is>
          <t>Bot tarafindan tespit edildi (2026-07-01)</t>
        </is>
      </c>
    </row>
    <row r="297">
      <c r="A297" t="inlineStr">
        <is>
          <t>T-0101</t>
        </is>
      </c>
      <c r="B297" t="inlineStr">
        <is>
          <t>Indraprastha Gas (IGL)</t>
        </is>
      </c>
      <c r="C297" t="inlineStr">
        <is>
          <t>Indraprastha Gas (IGL)</t>
        </is>
      </c>
      <c r="F297" t="inlineStr">
        <is>
          <t>New Lead</t>
        </is>
      </c>
      <c r="H297" t="inlineStr">
        <is>
          <t>Corrigendum_II_CP18735_(A).pdf</t>
        </is>
      </c>
      <c r="K297" t="inlineStr">
        <is>
          <t>Not found</t>
        </is>
      </c>
      <c r="L297" t="inlineStr">
        <is>
          <t>Unknown</t>
        </is>
      </c>
      <c r="T297" t="inlineStr">
        <is>
          <t>https://tenders.iglonline.net/uploads/tender/Corrigendum_II_CP18735_(A).pdf</t>
        </is>
      </c>
      <c r="U297" t="inlineStr">
        <is>
          <t>No</t>
        </is>
      </c>
      <c r="V297" t="inlineStr">
        <is>
          <t>Bot tarafindan tespit edildi (2026-07-01)</t>
        </is>
      </c>
    </row>
    <row r="298">
      <c r="A298" t="inlineStr">
        <is>
          <t>T-0102</t>
        </is>
      </c>
      <c r="B298" t="inlineStr">
        <is>
          <t>Indraprastha Gas (IGL)</t>
        </is>
      </c>
      <c r="C298" t="inlineStr">
        <is>
          <t>Indraprastha Gas (IGL)</t>
        </is>
      </c>
      <c r="F298" t="inlineStr">
        <is>
          <t>New Lead</t>
        </is>
      </c>
      <c r="H298" t="inlineStr">
        <is>
          <t>Corrigendum_III_CP18735 (B).pdf</t>
        </is>
      </c>
      <c r="K298" t="inlineStr">
        <is>
          <t>Not found</t>
        </is>
      </c>
      <c r="L298" t="inlineStr">
        <is>
          <t>Unknown</t>
        </is>
      </c>
      <c r="T298" t="inlineStr">
        <is>
          <t>https://tenders.iglonline.net/uploads/tender/Corrigendum_III_CP18735 (B).pdf</t>
        </is>
      </c>
      <c r="U298" t="inlineStr">
        <is>
          <t>No</t>
        </is>
      </c>
      <c r="V298" t="inlineStr">
        <is>
          <t>Bot tarafindan tespit edildi (2026-07-01)</t>
        </is>
      </c>
    </row>
    <row r="299">
      <c r="A299" t="inlineStr">
        <is>
          <t>T-0103</t>
        </is>
      </c>
      <c r="B299" t="inlineStr">
        <is>
          <t>Indraprastha Gas (IGL)</t>
        </is>
      </c>
      <c r="C299" t="inlineStr">
        <is>
          <t>Indraprastha Gas (IGL)</t>
        </is>
      </c>
      <c r="F299" t="inlineStr">
        <is>
          <t>New Lead</t>
        </is>
      </c>
      <c r="H299" t="inlineStr">
        <is>
          <t>RTBQ_CP18735.pdf</t>
        </is>
      </c>
      <c r="K299" t="inlineStr">
        <is>
          <t>Not found</t>
        </is>
      </c>
      <c r="L299" t="inlineStr">
        <is>
          <t>Unknown</t>
        </is>
      </c>
      <c r="T299" t="inlineStr">
        <is>
          <t>https://tenders.iglonline.net/uploads/tender/RTBQ_CP18735.pdf</t>
        </is>
      </c>
      <c r="U299" t="inlineStr">
        <is>
          <t>No</t>
        </is>
      </c>
      <c r="V299" t="inlineStr">
        <is>
          <t>Bot tarafindan tespit edildi (2026-07-01)</t>
        </is>
      </c>
    </row>
    <row r="300">
      <c r="A300" t="inlineStr">
        <is>
          <t>T-0104</t>
        </is>
      </c>
      <c r="B300" t="inlineStr">
        <is>
          <t>Indraprastha Gas (IGL)</t>
        </is>
      </c>
      <c r="C300" t="inlineStr">
        <is>
          <t>Indraprastha Gas (IGL)</t>
        </is>
      </c>
      <c r="F300" t="inlineStr">
        <is>
          <t>New Lead</t>
        </is>
      </c>
      <c r="H300" t="inlineStr">
        <is>
          <t>View Tender</t>
        </is>
      </c>
      <c r="K300" t="inlineStr">
        <is>
          <t>Not found</t>
        </is>
      </c>
      <c r="L300" t="inlineStr">
        <is>
          <t>Unknown</t>
        </is>
      </c>
      <c r="T300" t="inlineStr">
        <is>
          <t>https://tenders.iglonline.net/tenderDetail/519/Active Tenders And Corrigendum-Addendum</t>
        </is>
      </c>
      <c r="U300" t="inlineStr">
        <is>
          <t>No</t>
        </is>
      </c>
      <c r="V300" t="inlineStr">
        <is>
          <t>Bot tarafindan tespit edildi (2026-07-01)</t>
        </is>
      </c>
    </row>
    <row r="301">
      <c r="A301" t="inlineStr">
        <is>
          <t>T-0105</t>
        </is>
      </c>
      <c r="B301" t="inlineStr">
        <is>
          <t>Indraprastha Gas (IGL)</t>
        </is>
      </c>
      <c r="C301" t="inlineStr">
        <is>
          <t>Indraprastha Gas (IGL)</t>
        </is>
      </c>
      <c r="F301" t="inlineStr">
        <is>
          <t>New Lead</t>
        </is>
      </c>
      <c r="H301" t="inlineStr">
        <is>
          <t>View Tender</t>
        </is>
      </c>
      <c r="K301" t="inlineStr">
        <is>
          <t>Not found</t>
        </is>
      </c>
      <c r="L301" t="inlineStr">
        <is>
          <t>Unknown</t>
        </is>
      </c>
      <c r="T301" t="inlineStr">
        <is>
          <t>https://tenders.iglonline.net/tenderDetail/518/Active Tenders And Corrigendum-Addendum</t>
        </is>
      </c>
      <c r="U301" t="inlineStr">
        <is>
          <t>No</t>
        </is>
      </c>
      <c r="V301" t="inlineStr">
        <is>
          <t>Bot tarafindan tespit edildi (2026-07-01)</t>
        </is>
      </c>
    </row>
    <row r="302">
      <c r="A302" t="inlineStr">
        <is>
          <t>T-0106</t>
        </is>
      </c>
      <c r="B302" t="inlineStr">
        <is>
          <t>Indraprastha Gas (IGL)</t>
        </is>
      </c>
      <c r="C302" t="inlineStr">
        <is>
          <t>Indraprastha Gas (IGL)</t>
        </is>
      </c>
      <c r="F302" t="inlineStr">
        <is>
          <t>New Lead</t>
        </is>
      </c>
      <c r="H302" t="inlineStr">
        <is>
          <t>Corrigendum_1_CP18759.pdf</t>
        </is>
      </c>
      <c r="K302" t="inlineStr">
        <is>
          <t>Not found</t>
        </is>
      </c>
      <c r="L302" t="inlineStr">
        <is>
          <t>Unknown</t>
        </is>
      </c>
      <c r="T302" t="inlineStr">
        <is>
          <t>https://tenders.iglonline.net/uploads/tender/Corrigendum_1_CP18759.pdf</t>
        </is>
      </c>
      <c r="U302" t="inlineStr">
        <is>
          <t>No</t>
        </is>
      </c>
      <c r="V302" t="inlineStr">
        <is>
          <t>Bot tarafindan tespit edildi (2026-07-01)</t>
        </is>
      </c>
    </row>
    <row r="303">
      <c r="A303" t="inlineStr">
        <is>
          <t>T-0107</t>
        </is>
      </c>
      <c r="B303" t="inlineStr">
        <is>
          <t>Indraprastha Gas (IGL)</t>
        </is>
      </c>
      <c r="C303" t="inlineStr">
        <is>
          <t>Indraprastha Gas (IGL)</t>
        </is>
      </c>
      <c r="F303" t="inlineStr">
        <is>
          <t>New Lead</t>
        </is>
      </c>
      <c r="H303" t="inlineStr">
        <is>
          <t>RTPBQ_CP18759.pdf</t>
        </is>
      </c>
      <c r="K303" t="inlineStr">
        <is>
          <t>Not found</t>
        </is>
      </c>
      <c r="L303" t="inlineStr">
        <is>
          <t>Unknown</t>
        </is>
      </c>
      <c r="T303" t="inlineStr">
        <is>
          <t>https://tenders.iglonline.net/uploads/tender/RTPBQ_CP18759.pdf</t>
        </is>
      </c>
      <c r="U303" t="inlineStr">
        <is>
          <t>No</t>
        </is>
      </c>
      <c r="V303" t="inlineStr">
        <is>
          <t>Bot tarafindan tespit edildi (2026-07-01)</t>
        </is>
      </c>
    </row>
    <row r="304">
      <c r="A304" t="inlineStr">
        <is>
          <t>T-0108</t>
        </is>
      </c>
      <c r="B304" t="inlineStr">
        <is>
          <t>Indraprastha Gas (IGL)</t>
        </is>
      </c>
      <c r="C304" t="inlineStr">
        <is>
          <t>Indraprastha Gas (IGL)</t>
        </is>
      </c>
      <c r="F304" t="inlineStr">
        <is>
          <t>New Lead</t>
        </is>
      </c>
      <c r="H304" t="inlineStr">
        <is>
          <t>CP18759_Corrigendum_2.pdf</t>
        </is>
      </c>
      <c r="K304" t="inlineStr">
        <is>
          <t>Not found</t>
        </is>
      </c>
      <c r="L304" t="inlineStr">
        <is>
          <t>Unknown</t>
        </is>
      </c>
      <c r="T304" t="inlineStr">
        <is>
          <t>https://tenders.iglonline.net/uploads/tender/CP18759_Corrigendum_2.pdf</t>
        </is>
      </c>
      <c r="U304" t="inlineStr">
        <is>
          <t>No</t>
        </is>
      </c>
      <c r="V304" t="inlineStr">
        <is>
          <t>Bot tarafindan tespit edildi (2026-07-01)</t>
        </is>
      </c>
    </row>
    <row r="305">
      <c r="A305" t="inlineStr">
        <is>
          <t>T-0109</t>
        </is>
      </c>
      <c r="B305" t="inlineStr">
        <is>
          <t>Indraprastha Gas (IGL)</t>
        </is>
      </c>
      <c r="C305" t="inlineStr">
        <is>
          <t>Indraprastha Gas (IGL)</t>
        </is>
      </c>
      <c r="F305" t="inlineStr">
        <is>
          <t>New Lead</t>
        </is>
      </c>
      <c r="H305" t="inlineStr">
        <is>
          <t>RTPBQ_2_CP18759.pdf</t>
        </is>
      </c>
      <c r="K305" t="inlineStr">
        <is>
          <t>Not found</t>
        </is>
      </c>
      <c r="L305" t="inlineStr">
        <is>
          <t>Unknown</t>
        </is>
      </c>
      <c r="T305" t="inlineStr">
        <is>
          <t>https://tenders.iglonline.net/uploads/tender/RTPBQ_2_CP18759.pdf</t>
        </is>
      </c>
      <c r="U305" t="inlineStr">
        <is>
          <t>No</t>
        </is>
      </c>
      <c r="V305" t="inlineStr">
        <is>
          <t>Bot tarafindan tespit edildi (2026-07-01)</t>
        </is>
      </c>
    </row>
    <row r="306">
      <c r="A306" t="inlineStr">
        <is>
          <t>T-0110</t>
        </is>
      </c>
      <c r="B306" t="inlineStr">
        <is>
          <t>Indraprastha Gas (IGL)</t>
        </is>
      </c>
      <c r="C306" t="inlineStr">
        <is>
          <t>Indraprastha Gas (IGL)</t>
        </is>
      </c>
      <c r="F306" t="inlineStr">
        <is>
          <t>New Lead</t>
        </is>
      </c>
      <c r="H306" t="inlineStr">
        <is>
          <t>View Tender</t>
        </is>
      </c>
      <c r="K306" t="inlineStr">
        <is>
          <t>Not found</t>
        </is>
      </c>
      <c r="L306" t="inlineStr">
        <is>
          <t>Unknown</t>
        </is>
      </c>
      <c r="T306" t="inlineStr">
        <is>
          <t>https://tenders.iglonline.net/tenderDetail/517/Active Tenders And Corrigendum-Addendum</t>
        </is>
      </c>
      <c r="U306" t="inlineStr">
        <is>
          <t>No</t>
        </is>
      </c>
      <c r="V306" t="inlineStr">
        <is>
          <t>Bot tarafindan tespit edildi (2026-07-01)</t>
        </is>
      </c>
    </row>
    <row r="307">
      <c r="A307" t="inlineStr">
        <is>
          <t>T-0111</t>
        </is>
      </c>
      <c r="B307" t="inlineStr">
        <is>
          <t>Indraprastha Gas (IGL)</t>
        </is>
      </c>
      <c r="C307" t="inlineStr">
        <is>
          <t>Indraprastha Gas (IGL)</t>
        </is>
      </c>
      <c r="F307" t="inlineStr">
        <is>
          <t>New Lead</t>
        </is>
      </c>
      <c r="H307" t="inlineStr">
        <is>
          <t>CC18762_RTBQ.pdf</t>
        </is>
      </c>
      <c r="K307" t="inlineStr">
        <is>
          <t>Not found</t>
        </is>
      </c>
      <c r="L307" t="inlineStr">
        <is>
          <t>Unknown</t>
        </is>
      </c>
      <c r="T307" t="inlineStr">
        <is>
          <t>https://tenders.iglonline.net/uploads/tender/CC18762_RTBQ.pdf</t>
        </is>
      </c>
      <c r="U307" t="inlineStr">
        <is>
          <t>No</t>
        </is>
      </c>
      <c r="V307" t="inlineStr">
        <is>
          <t>Bot tarafindan tespit edildi (2026-07-01)</t>
        </is>
      </c>
    </row>
    <row r="308">
      <c r="A308" t="inlineStr">
        <is>
          <t>T-0112</t>
        </is>
      </c>
      <c r="B308" t="inlineStr">
        <is>
          <t>Indraprastha Gas (IGL)</t>
        </is>
      </c>
      <c r="C308" t="inlineStr">
        <is>
          <t>Indraprastha Gas (IGL)</t>
        </is>
      </c>
      <c r="F308" t="inlineStr">
        <is>
          <t>New Lead</t>
        </is>
      </c>
      <c r="H308" t="inlineStr">
        <is>
          <t>CC18762_Corrigendum_I.pdf</t>
        </is>
      </c>
      <c r="K308" t="inlineStr">
        <is>
          <t>Not found</t>
        </is>
      </c>
      <c r="L308" t="inlineStr">
        <is>
          <t>Unknown</t>
        </is>
      </c>
      <c r="T308" t="inlineStr">
        <is>
          <t>https://tenders.iglonline.net/uploads/tender/CC18762_Corrigendum_I.pdf</t>
        </is>
      </c>
      <c r="U308" t="inlineStr">
        <is>
          <t>No</t>
        </is>
      </c>
      <c r="V308" t="inlineStr">
        <is>
          <t>Bot tarafindan tespit edildi (2026-07-01)</t>
        </is>
      </c>
    </row>
    <row r="309">
      <c r="A309" t="inlineStr">
        <is>
          <t>T-0113</t>
        </is>
      </c>
      <c r="B309" t="inlineStr">
        <is>
          <t>Indraprastha Gas (IGL)</t>
        </is>
      </c>
      <c r="C309" t="inlineStr">
        <is>
          <t>Indraprastha Gas (IGL)</t>
        </is>
      </c>
      <c r="F309" t="inlineStr">
        <is>
          <t>New Lead</t>
        </is>
      </c>
      <c r="H309" t="inlineStr">
        <is>
          <t>CC18762_RTBQ_II.pdf</t>
        </is>
      </c>
      <c r="K309" t="inlineStr">
        <is>
          <t>Not found</t>
        </is>
      </c>
      <c r="L309" t="inlineStr">
        <is>
          <t>Unknown</t>
        </is>
      </c>
      <c r="T309" t="inlineStr">
        <is>
          <t>https://tenders.iglonline.net/uploads/tender/CC18762_RTBQ_II.pdf</t>
        </is>
      </c>
      <c r="U309" t="inlineStr">
        <is>
          <t>No</t>
        </is>
      </c>
      <c r="V309" t="inlineStr">
        <is>
          <t>Bot tarafindan tespit edildi (2026-07-01)</t>
        </is>
      </c>
    </row>
    <row r="310">
      <c r="A310" t="inlineStr">
        <is>
          <t>T-0114</t>
        </is>
      </c>
      <c r="B310" t="inlineStr">
        <is>
          <t>Indraprastha Gas (IGL)</t>
        </is>
      </c>
      <c r="C310" t="inlineStr">
        <is>
          <t>Indraprastha Gas (IGL)</t>
        </is>
      </c>
      <c r="F310" t="inlineStr">
        <is>
          <t>New Lead</t>
        </is>
      </c>
      <c r="H310" t="inlineStr">
        <is>
          <t>View Tender</t>
        </is>
      </c>
      <c r="K310" t="inlineStr">
        <is>
          <t>Not found</t>
        </is>
      </c>
      <c r="L310" t="inlineStr">
        <is>
          <t>Unknown</t>
        </is>
      </c>
      <c r="T310" t="inlineStr">
        <is>
          <t>https://tenders.iglonline.net/tenderDetail/516/Active Tenders And Corrigendum-Addendum</t>
        </is>
      </c>
      <c r="U310" t="inlineStr">
        <is>
          <t>No</t>
        </is>
      </c>
      <c r="V310" t="inlineStr">
        <is>
          <t>Bot tarafindan tespit edildi (2026-07-01)</t>
        </is>
      </c>
    </row>
    <row r="311">
      <c r="A311" t="inlineStr">
        <is>
          <t>T-0115</t>
        </is>
      </c>
      <c r="B311" t="inlineStr">
        <is>
          <t>Indraprastha Gas (IGL)</t>
        </is>
      </c>
      <c r="C311" t="inlineStr">
        <is>
          <t>Indraprastha Gas (IGL)</t>
        </is>
      </c>
      <c r="F311" t="inlineStr">
        <is>
          <t>New Lead</t>
        </is>
      </c>
      <c r="H311" t="inlineStr">
        <is>
          <t>View Tender</t>
        </is>
      </c>
      <c r="K311" t="inlineStr">
        <is>
          <t>Not found</t>
        </is>
      </c>
      <c r="L311" t="inlineStr">
        <is>
          <t>Unknown</t>
        </is>
      </c>
      <c r="T311" t="inlineStr">
        <is>
          <t>https://tenders.iglonline.net/tenderDetail/515/Active Tenders And Corrigendum-Addendum</t>
        </is>
      </c>
      <c r="U311" t="inlineStr">
        <is>
          <t>No</t>
        </is>
      </c>
      <c r="V311" t="inlineStr">
        <is>
          <t>Bot tarafindan tespit edildi (2026-07-01)</t>
        </is>
      </c>
    </row>
    <row r="312">
      <c r="A312" t="inlineStr">
        <is>
          <t>T-0116</t>
        </is>
      </c>
      <c r="B312" t="inlineStr">
        <is>
          <t>Indraprastha Gas (IGL)</t>
        </is>
      </c>
      <c r="C312" t="inlineStr">
        <is>
          <t>Indraprastha Gas (IGL)</t>
        </is>
      </c>
      <c r="F312" t="inlineStr">
        <is>
          <t>New Lead</t>
        </is>
      </c>
      <c r="H312" t="inlineStr">
        <is>
          <t>View Tender</t>
        </is>
      </c>
      <c r="K312" t="inlineStr">
        <is>
          <t>Not found</t>
        </is>
      </c>
      <c r="L312" t="inlineStr">
        <is>
          <t>Unknown</t>
        </is>
      </c>
      <c r="T312" t="inlineStr">
        <is>
          <t>https://tenders.iglonline.net/tenderDetail/514/Active Tenders And Corrigendum-Addendum</t>
        </is>
      </c>
      <c r="U312" t="inlineStr">
        <is>
          <t>No</t>
        </is>
      </c>
      <c r="V312" t="inlineStr">
        <is>
          <t>Bot tarafindan tespit edildi (2026-07-01)</t>
        </is>
      </c>
    </row>
    <row r="313">
      <c r="A313" t="inlineStr">
        <is>
          <t>T-0117</t>
        </is>
      </c>
      <c r="B313" t="inlineStr">
        <is>
          <t>Indraprastha Gas (IGL)</t>
        </is>
      </c>
      <c r="C313" t="inlineStr">
        <is>
          <t>Indraprastha Gas (IGL)</t>
        </is>
      </c>
      <c r="F313" t="inlineStr">
        <is>
          <t>New Lead</t>
        </is>
      </c>
      <c r="H313" t="inlineStr">
        <is>
          <t>View Tender</t>
        </is>
      </c>
      <c r="K313" t="inlineStr">
        <is>
          <t>Not found</t>
        </is>
      </c>
      <c r="L313" t="inlineStr">
        <is>
          <t>Unknown</t>
        </is>
      </c>
      <c r="T313" t="inlineStr">
        <is>
          <t>https://tenders.iglonline.net/tenderDetail/513/Active Tenders And Corrigendum-Addendum</t>
        </is>
      </c>
      <c r="U313" t="inlineStr">
        <is>
          <t>No</t>
        </is>
      </c>
      <c r="V313" t="inlineStr">
        <is>
          <t>Bot tarafindan tespit edildi (2026-07-01)</t>
        </is>
      </c>
    </row>
    <row r="314">
      <c r="A314" t="inlineStr">
        <is>
          <t>T-0118</t>
        </is>
      </c>
      <c r="B314" t="inlineStr">
        <is>
          <t>Indraprastha Gas (IGL)</t>
        </is>
      </c>
      <c r="C314" t="inlineStr">
        <is>
          <t>Indraprastha Gas (IGL)</t>
        </is>
      </c>
      <c r="F314" t="inlineStr">
        <is>
          <t>New Lead</t>
        </is>
      </c>
      <c r="H314" t="inlineStr">
        <is>
          <t>RTBQ CM18738.pdf</t>
        </is>
      </c>
      <c r="K314" t="inlineStr">
        <is>
          <t>Not found</t>
        </is>
      </c>
      <c r="L314" t="inlineStr">
        <is>
          <t>Unknown</t>
        </is>
      </c>
      <c r="T314" t="inlineStr">
        <is>
          <t>https://tenders.iglonline.net/uploads/tender/RTBQ CM18738.pdf</t>
        </is>
      </c>
      <c r="U314" t="inlineStr">
        <is>
          <t>No</t>
        </is>
      </c>
      <c r="V314" t="inlineStr">
        <is>
          <t>Bot tarafindan tespit edildi (2026-07-01)</t>
        </is>
      </c>
    </row>
    <row r="315">
      <c r="A315" t="inlineStr">
        <is>
          <t>T-0119</t>
        </is>
      </c>
      <c r="B315" t="inlineStr">
        <is>
          <t>Indraprastha Gas (IGL)</t>
        </is>
      </c>
      <c r="C315" t="inlineStr">
        <is>
          <t>Indraprastha Gas (IGL)</t>
        </is>
      </c>
      <c r="F315" t="inlineStr">
        <is>
          <t>New Lead</t>
        </is>
      </c>
      <c r="H315" t="inlineStr">
        <is>
          <t>CORRIGENDUM I CM18738.pdf</t>
        </is>
      </c>
      <c r="K315" t="inlineStr">
        <is>
          <t>Not found</t>
        </is>
      </c>
      <c r="L315" t="inlineStr">
        <is>
          <t>Unknown</t>
        </is>
      </c>
      <c r="T315" t="inlineStr">
        <is>
          <t>https://tenders.iglonline.net/uploads/tender/CORRIGENDUM I CM18738.pdf</t>
        </is>
      </c>
      <c r="U315" t="inlineStr">
        <is>
          <t>No</t>
        </is>
      </c>
      <c r="V315" t="inlineStr">
        <is>
          <t>Bot tarafindan tespit edildi (2026-07-01)</t>
        </is>
      </c>
    </row>
    <row r="316">
      <c r="A316" t="inlineStr">
        <is>
          <t>T-0120</t>
        </is>
      </c>
      <c r="B316" t="inlineStr">
        <is>
          <t>Indraprastha Gas (IGL)</t>
        </is>
      </c>
      <c r="C316" t="inlineStr">
        <is>
          <t>Indraprastha Gas (IGL)</t>
        </is>
      </c>
      <c r="F316" t="inlineStr">
        <is>
          <t>New Lead</t>
        </is>
      </c>
      <c r="H316" t="inlineStr">
        <is>
          <t>View Tender</t>
        </is>
      </c>
      <c r="K316" t="inlineStr">
        <is>
          <t>Not found</t>
        </is>
      </c>
      <c r="L316" t="inlineStr">
        <is>
          <t>Unknown</t>
        </is>
      </c>
      <c r="T316" t="inlineStr">
        <is>
          <t>https://tenders.iglonline.net/tenderDetail/512/Active Tenders And Corrigendum-Addendum</t>
        </is>
      </c>
      <c r="U316" t="inlineStr">
        <is>
          <t>No</t>
        </is>
      </c>
      <c r="V316" t="inlineStr">
        <is>
          <t>Bot tarafindan tespit edildi (2026-07-01)</t>
        </is>
      </c>
    </row>
    <row r="317">
      <c r="A317" t="inlineStr">
        <is>
          <t>T-0121</t>
        </is>
      </c>
      <c r="B317" t="inlineStr">
        <is>
          <t>Indraprastha Gas (IGL)</t>
        </is>
      </c>
      <c r="C317" t="inlineStr">
        <is>
          <t>Indraprastha Gas (IGL)</t>
        </is>
      </c>
      <c r="F317" t="inlineStr">
        <is>
          <t>New Lead</t>
        </is>
      </c>
      <c r="H317" t="inlineStr">
        <is>
          <t>View Tender</t>
        </is>
      </c>
      <c r="K317" t="inlineStr">
        <is>
          <t>Not found</t>
        </is>
      </c>
      <c r="L317" t="inlineStr">
        <is>
          <t>Unknown</t>
        </is>
      </c>
      <c r="T317" t="inlineStr">
        <is>
          <t>https://tenders.iglonline.net/tenderDetail/511/Active Tenders And Corrigendum-Addendum</t>
        </is>
      </c>
      <c r="U317" t="inlineStr">
        <is>
          <t>No</t>
        </is>
      </c>
      <c r="V317" t="inlineStr">
        <is>
          <t>Bot tarafindan tespit edildi (2026-07-01)</t>
        </is>
      </c>
    </row>
    <row r="318">
      <c r="A318" t="inlineStr">
        <is>
          <t>T-0122</t>
        </is>
      </c>
      <c r="B318" t="inlineStr">
        <is>
          <t>Indraprastha Gas (IGL)</t>
        </is>
      </c>
      <c r="C318" t="inlineStr">
        <is>
          <t>Indraprastha Gas (IGL)</t>
        </is>
      </c>
      <c r="D318" t="inlineStr">
        <is>
          <t>DOCUMENT</t>
        </is>
      </c>
      <c r="F318" t="inlineStr">
        <is>
          <t>Awarded</t>
        </is>
      </c>
      <c r="G318" t="inlineStr">
        <is>
          <t>Metering skid</t>
        </is>
      </c>
      <c r="H318" t="inlineStr">
        <is>
          <t>Open_Domestic Tender_Corrigendum_1.pdf</t>
        </is>
      </c>
      <c r="K318" t="inlineStr">
        <is>
          <t>whose bid has been determined to be substantially responsive and has been determined to be</t>
        </is>
      </c>
      <c r="L318" t="inlineStr">
        <is>
          <t>Unknown</t>
        </is>
      </c>
      <c r="T318" t="inlineStr">
        <is>
          <t>https://tenders.iglonline.net/uploads/tender/Open_Domestic Tender_Corrigendum_1.pdf</t>
        </is>
      </c>
      <c r="U318" t="inlineStr">
        <is>
          <t>No</t>
        </is>
      </c>
      <c r="V318" t="inlineStr">
        <is>
          <t>Bot tarafindan tespit edildi (2026-07-01) | Bot enrich; date=2026-07-01; type=pdf; score=230; pdf_conf=Medium; Bot tespit/zenginlestirme (2026-07-01); meta:score=35;priority=Low;source_type=html_table;closing_date=;equipment=Gas-related / review;reasons=equipment:Gas-related / review,document source</t>
        </is>
      </c>
    </row>
    <row r="319">
      <c r="A319" t="inlineStr">
        <is>
          <t>T-0123</t>
        </is>
      </c>
      <c r="B319" t="inlineStr">
        <is>
          <t>Indraprastha Gas (IGL)</t>
        </is>
      </c>
      <c r="C319" t="inlineStr">
        <is>
          <t>Indraprastha Gas (IGL)</t>
        </is>
      </c>
      <c r="D319" t="inlineStr">
        <is>
          <t>QUERIES</t>
        </is>
      </c>
      <c r="E319" t="inlineStr">
        <is>
          <t>1/4-18</t>
        </is>
      </c>
      <c r="F319" t="inlineStr">
        <is>
          <t>Awarded</t>
        </is>
      </c>
      <c r="G319" t="inlineStr">
        <is>
          <t>Metering skid</t>
        </is>
      </c>
      <c r="H319" t="inlineStr">
        <is>
          <t>IGLET2CPCM18751_Reply to Bidders Pre Bid Queries.pdf</t>
        </is>
      </c>
      <c r="K319" t="inlineStr">
        <is>
          <t>Not found</t>
        </is>
      </c>
      <c r="L319" t="inlineStr">
        <is>
          <t>Unknown</t>
        </is>
      </c>
      <c r="M319" t="n">
        <v>1514724</v>
      </c>
      <c r="T319" t="inlineStr">
        <is>
          <t>https://tenders.iglonline.net/uploads/tender/IGLET2CPCM18751_Reply to Bidders Pre Bid Queries.pdf</t>
        </is>
      </c>
      <c r="U319" t="inlineStr">
        <is>
          <t>No</t>
        </is>
      </c>
      <c r="V319" t="inlineStr">
        <is>
          <t>Bot tarafindan tespit edildi (2026-07-01) | closing=1/4-18 | Bot enrich; date=2026-07-01; type=pdf; pdf_closing=1/4-18; score=230; pdf_conf=High; Bot tespit/zenginlestirme (2026-07-01); meta:score=35;priority=Low;source_type=html_table;closing_date=;equipment=Gas-related / review;reasons=equipment:Gas-related / review,document source</t>
        </is>
      </c>
    </row>
    <row r="320">
      <c r="A320" t="inlineStr">
        <is>
          <t>T-0124</t>
        </is>
      </c>
      <c r="B320" t="inlineStr">
        <is>
          <t>Indraprastha Gas (IGL)</t>
        </is>
      </c>
      <c r="C320" t="inlineStr">
        <is>
          <t>Indraprastha Gas (IGL)</t>
        </is>
      </c>
      <c r="F320" t="inlineStr">
        <is>
          <t>New Lead</t>
        </is>
      </c>
      <c r="H320" t="inlineStr">
        <is>
          <t>View Tender</t>
        </is>
      </c>
      <c r="K320" t="inlineStr">
        <is>
          <t>Not found</t>
        </is>
      </c>
      <c r="L320" t="inlineStr">
        <is>
          <t>Unknown</t>
        </is>
      </c>
      <c r="T320" t="inlineStr">
        <is>
          <t>https://tenders.iglonline.net/tenderDetail/510/Active Tenders And Corrigendum-Addendum</t>
        </is>
      </c>
      <c r="U320" t="inlineStr">
        <is>
          <t>No</t>
        </is>
      </c>
      <c r="V320" t="inlineStr">
        <is>
          <t>Bot tarafindan tespit edildi (2026-07-01)</t>
        </is>
      </c>
    </row>
    <row r="321">
      <c r="A321" t="inlineStr">
        <is>
          <t>T-0125</t>
        </is>
      </c>
      <c r="B321" t="inlineStr">
        <is>
          <t>Indraprastha Gas (IGL)</t>
        </is>
      </c>
      <c r="C321" t="inlineStr">
        <is>
          <t>Indraprastha Gas (IGL)</t>
        </is>
      </c>
      <c r="F321" t="inlineStr">
        <is>
          <t>New Lead</t>
        </is>
      </c>
      <c r="H321" t="inlineStr">
        <is>
          <t>View Tender</t>
        </is>
      </c>
      <c r="K321" t="inlineStr">
        <is>
          <t>Not found</t>
        </is>
      </c>
      <c r="L321" t="inlineStr">
        <is>
          <t>Unknown</t>
        </is>
      </c>
      <c r="T321" t="inlineStr">
        <is>
          <t>https://tenders.iglonline.net/tenderDetail/509/Active Tenders And Corrigendum-Addendum</t>
        </is>
      </c>
      <c r="U321" t="inlineStr">
        <is>
          <t>No</t>
        </is>
      </c>
      <c r="V321" t="inlineStr">
        <is>
          <t>Bot tarafindan tespit edildi (2026-07-01)</t>
        </is>
      </c>
    </row>
    <row r="322">
      <c r="A322" t="inlineStr">
        <is>
          <t>T-0126</t>
        </is>
      </c>
      <c r="B322" t="inlineStr">
        <is>
          <t>Indraprastha Gas (IGL)</t>
        </is>
      </c>
      <c r="C322" t="inlineStr">
        <is>
          <t>Indraprastha Gas (IGL)</t>
        </is>
      </c>
      <c r="F322" t="inlineStr">
        <is>
          <t>New Lead</t>
        </is>
      </c>
      <c r="H322" t="inlineStr">
        <is>
          <t>View Tender</t>
        </is>
      </c>
      <c r="K322" t="inlineStr">
        <is>
          <t>Not found</t>
        </is>
      </c>
      <c r="L322" t="inlineStr">
        <is>
          <t>Unknown</t>
        </is>
      </c>
      <c r="T322" t="inlineStr">
        <is>
          <t>https://tenders.iglonline.net/tenderDetail/508/Active Tenders And Corrigendum-Addendum</t>
        </is>
      </c>
      <c r="U322" t="inlineStr">
        <is>
          <t>No</t>
        </is>
      </c>
      <c r="V322" t="inlineStr">
        <is>
          <t>Bot tarafindan tespit edildi (2026-07-01)</t>
        </is>
      </c>
    </row>
    <row r="323">
      <c r="A323" t="inlineStr">
        <is>
          <t>T-0127</t>
        </is>
      </c>
      <c r="B323" t="inlineStr">
        <is>
          <t>Indraprastha Gas (IGL)</t>
        </is>
      </c>
      <c r="C323" t="inlineStr">
        <is>
          <t>Indraprastha Gas (IGL)</t>
        </is>
      </c>
      <c r="F323" t="inlineStr">
        <is>
          <t>New Lead</t>
        </is>
      </c>
      <c r="H323" t="inlineStr">
        <is>
          <t>RTBQ_CP18681.pdf</t>
        </is>
      </c>
      <c r="K323" t="inlineStr">
        <is>
          <t>Not found</t>
        </is>
      </c>
      <c r="L323" t="inlineStr">
        <is>
          <t>Unknown</t>
        </is>
      </c>
      <c r="T323" t="inlineStr">
        <is>
          <t>https://tenders.iglonline.net/uploads/tender/RTBQ_CP18681.pdf</t>
        </is>
      </c>
      <c r="U323" t="inlineStr">
        <is>
          <t>No</t>
        </is>
      </c>
      <c r="V323" t="inlineStr">
        <is>
          <t>Bot tarafindan tespit edildi (2026-07-01)</t>
        </is>
      </c>
    </row>
    <row r="324">
      <c r="A324" t="inlineStr">
        <is>
          <t>T-0128</t>
        </is>
      </c>
      <c r="B324" t="inlineStr">
        <is>
          <t>Indraprastha Gas (IGL)</t>
        </is>
      </c>
      <c r="C324" t="inlineStr">
        <is>
          <t>Indraprastha Gas (IGL)</t>
        </is>
      </c>
      <c r="F324" t="inlineStr">
        <is>
          <t>New Lead</t>
        </is>
      </c>
      <c r="H324" t="inlineStr">
        <is>
          <t>View Tender</t>
        </is>
      </c>
      <c r="K324" t="inlineStr">
        <is>
          <t>Not found</t>
        </is>
      </c>
      <c r="L324" t="inlineStr">
        <is>
          <t>Unknown</t>
        </is>
      </c>
      <c r="T324" t="inlineStr">
        <is>
          <t>https://tenders.iglonline.net/tenderDetail/507/Active Tenders And Corrigendum-Addendum</t>
        </is>
      </c>
      <c r="U324" t="inlineStr">
        <is>
          <t>No</t>
        </is>
      </c>
      <c r="V324" t="inlineStr">
        <is>
          <t>Bot tarafindan tespit edildi (2026-07-01)</t>
        </is>
      </c>
    </row>
    <row r="325">
      <c r="A325" t="inlineStr">
        <is>
          <t>T-0129</t>
        </is>
      </c>
      <c r="B325" t="inlineStr">
        <is>
          <t>Indraprastha Gas (IGL)</t>
        </is>
      </c>
      <c r="C325" t="inlineStr">
        <is>
          <t>Indraprastha Gas (IGL)</t>
        </is>
      </c>
      <c r="F325" t="inlineStr">
        <is>
          <t>New Lead</t>
        </is>
      </c>
      <c r="H325" t="inlineStr">
        <is>
          <t>RTPBQ_CM18731.pdf</t>
        </is>
      </c>
      <c r="K325" t="inlineStr">
        <is>
          <t>Not found</t>
        </is>
      </c>
      <c r="L325" t="inlineStr">
        <is>
          <t>Unknown</t>
        </is>
      </c>
      <c r="T325" t="inlineStr">
        <is>
          <t>https://tenders.iglonline.net/uploads/tender/RTPBQ_CM18731.pdf</t>
        </is>
      </c>
      <c r="U325" t="inlineStr">
        <is>
          <t>No</t>
        </is>
      </c>
      <c r="V325" t="inlineStr">
        <is>
          <t>Bot tarafindan tespit edildi (2026-07-01)</t>
        </is>
      </c>
    </row>
    <row r="326">
      <c r="A326" t="inlineStr">
        <is>
          <t>T-0130</t>
        </is>
      </c>
      <c r="B326" t="inlineStr">
        <is>
          <t>Indraprastha Gas (IGL)</t>
        </is>
      </c>
      <c r="C326" t="inlineStr">
        <is>
          <t>Indraprastha Gas (IGL)</t>
        </is>
      </c>
      <c r="F326" t="inlineStr">
        <is>
          <t>New Lead</t>
        </is>
      </c>
      <c r="H326" t="inlineStr">
        <is>
          <t>View Tender</t>
        </is>
      </c>
      <c r="K326" t="inlineStr">
        <is>
          <t>Not found</t>
        </is>
      </c>
      <c r="L326" t="inlineStr">
        <is>
          <t>Unknown</t>
        </is>
      </c>
      <c r="T326" t="inlineStr">
        <is>
          <t>https://tenders.iglonline.net/tenderDetail/506/Active Tenders And Corrigendum-Addendum</t>
        </is>
      </c>
      <c r="U326" t="inlineStr">
        <is>
          <t>No</t>
        </is>
      </c>
      <c r="V326" t="inlineStr">
        <is>
          <t>Bot tarafindan tespit edildi (2026-07-01)</t>
        </is>
      </c>
    </row>
    <row r="327">
      <c r="A327" t="inlineStr">
        <is>
          <t>T-0131</t>
        </is>
      </c>
      <c r="B327" t="inlineStr">
        <is>
          <t>Indraprastha Gas (IGL)</t>
        </is>
      </c>
      <c r="C327" t="inlineStr">
        <is>
          <t>Indraprastha Gas (IGL)</t>
        </is>
      </c>
      <c r="F327" t="inlineStr">
        <is>
          <t>New Lead</t>
        </is>
      </c>
      <c r="H327" t="inlineStr">
        <is>
          <t>View Tender</t>
        </is>
      </c>
      <c r="K327" t="inlineStr">
        <is>
          <t>Not found</t>
        </is>
      </c>
      <c r="L327" t="inlineStr">
        <is>
          <t>Unknown</t>
        </is>
      </c>
      <c r="T327" t="inlineStr">
        <is>
          <t>https://tenders.iglonline.net/tenderDetail/505/Active Tenders And Corrigendum-Addendum</t>
        </is>
      </c>
      <c r="U327" t="inlineStr">
        <is>
          <t>No</t>
        </is>
      </c>
      <c r="V327" t="inlineStr">
        <is>
          <t>Bot tarafindan tespit edildi (2026-07-01)</t>
        </is>
      </c>
    </row>
    <row r="328">
      <c r="A328" t="inlineStr">
        <is>
          <t>T-0132</t>
        </is>
      </c>
      <c r="B328" t="inlineStr">
        <is>
          <t>Indraprastha Gas (IGL)</t>
        </is>
      </c>
      <c r="C328" t="inlineStr">
        <is>
          <t>Indraprastha Gas (IGL)</t>
        </is>
      </c>
      <c r="F328" t="inlineStr">
        <is>
          <t>New Lead</t>
        </is>
      </c>
      <c r="H328" t="inlineStr">
        <is>
          <t>View Tender</t>
        </is>
      </c>
      <c r="K328" t="inlineStr">
        <is>
          <t>Not found</t>
        </is>
      </c>
      <c r="L328" t="inlineStr">
        <is>
          <t>Unknown</t>
        </is>
      </c>
      <c r="T328" t="inlineStr">
        <is>
          <t>https://tenders.iglonline.net/tenderDetail/504/Active Tenders And Corrigendum-Addendum</t>
        </is>
      </c>
      <c r="U328" t="inlineStr">
        <is>
          <t>No</t>
        </is>
      </c>
      <c r="V328" t="inlineStr">
        <is>
          <t>Bot tarafindan tespit edildi (2026-07-01)</t>
        </is>
      </c>
    </row>
    <row r="329">
      <c r="A329" t="inlineStr">
        <is>
          <t>T-0133</t>
        </is>
      </c>
      <c r="B329" t="inlineStr">
        <is>
          <t>Indraprastha Gas (IGL)</t>
        </is>
      </c>
      <c r="C329" t="inlineStr">
        <is>
          <t>Indraprastha Gas (IGL)</t>
        </is>
      </c>
      <c r="F329" t="inlineStr">
        <is>
          <t>New Lead</t>
        </is>
      </c>
      <c r="H329" t="inlineStr">
        <is>
          <t>View Tender</t>
        </is>
      </c>
      <c r="K329" t="inlineStr">
        <is>
          <t>Not found</t>
        </is>
      </c>
      <c r="L329" t="inlineStr">
        <is>
          <t>Unknown</t>
        </is>
      </c>
      <c r="T329" t="inlineStr">
        <is>
          <t>https://tenders.iglonline.net/tenderDetail/503/Active Tenders And Corrigendum-Addendum</t>
        </is>
      </c>
      <c r="U329" t="inlineStr">
        <is>
          <t>No</t>
        </is>
      </c>
      <c r="V329" t="inlineStr">
        <is>
          <t>Bot tarafindan tespit edildi (2026-07-01)</t>
        </is>
      </c>
    </row>
    <row r="330">
      <c r="A330" t="inlineStr">
        <is>
          <t>T-0134</t>
        </is>
      </c>
      <c r="B330" t="inlineStr">
        <is>
          <t>Indraprastha Gas (IGL)</t>
        </is>
      </c>
      <c r="C330" t="inlineStr">
        <is>
          <t>Indraprastha Gas (IGL)</t>
        </is>
      </c>
      <c r="F330" t="inlineStr">
        <is>
          <t>New Lead</t>
        </is>
      </c>
      <c r="H330" t="inlineStr">
        <is>
          <t>View Tender</t>
        </is>
      </c>
      <c r="K330" t="inlineStr">
        <is>
          <t>Not found</t>
        </is>
      </c>
      <c r="L330" t="inlineStr">
        <is>
          <t>Unknown</t>
        </is>
      </c>
      <c r="T330" t="inlineStr">
        <is>
          <t>https://tenders.iglonline.net/tenderDetail/502/Active Tenders And Corrigendum-Addendum</t>
        </is>
      </c>
      <c r="U330" t="inlineStr">
        <is>
          <t>No</t>
        </is>
      </c>
      <c r="V330" t="inlineStr">
        <is>
          <t>Bot tarafindan tespit edildi (2026-07-01)</t>
        </is>
      </c>
    </row>
    <row r="331">
      <c r="A331" t="inlineStr">
        <is>
          <t>T-0135</t>
        </is>
      </c>
      <c r="B331" t="inlineStr">
        <is>
          <t>Indraprastha Gas (IGL)</t>
        </is>
      </c>
      <c r="C331" t="inlineStr">
        <is>
          <t>Indraprastha Gas (IGL)</t>
        </is>
      </c>
      <c r="F331" t="inlineStr">
        <is>
          <t>New Lead</t>
        </is>
      </c>
      <c r="G331" t="inlineStr">
        <is>
          <t>Gas-related / review</t>
        </is>
      </c>
      <c r="H331" t="inlineStr">
        <is>
          <t>RTPBQ_CM18717.pdf</t>
        </is>
      </c>
      <c r="K331" t="inlineStr">
        <is>
          <t>Not found</t>
        </is>
      </c>
      <c r="L331" t="inlineStr">
        <is>
          <t>Unknown</t>
        </is>
      </c>
      <c r="T331" t="inlineStr">
        <is>
          <t>https://tenders.iglonline.net/uploads/tender/RTPBQ_CM18717.pdf</t>
        </is>
      </c>
      <c r="U331" t="inlineStr">
        <is>
          <t>No</t>
        </is>
      </c>
      <c r="V331" t="inlineStr">
        <is>
          <t>Bot tarafindan tespit edildi (2026-07-01); Bot tespit/zenginlestirme (2026-07-01); meta:score=35;priority=Low;source_type=html_table;closing_date=;equipment=Gas-related / review;reasons=equipment:Gas-related / review,document source</t>
        </is>
      </c>
    </row>
    <row r="332">
      <c r="A332" t="inlineStr">
        <is>
          <t>T-0136</t>
        </is>
      </c>
      <c r="B332" t="inlineStr">
        <is>
          <t>Indraprastha Gas (IGL)</t>
        </is>
      </c>
      <c r="C332" t="inlineStr">
        <is>
          <t>Indraprastha Gas (IGL)</t>
        </is>
      </c>
      <c r="F332" t="inlineStr">
        <is>
          <t>New Lead</t>
        </is>
      </c>
      <c r="H332" t="inlineStr">
        <is>
          <t>View Tender</t>
        </is>
      </c>
      <c r="K332" t="inlineStr">
        <is>
          <t>Not found</t>
        </is>
      </c>
      <c r="L332" t="inlineStr">
        <is>
          <t>Unknown</t>
        </is>
      </c>
      <c r="T332" t="inlineStr">
        <is>
          <t>https://tenders.iglonline.net/tenderDetail/501/Active Tenders And Corrigendum-Addendum</t>
        </is>
      </c>
      <c r="U332" t="inlineStr">
        <is>
          <t>No</t>
        </is>
      </c>
      <c r="V332" t="inlineStr">
        <is>
          <t>Bot tarafindan tespit edildi (2026-07-01)</t>
        </is>
      </c>
    </row>
    <row r="333">
      <c r="A333" t="inlineStr">
        <is>
          <t>T-0137</t>
        </is>
      </c>
      <c r="B333" t="inlineStr">
        <is>
          <t>Indraprastha Gas (IGL)</t>
        </is>
      </c>
      <c r="C333" t="inlineStr">
        <is>
          <t>Indraprastha Gas (IGL)</t>
        </is>
      </c>
      <c r="F333" t="inlineStr">
        <is>
          <t>New Lead</t>
        </is>
      </c>
      <c r="H333" t="inlineStr">
        <is>
          <t>RTBQ CM18715.pdf</t>
        </is>
      </c>
      <c r="K333" t="inlineStr">
        <is>
          <t>Not found</t>
        </is>
      </c>
      <c r="L333" t="inlineStr">
        <is>
          <t>Unknown</t>
        </is>
      </c>
      <c r="T333" t="inlineStr">
        <is>
          <t>https://tenders.iglonline.net/uploads/tender/RTBQ CM18715.pdf</t>
        </is>
      </c>
      <c r="U333" t="inlineStr">
        <is>
          <t>No</t>
        </is>
      </c>
      <c r="V333" t="inlineStr">
        <is>
          <t>Bot tarafindan tespit edildi (2026-07-01)</t>
        </is>
      </c>
    </row>
    <row r="334">
      <c r="A334" t="inlineStr">
        <is>
          <t>T-0138</t>
        </is>
      </c>
      <c r="B334" t="inlineStr">
        <is>
          <t>Indraprastha Gas (IGL)</t>
        </is>
      </c>
      <c r="C334" t="inlineStr">
        <is>
          <t>Indraprastha Gas (IGL)</t>
        </is>
      </c>
      <c r="F334" t="inlineStr">
        <is>
          <t>New Lead</t>
        </is>
      </c>
      <c r="H334" t="inlineStr">
        <is>
          <t>CORRIGENDUM_I_CM18715.pdf</t>
        </is>
      </c>
      <c r="K334" t="inlineStr">
        <is>
          <t>Not found</t>
        </is>
      </c>
      <c r="L334" t="inlineStr">
        <is>
          <t>Unknown</t>
        </is>
      </c>
      <c r="T334" t="inlineStr">
        <is>
          <t>https://tenders.iglonline.net/uploads/tender/CORRIGENDUM_I_CM18715.pdf</t>
        </is>
      </c>
      <c r="U334" t="inlineStr">
        <is>
          <t>No</t>
        </is>
      </c>
      <c r="V334" t="inlineStr">
        <is>
          <t>Bot tarafindan tespit edildi (2026-07-01)</t>
        </is>
      </c>
    </row>
    <row r="335">
      <c r="A335" t="inlineStr">
        <is>
          <t>T-0139</t>
        </is>
      </c>
      <c r="B335" t="inlineStr">
        <is>
          <t>Indraprastha Gas (IGL)</t>
        </is>
      </c>
      <c r="C335" t="inlineStr">
        <is>
          <t>Indraprastha Gas (IGL)</t>
        </is>
      </c>
      <c r="F335" t="inlineStr">
        <is>
          <t>New Lead</t>
        </is>
      </c>
      <c r="H335" t="inlineStr">
        <is>
          <t>View Tender</t>
        </is>
      </c>
      <c r="K335" t="inlineStr">
        <is>
          <t>Not found</t>
        </is>
      </c>
      <c r="L335" t="inlineStr">
        <is>
          <t>Unknown</t>
        </is>
      </c>
      <c r="T335" t="inlineStr">
        <is>
          <t>https://tenders.iglonline.net/tenderDetail/500/Active Tenders And Corrigendum-Addendum</t>
        </is>
      </c>
      <c r="U335" t="inlineStr">
        <is>
          <t>No</t>
        </is>
      </c>
      <c r="V335" t="inlineStr">
        <is>
          <t>Bot tarafindan tespit edildi (2026-07-01)</t>
        </is>
      </c>
    </row>
    <row r="336">
      <c r="A336" t="inlineStr">
        <is>
          <t>T-0140</t>
        </is>
      </c>
      <c r="B336" t="inlineStr">
        <is>
          <t>Indraprastha Gas (IGL)</t>
        </is>
      </c>
      <c r="C336" t="inlineStr">
        <is>
          <t>Indraprastha Gas (IGL)</t>
        </is>
      </c>
      <c r="F336" t="inlineStr">
        <is>
          <t>New Lead</t>
        </is>
      </c>
      <c r="H336" t="inlineStr">
        <is>
          <t>Corrigendum_I_CP18680.pdf</t>
        </is>
      </c>
      <c r="K336" t="inlineStr">
        <is>
          <t>Not found</t>
        </is>
      </c>
      <c r="L336" t="inlineStr">
        <is>
          <t>Unknown</t>
        </is>
      </c>
      <c r="T336" t="inlineStr">
        <is>
          <t>https://tenders.iglonline.net/uploads/tender/Corrigendum_I_CP18680.pdf</t>
        </is>
      </c>
      <c r="U336" t="inlineStr">
        <is>
          <t>No</t>
        </is>
      </c>
      <c r="V336" t="inlineStr">
        <is>
          <t>Bot tarafindan tespit edildi (2026-07-01)</t>
        </is>
      </c>
    </row>
    <row r="337">
      <c r="A337" t="inlineStr">
        <is>
          <t>T-0141</t>
        </is>
      </c>
      <c r="B337" t="inlineStr">
        <is>
          <t>Indraprastha Gas (IGL)</t>
        </is>
      </c>
      <c r="C337" t="inlineStr">
        <is>
          <t>Indraprastha Gas (IGL)</t>
        </is>
      </c>
      <c r="F337" t="inlineStr">
        <is>
          <t>New Lead</t>
        </is>
      </c>
      <c r="H337" t="inlineStr">
        <is>
          <t>View Tender</t>
        </is>
      </c>
      <c r="K337" t="inlineStr">
        <is>
          <t>Not found</t>
        </is>
      </c>
      <c r="L337" t="inlineStr">
        <is>
          <t>Unknown</t>
        </is>
      </c>
      <c r="T337" t="inlineStr">
        <is>
          <t>https://tenders.iglonline.net/tenderDetail/499/Active Tenders And Corrigendum-Addendum</t>
        </is>
      </c>
      <c r="U337" t="inlineStr">
        <is>
          <t>No</t>
        </is>
      </c>
      <c r="V337" t="inlineStr">
        <is>
          <t>Bot tarafindan tespit edildi (2026-07-01)</t>
        </is>
      </c>
    </row>
    <row r="338">
      <c r="A338" t="inlineStr">
        <is>
          <t>T-0142</t>
        </is>
      </c>
      <c r="B338" t="inlineStr">
        <is>
          <t>Indraprastha Gas (IGL)</t>
        </is>
      </c>
      <c r="C338" t="inlineStr">
        <is>
          <t>Indraprastha Gas (IGL)</t>
        </is>
      </c>
      <c r="D338" t="inlineStr">
        <is>
          <t>QUERIES</t>
        </is>
      </c>
      <c r="F338" t="inlineStr">
        <is>
          <t>Awarded</t>
        </is>
      </c>
      <c r="G338" t="inlineStr">
        <is>
          <t>Gas-related / review</t>
        </is>
      </c>
      <c r="H338" t="inlineStr">
        <is>
          <t>REPLY_TO_BIDDERS_PRE_BID_QUERIES_CC18700.pdf</t>
        </is>
      </c>
      <c r="K338" t="inlineStr">
        <is>
          <t>Not found</t>
        </is>
      </c>
      <c r="L338" t="inlineStr">
        <is>
          <t>Unknown</t>
        </is>
      </c>
      <c r="M338" t="n">
        <v>100</v>
      </c>
      <c r="T338" t="inlineStr">
        <is>
          <t>https://tenders.iglonline.net/uploads/tender/REPLY_TO_BIDDERS_PRE_BID_QUERIES_CC18700.pdf</t>
        </is>
      </c>
      <c r="U338" t="inlineStr">
        <is>
          <t>No</t>
        </is>
      </c>
      <c r="V338" t="inlineStr">
        <is>
          <t>Bot tarafindan tespit edildi (2026-07-01) | Bot enrich; date=2026-07-01; type=pdf; score=230; pdf_conf=Low; Bot tespit/zenginlestirme (2026-07-01); meta:score=35;priority=Low;source_type=html_table;closing_date=;equipment=Gas-related / review;reasons=equipment:Gas-related / review,document source</t>
        </is>
      </c>
    </row>
    <row r="339">
      <c r="A339" t="inlineStr">
        <is>
          <t>T-0143</t>
        </is>
      </c>
      <c r="B339" t="inlineStr">
        <is>
          <t>Indraprastha Gas (IGL)</t>
        </is>
      </c>
      <c r="C339" t="inlineStr">
        <is>
          <t>Indraprastha Gas (IGL)</t>
        </is>
      </c>
      <c r="D339" t="inlineStr">
        <is>
          <t>DOCUMENT</t>
        </is>
      </c>
      <c r="F339" t="inlineStr">
        <is>
          <t>Awarded</t>
        </is>
      </c>
      <c r="G339" t="inlineStr">
        <is>
          <t>Gas-related / review</t>
        </is>
      </c>
      <c r="H339" t="inlineStr">
        <is>
          <t>Corrigendum_I_CC18700.pdf</t>
        </is>
      </c>
      <c r="K339" t="inlineStr">
        <is>
          <t>Not found</t>
        </is>
      </c>
      <c r="L339" t="inlineStr">
        <is>
          <t>Unknown</t>
        </is>
      </c>
      <c r="T339" t="inlineStr">
        <is>
          <t>https://tenders.iglonline.net/uploads/tender/Corrigendum_I_CC18700.pdf</t>
        </is>
      </c>
      <c r="U339" t="inlineStr">
        <is>
          <t>No</t>
        </is>
      </c>
      <c r="V339" t="inlineStr">
        <is>
          <t>Bot tarafindan tespit edildi (2026-07-01) | Bot enrich; date=2026-07-01; type=pdf; score=230; pdf_conf=Low; Bot tespit/zenginlestirme (2026-07-01); meta:score=35;priority=Low;source_type=html_table;closing_date=;equipment=Gas-related / review;reasons=equipment:Gas-related / review,document source</t>
        </is>
      </c>
    </row>
    <row r="340">
      <c r="A340" t="inlineStr">
        <is>
          <t>T-0144</t>
        </is>
      </c>
      <c r="B340" t="inlineStr">
        <is>
          <t>Indraprastha Gas (IGL)</t>
        </is>
      </c>
      <c r="C340" t="inlineStr">
        <is>
          <t>Indraprastha Gas (IGL)</t>
        </is>
      </c>
      <c r="D340" t="inlineStr">
        <is>
          <t>QUERIES</t>
        </is>
      </c>
      <c r="F340" t="inlineStr">
        <is>
          <t>Awarded</t>
        </is>
      </c>
      <c r="G340" t="inlineStr">
        <is>
          <t>Gas-related / review</t>
        </is>
      </c>
      <c r="H340" t="inlineStr">
        <is>
          <t>REPLY_TO_BIDDERS_PRE_BID_QUERIES_II_CC18700.pdf</t>
        </is>
      </c>
      <c r="K340" t="inlineStr">
        <is>
          <t>is permitted to Tender Conditions prevail deploy vehicles that are not registered in the bi</t>
        </is>
      </c>
      <c r="L340" t="inlineStr">
        <is>
          <t>Unknown</t>
        </is>
      </c>
      <c r="T340" t="inlineStr">
        <is>
          <t>https://tenders.iglonline.net/uploads/tender/REPLY_TO_BIDDERS_PRE_BID_QUERIES_II_CC18700.pdf</t>
        </is>
      </c>
      <c r="U340" t="inlineStr">
        <is>
          <t>No</t>
        </is>
      </c>
      <c r="V340" t="inlineStr">
        <is>
          <t>Bot tarafindan tespit edildi (2026-07-01) | Bot enrich; date=2026-07-01; type=pdf; score=230; pdf_conf=Low; Bot tespit/zenginlestirme (2026-07-01); meta:score=35;priority=Low;source_type=html_table;closing_date=;equipment=Gas-related / review;reasons=equipment:Gas-related / review,document source</t>
        </is>
      </c>
    </row>
    <row r="341">
      <c r="A341" t="inlineStr">
        <is>
          <t>T-0145</t>
        </is>
      </c>
      <c r="B341" t="inlineStr">
        <is>
          <t>Indraprastha Gas (IGL)</t>
        </is>
      </c>
      <c r="C341" t="inlineStr">
        <is>
          <t>Indraprastha Gas (IGL)</t>
        </is>
      </c>
      <c r="F341" t="inlineStr">
        <is>
          <t>New Lead</t>
        </is>
      </c>
      <c r="G341" t="inlineStr">
        <is>
          <t>Service regulator</t>
        </is>
      </c>
      <c r="H341" t="inlineStr">
        <is>
          <t>View Tender</t>
        </is>
      </c>
      <c r="K341" t="inlineStr">
        <is>
          <t>Not found</t>
        </is>
      </c>
      <c r="L341" t="inlineStr">
        <is>
          <t>Unknown</t>
        </is>
      </c>
      <c r="T341" t="inlineStr">
        <is>
          <t>https://tenders.iglonline.net/tenderDetail/498/Active Tenders And Corrigendum-Addendum</t>
        </is>
      </c>
      <c r="U341" t="inlineStr">
        <is>
          <t>No</t>
        </is>
      </c>
      <c r="V341" t="inlineStr">
        <is>
          <t>Bot tarafindan tespit edildi (2026-07-01); Bot tespit/zenginlestirme (2026-07-01); meta:score=85;priority=High;source_type=html_table;closing_date=;equipment=Service regulator;reasons=equipment:Service regulator,target regulator keyword,document source; Bot clean extraction (2026-07-01); meta:score=90;priority=High;source_type=html_table;closing_date=;equipment=Service / pressure regulator;quality_status=market_target;market_relevance=High;document_type=corrigendum;unit_price_inr=;amount_label=;matched_terms=Service / pressure regulator;reject_reasons=;scope=market_intelligence_only;excluded_scope=no_bid_or_offer_submission_automation</t>
        </is>
      </c>
    </row>
    <row r="342">
      <c r="A342" t="inlineStr">
        <is>
          <t>T-0146</t>
        </is>
      </c>
      <c r="B342" t="inlineStr">
        <is>
          <t>Indraprastha Gas (IGL)</t>
        </is>
      </c>
      <c r="C342" t="inlineStr">
        <is>
          <t>Indraprastha Gas (IGL)</t>
        </is>
      </c>
      <c r="D342" t="inlineStr">
        <is>
          <t>Condition</t>
        </is>
      </c>
      <c r="F342" t="inlineStr">
        <is>
          <t>Awarded</t>
        </is>
      </c>
      <c r="G342" t="inlineStr">
        <is>
          <t>service regulator</t>
        </is>
      </c>
      <c r="H342" t="inlineStr">
        <is>
          <t>CP18692.pdf</t>
        </is>
      </c>
      <c r="K342" t="inlineStr">
        <is>
          <t>to furnish Filter orientation is not specified, and the filter body comes in two types</t>
        </is>
      </c>
      <c r="L342" t="inlineStr">
        <is>
          <t>Unknown</t>
        </is>
      </c>
      <c r="M342" t="n">
        <v>7</v>
      </c>
      <c r="T342" t="inlineStr">
        <is>
          <t>https://tenders.iglonline.net/uploads/tender/CP18692.pdf</t>
        </is>
      </c>
      <c r="U342" t="inlineStr">
        <is>
          <t>No</t>
        </is>
      </c>
      <c r="V342" t="inlineStr">
        <is>
          <t>Bot tarafindan tespit edildi (2026-07-01) | Bot enrich; date=2026-07-01; type=pdf; score=330; pdf_conf=Low; Bot tespit/zenginlestirme (2026-07-01); meta:score=85;priority=High;source_type=html_table;closing_date=None;equipment=Service regulator;reasons=equipment:Service regulator,target regulator keyword,document source; Bot clean extraction (2026-07-01); meta:score=90;priority=High;source_type=html_table;closing_date=None;equipment=Service / pressure regulator;quality_status=market_target;market_relevance=High;document_type=unknown;unit_price_inr=;amount_label=;matched_terms=Service / pressure regulator,Industrial / commercial regulator;reject_reasons=;scope=market_intelligence_only;excluded_scope=no_bid_or_offer_submission_automation</t>
        </is>
      </c>
    </row>
    <row r="343">
      <c r="A343" t="inlineStr">
        <is>
          <t>T-0147</t>
        </is>
      </c>
      <c r="B343" t="inlineStr">
        <is>
          <t>Indraprastha Gas (IGL)</t>
        </is>
      </c>
      <c r="C343" t="inlineStr">
        <is>
          <t>Indraprastha Gas (IGL)</t>
        </is>
      </c>
      <c r="D343" t="inlineStr">
        <is>
          <t>IGL/ET2/CP/CP18692</t>
        </is>
      </c>
      <c r="F343" t="inlineStr">
        <is>
          <t>Awarded</t>
        </is>
      </c>
      <c r="G343" t="inlineStr">
        <is>
          <t>service regulator</t>
        </is>
      </c>
      <c r="H343" t="inlineStr">
        <is>
          <t>Corrigendum_I_CP18692.pdf</t>
        </is>
      </c>
      <c r="K343" t="inlineStr">
        <is>
          <t>Not found</t>
        </is>
      </c>
      <c r="L343" t="inlineStr">
        <is>
          <t>Unknown</t>
        </is>
      </c>
      <c r="T343" t="inlineStr">
        <is>
          <t>https://tenders.iglonline.net/uploads/tender/Corrigendum_I_CP18692.pdf</t>
        </is>
      </c>
      <c r="U343" t="inlineStr">
        <is>
          <t>No</t>
        </is>
      </c>
      <c r="V343" t="inlineStr">
        <is>
          <t>Bot tarafindan tespit edildi (2026-07-01) | Bot enrich; date=2026-07-01; type=pdf; score=330; pdf_conf=Low; Bot tespit/zenginlestirme (2026-07-01); meta:score=85;priority=High;source_type=html_table;closing_date=None;equipment=Service regulator;reasons=equipment:Service regulator,target regulator keyword,document source; Bot clean extraction (2026-07-01); meta:score=90;priority=High;source_type=html_table;closing_date=None;equipment=Service / pressure regulator;quality_status=market_target;market_relevance=High;document_type=corrigendum;unit_price_inr=;amount_label=;matched_terms=Service / pressure regulator;reject_reasons=employment/corporate;scope=market_intelligence_only;excluded_scope=no_bid_or_offer_submission_automation</t>
        </is>
      </c>
    </row>
    <row r="344">
      <c r="A344" t="inlineStr">
        <is>
          <t>T-0148</t>
        </is>
      </c>
      <c r="B344" t="inlineStr">
        <is>
          <t>Indraprastha Gas (IGL)</t>
        </is>
      </c>
      <c r="C344" t="inlineStr">
        <is>
          <t>Indraprastha Gas (IGL)</t>
        </is>
      </c>
      <c r="F344" t="inlineStr">
        <is>
          <t>New Lead</t>
        </is>
      </c>
      <c r="H344" t="inlineStr">
        <is>
          <t>View Tender</t>
        </is>
      </c>
      <c r="K344" t="inlineStr">
        <is>
          <t>Not found</t>
        </is>
      </c>
      <c r="L344" t="inlineStr">
        <is>
          <t>Unknown</t>
        </is>
      </c>
      <c r="T344" t="inlineStr">
        <is>
          <t>https://tenders.iglonline.net/tenderDetail/497/Active Tenders And Corrigendum-Addendum</t>
        </is>
      </c>
      <c r="U344" t="inlineStr">
        <is>
          <t>No</t>
        </is>
      </c>
      <c r="V344" t="inlineStr">
        <is>
          <t>Bot tarafindan tespit edildi (2026-07-01)</t>
        </is>
      </c>
    </row>
    <row r="345">
      <c r="A345" t="inlineStr">
        <is>
          <t>T-0149</t>
        </is>
      </c>
      <c r="B345" t="inlineStr">
        <is>
          <t>Indraprastha Gas (IGL)</t>
        </is>
      </c>
      <c r="C345" t="inlineStr">
        <is>
          <t>Indraprastha Gas (IGL)</t>
        </is>
      </c>
      <c r="F345" t="inlineStr">
        <is>
          <t>New Lead</t>
        </is>
      </c>
      <c r="H345" t="inlineStr">
        <is>
          <t>Corrigendum_1_CM18710.pdf</t>
        </is>
      </c>
      <c r="K345" t="inlineStr">
        <is>
          <t>Not found</t>
        </is>
      </c>
      <c r="L345" t="inlineStr">
        <is>
          <t>Unknown</t>
        </is>
      </c>
      <c r="T345" t="inlineStr">
        <is>
          <t>https://tenders.iglonline.net/uploads/tender/Corrigendum_1_CM18710.pdf</t>
        </is>
      </c>
      <c r="U345" t="inlineStr">
        <is>
          <t>No</t>
        </is>
      </c>
      <c r="V345" t="inlineStr">
        <is>
          <t>Bot tarafindan tespit edildi (2026-07-01)</t>
        </is>
      </c>
    </row>
    <row r="346">
      <c r="A346" t="inlineStr">
        <is>
          <t>T-0150</t>
        </is>
      </c>
      <c r="B346" t="inlineStr">
        <is>
          <t>Indraprastha Gas (IGL)</t>
        </is>
      </c>
      <c r="C346" t="inlineStr">
        <is>
          <t>Indraprastha Gas (IGL)</t>
        </is>
      </c>
      <c r="F346" t="inlineStr">
        <is>
          <t>New Lead</t>
        </is>
      </c>
      <c r="H346" t="inlineStr">
        <is>
          <t>RTPBQ_CM18710.pdf</t>
        </is>
      </c>
      <c r="K346" t="inlineStr">
        <is>
          <t>Not found</t>
        </is>
      </c>
      <c r="L346" t="inlineStr">
        <is>
          <t>Unknown</t>
        </is>
      </c>
      <c r="T346" t="inlineStr">
        <is>
          <t>https://tenders.iglonline.net/uploads/tender/RTPBQ_CM18710.pdf</t>
        </is>
      </c>
      <c r="U346" t="inlineStr">
        <is>
          <t>No</t>
        </is>
      </c>
      <c r="V346" t="inlineStr">
        <is>
          <t>Bot tarafindan tespit edildi (2026-07-01)</t>
        </is>
      </c>
    </row>
    <row r="347">
      <c r="A347" t="inlineStr">
        <is>
          <t>T-0151</t>
        </is>
      </c>
      <c r="B347" t="inlineStr">
        <is>
          <t>Indraprastha Gas (IGL)</t>
        </is>
      </c>
      <c r="C347" t="inlineStr">
        <is>
          <t>Indraprastha Gas (IGL)</t>
        </is>
      </c>
      <c r="F347" t="inlineStr">
        <is>
          <t>New Lead</t>
        </is>
      </c>
      <c r="H347" t="inlineStr">
        <is>
          <t>View Tender</t>
        </is>
      </c>
      <c r="K347" t="inlineStr">
        <is>
          <t>Not found</t>
        </is>
      </c>
      <c r="L347" t="inlineStr">
        <is>
          <t>Unknown</t>
        </is>
      </c>
      <c r="T347" t="inlineStr">
        <is>
          <t>https://tenders.iglonline.net/tenderDetail/496/Active Tenders And Corrigendum-Addendum</t>
        </is>
      </c>
      <c r="U347" t="inlineStr">
        <is>
          <t>No</t>
        </is>
      </c>
      <c r="V347" t="inlineStr">
        <is>
          <t>Bot tarafindan tespit edildi (2026-07-01)</t>
        </is>
      </c>
    </row>
    <row r="348">
      <c r="A348" t="inlineStr">
        <is>
          <t>T-0152</t>
        </is>
      </c>
      <c r="B348" t="inlineStr">
        <is>
          <t>Indraprastha Gas (IGL)</t>
        </is>
      </c>
      <c r="C348" t="inlineStr">
        <is>
          <t>Indraprastha Gas (IGL)</t>
        </is>
      </c>
      <c r="D348" t="inlineStr">
        <is>
          <t>IGL/ET2/CP/CC18708</t>
        </is>
      </c>
      <c r="F348" t="inlineStr">
        <is>
          <t>Awarded</t>
        </is>
      </c>
      <c r="G348" t="inlineStr">
        <is>
          <t>Gas-related / review</t>
        </is>
      </c>
      <c r="H348" t="inlineStr">
        <is>
          <t>Corrigendum_I_CC18708.pdf</t>
        </is>
      </c>
      <c r="K348" t="inlineStr">
        <is>
          <t>Not found</t>
        </is>
      </c>
      <c r="L348" t="inlineStr">
        <is>
          <t>Unknown</t>
        </is>
      </c>
      <c r="T348" t="inlineStr">
        <is>
          <t>https://tenders.iglonline.net/uploads/tender/Corrigendum_I_CC18708.pdf</t>
        </is>
      </c>
      <c r="U348" t="inlineStr">
        <is>
          <t>No</t>
        </is>
      </c>
      <c r="V348" t="inlineStr">
        <is>
          <t>Bot tarafindan tespit edildi (2026-07-01) | Bot enrich; date=2026-07-01; type=pdf; score=230; pdf_conf=Low; Bot tespit/zenginlestirme (2026-07-01); meta:score=35;priority=Low;source_type=html_table;closing_date=;equipment=Gas-related / review;reasons=equipment:Gas-related / review,document source</t>
        </is>
      </c>
    </row>
    <row r="349">
      <c r="A349" t="inlineStr">
        <is>
          <t>T-0153</t>
        </is>
      </c>
      <c r="B349" t="inlineStr">
        <is>
          <t>Indraprastha Gas (IGL)</t>
        </is>
      </c>
      <c r="C349" t="inlineStr">
        <is>
          <t>Indraprastha Gas (IGL)</t>
        </is>
      </c>
      <c r="F349" t="inlineStr">
        <is>
          <t>New Lead</t>
        </is>
      </c>
      <c r="H349" t="inlineStr">
        <is>
          <t>View Tender</t>
        </is>
      </c>
      <c r="K349" t="inlineStr">
        <is>
          <t>Not found</t>
        </is>
      </c>
      <c r="L349" t="inlineStr">
        <is>
          <t>Unknown</t>
        </is>
      </c>
      <c r="T349" t="inlineStr">
        <is>
          <t>https://tenders.iglonline.net/tenderDetail/495/Active Tenders And Corrigendum-Addendum</t>
        </is>
      </c>
      <c r="U349" t="inlineStr">
        <is>
          <t>No</t>
        </is>
      </c>
      <c r="V349" t="inlineStr">
        <is>
          <t>Bot tarafindan tespit edildi (2026-07-01)</t>
        </is>
      </c>
    </row>
    <row r="350">
      <c r="A350" t="inlineStr">
        <is>
          <t>T-0154</t>
        </is>
      </c>
      <c r="B350" t="inlineStr">
        <is>
          <t>Indraprastha Gas (IGL)</t>
        </is>
      </c>
      <c r="C350" t="inlineStr">
        <is>
          <t>Indraprastha Gas (IGL)</t>
        </is>
      </c>
      <c r="F350" t="inlineStr">
        <is>
          <t>New Lead</t>
        </is>
      </c>
      <c r="H350" t="inlineStr">
        <is>
          <t>View Tender</t>
        </is>
      </c>
      <c r="K350" t="inlineStr">
        <is>
          <t>Not found</t>
        </is>
      </c>
      <c r="L350" t="inlineStr">
        <is>
          <t>Unknown</t>
        </is>
      </c>
      <c r="T350" t="inlineStr">
        <is>
          <t>https://tenders.iglonline.net/tenderDetail/494/Active Tenders And Corrigendum-Addendum</t>
        </is>
      </c>
      <c r="U350" t="inlineStr">
        <is>
          <t>No</t>
        </is>
      </c>
      <c r="V350" t="inlineStr">
        <is>
          <t>Bot tarafindan tespit edildi (2026-07-01)</t>
        </is>
      </c>
    </row>
    <row r="351">
      <c r="A351" t="inlineStr">
        <is>
          <t>T-0155</t>
        </is>
      </c>
      <c r="B351" t="inlineStr">
        <is>
          <t>Indraprastha Gas (IGL)</t>
        </is>
      </c>
      <c r="C351" t="inlineStr">
        <is>
          <t>Indraprastha Gas (IGL)</t>
        </is>
      </c>
      <c r="F351" t="inlineStr">
        <is>
          <t>New Lead</t>
        </is>
      </c>
      <c r="H351" t="inlineStr">
        <is>
          <t>CP18674 (A).pdf</t>
        </is>
      </c>
      <c r="K351" t="inlineStr">
        <is>
          <t>Not found</t>
        </is>
      </c>
      <c r="L351" t="inlineStr">
        <is>
          <t>Unknown</t>
        </is>
      </c>
      <c r="T351" t="inlineStr">
        <is>
          <t>https://tenders.iglonline.net/uploads/tender/CP18674 (A).pdf</t>
        </is>
      </c>
      <c r="U351" t="inlineStr">
        <is>
          <t>No</t>
        </is>
      </c>
      <c r="V351" t="inlineStr">
        <is>
          <t>Bot tarafindan tespit edildi (2026-07-01)</t>
        </is>
      </c>
    </row>
    <row r="352">
      <c r="A352" t="inlineStr">
        <is>
          <t>T-0156</t>
        </is>
      </c>
      <c r="B352" t="inlineStr">
        <is>
          <t>Indraprastha Gas (IGL)</t>
        </is>
      </c>
      <c r="C352" t="inlineStr">
        <is>
          <t>Indraprastha Gas (IGL)</t>
        </is>
      </c>
      <c r="F352" t="inlineStr">
        <is>
          <t>New Lead</t>
        </is>
      </c>
      <c r="H352" t="inlineStr">
        <is>
          <t>View Tender</t>
        </is>
      </c>
      <c r="K352" t="inlineStr">
        <is>
          <t>Not found</t>
        </is>
      </c>
      <c r="L352" t="inlineStr">
        <is>
          <t>Unknown</t>
        </is>
      </c>
      <c r="T352" t="inlineStr">
        <is>
          <t>https://tenders.iglonline.net/tenderDetail/493/Active Tenders And Corrigendum-Addendum</t>
        </is>
      </c>
      <c r="U352" t="inlineStr">
        <is>
          <t>No</t>
        </is>
      </c>
      <c r="V352" t="inlineStr">
        <is>
          <t>Bot tarafindan tespit edildi (2026-07-01)</t>
        </is>
      </c>
    </row>
    <row r="353">
      <c r="A353" t="inlineStr">
        <is>
          <t>T-0157</t>
        </is>
      </c>
      <c r="B353" t="inlineStr">
        <is>
          <t>Indraprastha Gas (IGL)</t>
        </is>
      </c>
      <c r="C353" t="inlineStr">
        <is>
          <t>Indraprastha Gas (IGL)</t>
        </is>
      </c>
      <c r="F353" t="inlineStr">
        <is>
          <t>New Lead</t>
        </is>
      </c>
      <c r="H353" t="inlineStr">
        <is>
          <t>View Tender</t>
        </is>
      </c>
      <c r="K353" t="inlineStr">
        <is>
          <t>Not found</t>
        </is>
      </c>
      <c r="L353" t="inlineStr">
        <is>
          <t>Unknown</t>
        </is>
      </c>
      <c r="T353" t="inlineStr">
        <is>
          <t>https://tenders.iglonline.net/tenderDetail/492/Active Tenders And Corrigendum-Addendum</t>
        </is>
      </c>
      <c r="U353" t="inlineStr">
        <is>
          <t>No</t>
        </is>
      </c>
      <c r="V353" t="inlineStr">
        <is>
          <t>Bot tarafindan tespit edildi (2026-07-01)</t>
        </is>
      </c>
    </row>
    <row r="354">
      <c r="A354" t="inlineStr">
        <is>
          <t>T-0158</t>
        </is>
      </c>
      <c r="B354" t="inlineStr">
        <is>
          <t>Indraprastha Gas (IGL)</t>
        </is>
      </c>
      <c r="C354" t="inlineStr">
        <is>
          <t>Indraprastha Gas (IGL)</t>
        </is>
      </c>
      <c r="F354" t="inlineStr">
        <is>
          <t>New Lead</t>
        </is>
      </c>
      <c r="H354" t="inlineStr">
        <is>
          <t>View Tender</t>
        </is>
      </c>
      <c r="K354" t="inlineStr">
        <is>
          <t>Not found</t>
        </is>
      </c>
      <c r="L354" t="inlineStr">
        <is>
          <t>Unknown</t>
        </is>
      </c>
      <c r="T354" t="inlineStr">
        <is>
          <t>https://tenders.iglonline.net/tenderDetail/491/Active Tenders And Corrigendum-Addendum</t>
        </is>
      </c>
      <c r="U354" t="inlineStr">
        <is>
          <t>No</t>
        </is>
      </c>
      <c r="V354" t="inlineStr">
        <is>
          <t>Bot tarafindan tespit edildi (2026-07-01)</t>
        </is>
      </c>
    </row>
    <row r="355">
      <c r="A355" t="inlineStr">
        <is>
          <t>T-0159</t>
        </is>
      </c>
      <c r="B355" t="inlineStr">
        <is>
          <t>Indraprastha Gas (IGL)</t>
        </is>
      </c>
      <c r="C355" t="inlineStr">
        <is>
          <t>Indraprastha Gas (IGL)</t>
        </is>
      </c>
      <c r="F355" t="inlineStr">
        <is>
          <t>New Lead</t>
        </is>
      </c>
      <c r="G355" t="inlineStr">
        <is>
          <t>Gas-related / review</t>
        </is>
      </c>
      <c r="H355" t="inlineStr">
        <is>
          <t>Corrigendum_I_CP18664.pdf</t>
        </is>
      </c>
      <c r="K355" t="inlineStr">
        <is>
          <t>Not found</t>
        </is>
      </c>
      <c r="L355" t="inlineStr">
        <is>
          <t>Unknown</t>
        </is>
      </c>
      <c r="T355" t="inlineStr">
        <is>
          <t>https://tenders.iglonline.net/uploads/tender/Corrigendum_I_CP18664.pdf</t>
        </is>
      </c>
      <c r="U355" t="inlineStr">
        <is>
          <t>No</t>
        </is>
      </c>
      <c r="V355" t="inlineStr">
        <is>
          <t>Bot tarafindan tespit edildi (2026-07-01); Bot tespit/zenginlestirme (2026-07-01); meta:score=35;priority=Low;source_type=html_table;closing_date=;equipment=Gas-related / review;reasons=equipment:Gas-related / review,document source</t>
        </is>
      </c>
    </row>
    <row r="356">
      <c r="A356" t="inlineStr">
        <is>
          <t>T-0160</t>
        </is>
      </c>
      <c r="B356" t="inlineStr">
        <is>
          <t>Indraprastha Gas (IGL)</t>
        </is>
      </c>
      <c r="C356" t="inlineStr">
        <is>
          <t>Indraprastha Gas (IGL)</t>
        </is>
      </c>
      <c r="F356" t="inlineStr">
        <is>
          <t>New Lead</t>
        </is>
      </c>
      <c r="G356" t="inlineStr">
        <is>
          <t>Gas-related / review</t>
        </is>
      </c>
      <c r="H356" t="inlineStr">
        <is>
          <t>Corrigendum_II_CP18664 (A).pdf</t>
        </is>
      </c>
      <c r="K356" t="inlineStr">
        <is>
          <t>Not found</t>
        </is>
      </c>
      <c r="L356" t="inlineStr">
        <is>
          <t>Unknown</t>
        </is>
      </c>
      <c r="T356" t="inlineStr">
        <is>
          <t>https://tenders.iglonline.net/uploads/tender/Corrigendum_II_CP18664 (A).pdf</t>
        </is>
      </c>
      <c r="U356" t="inlineStr">
        <is>
          <t>No</t>
        </is>
      </c>
      <c r="V356" t="inlineStr">
        <is>
          <t>Bot tarafindan tespit edildi (2026-07-01); Bot tespit/zenginlestirme (2026-07-01); meta:score=35;priority=Low;source_type=html_table;closing_date=;equipment=Gas-related / review;reasons=equipment:Gas-related / review,document source</t>
        </is>
      </c>
    </row>
    <row r="357">
      <c r="A357" t="inlineStr">
        <is>
          <t>T-0161</t>
        </is>
      </c>
      <c r="B357" t="inlineStr">
        <is>
          <t>Indraprastha Gas (IGL)</t>
        </is>
      </c>
      <c r="C357" t="inlineStr">
        <is>
          <t>Indraprastha Gas (IGL)</t>
        </is>
      </c>
      <c r="F357" t="inlineStr">
        <is>
          <t>New Lead</t>
        </is>
      </c>
      <c r="G357" t="inlineStr">
        <is>
          <t>Gas-related / review</t>
        </is>
      </c>
      <c r="H357" t="inlineStr">
        <is>
          <t>RTBQ CP18664.pdf</t>
        </is>
      </c>
      <c r="K357" t="inlineStr">
        <is>
          <t>Not found</t>
        </is>
      </c>
      <c r="L357" t="inlineStr">
        <is>
          <t>Unknown</t>
        </is>
      </c>
      <c r="T357" t="inlineStr">
        <is>
          <t>https://tenders.iglonline.net/uploads/tender/RTBQ CP18664.pdf</t>
        </is>
      </c>
      <c r="U357" t="inlineStr">
        <is>
          <t>No</t>
        </is>
      </c>
      <c r="V357" t="inlineStr">
        <is>
          <t>Bot tarafindan tespit edildi (2026-07-01); Bot tespit/zenginlestirme (2026-07-01); meta:score=35;priority=Low;source_type=html_table;closing_date=;equipment=Gas-related / review;reasons=equipment:Gas-related / review,document source</t>
        </is>
      </c>
    </row>
    <row r="358">
      <c r="A358" t="inlineStr">
        <is>
          <t>T-0162</t>
        </is>
      </c>
      <c r="B358" t="inlineStr">
        <is>
          <t>Indraprastha Gas (IGL)</t>
        </is>
      </c>
      <c r="C358" t="inlineStr">
        <is>
          <t>Indraprastha Gas (IGL)</t>
        </is>
      </c>
      <c r="F358" t="inlineStr">
        <is>
          <t>New Lead</t>
        </is>
      </c>
      <c r="G358" t="inlineStr">
        <is>
          <t>Gas-related / review</t>
        </is>
      </c>
      <c r="H358" t="inlineStr">
        <is>
          <t>CP18664_(C)_Corrigendum_IV.pdf</t>
        </is>
      </c>
      <c r="K358" t="inlineStr">
        <is>
          <t>Not found</t>
        </is>
      </c>
      <c r="L358" t="inlineStr">
        <is>
          <t>Unknown</t>
        </is>
      </c>
      <c r="T358" t="inlineStr">
        <is>
          <t>https://tenders.iglonline.net/uploads/tender/CP18664_(C)_Corrigendum_IV.pdf</t>
        </is>
      </c>
      <c r="U358" t="inlineStr">
        <is>
          <t>No</t>
        </is>
      </c>
      <c r="V358" t="inlineStr">
        <is>
          <t>Bot tarafindan tespit edildi (2026-07-01); Bot tespit/zenginlestirme (2026-07-01); meta:score=35;priority=Low;source_type=html_table;closing_date=;equipment=Gas-related / review;reasons=equipment:Gas-related / review,document source</t>
        </is>
      </c>
    </row>
    <row r="359">
      <c r="A359" t="inlineStr">
        <is>
          <t>T-0163</t>
        </is>
      </c>
      <c r="B359" t="inlineStr">
        <is>
          <t>Indraprastha Gas (IGL)</t>
        </is>
      </c>
      <c r="C359" t="inlineStr">
        <is>
          <t>Indraprastha Gas (IGL)</t>
        </is>
      </c>
      <c r="F359" t="inlineStr">
        <is>
          <t>New Lead</t>
        </is>
      </c>
      <c r="H359" t="inlineStr">
        <is>
          <t>View Tender</t>
        </is>
      </c>
      <c r="K359" t="inlineStr">
        <is>
          <t>Not found</t>
        </is>
      </c>
      <c r="L359" t="inlineStr">
        <is>
          <t>Unknown</t>
        </is>
      </c>
      <c r="T359" t="inlineStr">
        <is>
          <t>https://tenders.iglonline.net/tenderDetail/490/Active Tenders And Corrigendum-Addendum</t>
        </is>
      </c>
      <c r="U359" t="inlineStr">
        <is>
          <t>No</t>
        </is>
      </c>
      <c r="V359" t="inlineStr">
        <is>
          <t>Bot tarafindan tespit edildi (2026-07-01)</t>
        </is>
      </c>
    </row>
    <row r="360">
      <c r="A360" t="inlineStr">
        <is>
          <t>T-0164</t>
        </is>
      </c>
      <c r="B360" t="inlineStr">
        <is>
          <t>Indraprastha Gas (IGL)</t>
        </is>
      </c>
      <c r="C360" t="inlineStr">
        <is>
          <t>Indraprastha Gas (IGL)</t>
        </is>
      </c>
      <c r="F360" t="inlineStr">
        <is>
          <t>New Lead</t>
        </is>
      </c>
      <c r="H360" t="inlineStr">
        <is>
          <t>Reply_To_Bidder_Queries_CC18678.pdf</t>
        </is>
      </c>
      <c r="K360" t="inlineStr">
        <is>
          <t>Not found</t>
        </is>
      </c>
      <c r="L360" t="inlineStr">
        <is>
          <t>Unknown</t>
        </is>
      </c>
      <c r="T360" t="inlineStr">
        <is>
          <t>https://tenders.iglonline.net/uploads/tender/Reply_To_Bidder_Queries_CC18678.pdf</t>
        </is>
      </c>
      <c r="U360" t="inlineStr">
        <is>
          <t>No</t>
        </is>
      </c>
      <c r="V360" t="inlineStr">
        <is>
          <t>Bot tarafindan tespit edildi (2026-07-01)</t>
        </is>
      </c>
    </row>
    <row r="361">
      <c r="A361" t="inlineStr">
        <is>
          <t>T-0165</t>
        </is>
      </c>
      <c r="B361" t="inlineStr">
        <is>
          <t>Indraprastha Gas (IGL)</t>
        </is>
      </c>
      <c r="C361" t="inlineStr">
        <is>
          <t>Indraprastha Gas (IGL)</t>
        </is>
      </c>
      <c r="F361" t="inlineStr">
        <is>
          <t>New Lead</t>
        </is>
      </c>
      <c r="H361" t="inlineStr">
        <is>
          <t>View Tender</t>
        </is>
      </c>
      <c r="K361" t="inlineStr">
        <is>
          <t>Not found</t>
        </is>
      </c>
      <c r="L361" t="inlineStr">
        <is>
          <t>Unknown</t>
        </is>
      </c>
      <c r="T361" t="inlineStr">
        <is>
          <t>https://tenders.iglonline.net/tenderDetail/489/Active Tenders And Corrigendum-Addendum</t>
        </is>
      </c>
      <c r="U361" t="inlineStr">
        <is>
          <t>No</t>
        </is>
      </c>
      <c r="V361" t="inlineStr">
        <is>
          <t>Bot tarafindan tespit edildi (2026-07-01)</t>
        </is>
      </c>
    </row>
    <row r="362">
      <c r="A362" t="inlineStr">
        <is>
          <t>T-0166</t>
        </is>
      </c>
      <c r="B362" t="inlineStr">
        <is>
          <t>Indraprastha Gas (IGL)</t>
        </is>
      </c>
      <c r="C362" t="inlineStr">
        <is>
          <t>Indraprastha Gas (IGL)</t>
        </is>
      </c>
      <c r="D362" t="inlineStr">
        <is>
          <t>DOCUMENT</t>
        </is>
      </c>
      <c r="F362" t="inlineStr">
        <is>
          <t>Awarded</t>
        </is>
      </c>
      <c r="G362" t="inlineStr">
        <is>
          <t>Gas-related / review</t>
        </is>
      </c>
      <c r="H362" t="inlineStr">
        <is>
          <t>Corrigendum_I_CC18688.pdf</t>
        </is>
      </c>
      <c r="K362" t="inlineStr">
        <is>
          <t>Not found</t>
        </is>
      </c>
      <c r="L362" t="inlineStr">
        <is>
          <t>Unknown</t>
        </is>
      </c>
      <c r="T362" t="inlineStr">
        <is>
          <t>https://tenders.iglonline.net/uploads/tender/Corrigendum_I_CC18688.pdf</t>
        </is>
      </c>
      <c r="U362" t="inlineStr">
        <is>
          <t>No</t>
        </is>
      </c>
      <c r="V362" t="inlineStr">
        <is>
          <t>Bot tarafindan tespit edildi (2026-07-01) | Bot enrich; date=2026-07-01; type=pdf; score=230; pdf_conf=Low; Bot tespit/zenginlestirme (2026-07-01); meta:score=35;priority=Low;source_type=html_table;closing_date=;equipment=Gas-related / review;reasons=equipment:Gas-related / review,document source</t>
        </is>
      </c>
    </row>
    <row r="363">
      <c r="A363" t="inlineStr">
        <is>
          <t>T-0167</t>
        </is>
      </c>
      <c r="B363" t="inlineStr">
        <is>
          <t>Indraprastha Gas (IGL)</t>
        </is>
      </c>
      <c r="C363" t="inlineStr">
        <is>
          <t>Indraprastha Gas (IGL)</t>
        </is>
      </c>
      <c r="D363" t="inlineStr">
        <is>
          <t>CANCELLATION</t>
        </is>
      </c>
      <c r="F363" t="inlineStr">
        <is>
          <t>Awarded</t>
        </is>
      </c>
      <c r="G363" t="inlineStr">
        <is>
          <t>Gas-related / review</t>
        </is>
      </c>
      <c r="H363" t="inlineStr">
        <is>
          <t>Corrigendum for Cancellation CC18688.pdf</t>
        </is>
      </c>
      <c r="K363" t="inlineStr">
        <is>
          <t>Not found</t>
        </is>
      </c>
      <c r="L363" t="inlineStr">
        <is>
          <t>Unknown</t>
        </is>
      </c>
      <c r="T363" t="inlineStr">
        <is>
          <t>https://tenders.iglonline.net/uploads/tender/Corrigendum for Cancellation CC18688.pdf</t>
        </is>
      </c>
      <c r="U363" t="inlineStr">
        <is>
          <t>No</t>
        </is>
      </c>
      <c r="V363" t="inlineStr">
        <is>
          <t>Bot tarafindan tespit edildi (2026-07-01) | Bot enrich; date=2026-07-01; type=pdf; score=230; pdf_conf=Low; Bot tespit/zenginlestirme (2026-07-01); meta:score=35;priority=Low;source_type=html_table;closing_date=;equipment=Gas-related / review;reasons=equipment:Gas-related / review,document source</t>
        </is>
      </c>
    </row>
    <row r="364">
      <c r="A364" t="inlineStr">
        <is>
          <t>T-0168</t>
        </is>
      </c>
      <c r="B364" t="inlineStr">
        <is>
          <t>Indraprastha Gas (IGL)</t>
        </is>
      </c>
      <c r="C364" t="inlineStr">
        <is>
          <t>Indraprastha Gas (IGL)</t>
        </is>
      </c>
      <c r="F364" t="inlineStr">
        <is>
          <t>New Lead</t>
        </is>
      </c>
      <c r="H364" t="inlineStr">
        <is>
          <t>View Tender</t>
        </is>
      </c>
      <c r="K364" t="inlineStr">
        <is>
          <t>Not found</t>
        </is>
      </c>
      <c r="L364" t="inlineStr">
        <is>
          <t>Unknown</t>
        </is>
      </c>
      <c r="T364" t="inlineStr">
        <is>
          <t>https://tenders.iglonline.net/tenderDetail/488/Active Tenders And Corrigendum-Addendum</t>
        </is>
      </c>
      <c r="U364" t="inlineStr">
        <is>
          <t>No</t>
        </is>
      </c>
      <c r="V364" t="inlineStr">
        <is>
          <t>Bot tarafindan tespit edildi (2026-07-01)</t>
        </is>
      </c>
    </row>
    <row r="365">
      <c r="A365" t="inlineStr">
        <is>
          <t>T-0169</t>
        </is>
      </c>
      <c r="B365" t="inlineStr">
        <is>
          <t>Indraprastha Gas (IGL)</t>
        </is>
      </c>
      <c r="C365" t="inlineStr">
        <is>
          <t>Indraprastha Gas (IGL)</t>
        </is>
      </c>
      <c r="F365" t="inlineStr">
        <is>
          <t>New Lead</t>
        </is>
      </c>
      <c r="G365" t="inlineStr">
        <is>
          <t>Unclassified</t>
        </is>
      </c>
      <c r="H365" t="inlineStr">
        <is>
          <t>Corrigendum_I_CC18679.pdf</t>
        </is>
      </c>
      <c r="K365" t="inlineStr">
        <is>
          <t>Not found</t>
        </is>
      </c>
      <c r="L365" t="inlineStr">
        <is>
          <t>Unknown</t>
        </is>
      </c>
      <c r="T365" t="inlineStr">
        <is>
          <t>https://tenders.iglonline.net/uploads/tender/Corrigendum_I_CC18679.pdf</t>
        </is>
      </c>
      <c r="U365" t="inlineStr">
        <is>
          <t>No</t>
        </is>
      </c>
      <c r="V365" t="inlineStr">
        <is>
          <t>Bot tarafindan tespit edildi (2026-07-01); Bot tespit/zenginlestirme (2026-07-01); meta:score=55;priority=Medium;source_type=html_table;closing_date=;equipment=Unclassified;reasons=document source,quantity signal,tender reference signal</t>
        </is>
      </c>
    </row>
    <row r="366">
      <c r="A366" t="inlineStr">
        <is>
          <t>T-0170</t>
        </is>
      </c>
      <c r="B366" t="inlineStr">
        <is>
          <t>Indraprastha Gas (IGL)</t>
        </is>
      </c>
      <c r="C366" t="inlineStr">
        <is>
          <t>Indraprastha Gas (IGL)</t>
        </is>
      </c>
      <c r="F366" t="inlineStr">
        <is>
          <t>New Lead</t>
        </is>
      </c>
      <c r="H366" t="inlineStr">
        <is>
          <t>View Tender</t>
        </is>
      </c>
      <c r="K366" t="inlineStr">
        <is>
          <t>Not found</t>
        </is>
      </c>
      <c r="L366" t="inlineStr">
        <is>
          <t>Unknown</t>
        </is>
      </c>
      <c r="T366" t="inlineStr">
        <is>
          <t>https://tenders.iglonline.net/tenderDetail/487/Active Tenders And Corrigendum-Addendum</t>
        </is>
      </c>
      <c r="U366" t="inlineStr">
        <is>
          <t>No</t>
        </is>
      </c>
      <c r="V366" t="inlineStr">
        <is>
          <t>Bot tarafindan tespit edildi (2026-07-01)</t>
        </is>
      </c>
    </row>
    <row r="367">
      <c r="A367" t="inlineStr">
        <is>
          <t>T-0171</t>
        </is>
      </c>
      <c r="B367" t="inlineStr">
        <is>
          <t>Indraprastha Gas (IGL)</t>
        </is>
      </c>
      <c r="C367" t="inlineStr">
        <is>
          <t>Indraprastha Gas (IGL)</t>
        </is>
      </c>
      <c r="F367" t="inlineStr">
        <is>
          <t>New Lead</t>
        </is>
      </c>
      <c r="H367" t="inlineStr">
        <is>
          <t>RTPBQ_CM18670.pdf</t>
        </is>
      </c>
      <c r="K367" t="inlineStr">
        <is>
          <t>Not found</t>
        </is>
      </c>
      <c r="L367" t="inlineStr">
        <is>
          <t>Unknown</t>
        </is>
      </c>
      <c r="T367" t="inlineStr">
        <is>
          <t>https://tenders.iglonline.net/uploads/tender/RTPBQ_CM18670.pdf</t>
        </is>
      </c>
      <c r="U367" t="inlineStr">
        <is>
          <t>No</t>
        </is>
      </c>
      <c r="V367" t="inlineStr">
        <is>
          <t>Bot tarafindan tespit edildi (2026-07-01)</t>
        </is>
      </c>
    </row>
    <row r="368">
      <c r="A368" t="inlineStr">
        <is>
          <t>T-0172</t>
        </is>
      </c>
      <c r="B368" t="inlineStr">
        <is>
          <t>Indraprastha Gas (IGL)</t>
        </is>
      </c>
      <c r="C368" t="inlineStr">
        <is>
          <t>Indraprastha Gas (IGL)</t>
        </is>
      </c>
      <c r="F368" t="inlineStr">
        <is>
          <t>New Lead</t>
        </is>
      </c>
      <c r="H368" t="inlineStr">
        <is>
          <t>View Tender</t>
        </is>
      </c>
      <c r="K368" t="inlineStr">
        <is>
          <t>Not found</t>
        </is>
      </c>
      <c r="L368" t="inlineStr">
        <is>
          <t>Unknown</t>
        </is>
      </c>
      <c r="T368" t="inlineStr">
        <is>
          <t>https://tenders.iglonline.net/tenderDetail/486/Active Tenders And Corrigendum-Addendum</t>
        </is>
      </c>
      <c r="U368" t="inlineStr">
        <is>
          <t>No</t>
        </is>
      </c>
      <c r="V368" t="inlineStr">
        <is>
          <t>Bot tarafindan tespit edildi (2026-07-01)</t>
        </is>
      </c>
    </row>
    <row r="369">
      <c r="A369" t="inlineStr">
        <is>
          <t>T-0173</t>
        </is>
      </c>
      <c r="B369" t="inlineStr">
        <is>
          <t>Indraprastha Gas (IGL)</t>
        </is>
      </c>
      <c r="C369" t="inlineStr">
        <is>
          <t>Indraprastha Gas (IGL)</t>
        </is>
      </c>
      <c r="F369" t="inlineStr">
        <is>
          <t>New Lead</t>
        </is>
      </c>
      <c r="H369" t="inlineStr">
        <is>
          <t>View Tender</t>
        </is>
      </c>
      <c r="K369" t="inlineStr">
        <is>
          <t>Not found</t>
        </is>
      </c>
      <c r="L369" t="inlineStr">
        <is>
          <t>Unknown</t>
        </is>
      </c>
      <c r="T369" t="inlineStr">
        <is>
          <t>https://tenders.iglonline.net/tenderDetail/485/Active Tenders And Corrigendum-Addendum</t>
        </is>
      </c>
      <c r="U369" t="inlineStr">
        <is>
          <t>No</t>
        </is>
      </c>
      <c r="V369" t="inlineStr">
        <is>
          <t>Bot tarafindan tespit edildi (2026-07-01)</t>
        </is>
      </c>
    </row>
    <row r="370">
      <c r="A370" t="inlineStr">
        <is>
          <t>T-0174</t>
        </is>
      </c>
      <c r="B370" t="inlineStr">
        <is>
          <t>Indraprastha Gas (IGL)</t>
        </is>
      </c>
      <c r="C370" t="inlineStr">
        <is>
          <t>Indraprastha Gas (IGL)</t>
        </is>
      </c>
      <c r="F370" t="inlineStr">
        <is>
          <t>New Lead</t>
        </is>
      </c>
      <c r="H370" t="inlineStr">
        <is>
          <t>CORRIGENDUM_I_CM18642.pdf</t>
        </is>
      </c>
      <c r="K370" t="inlineStr">
        <is>
          <t>Not found</t>
        </is>
      </c>
      <c r="L370" t="inlineStr">
        <is>
          <t>Unknown</t>
        </is>
      </c>
      <c r="T370" t="inlineStr">
        <is>
          <t>https://tenders.iglonline.net/uploads/tender/CORRIGENDUM_I_CM18642.pdf</t>
        </is>
      </c>
      <c r="U370" t="inlineStr">
        <is>
          <t>No</t>
        </is>
      </c>
      <c r="V370" t="inlineStr">
        <is>
          <t>Bot tarafindan tespit edildi (2026-07-01)</t>
        </is>
      </c>
    </row>
    <row r="371">
      <c r="A371" t="inlineStr">
        <is>
          <t>T-0175</t>
        </is>
      </c>
      <c r="B371" t="inlineStr">
        <is>
          <t>Indraprastha Gas (IGL)</t>
        </is>
      </c>
      <c r="C371" t="inlineStr">
        <is>
          <t>Indraprastha Gas (IGL)</t>
        </is>
      </c>
      <c r="F371" t="inlineStr">
        <is>
          <t>New Lead</t>
        </is>
      </c>
      <c r="H371" t="inlineStr">
        <is>
          <t>Corrigendum_II_CM18642.pdf</t>
        </is>
      </c>
      <c r="K371" t="inlineStr">
        <is>
          <t>Not found</t>
        </is>
      </c>
      <c r="L371" t="inlineStr">
        <is>
          <t>Unknown</t>
        </is>
      </c>
      <c r="T371" t="inlineStr">
        <is>
          <t>https://tenders.iglonline.net/uploads/tender/Corrigendum_II_CM18642.pdf</t>
        </is>
      </c>
      <c r="U371" t="inlineStr">
        <is>
          <t>No</t>
        </is>
      </c>
      <c r="V371" t="inlineStr">
        <is>
          <t>Bot tarafindan tespit edildi (2026-07-01)</t>
        </is>
      </c>
    </row>
    <row r="372">
      <c r="A372" t="inlineStr">
        <is>
          <t>T-0176</t>
        </is>
      </c>
      <c r="B372" t="inlineStr">
        <is>
          <t>Indraprastha Gas (IGL)</t>
        </is>
      </c>
      <c r="C372" t="inlineStr">
        <is>
          <t>Indraprastha Gas (IGL)</t>
        </is>
      </c>
      <c r="F372" t="inlineStr">
        <is>
          <t>New Lead</t>
        </is>
      </c>
      <c r="H372" t="inlineStr">
        <is>
          <t>RTBQ_CM18642.pdf</t>
        </is>
      </c>
      <c r="K372" t="inlineStr">
        <is>
          <t>Not found</t>
        </is>
      </c>
      <c r="L372" t="inlineStr">
        <is>
          <t>Unknown</t>
        </is>
      </c>
      <c r="T372" t="inlineStr">
        <is>
          <t>https://tenders.iglonline.net/uploads/tender/RTBQ_CM18642.pdf</t>
        </is>
      </c>
      <c r="U372" t="inlineStr">
        <is>
          <t>No</t>
        </is>
      </c>
      <c r="V372" t="inlineStr">
        <is>
          <t>Bot tarafindan tespit edildi (2026-07-01)</t>
        </is>
      </c>
    </row>
    <row r="373">
      <c r="A373" t="inlineStr">
        <is>
          <t>T-0177</t>
        </is>
      </c>
      <c r="B373" t="inlineStr">
        <is>
          <t>Indraprastha Gas (IGL)</t>
        </is>
      </c>
      <c r="C373" t="inlineStr">
        <is>
          <t>Indraprastha Gas (IGL)</t>
        </is>
      </c>
      <c r="F373" t="inlineStr">
        <is>
          <t>New Lead</t>
        </is>
      </c>
      <c r="H373" t="inlineStr">
        <is>
          <t>View Tender</t>
        </is>
      </c>
      <c r="K373" t="inlineStr">
        <is>
          <t>Not found</t>
        </is>
      </c>
      <c r="L373" t="inlineStr">
        <is>
          <t>Unknown</t>
        </is>
      </c>
      <c r="T373" t="inlineStr">
        <is>
          <t>https://tenders.iglonline.net/tenderDetail/484/Active Tenders And Corrigendum-Addendum</t>
        </is>
      </c>
      <c r="U373" t="inlineStr">
        <is>
          <t>No</t>
        </is>
      </c>
      <c r="V373" t="inlineStr">
        <is>
          <t>Bot tarafindan tespit edildi (2026-07-01)</t>
        </is>
      </c>
    </row>
    <row r="374">
      <c r="A374" t="inlineStr">
        <is>
          <t>T-0178</t>
        </is>
      </c>
      <c r="B374" t="inlineStr">
        <is>
          <t>Indraprastha Gas (IGL)</t>
        </is>
      </c>
      <c r="C374" t="inlineStr">
        <is>
          <t>Indraprastha Gas (IGL)</t>
        </is>
      </c>
      <c r="D374" t="inlineStr">
        <is>
          <t>IGL/ET2/CP/CP18640</t>
        </is>
      </c>
      <c r="F374" t="inlineStr">
        <is>
          <t>Awarded</t>
        </is>
      </c>
      <c r="G374" t="inlineStr">
        <is>
          <t>Metering skid</t>
        </is>
      </c>
      <c r="H374" t="inlineStr">
        <is>
          <t>Corrigendum_1_CP18640.pdf</t>
        </is>
      </c>
      <c r="K374" t="inlineStr">
        <is>
          <t>Not found</t>
        </is>
      </c>
      <c r="L374" t="inlineStr">
        <is>
          <t>Unknown</t>
        </is>
      </c>
      <c r="T374" t="inlineStr">
        <is>
          <t>https://tenders.iglonline.net/uploads/tender/Corrigendum_1_CP18640.pdf</t>
        </is>
      </c>
      <c r="U374" t="inlineStr">
        <is>
          <t>No</t>
        </is>
      </c>
      <c r="V374" t="inlineStr">
        <is>
          <t>Bot tarafindan tespit edildi (2026-07-01) | Bot enrich; date=2026-07-01; type=pdf; score=230; pdf_conf=Low</t>
        </is>
      </c>
    </row>
    <row r="375">
      <c r="A375" t="inlineStr">
        <is>
          <t>T-0179</t>
        </is>
      </c>
      <c r="B375" t="inlineStr">
        <is>
          <t>Indraprastha Gas (IGL)</t>
        </is>
      </c>
      <c r="C375" t="inlineStr">
        <is>
          <t>Indraprastha Gas (IGL)</t>
        </is>
      </c>
      <c r="D375" t="inlineStr">
        <is>
          <t>IGL/ET2/CP/CP18640</t>
        </is>
      </c>
      <c r="F375" t="inlineStr">
        <is>
          <t>Awarded</t>
        </is>
      </c>
      <c r="H375" t="inlineStr">
        <is>
          <t>Corrigendum_II_CP18640_(A).pdf</t>
        </is>
      </c>
      <c r="K375" t="inlineStr">
        <is>
          <t>Not found</t>
        </is>
      </c>
      <c r="L375" t="inlineStr">
        <is>
          <t>Unknown</t>
        </is>
      </c>
      <c r="T375" t="inlineStr">
        <is>
          <t>https://tenders.iglonline.net/uploads/tender/Corrigendum_II_CP18640_(A).pdf</t>
        </is>
      </c>
      <c r="U375" t="inlineStr">
        <is>
          <t>No</t>
        </is>
      </c>
      <c r="V375" t="inlineStr">
        <is>
          <t>Bot tarafindan tespit edildi (2026-07-01) | Bot enrich; date=2026-07-01; type=pdf; score=230</t>
        </is>
      </c>
    </row>
    <row r="376">
      <c r="A376" t="inlineStr">
        <is>
          <t>T-0180</t>
        </is>
      </c>
      <c r="B376" t="inlineStr">
        <is>
          <t>Indraprastha Gas (IGL)</t>
        </is>
      </c>
      <c r="C376" t="inlineStr">
        <is>
          <t>Indraprastha Gas (IGL)</t>
        </is>
      </c>
      <c r="D376" t="inlineStr">
        <is>
          <t>IGL/ET2/CP/CP18640</t>
        </is>
      </c>
      <c r="F376" t="inlineStr">
        <is>
          <t>Awarded</t>
        </is>
      </c>
      <c r="H376" t="inlineStr">
        <is>
          <t>Corrigendum_III_CP18640 (B).pdf</t>
        </is>
      </c>
      <c r="K376" t="inlineStr">
        <is>
          <t>Not found</t>
        </is>
      </c>
      <c r="L376" t="inlineStr">
        <is>
          <t>Unknown</t>
        </is>
      </c>
      <c r="T376" t="inlineStr">
        <is>
          <t>https://tenders.iglonline.net/uploads/tender/Corrigendum_III_CP18640 (B).pdf</t>
        </is>
      </c>
      <c r="U376" t="inlineStr">
        <is>
          <t>No</t>
        </is>
      </c>
      <c r="V376" t="inlineStr">
        <is>
          <t>Bot tarafindan tespit edildi (2026-07-01) | Bot enrich; date=2026-07-01; type=pdf; score=230</t>
        </is>
      </c>
    </row>
    <row r="377">
      <c r="A377" t="inlineStr">
        <is>
          <t>T-0181</t>
        </is>
      </c>
      <c r="B377" t="inlineStr">
        <is>
          <t>Indraprastha Gas (IGL)</t>
        </is>
      </c>
      <c r="C377" t="inlineStr">
        <is>
          <t>Indraprastha Gas (IGL)</t>
        </is>
      </c>
      <c r="D377" t="inlineStr">
        <is>
          <t>IGL/ET2/CP/CP18640</t>
        </is>
      </c>
      <c r="F377" t="inlineStr">
        <is>
          <t>Awarded</t>
        </is>
      </c>
      <c r="H377" t="inlineStr">
        <is>
          <t>RTBQ CP18640.pdf</t>
        </is>
      </c>
      <c r="K377" t="inlineStr">
        <is>
          <t>Not found</t>
        </is>
      </c>
      <c r="L377" t="inlineStr">
        <is>
          <t>Unknown</t>
        </is>
      </c>
      <c r="T377" t="inlineStr">
        <is>
          <t>https://tenders.iglonline.net/uploads/tender/RTBQ CP18640.pdf</t>
        </is>
      </c>
      <c r="U377" t="inlineStr">
        <is>
          <t>No</t>
        </is>
      </c>
      <c r="V377" t="inlineStr">
        <is>
          <t>Bot tarafindan tespit edildi (2026-07-01) | Bot enrich; date=2026-07-01; type=pdf; score=230</t>
        </is>
      </c>
    </row>
    <row r="378">
      <c r="A378" t="inlineStr">
        <is>
          <t>T-0182</t>
        </is>
      </c>
      <c r="B378" t="inlineStr">
        <is>
          <t>Indraprastha Gas (IGL)</t>
        </is>
      </c>
      <c r="C378" t="inlineStr">
        <is>
          <t>Indraprastha Gas (IGL)</t>
        </is>
      </c>
      <c r="F378" t="inlineStr">
        <is>
          <t>New Lead</t>
        </is>
      </c>
      <c r="H378" t="inlineStr">
        <is>
          <t>CP18640(C)_Corrigendum_IV.pdf</t>
        </is>
      </c>
      <c r="K378" t="inlineStr">
        <is>
          <t>Not found</t>
        </is>
      </c>
      <c r="L378" t="inlineStr">
        <is>
          <t>Unknown</t>
        </is>
      </c>
      <c r="T378" t="inlineStr">
        <is>
          <t>https://tenders.iglonline.net/uploads/tender/CP18640(C)_Corrigendum_IV.pdf</t>
        </is>
      </c>
      <c r="U378" t="inlineStr">
        <is>
          <t>No</t>
        </is>
      </c>
      <c r="V378" t="inlineStr">
        <is>
          <t>Bot tarafindan tespit edildi (2026-07-01)</t>
        </is>
      </c>
    </row>
    <row r="379">
      <c r="A379" t="inlineStr">
        <is>
          <t>T-0183</t>
        </is>
      </c>
      <c r="B379" t="inlineStr">
        <is>
          <t>Indraprastha Gas (IGL)</t>
        </is>
      </c>
      <c r="C379" t="inlineStr">
        <is>
          <t>Indraprastha Gas (IGL)</t>
        </is>
      </c>
      <c r="F379" t="inlineStr">
        <is>
          <t>New Lead</t>
        </is>
      </c>
      <c r="H379" t="inlineStr">
        <is>
          <t>RTBQ_CP18640_2.pdf</t>
        </is>
      </c>
      <c r="K379" t="inlineStr">
        <is>
          <t>Not found</t>
        </is>
      </c>
      <c r="L379" t="inlineStr">
        <is>
          <t>Unknown</t>
        </is>
      </c>
      <c r="T379" t="inlineStr">
        <is>
          <t>https://tenders.iglonline.net/uploads/tender/RTBQ_CP18640_2.pdf</t>
        </is>
      </c>
      <c r="U379" t="inlineStr">
        <is>
          <t>No</t>
        </is>
      </c>
      <c r="V379" t="inlineStr">
        <is>
          <t>Bot tarafindan tespit edildi (2026-07-01)</t>
        </is>
      </c>
    </row>
    <row r="380">
      <c r="A380" t="inlineStr">
        <is>
          <t>T-0184</t>
        </is>
      </c>
      <c r="B380" t="inlineStr">
        <is>
          <t>Indraprastha Gas (IGL)</t>
        </is>
      </c>
      <c r="C380" t="inlineStr">
        <is>
          <t>Indraprastha Gas (IGL)</t>
        </is>
      </c>
      <c r="F380" t="inlineStr">
        <is>
          <t>New Lead</t>
        </is>
      </c>
      <c r="H380" t="inlineStr">
        <is>
          <t>CP18640_(D)_Corrigendum_V.pdf</t>
        </is>
      </c>
      <c r="K380" t="inlineStr">
        <is>
          <t>Not found</t>
        </is>
      </c>
      <c r="L380" t="inlineStr">
        <is>
          <t>Unknown</t>
        </is>
      </c>
      <c r="T380" t="inlineStr">
        <is>
          <t>https://tenders.iglonline.net/uploads/tender/CP18640_(D)_Corrigendum_V.pdf</t>
        </is>
      </c>
      <c r="U380" t="inlineStr">
        <is>
          <t>No</t>
        </is>
      </c>
      <c r="V380" t="inlineStr">
        <is>
          <t>Bot tarafindan tespit edildi (2026-07-01)</t>
        </is>
      </c>
    </row>
    <row r="381">
      <c r="A381" t="inlineStr">
        <is>
          <t>T-0185</t>
        </is>
      </c>
      <c r="B381" t="inlineStr">
        <is>
          <t>Indraprastha Gas (IGL)</t>
        </is>
      </c>
      <c r="C381" t="inlineStr">
        <is>
          <t>Indraprastha Gas (IGL)</t>
        </is>
      </c>
      <c r="F381" t="inlineStr">
        <is>
          <t>New Lead</t>
        </is>
      </c>
      <c r="H381" t="inlineStr">
        <is>
          <t>View Tender</t>
        </is>
      </c>
      <c r="K381" t="inlineStr">
        <is>
          <t>Not found</t>
        </is>
      </c>
      <c r="L381" t="inlineStr">
        <is>
          <t>Unknown</t>
        </is>
      </c>
      <c r="T381" t="inlineStr">
        <is>
          <t>https://tenders.iglonline.net/tenderDetail/483/Active Tenders And Corrigendum-Addendum</t>
        </is>
      </c>
      <c r="U381" t="inlineStr">
        <is>
          <t>No</t>
        </is>
      </c>
      <c r="V381" t="inlineStr">
        <is>
          <t>Bot tarafindan tespit edildi (2026-07-01)</t>
        </is>
      </c>
    </row>
    <row r="382">
      <c r="A382" t="inlineStr">
        <is>
          <t>T-0186</t>
        </is>
      </c>
      <c r="B382" t="inlineStr">
        <is>
          <t>Indraprastha Gas (IGL)</t>
        </is>
      </c>
      <c r="C382" t="inlineStr">
        <is>
          <t>Indraprastha Gas (IGL)</t>
        </is>
      </c>
      <c r="F382" t="inlineStr">
        <is>
          <t>New Lead</t>
        </is>
      </c>
      <c r="H382" t="inlineStr">
        <is>
          <t>Corrigendum_I_CC18641.pdf</t>
        </is>
      </c>
      <c r="K382" t="inlineStr">
        <is>
          <t>Not found</t>
        </is>
      </c>
      <c r="L382" t="inlineStr">
        <is>
          <t>Unknown</t>
        </is>
      </c>
      <c r="T382" t="inlineStr">
        <is>
          <t>https://tenders.iglonline.net/uploads/tender/Corrigendum_I_CC18641.pdf</t>
        </is>
      </c>
      <c r="U382" t="inlineStr">
        <is>
          <t>No</t>
        </is>
      </c>
      <c r="V382" t="inlineStr">
        <is>
          <t>Bot tarafindan tespit edildi (2026-07-01)</t>
        </is>
      </c>
    </row>
    <row r="383">
      <c r="A383" t="inlineStr">
        <is>
          <t>T-0187</t>
        </is>
      </c>
      <c r="B383" t="inlineStr">
        <is>
          <t>Indraprastha Gas (IGL)</t>
        </is>
      </c>
      <c r="C383" t="inlineStr">
        <is>
          <t>Indraprastha Gas (IGL)</t>
        </is>
      </c>
      <c r="F383" t="inlineStr">
        <is>
          <t>New Lead</t>
        </is>
      </c>
      <c r="H383" t="inlineStr">
        <is>
          <t>View Tender</t>
        </is>
      </c>
      <c r="K383" t="inlineStr">
        <is>
          <t>Not found</t>
        </is>
      </c>
      <c r="L383" t="inlineStr">
        <is>
          <t>Unknown</t>
        </is>
      </c>
      <c r="T383" t="inlineStr">
        <is>
          <t>https://tenders.iglonline.net/tenderDetail/482/Active Tenders And Corrigendum-Addendum</t>
        </is>
      </c>
      <c r="U383" t="inlineStr">
        <is>
          <t>No</t>
        </is>
      </c>
      <c r="V383" t="inlineStr">
        <is>
          <t>Bot tarafindan tespit edildi (2026-07-01)</t>
        </is>
      </c>
    </row>
    <row r="384">
      <c r="A384" t="inlineStr">
        <is>
          <t>T-0188</t>
        </is>
      </c>
      <c r="B384" t="inlineStr">
        <is>
          <t>Indraprastha Gas (IGL)</t>
        </is>
      </c>
      <c r="C384" t="inlineStr">
        <is>
          <t>Indraprastha Gas (IGL)</t>
        </is>
      </c>
      <c r="F384" t="inlineStr">
        <is>
          <t>New Lead</t>
        </is>
      </c>
      <c r="H384" t="inlineStr">
        <is>
          <t>View Tender</t>
        </is>
      </c>
      <c r="K384" t="inlineStr">
        <is>
          <t>Not found</t>
        </is>
      </c>
      <c r="L384" t="inlineStr">
        <is>
          <t>Unknown</t>
        </is>
      </c>
      <c r="T384" t="inlineStr">
        <is>
          <t>https://tenders.iglonline.net/tenderDetail/481/Active Tenders And Corrigendum-Addendum</t>
        </is>
      </c>
      <c r="U384" t="inlineStr">
        <is>
          <t>No</t>
        </is>
      </c>
      <c r="V384" t="inlineStr">
        <is>
          <t>Bot tarafindan tespit edildi (2026-07-01)</t>
        </is>
      </c>
    </row>
    <row r="385">
      <c r="A385" t="inlineStr">
        <is>
          <t>T-0189</t>
        </is>
      </c>
      <c r="B385" t="inlineStr">
        <is>
          <t>Indraprastha Gas (IGL)</t>
        </is>
      </c>
      <c r="C385" t="inlineStr">
        <is>
          <t>Indraprastha Gas (IGL)</t>
        </is>
      </c>
      <c r="F385" t="inlineStr">
        <is>
          <t>New Lead</t>
        </is>
      </c>
      <c r="H385" t="inlineStr">
        <is>
          <t>Corrigendum_I_CP18553.pdf</t>
        </is>
      </c>
      <c r="K385" t="inlineStr">
        <is>
          <t>Not found</t>
        </is>
      </c>
      <c r="L385" t="inlineStr">
        <is>
          <t>Unknown</t>
        </is>
      </c>
      <c r="T385" t="inlineStr">
        <is>
          <t>https://tenders.iglonline.net/uploads/tender/Corrigendum_I_CP18553.pdf</t>
        </is>
      </c>
      <c r="U385" t="inlineStr">
        <is>
          <t>No</t>
        </is>
      </c>
      <c r="V385" t="inlineStr">
        <is>
          <t>Bot tarafindan tespit edildi (2026-07-01)</t>
        </is>
      </c>
    </row>
    <row r="386">
      <c r="A386" t="inlineStr">
        <is>
          <t>T-0190</t>
        </is>
      </c>
      <c r="B386" t="inlineStr">
        <is>
          <t>Indraprastha Gas (IGL)</t>
        </is>
      </c>
      <c r="C386" t="inlineStr">
        <is>
          <t>Indraprastha Gas (IGL)</t>
        </is>
      </c>
      <c r="F386" t="inlineStr">
        <is>
          <t>New Lead</t>
        </is>
      </c>
      <c r="H386" t="inlineStr">
        <is>
          <t>Corrigendum_II_CP18553 (A).pdf</t>
        </is>
      </c>
      <c r="K386" t="inlineStr">
        <is>
          <t>Not found</t>
        </is>
      </c>
      <c r="L386" t="inlineStr">
        <is>
          <t>Unknown</t>
        </is>
      </c>
      <c r="T386" t="inlineStr">
        <is>
          <t>https://tenders.iglonline.net/uploads/tender/Corrigendum_II_CP18553 (A).pdf</t>
        </is>
      </c>
      <c r="U386" t="inlineStr">
        <is>
          <t>No</t>
        </is>
      </c>
      <c r="V386" t="inlineStr">
        <is>
          <t>Bot tarafindan tespit edildi (2026-07-01)</t>
        </is>
      </c>
    </row>
    <row r="387">
      <c r="A387" t="inlineStr">
        <is>
          <t>T-0191</t>
        </is>
      </c>
      <c r="B387" t="inlineStr">
        <is>
          <t>Indraprastha Gas (IGL)</t>
        </is>
      </c>
      <c r="C387" t="inlineStr">
        <is>
          <t>Indraprastha Gas (IGL)</t>
        </is>
      </c>
      <c r="F387" t="inlineStr">
        <is>
          <t>New Lead</t>
        </is>
      </c>
      <c r="H387" t="inlineStr">
        <is>
          <t>Corrigendum_III_CP18553 (B).pdf</t>
        </is>
      </c>
      <c r="K387" t="inlineStr">
        <is>
          <t>Not found</t>
        </is>
      </c>
      <c r="L387" t="inlineStr">
        <is>
          <t>Unknown</t>
        </is>
      </c>
      <c r="T387" t="inlineStr">
        <is>
          <t>https://tenders.iglonline.net/uploads/tender/Corrigendum_III_CP18553 (B).pdf</t>
        </is>
      </c>
      <c r="U387" t="inlineStr">
        <is>
          <t>No</t>
        </is>
      </c>
      <c r="V387" t="inlineStr">
        <is>
          <t>Bot tarafindan tespit edildi (2026-07-01)</t>
        </is>
      </c>
    </row>
    <row r="388">
      <c r="A388" t="inlineStr">
        <is>
          <t>T-0192</t>
        </is>
      </c>
      <c r="B388" t="inlineStr">
        <is>
          <t>Indraprastha Gas (IGL)</t>
        </is>
      </c>
      <c r="C388" t="inlineStr">
        <is>
          <t>Indraprastha Gas (IGL)</t>
        </is>
      </c>
      <c r="F388" t="inlineStr">
        <is>
          <t>New Lead</t>
        </is>
      </c>
      <c r="H388" t="inlineStr">
        <is>
          <t>RTBQ CP18553.pdf</t>
        </is>
      </c>
      <c r="K388" t="inlineStr">
        <is>
          <t>Not found</t>
        </is>
      </c>
      <c r="L388" t="inlineStr">
        <is>
          <t>Unknown</t>
        </is>
      </c>
      <c r="T388" t="inlineStr">
        <is>
          <t>https://tenders.iglonline.net/uploads/tender/RTBQ CP18553.pdf</t>
        </is>
      </c>
      <c r="U388" t="inlineStr">
        <is>
          <t>No</t>
        </is>
      </c>
      <c r="V388" t="inlineStr">
        <is>
          <t>Bot tarafindan tespit edildi (2026-07-01)</t>
        </is>
      </c>
    </row>
    <row r="389">
      <c r="A389" t="inlineStr">
        <is>
          <t>T-0193</t>
        </is>
      </c>
      <c r="B389" t="inlineStr">
        <is>
          <t>Indraprastha Gas (IGL)</t>
        </is>
      </c>
      <c r="C389" t="inlineStr">
        <is>
          <t>Indraprastha Gas (IGL)</t>
        </is>
      </c>
      <c r="F389" t="inlineStr">
        <is>
          <t>New Lead</t>
        </is>
      </c>
      <c r="H389" t="inlineStr">
        <is>
          <t>View Tender</t>
        </is>
      </c>
      <c r="K389" t="inlineStr">
        <is>
          <t>Not found</t>
        </is>
      </c>
      <c r="L389" t="inlineStr">
        <is>
          <t>Unknown</t>
        </is>
      </c>
      <c r="T389" t="inlineStr">
        <is>
          <t>https://tenders.iglonline.net/tenderDetail/480/Active Tenders And Corrigendum-Addendum</t>
        </is>
      </c>
      <c r="U389" t="inlineStr">
        <is>
          <t>No</t>
        </is>
      </c>
      <c r="V389" t="inlineStr">
        <is>
          <t>Bot tarafindan tespit edildi (2026-07-01)</t>
        </is>
      </c>
    </row>
    <row r="390">
      <c r="A390" t="inlineStr">
        <is>
          <t>T-0194</t>
        </is>
      </c>
      <c r="B390" t="inlineStr">
        <is>
          <t>Indraprastha Gas (IGL)</t>
        </is>
      </c>
      <c r="C390" t="inlineStr">
        <is>
          <t>Indraprastha Gas (IGL)</t>
        </is>
      </c>
      <c r="F390" t="inlineStr">
        <is>
          <t>New Lead</t>
        </is>
      </c>
      <c r="H390" t="inlineStr">
        <is>
          <t>View Tender</t>
        </is>
      </c>
      <c r="K390" t="inlineStr">
        <is>
          <t>Not found</t>
        </is>
      </c>
      <c r="L390" t="inlineStr">
        <is>
          <t>Unknown</t>
        </is>
      </c>
      <c r="T390" t="inlineStr">
        <is>
          <t>https://tenders.iglonline.net/tenderDetail/479/Active Tenders And Corrigendum-Addendum</t>
        </is>
      </c>
      <c r="U390" t="inlineStr">
        <is>
          <t>No</t>
        </is>
      </c>
      <c r="V390" t="inlineStr">
        <is>
          <t>Bot tarafindan tespit edildi (2026-07-01)</t>
        </is>
      </c>
    </row>
    <row r="391">
      <c r="A391" t="inlineStr">
        <is>
          <t>T-0195</t>
        </is>
      </c>
      <c r="B391" t="inlineStr">
        <is>
          <t>Indraprastha Gas (IGL)</t>
        </is>
      </c>
      <c r="C391" t="inlineStr">
        <is>
          <t>Indraprastha Gas (IGL)</t>
        </is>
      </c>
      <c r="F391" t="inlineStr">
        <is>
          <t>New Lead</t>
        </is>
      </c>
      <c r="H391" t="inlineStr">
        <is>
          <t>Corrigendum_1_CP18624.pdf</t>
        </is>
      </c>
      <c r="K391" t="inlineStr">
        <is>
          <t>Not found</t>
        </is>
      </c>
      <c r="L391" t="inlineStr">
        <is>
          <t>Unknown</t>
        </is>
      </c>
      <c r="T391" t="inlineStr">
        <is>
          <t>https://tenders.iglonline.net/uploads/tender/Corrigendum_1_CP18624.pdf</t>
        </is>
      </c>
      <c r="U391" t="inlineStr">
        <is>
          <t>No</t>
        </is>
      </c>
      <c r="V391" t="inlineStr">
        <is>
          <t>Bot tarafindan tespit edildi (2026-07-01)</t>
        </is>
      </c>
    </row>
    <row r="392">
      <c r="A392" t="inlineStr">
        <is>
          <t>T-0196</t>
        </is>
      </c>
      <c r="B392" t="inlineStr">
        <is>
          <t>Indraprastha Gas (IGL)</t>
        </is>
      </c>
      <c r="C392" t="inlineStr">
        <is>
          <t>Indraprastha Gas (IGL)</t>
        </is>
      </c>
      <c r="F392" t="inlineStr">
        <is>
          <t>New Lead</t>
        </is>
      </c>
      <c r="H392" t="inlineStr">
        <is>
          <t>Corrigendum_II_CP18624.pdf</t>
        </is>
      </c>
      <c r="K392" t="inlineStr">
        <is>
          <t>Not found</t>
        </is>
      </c>
      <c r="L392" t="inlineStr">
        <is>
          <t>Unknown</t>
        </is>
      </c>
      <c r="T392" t="inlineStr">
        <is>
          <t>https://tenders.iglonline.net/uploads/tender/Corrigendum_II_CP18624.pdf</t>
        </is>
      </c>
      <c r="U392" t="inlineStr">
        <is>
          <t>No</t>
        </is>
      </c>
      <c r="V392" t="inlineStr">
        <is>
          <t>Bot tarafindan tespit edildi (2026-07-01)</t>
        </is>
      </c>
    </row>
    <row r="393">
      <c r="A393" t="inlineStr">
        <is>
          <t>T-0197</t>
        </is>
      </c>
      <c r="B393" t="inlineStr">
        <is>
          <t>Indraprastha Gas (IGL)</t>
        </is>
      </c>
      <c r="C393" t="inlineStr">
        <is>
          <t>Indraprastha Gas (IGL)</t>
        </is>
      </c>
      <c r="F393" t="inlineStr">
        <is>
          <t>New Lead</t>
        </is>
      </c>
      <c r="H393" t="inlineStr">
        <is>
          <t>Corrigendum_III_CP18624 (A).pdf</t>
        </is>
      </c>
      <c r="K393" t="inlineStr">
        <is>
          <t>Not found</t>
        </is>
      </c>
      <c r="L393" t="inlineStr">
        <is>
          <t>Unknown</t>
        </is>
      </c>
      <c r="T393" t="inlineStr">
        <is>
          <t>https://tenders.iglonline.net/uploads/tender/Corrigendum_III_CP18624 (A).pdf</t>
        </is>
      </c>
      <c r="U393" t="inlineStr">
        <is>
          <t>No</t>
        </is>
      </c>
      <c r="V393" t="inlineStr">
        <is>
          <t>Bot tarafindan tespit edildi (2026-07-01)</t>
        </is>
      </c>
    </row>
    <row r="394">
      <c r="A394" t="inlineStr">
        <is>
          <t>T-0198</t>
        </is>
      </c>
      <c r="B394" t="inlineStr">
        <is>
          <t>Indraprastha Gas (IGL)</t>
        </is>
      </c>
      <c r="C394" t="inlineStr">
        <is>
          <t>Indraprastha Gas (IGL)</t>
        </is>
      </c>
      <c r="F394" t="inlineStr">
        <is>
          <t>New Lead</t>
        </is>
      </c>
      <c r="H394" t="inlineStr">
        <is>
          <t>Corrigendum_IV_CP18624_(B).pdf</t>
        </is>
      </c>
      <c r="K394" t="inlineStr">
        <is>
          <t>Not found</t>
        </is>
      </c>
      <c r="L394" t="inlineStr">
        <is>
          <t>Unknown</t>
        </is>
      </c>
      <c r="T394" t="inlineStr">
        <is>
          <t>https://tenders.iglonline.net/uploads/tender/Corrigendum_IV_CP18624_(B).pdf</t>
        </is>
      </c>
      <c r="U394" t="inlineStr">
        <is>
          <t>No</t>
        </is>
      </c>
      <c r="V394" t="inlineStr">
        <is>
          <t>Bot tarafindan tespit edildi (2026-07-01)</t>
        </is>
      </c>
    </row>
    <row r="395">
      <c r="A395" t="inlineStr">
        <is>
          <t>T-0199</t>
        </is>
      </c>
      <c r="B395" t="inlineStr">
        <is>
          <t>Indraprastha Gas (IGL)</t>
        </is>
      </c>
      <c r="C395" t="inlineStr">
        <is>
          <t>Indraprastha Gas (IGL)</t>
        </is>
      </c>
      <c r="F395" t="inlineStr">
        <is>
          <t>New Lead</t>
        </is>
      </c>
      <c r="H395" t="inlineStr">
        <is>
          <t>Corrigendum_V_CP18624 (C).pdf</t>
        </is>
      </c>
      <c r="K395" t="inlineStr">
        <is>
          <t>Not found</t>
        </is>
      </c>
      <c r="L395" t="inlineStr">
        <is>
          <t>Unknown</t>
        </is>
      </c>
      <c r="T395" t="inlineStr">
        <is>
          <t>https://tenders.iglonline.net/uploads/tender/Corrigendum_V_CP18624 (C).pdf</t>
        </is>
      </c>
      <c r="U395" t="inlineStr">
        <is>
          <t>No</t>
        </is>
      </c>
      <c r="V395" t="inlineStr">
        <is>
          <t>Bot tarafindan tespit edildi (2026-07-01)</t>
        </is>
      </c>
    </row>
    <row r="396">
      <c r="A396" t="inlineStr">
        <is>
          <t>T-0200</t>
        </is>
      </c>
      <c r="B396" t="inlineStr">
        <is>
          <t>Indraprastha Gas (IGL)</t>
        </is>
      </c>
      <c r="C396" t="inlineStr">
        <is>
          <t>Indraprastha Gas (IGL)</t>
        </is>
      </c>
      <c r="F396" t="inlineStr">
        <is>
          <t>New Lead</t>
        </is>
      </c>
      <c r="H396" t="inlineStr">
        <is>
          <t>Corrigendum_VI_CP18624.pdf</t>
        </is>
      </c>
      <c r="K396" t="inlineStr">
        <is>
          <t>Not found</t>
        </is>
      </c>
      <c r="L396" t="inlineStr">
        <is>
          <t>Unknown</t>
        </is>
      </c>
      <c r="T396" t="inlineStr">
        <is>
          <t>https://tenders.iglonline.net/uploads/tender/Corrigendum_VI_CP18624.pdf</t>
        </is>
      </c>
      <c r="U396" t="inlineStr">
        <is>
          <t>No</t>
        </is>
      </c>
      <c r="V396" t="inlineStr">
        <is>
          <t>Bot tarafindan tespit edildi (2026-07-01)</t>
        </is>
      </c>
    </row>
    <row r="397">
      <c r="A397" t="inlineStr">
        <is>
          <t>T-0201</t>
        </is>
      </c>
      <c r="B397" t="inlineStr">
        <is>
          <t>Indraprastha Gas (IGL)</t>
        </is>
      </c>
      <c r="C397" t="inlineStr">
        <is>
          <t>Indraprastha Gas (IGL)</t>
        </is>
      </c>
      <c r="F397" t="inlineStr">
        <is>
          <t>New Lead</t>
        </is>
      </c>
      <c r="H397" t="inlineStr">
        <is>
          <t>RTBQ_CP18624.pdf</t>
        </is>
      </c>
      <c r="K397" t="inlineStr">
        <is>
          <t>Not found</t>
        </is>
      </c>
      <c r="L397" t="inlineStr">
        <is>
          <t>Unknown</t>
        </is>
      </c>
      <c r="T397" t="inlineStr">
        <is>
          <t>https://tenders.iglonline.net/uploads/tender/RTBQ_CP18624.pdf</t>
        </is>
      </c>
      <c r="U397" t="inlineStr">
        <is>
          <t>No</t>
        </is>
      </c>
      <c r="V397" t="inlineStr">
        <is>
          <t>Bot tarafindan tespit edildi (2026-07-01)</t>
        </is>
      </c>
    </row>
    <row r="398">
      <c r="A398" t="inlineStr">
        <is>
          <t>T-0202</t>
        </is>
      </c>
      <c r="B398" t="inlineStr">
        <is>
          <t>Indraprastha Gas (IGL)</t>
        </is>
      </c>
      <c r="C398" t="inlineStr">
        <is>
          <t>Indraprastha Gas (IGL)</t>
        </is>
      </c>
      <c r="F398" t="inlineStr">
        <is>
          <t>New Lead</t>
        </is>
      </c>
      <c r="H398" t="inlineStr">
        <is>
          <t>Cancellation_Notice_CP18624.pdf</t>
        </is>
      </c>
      <c r="K398" t="inlineStr">
        <is>
          <t>Not found</t>
        </is>
      </c>
      <c r="L398" t="inlineStr">
        <is>
          <t>Unknown</t>
        </is>
      </c>
      <c r="T398" t="inlineStr">
        <is>
          <t>https://tenders.iglonline.net/uploads/tender/Cancellation_Notice_CP18624.pdf</t>
        </is>
      </c>
      <c r="U398" t="inlineStr">
        <is>
          <t>No</t>
        </is>
      </c>
      <c r="V398" t="inlineStr">
        <is>
          <t>Bot tarafindan tespit edildi (2026-07-01)</t>
        </is>
      </c>
    </row>
    <row r="399">
      <c r="A399" t="inlineStr">
        <is>
          <t>T-0203</t>
        </is>
      </c>
      <c r="B399" t="inlineStr">
        <is>
          <t>Indraprastha Gas (IGL)</t>
        </is>
      </c>
      <c r="C399" t="inlineStr">
        <is>
          <t>Indraprastha Gas (IGL)</t>
        </is>
      </c>
      <c r="F399" t="inlineStr">
        <is>
          <t>New Lead</t>
        </is>
      </c>
      <c r="G399" t="inlineStr">
        <is>
          <t>Regulating station</t>
        </is>
      </c>
      <c r="H399" t="inlineStr">
        <is>
          <t>View Tender</t>
        </is>
      </c>
      <c r="K399" t="inlineStr">
        <is>
          <t>Not found</t>
        </is>
      </c>
      <c r="L399" t="inlineStr">
        <is>
          <t>Unknown</t>
        </is>
      </c>
      <c r="T399" t="inlineStr">
        <is>
          <t>https://tenders.iglonline.net/tenderDetail/478/Active Tenders And Corrigendum-Addendum</t>
        </is>
      </c>
      <c r="U399" t="inlineStr">
        <is>
          <t>No</t>
        </is>
      </c>
      <c r="V399" t="inlineStr">
        <is>
          <t>Bot tarafindan tespit edildi (2026-07-01); Bot tespit/zenginlestirme (2026-07-01); meta:score=80;priority=High;source_type=html_table;closing_date=;equipment=Regulating station;reasons=equipment:Regulating station,station/skid keyword,document source; Bot clean extraction (2026-07-01); meta:score=90;priority=High;source_type=html_table;closing_date=;equipment=Regulating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400">
      <c r="A400" t="inlineStr">
        <is>
          <t>T-0204</t>
        </is>
      </c>
      <c r="B400" t="inlineStr">
        <is>
          <t>Indraprastha Gas (IGL)</t>
        </is>
      </c>
      <c r="C400" t="inlineStr">
        <is>
          <t>Indraprastha Gas (IGL)</t>
        </is>
      </c>
      <c r="D400" t="inlineStr">
        <is>
          <t>IGL/ET2/CP/CP18634</t>
        </is>
      </c>
      <c r="F400" t="inlineStr">
        <is>
          <t>Awarded</t>
        </is>
      </c>
      <c r="G400" t="inlineStr">
        <is>
          <t>MRS</t>
        </is>
      </c>
      <c r="H400" t="inlineStr">
        <is>
          <t>Corrigendum_I_CP18634 (A).pdf</t>
        </is>
      </c>
      <c r="K400" t="inlineStr">
        <is>
          <t>Not found</t>
        </is>
      </c>
      <c r="L400" t="inlineStr">
        <is>
          <t>Unknown</t>
        </is>
      </c>
      <c r="T400" t="inlineStr">
        <is>
          <t>https://tenders.iglonline.net/uploads/tender/Corrigendum_I_CP18634 (A).pdf</t>
        </is>
      </c>
      <c r="U400" t="inlineStr">
        <is>
          <t>No</t>
        </is>
      </c>
      <c r="V400"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station;quality_status=market_target;market_relevance=High;document_type=corrigendum;unit_price_inr=;amount_label=;matched_terms=Regulating / metering station;reject_reasons=employment/corporate;scope=market_intelligence_only;excluded_scope=no_bid_or_offer_submission_automation</t>
        </is>
      </c>
    </row>
    <row r="401">
      <c r="A401" t="inlineStr">
        <is>
          <t>T-0205</t>
        </is>
      </c>
      <c r="B401" t="inlineStr">
        <is>
          <t>Indraprastha Gas (IGL)</t>
        </is>
      </c>
      <c r="C401" t="inlineStr">
        <is>
          <t>Indraprastha Gas (IGL)</t>
        </is>
      </c>
      <c r="D401" t="inlineStr">
        <is>
          <t>IGL/ET2/CP/CP18634</t>
        </is>
      </c>
      <c r="F401" t="inlineStr">
        <is>
          <t>Awarded</t>
        </is>
      </c>
      <c r="G401" t="inlineStr">
        <is>
          <t>MRS</t>
        </is>
      </c>
      <c r="H401" t="inlineStr">
        <is>
          <t>RTBQ_CP18634.pdf</t>
        </is>
      </c>
      <c r="K401" t="inlineStr">
        <is>
          <t>Not found</t>
        </is>
      </c>
      <c r="L401" t="inlineStr">
        <is>
          <t>Unknown</t>
        </is>
      </c>
      <c r="T401" t="inlineStr">
        <is>
          <t>https://tenders.iglonline.net/uploads/tender/RTBQ_CP18634.pdf</t>
        </is>
      </c>
      <c r="U401" t="inlineStr">
        <is>
          <t>No</t>
        </is>
      </c>
      <c r="V401"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402">
      <c r="A402" t="inlineStr">
        <is>
          <t>T-0206</t>
        </is>
      </c>
      <c r="B402" t="inlineStr">
        <is>
          <t>Indraprastha Gas (IGL)</t>
        </is>
      </c>
      <c r="C402" t="inlineStr">
        <is>
          <t>Indraprastha Gas (IGL)</t>
        </is>
      </c>
      <c r="F402" t="inlineStr">
        <is>
          <t>New Lead</t>
        </is>
      </c>
      <c r="H402" t="inlineStr">
        <is>
          <t>View Tender</t>
        </is>
      </c>
      <c r="K402" t="inlineStr">
        <is>
          <t>Not found</t>
        </is>
      </c>
      <c r="L402" t="inlineStr">
        <is>
          <t>Unknown</t>
        </is>
      </c>
      <c r="T402" t="inlineStr">
        <is>
          <t>https://tenders.iglonline.net/tenderDetail/477/Active Tenders And Corrigendum-Addendum</t>
        </is>
      </c>
      <c r="U402" t="inlineStr">
        <is>
          <t>No</t>
        </is>
      </c>
      <c r="V402" t="inlineStr">
        <is>
          <t>Bot tarafindan tespit edildi (2026-07-01)</t>
        </is>
      </c>
    </row>
    <row r="403">
      <c r="A403" t="inlineStr">
        <is>
          <t>T-0207</t>
        </is>
      </c>
      <c r="B403" t="inlineStr">
        <is>
          <t>Indraprastha Gas (IGL)</t>
        </is>
      </c>
      <c r="C403" t="inlineStr">
        <is>
          <t>Indraprastha Gas (IGL)</t>
        </is>
      </c>
      <c r="F403" t="inlineStr">
        <is>
          <t>New Lead</t>
        </is>
      </c>
      <c r="H403" t="inlineStr">
        <is>
          <t>Corrigendum-1_CM18655.pdf</t>
        </is>
      </c>
      <c r="K403" t="inlineStr">
        <is>
          <t>Not found</t>
        </is>
      </c>
      <c r="L403" t="inlineStr">
        <is>
          <t>Unknown</t>
        </is>
      </c>
      <c r="T403" t="inlineStr">
        <is>
          <t>https://tenders.iglonline.net/uploads/tender/Corrigendum-1_CM18655.pdf</t>
        </is>
      </c>
      <c r="U403" t="inlineStr">
        <is>
          <t>No</t>
        </is>
      </c>
      <c r="V403" t="inlineStr">
        <is>
          <t>Bot tarafindan tespit edildi (2026-07-01)</t>
        </is>
      </c>
    </row>
    <row r="404">
      <c r="A404" t="inlineStr">
        <is>
          <t>T-0208</t>
        </is>
      </c>
      <c r="B404" t="inlineStr">
        <is>
          <t>Indraprastha Gas (IGL)</t>
        </is>
      </c>
      <c r="C404" t="inlineStr">
        <is>
          <t>Indraprastha Gas (IGL)</t>
        </is>
      </c>
      <c r="F404" t="inlineStr">
        <is>
          <t>New Lead</t>
        </is>
      </c>
      <c r="H404" t="inlineStr">
        <is>
          <t>RTPBQ_CM18655.pdf</t>
        </is>
      </c>
      <c r="K404" t="inlineStr">
        <is>
          <t>Not found</t>
        </is>
      </c>
      <c r="L404" t="inlineStr">
        <is>
          <t>Unknown</t>
        </is>
      </c>
      <c r="T404" t="inlineStr">
        <is>
          <t>https://tenders.iglonline.net/uploads/tender/RTPBQ_CM18655.pdf</t>
        </is>
      </c>
      <c r="U404" t="inlineStr">
        <is>
          <t>No</t>
        </is>
      </c>
      <c r="V404" t="inlineStr">
        <is>
          <t>Bot tarafindan tespit edildi (2026-07-01)</t>
        </is>
      </c>
    </row>
    <row r="405">
      <c r="A405" t="inlineStr">
        <is>
          <t>T-0209</t>
        </is>
      </c>
      <c r="B405" t="inlineStr">
        <is>
          <t>Indraprastha Gas (IGL)</t>
        </is>
      </c>
      <c r="C405" t="inlineStr">
        <is>
          <t>Indraprastha Gas (IGL)</t>
        </is>
      </c>
      <c r="F405" t="inlineStr">
        <is>
          <t>New Lead</t>
        </is>
      </c>
      <c r="H405" t="inlineStr">
        <is>
          <t>View Tender</t>
        </is>
      </c>
      <c r="K405" t="inlineStr">
        <is>
          <t>Not found</t>
        </is>
      </c>
      <c r="L405" t="inlineStr">
        <is>
          <t>Unknown</t>
        </is>
      </c>
      <c r="T405" t="inlineStr">
        <is>
          <t>https://tenders.iglonline.net/tenderDetail/476/Active Tenders And Corrigendum-Addendum</t>
        </is>
      </c>
      <c r="U405" t="inlineStr">
        <is>
          <t>No</t>
        </is>
      </c>
      <c r="V405" t="inlineStr">
        <is>
          <t>Bot tarafindan tespit edildi (2026-07-01)</t>
        </is>
      </c>
    </row>
    <row r="406">
      <c r="A406" t="inlineStr">
        <is>
          <t>T-0210</t>
        </is>
      </c>
      <c r="B406" t="inlineStr">
        <is>
          <t>Indraprastha Gas (IGL)</t>
        </is>
      </c>
      <c r="C406" t="inlineStr">
        <is>
          <t>Indraprastha Gas (IGL)</t>
        </is>
      </c>
      <c r="F406" t="inlineStr">
        <is>
          <t>New Lead</t>
        </is>
      </c>
      <c r="H406" t="inlineStr">
        <is>
          <t>Corrigendum-1_CM18662.pdf</t>
        </is>
      </c>
      <c r="K406" t="inlineStr">
        <is>
          <t>Not found</t>
        </is>
      </c>
      <c r="L406" t="inlineStr">
        <is>
          <t>Unknown</t>
        </is>
      </c>
      <c r="T406" t="inlineStr">
        <is>
          <t>https://tenders.iglonline.net/uploads/tender/Corrigendum-1_CM18662.pdf</t>
        </is>
      </c>
      <c r="U406" t="inlineStr">
        <is>
          <t>No</t>
        </is>
      </c>
      <c r="V406" t="inlineStr">
        <is>
          <t>Bot tarafindan tespit edildi (2026-07-01)</t>
        </is>
      </c>
    </row>
    <row r="407">
      <c r="A407" t="inlineStr">
        <is>
          <t>T-0211</t>
        </is>
      </c>
      <c r="B407" t="inlineStr">
        <is>
          <t>Indraprastha Gas (IGL)</t>
        </is>
      </c>
      <c r="C407" t="inlineStr">
        <is>
          <t>Indraprastha Gas (IGL)</t>
        </is>
      </c>
      <c r="F407" t="inlineStr">
        <is>
          <t>New Lead</t>
        </is>
      </c>
      <c r="H407" t="inlineStr">
        <is>
          <t>RTPBQ_CM18662.pdf</t>
        </is>
      </c>
      <c r="K407" t="inlineStr">
        <is>
          <t>Not found</t>
        </is>
      </c>
      <c r="L407" t="inlineStr">
        <is>
          <t>Unknown</t>
        </is>
      </c>
      <c r="T407" t="inlineStr">
        <is>
          <t>https://tenders.iglonline.net/uploads/tender/RTPBQ_CM18662.pdf</t>
        </is>
      </c>
      <c r="U407" t="inlineStr">
        <is>
          <t>No</t>
        </is>
      </c>
      <c r="V407" t="inlineStr">
        <is>
          <t>Bot tarafindan tespit edildi (2026-07-01)</t>
        </is>
      </c>
    </row>
    <row r="408">
      <c r="A408" t="inlineStr">
        <is>
          <t>T-0212</t>
        </is>
      </c>
      <c r="B408" t="inlineStr">
        <is>
          <t>Indraprastha Gas (IGL)</t>
        </is>
      </c>
      <c r="C408" t="inlineStr">
        <is>
          <t>Indraprastha Gas (IGL)</t>
        </is>
      </c>
      <c r="F408" t="inlineStr">
        <is>
          <t>New Lead</t>
        </is>
      </c>
      <c r="H408" t="inlineStr">
        <is>
          <t>View Tender</t>
        </is>
      </c>
      <c r="K408" t="inlineStr">
        <is>
          <t>Not found</t>
        </is>
      </c>
      <c r="L408" t="inlineStr">
        <is>
          <t>Unknown</t>
        </is>
      </c>
      <c r="T408" t="inlineStr">
        <is>
          <t>https://tenders.iglonline.net/tenderDetail/475/Active Tenders And Corrigendum-Addendum</t>
        </is>
      </c>
      <c r="U408" t="inlineStr">
        <is>
          <t>No</t>
        </is>
      </c>
      <c r="V408" t="inlineStr">
        <is>
          <t>Bot tarafindan tespit edildi (2026-07-01)</t>
        </is>
      </c>
    </row>
    <row r="409">
      <c r="A409" t="inlineStr">
        <is>
          <t>T-0213</t>
        </is>
      </c>
      <c r="B409" t="inlineStr">
        <is>
          <t>Indraprastha Gas (IGL)</t>
        </is>
      </c>
      <c r="C409" t="inlineStr">
        <is>
          <t>Indraprastha Gas (IGL)</t>
        </is>
      </c>
      <c r="F409" t="inlineStr">
        <is>
          <t>New Lead</t>
        </is>
      </c>
      <c r="G409" t="inlineStr">
        <is>
          <t>Unclassified</t>
        </is>
      </c>
      <c r="H409" t="inlineStr">
        <is>
          <t>Corrigendum-I_CC18541.pdf</t>
        </is>
      </c>
      <c r="K409" t="inlineStr">
        <is>
          <t>Not found</t>
        </is>
      </c>
      <c r="L409" t="inlineStr">
        <is>
          <t>Unknown</t>
        </is>
      </c>
      <c r="T409" t="inlineStr">
        <is>
          <t>https://tenders.iglonline.net/uploads/tender/Corrigendum-I_CC18541.pdf</t>
        </is>
      </c>
      <c r="U409" t="inlineStr">
        <is>
          <t>No</t>
        </is>
      </c>
      <c r="V409" t="inlineStr">
        <is>
          <t>Bot tarafindan tespit edildi (2026-07-01); Bot tespit/zenginlestirme (2026-07-01); meta:score=40;priority=Medium;source_type=html_table;closing_date=;equipment=Unclassified;reasons=document source,quantity signal</t>
        </is>
      </c>
    </row>
    <row r="410">
      <c r="A410" t="inlineStr">
        <is>
          <t>T-0214</t>
        </is>
      </c>
      <c r="B410" t="inlineStr">
        <is>
          <t>Indraprastha Gas (IGL)</t>
        </is>
      </c>
      <c r="C410" t="inlineStr">
        <is>
          <t>Indraprastha Gas (IGL)</t>
        </is>
      </c>
      <c r="F410" t="inlineStr">
        <is>
          <t>New Lead</t>
        </is>
      </c>
      <c r="G410" t="inlineStr">
        <is>
          <t>Unclassified</t>
        </is>
      </c>
      <c r="H410" t="inlineStr">
        <is>
          <t>RTBQ_CC18541_Turboexpander.pdf</t>
        </is>
      </c>
      <c r="K410" t="inlineStr">
        <is>
          <t>Not found</t>
        </is>
      </c>
      <c r="L410" t="inlineStr">
        <is>
          <t>Unknown</t>
        </is>
      </c>
      <c r="T410" t="inlineStr">
        <is>
          <t>https://tenders.iglonline.net/uploads/tender/RTBQ_CC18541_Turboexpander.pdf</t>
        </is>
      </c>
      <c r="U410" t="inlineStr">
        <is>
          <t>No</t>
        </is>
      </c>
      <c r="V410" t="inlineStr">
        <is>
          <t>Bot tarafindan tespit edildi (2026-07-01); Bot tespit/zenginlestirme (2026-07-01); meta:score=40;priority=Medium;source_type=html_table;closing_date=;equipment=Unclassified;reasons=document source,quantity signal</t>
        </is>
      </c>
    </row>
    <row r="411">
      <c r="A411" t="inlineStr">
        <is>
          <t>T-0215</t>
        </is>
      </c>
      <c r="B411" t="inlineStr">
        <is>
          <t>Indraprastha Gas (IGL)</t>
        </is>
      </c>
      <c r="C411" t="inlineStr">
        <is>
          <t>Indraprastha Gas (IGL)</t>
        </is>
      </c>
      <c r="F411" t="inlineStr">
        <is>
          <t>New Lead</t>
        </is>
      </c>
      <c r="G411" t="inlineStr">
        <is>
          <t>Unclassified</t>
        </is>
      </c>
      <c r="H411" t="inlineStr">
        <is>
          <t>Corrigendum_II_CC18541.pdf</t>
        </is>
      </c>
      <c r="K411" t="inlineStr">
        <is>
          <t>Not found</t>
        </is>
      </c>
      <c r="L411" t="inlineStr">
        <is>
          <t>Unknown</t>
        </is>
      </c>
      <c r="T411" t="inlineStr">
        <is>
          <t>https://tenders.iglonline.net/uploads/tender/Corrigendum_II_CC18541.pdf</t>
        </is>
      </c>
      <c r="U411" t="inlineStr">
        <is>
          <t>No</t>
        </is>
      </c>
      <c r="V411" t="inlineStr">
        <is>
          <t>Bot tarafindan tespit edildi (2026-07-01); Bot tespit/zenginlestirme (2026-07-01); meta:score=40;priority=Medium;source_type=html_table;closing_date=;equipment=Unclassified;reasons=document source,quantity signal</t>
        </is>
      </c>
    </row>
    <row r="412">
      <c r="A412" t="inlineStr">
        <is>
          <t>T-0216</t>
        </is>
      </c>
      <c r="B412" t="inlineStr">
        <is>
          <t>Indraprastha Gas (IGL)</t>
        </is>
      </c>
      <c r="C412" t="inlineStr">
        <is>
          <t>Indraprastha Gas (IGL)</t>
        </is>
      </c>
      <c r="F412" t="inlineStr">
        <is>
          <t>New Lead</t>
        </is>
      </c>
      <c r="G412" t="inlineStr">
        <is>
          <t>Unclassified</t>
        </is>
      </c>
      <c r="H412" t="inlineStr">
        <is>
          <t>Corrigendum_III_CC18541.pdf</t>
        </is>
      </c>
      <c r="K412" t="inlineStr">
        <is>
          <t>Not found</t>
        </is>
      </c>
      <c r="L412" t="inlineStr">
        <is>
          <t>Unknown</t>
        </is>
      </c>
      <c r="T412" t="inlineStr">
        <is>
          <t>https://tenders.iglonline.net/uploads/tender/Corrigendum_III_CC18541.pdf</t>
        </is>
      </c>
      <c r="U412" t="inlineStr">
        <is>
          <t>No</t>
        </is>
      </c>
      <c r="V412" t="inlineStr">
        <is>
          <t>Bot tarafindan tespit edildi (2026-07-01); Bot tespit/zenginlestirme (2026-07-01); meta:score=40;priority=Medium;source_type=html_table;closing_date=;equipment=Unclassified;reasons=document source,quantity signal</t>
        </is>
      </c>
    </row>
    <row r="413">
      <c r="A413" t="inlineStr">
        <is>
          <t>T-0217</t>
        </is>
      </c>
      <c r="B413" t="inlineStr">
        <is>
          <t>Indraprastha Gas (IGL)</t>
        </is>
      </c>
      <c r="C413" t="inlineStr">
        <is>
          <t>Indraprastha Gas (IGL)</t>
        </is>
      </c>
      <c r="F413" t="inlineStr">
        <is>
          <t>New Lead</t>
        </is>
      </c>
      <c r="G413" t="inlineStr">
        <is>
          <t>Unclassified</t>
        </is>
      </c>
      <c r="H413" t="inlineStr">
        <is>
          <t>Corrigendum_IV_CC18541.pdf</t>
        </is>
      </c>
      <c r="K413" t="inlineStr">
        <is>
          <t>Not found</t>
        </is>
      </c>
      <c r="L413" t="inlineStr">
        <is>
          <t>Unknown</t>
        </is>
      </c>
      <c r="T413" t="inlineStr">
        <is>
          <t>https://tenders.iglonline.net/uploads/tender/Corrigendum_IV_CC18541.pdf</t>
        </is>
      </c>
      <c r="U413" t="inlineStr">
        <is>
          <t>No</t>
        </is>
      </c>
      <c r="V413" t="inlineStr">
        <is>
          <t>Bot tarafindan tespit edildi (2026-07-01); Bot tespit/zenginlestirme (2026-07-01); meta:score=40;priority=Medium;source_type=html_table;closing_date=;equipment=Unclassified;reasons=document source,quantity signal</t>
        </is>
      </c>
    </row>
    <row r="414">
      <c r="A414" t="inlineStr">
        <is>
          <t>T-0218</t>
        </is>
      </c>
      <c r="B414" t="inlineStr">
        <is>
          <t>Indraprastha Gas (IGL)</t>
        </is>
      </c>
      <c r="C414" t="inlineStr">
        <is>
          <t>Indraprastha Gas (IGL)</t>
        </is>
      </c>
      <c r="F414" t="inlineStr">
        <is>
          <t>New Lead</t>
        </is>
      </c>
      <c r="G414" t="inlineStr">
        <is>
          <t>Unclassified</t>
        </is>
      </c>
      <c r="H414" t="inlineStr">
        <is>
          <t>Corrigendum_V_CC18541unibtemp.pdf</t>
        </is>
      </c>
      <c r="K414" t="inlineStr">
        <is>
          <t>Not found</t>
        </is>
      </c>
      <c r="L414" t="inlineStr">
        <is>
          <t>Unknown</t>
        </is>
      </c>
      <c r="T414" t="inlineStr">
        <is>
          <t>https://tenders.iglonline.net/uploads/tender/Corrigendum_V_CC18541unibtemp.pdf</t>
        </is>
      </c>
      <c r="U414" t="inlineStr">
        <is>
          <t>No</t>
        </is>
      </c>
      <c r="V414" t="inlineStr">
        <is>
          <t>Bot tarafindan tespit edildi (2026-07-01); Bot tespit/zenginlestirme (2026-07-01); meta:score=40;priority=Medium;source_type=html_table;closing_date=;equipment=Unclassified;reasons=document source,quantity signal</t>
        </is>
      </c>
    </row>
    <row r="415">
      <c r="A415" t="inlineStr">
        <is>
          <t>T-0219</t>
        </is>
      </c>
      <c r="B415" t="inlineStr">
        <is>
          <t>Indraprastha Gas (IGL)</t>
        </is>
      </c>
      <c r="C415" t="inlineStr">
        <is>
          <t>Indraprastha Gas (IGL)</t>
        </is>
      </c>
      <c r="F415" t="inlineStr">
        <is>
          <t>New Lead</t>
        </is>
      </c>
      <c r="H415" t="inlineStr">
        <is>
          <t>View Tender</t>
        </is>
      </c>
      <c r="K415" t="inlineStr">
        <is>
          <t>Not found</t>
        </is>
      </c>
      <c r="L415" t="inlineStr">
        <is>
          <t>Unknown</t>
        </is>
      </c>
      <c r="T415" t="inlineStr">
        <is>
          <t>https://tenders.iglonline.net/tenderDetail/474/Active Tenders And Corrigendum-Addendum</t>
        </is>
      </c>
      <c r="U415" t="inlineStr">
        <is>
          <t>No</t>
        </is>
      </c>
      <c r="V415" t="inlineStr">
        <is>
          <t>Bot tarafindan tespit edildi (2026-07-01)</t>
        </is>
      </c>
    </row>
    <row r="416">
      <c r="A416" t="inlineStr">
        <is>
          <t>T-0220</t>
        </is>
      </c>
      <c r="B416" t="inlineStr">
        <is>
          <t>Indraprastha Gas (IGL)</t>
        </is>
      </c>
      <c r="C416" t="inlineStr">
        <is>
          <t>Indraprastha Gas (IGL)</t>
        </is>
      </c>
      <c r="F416" t="inlineStr">
        <is>
          <t>New Lead</t>
        </is>
      </c>
      <c r="G416" t="inlineStr">
        <is>
          <t>Gas-related / review</t>
        </is>
      </c>
      <c r="H416" t="inlineStr">
        <is>
          <t>Corrigendum_I_CC18636.pdf</t>
        </is>
      </c>
      <c r="K416" t="inlineStr">
        <is>
          <t>Not found</t>
        </is>
      </c>
      <c r="L416" t="inlineStr">
        <is>
          <t>Unknown</t>
        </is>
      </c>
      <c r="T416" t="inlineStr">
        <is>
          <t>https://tenders.iglonline.net/uploads/tender/Corrigendum_I_CC18636.pdf</t>
        </is>
      </c>
      <c r="U416" t="inlineStr">
        <is>
          <t>No</t>
        </is>
      </c>
      <c r="V416" t="inlineStr">
        <is>
          <t>Bot tarafindan tespit edildi (2026-07-01); Bot tespit/zenginlestirme (2026-07-01); meta:score=35;priority=Low;source_type=html_table;closing_date=;equipment=Gas-related / review;reasons=equipment:Gas-related / review,document source</t>
        </is>
      </c>
    </row>
    <row r="417">
      <c r="A417" t="inlineStr">
        <is>
          <t>T-0221</t>
        </is>
      </c>
      <c r="B417" t="inlineStr">
        <is>
          <t>Indraprastha Gas (IGL)</t>
        </is>
      </c>
      <c r="C417" t="inlineStr">
        <is>
          <t>Indraprastha Gas (IGL)</t>
        </is>
      </c>
      <c r="F417" t="inlineStr">
        <is>
          <t>New Lead</t>
        </is>
      </c>
      <c r="G417" t="inlineStr">
        <is>
          <t>Gas-related / review</t>
        </is>
      </c>
      <c r="H417" t="inlineStr">
        <is>
          <t>RTBQ_600_SCMH_CC18636.pdf</t>
        </is>
      </c>
      <c r="K417" t="inlineStr">
        <is>
          <t>Not found</t>
        </is>
      </c>
      <c r="L417" t="inlineStr">
        <is>
          <t>Unknown</t>
        </is>
      </c>
      <c r="T417" t="inlineStr">
        <is>
          <t>https://tenders.iglonline.net/uploads/tender/RTBQ_600_SCMH_CC18636.pdf</t>
        </is>
      </c>
      <c r="U417" t="inlineStr">
        <is>
          <t>No</t>
        </is>
      </c>
      <c r="V417" t="inlineStr">
        <is>
          <t>Bot tarafindan tespit edildi (2026-07-01); Bot tespit/zenginlestirme (2026-07-01); meta:score=35;priority=Low;source_type=html_table;closing_date=;equipment=Gas-related / review;reasons=equipment:Gas-related / review,document source</t>
        </is>
      </c>
    </row>
    <row r="418">
      <c r="A418" t="inlineStr">
        <is>
          <t>T-0222</t>
        </is>
      </c>
      <c r="B418" t="inlineStr">
        <is>
          <t>Indraprastha Gas (IGL)</t>
        </is>
      </c>
      <c r="C418" t="inlineStr">
        <is>
          <t>Indraprastha Gas (IGL)</t>
        </is>
      </c>
      <c r="F418" t="inlineStr">
        <is>
          <t>New Lead</t>
        </is>
      </c>
      <c r="G418" t="inlineStr">
        <is>
          <t>Gas-related / review</t>
        </is>
      </c>
      <c r="H418" t="inlineStr">
        <is>
          <t>Corrigendum_II_CC18636.pdf</t>
        </is>
      </c>
      <c r="K418" t="inlineStr">
        <is>
          <t>Not found</t>
        </is>
      </c>
      <c r="L418" t="inlineStr">
        <is>
          <t>Unknown</t>
        </is>
      </c>
      <c r="T418" t="inlineStr">
        <is>
          <t>https://tenders.iglonline.net/uploads/tender/Corrigendum_II_CC18636.pdf</t>
        </is>
      </c>
      <c r="U418" t="inlineStr">
        <is>
          <t>No</t>
        </is>
      </c>
      <c r="V418" t="inlineStr">
        <is>
          <t>Bot tarafindan tespit edildi (2026-07-01); Bot tespit/zenginlestirme (2026-07-01); meta:score=35;priority=Low;source_type=html_table;closing_date=;equipment=Gas-related / review;reasons=equipment:Gas-related / review,document source</t>
        </is>
      </c>
    </row>
    <row r="419">
      <c r="A419" t="inlineStr">
        <is>
          <t>T-0223</t>
        </is>
      </c>
      <c r="B419" t="inlineStr">
        <is>
          <t>Indraprastha Gas (IGL)</t>
        </is>
      </c>
      <c r="C419" t="inlineStr">
        <is>
          <t>Indraprastha Gas (IGL)</t>
        </is>
      </c>
      <c r="F419" t="inlineStr">
        <is>
          <t>New Lead</t>
        </is>
      </c>
      <c r="G419" t="inlineStr">
        <is>
          <t>Gas-related / review</t>
        </is>
      </c>
      <c r="H419" t="inlineStr">
        <is>
          <t>Corrigendum_ III_CC18636.pdf</t>
        </is>
      </c>
      <c r="K419" t="inlineStr">
        <is>
          <t>Not found</t>
        </is>
      </c>
      <c r="L419" t="inlineStr">
        <is>
          <t>Unknown</t>
        </is>
      </c>
      <c r="T419" t="inlineStr">
        <is>
          <t>https://tenders.iglonline.net/uploads/tender/Corrigendum_ III_CC18636.pdf</t>
        </is>
      </c>
      <c r="U419" t="inlineStr">
        <is>
          <t>No</t>
        </is>
      </c>
      <c r="V419" t="inlineStr">
        <is>
          <t>Bot tarafindan tespit edildi (2026-07-01); Bot tespit/zenginlestirme (2026-07-01); meta:score=35;priority=Low;source_type=html_table;closing_date=;equipment=Gas-related / review;reasons=equipment:Gas-related / review,document source</t>
        </is>
      </c>
    </row>
    <row r="420">
      <c r="A420" t="inlineStr">
        <is>
          <t>T-0224</t>
        </is>
      </c>
      <c r="B420" t="inlineStr">
        <is>
          <t>Indraprastha Gas (IGL)</t>
        </is>
      </c>
      <c r="C420" t="inlineStr">
        <is>
          <t>Indraprastha Gas (IGL)</t>
        </is>
      </c>
      <c r="F420" t="inlineStr">
        <is>
          <t>New Lead</t>
        </is>
      </c>
      <c r="G420" t="inlineStr">
        <is>
          <t>Gas-related / review</t>
        </is>
      </c>
      <c r="H420" t="inlineStr">
        <is>
          <t>Corrigendum_IV_CC18636.pdf</t>
        </is>
      </c>
      <c r="K420" t="inlineStr">
        <is>
          <t>Not found</t>
        </is>
      </c>
      <c r="L420" t="inlineStr">
        <is>
          <t>Unknown</t>
        </is>
      </c>
      <c r="T420" t="inlineStr">
        <is>
          <t>https://tenders.iglonline.net/uploads/tender/Corrigendum_IV_CC18636.pdf</t>
        </is>
      </c>
      <c r="U420" t="inlineStr">
        <is>
          <t>No</t>
        </is>
      </c>
      <c r="V420" t="inlineStr">
        <is>
          <t>Bot tarafindan tespit edildi (2026-07-01); Bot tespit/zenginlestirme (2026-07-01); meta:score=35;priority=Low;source_type=html_table;closing_date=;equipment=Gas-related / review;reasons=equipment:Gas-related / review,document source</t>
        </is>
      </c>
    </row>
    <row r="421">
      <c r="A421" t="inlineStr">
        <is>
          <t>T-0225</t>
        </is>
      </c>
      <c r="B421" t="inlineStr">
        <is>
          <t>Indraprastha Gas (IGL)</t>
        </is>
      </c>
      <c r="C421" t="inlineStr">
        <is>
          <t>Indraprastha Gas (IGL)</t>
        </is>
      </c>
      <c r="F421" t="inlineStr">
        <is>
          <t>New Lead</t>
        </is>
      </c>
      <c r="G421" t="inlineStr">
        <is>
          <t>Skid / gas train</t>
        </is>
      </c>
      <c r="H421" t="inlineStr">
        <is>
          <t>View Tender</t>
        </is>
      </c>
      <c r="K421" t="inlineStr">
        <is>
          <t>Not found</t>
        </is>
      </c>
      <c r="L421" t="inlineStr">
        <is>
          <t>Unknown</t>
        </is>
      </c>
      <c r="T421" t="inlineStr">
        <is>
          <t>https://tenders.iglonline.net/tenderDetail/473/Active Tenders And Corrigendum-Addendum</t>
        </is>
      </c>
      <c r="U421" t="inlineStr">
        <is>
          <t>No</t>
        </is>
      </c>
      <c r="V421" t="inlineStr">
        <is>
          <t>Bot tarafindan tespit edildi (2026-07-01); Bot tespit/zenginlestirme (2026-07-01); meta:score=80;priority=High;source_type=html_table;closing_date=;equipment=Skid / gas train;reasons=equipment:Skid / gas train,station/skid keyword,document source; Bot clean extraction (2026-07-01); meta:score=50;priority=Medium;source_type=html_table;closing_date=;equipment=Skid / gas train;quality_status=market_target;market_relevance=High;document_type=corrigendum;unit_price_inr=;amount_label=;matched_terms=Skid / gas train;reject_reasons=;scope=market_intelligence_only;excluded_scope=no_bid_or_offer_submission_automation</t>
        </is>
      </c>
    </row>
    <row r="422">
      <c r="A422" t="inlineStr">
        <is>
          <t>T-0226</t>
        </is>
      </c>
      <c r="B422" t="inlineStr">
        <is>
          <t>Indraprastha Gas (IGL)</t>
        </is>
      </c>
      <c r="C422" t="inlineStr">
        <is>
          <t>Indraprastha Gas (IGL)</t>
        </is>
      </c>
      <c r="D422" t="inlineStr">
        <is>
          <t>DOCUMENT</t>
        </is>
      </c>
      <c r="F422" t="inlineStr">
        <is>
          <t>Awarded</t>
        </is>
      </c>
      <c r="G422" t="inlineStr">
        <is>
          <t>metering skid</t>
        </is>
      </c>
      <c r="H422" t="inlineStr">
        <is>
          <t>Corrigendum_I_CC18616.pdf</t>
        </is>
      </c>
      <c r="K422" t="inlineStr">
        <is>
          <t>Not found</t>
        </is>
      </c>
      <c r="L422" t="inlineStr">
        <is>
          <t>Unknown</t>
        </is>
      </c>
      <c r="T422" t="inlineStr">
        <is>
          <t>https://tenders.iglonline.net/uploads/tender/Corrigendum_I_CC18616.pdf</t>
        </is>
      </c>
      <c r="U422" t="inlineStr">
        <is>
          <t>No</t>
        </is>
      </c>
      <c r="V422" t="inlineStr">
        <is>
          <t>Bot tarafindan tespit edildi (2026-07-01) | Bot enrich; date=2026-07-01; type=pdf; score=330; pdf_conf=Low; Bot tespit/zenginlestirme (2026-07-01); meta:score=80;priority=High;source_type=html_table;closing_date=None;equipment=Skid / gas train;reasons=equipment:Skid / gas train,station/skid keyword,document source; Bot clean extraction (2026-07-01); meta:score=50;priority=Medium;source_type=html_table;closing_date=None;equipment=Skid / gas train;quality_status=market_target;market_relevance=High;document_type=corrigendum;unit_price_inr=;amount_label=;matched_terms=Skid / gas train;reject_reasons=;scope=market_intelligence_only;excluded_scope=no_bid_or_offer_submission_automation</t>
        </is>
      </c>
    </row>
    <row r="423">
      <c r="A423" t="inlineStr">
        <is>
          <t>T-0227</t>
        </is>
      </c>
      <c r="B423" t="inlineStr">
        <is>
          <t>Indraprastha Gas (IGL)</t>
        </is>
      </c>
      <c r="C423" t="inlineStr">
        <is>
          <t>Indraprastha Gas (IGL)</t>
        </is>
      </c>
      <c r="D423" t="inlineStr">
        <is>
          <t>IGL/ET2/CP/CC18616</t>
        </is>
      </c>
      <c r="F423" t="inlineStr">
        <is>
          <t>Awarded</t>
        </is>
      </c>
      <c r="G423" t="inlineStr">
        <is>
          <t>metering skid</t>
        </is>
      </c>
      <c r="H423" t="inlineStr">
        <is>
          <t>Corrigendum_II_CC18616.pdf</t>
        </is>
      </c>
      <c r="K423" t="inlineStr">
        <is>
          <t>Not found</t>
        </is>
      </c>
      <c r="L423" t="inlineStr">
        <is>
          <t>Unknown</t>
        </is>
      </c>
      <c r="T423" t="inlineStr">
        <is>
          <t>https://tenders.iglonline.net/uploads/tender/Corrigendum_II_CC18616.pdf</t>
        </is>
      </c>
      <c r="U423" t="inlineStr">
        <is>
          <t>No</t>
        </is>
      </c>
      <c r="V423" t="inlineStr">
        <is>
          <t>Bot tarafindan tespit edildi (2026-07-01) | Bot enrich; date=2026-07-01; type=pdf; score=330; pdf_conf=Low; Bot tespit/zenginlestirme (2026-07-01); meta:score=80;priority=High;source_type=html_table;closing_date=None;equipment=Skid / gas train;reasons=equipment:Skid / gas train,station/skid keyword,document source</t>
        </is>
      </c>
    </row>
    <row r="424">
      <c r="A424" t="inlineStr">
        <is>
          <t>T-0228</t>
        </is>
      </c>
      <c r="B424" t="inlineStr">
        <is>
          <t>Indraprastha Gas (IGL)</t>
        </is>
      </c>
      <c r="C424" t="inlineStr">
        <is>
          <t>Indraprastha Gas (IGL)</t>
        </is>
      </c>
      <c r="F424" t="inlineStr">
        <is>
          <t>New Lead</t>
        </is>
      </c>
      <c r="H424" t="inlineStr">
        <is>
          <t>View Tender</t>
        </is>
      </c>
      <c r="K424" t="inlineStr">
        <is>
          <t>Not found</t>
        </is>
      </c>
      <c r="L424" t="inlineStr">
        <is>
          <t>Unknown</t>
        </is>
      </c>
      <c r="T424" t="inlineStr">
        <is>
          <t>https://tenders.iglonline.net/tenderDetail/471/Active Tenders And Corrigendum-Addendum</t>
        </is>
      </c>
      <c r="U424" t="inlineStr">
        <is>
          <t>No</t>
        </is>
      </c>
      <c r="V424" t="inlineStr">
        <is>
          <t>Bot tarafindan tespit edildi (2026-07-01)</t>
        </is>
      </c>
    </row>
    <row r="425">
      <c r="A425" t="inlineStr">
        <is>
          <t>T-0229</t>
        </is>
      </c>
      <c r="B425" t="inlineStr">
        <is>
          <t>Indraprastha Gas (IGL)</t>
        </is>
      </c>
      <c r="C425" t="inlineStr">
        <is>
          <t>Indraprastha Gas (IGL)</t>
        </is>
      </c>
      <c r="F425" t="inlineStr">
        <is>
          <t>New Lead</t>
        </is>
      </c>
      <c r="H425" t="inlineStr">
        <is>
          <t>CORRIGENDUM_I_CM18611.pdf</t>
        </is>
      </c>
      <c r="K425" t="inlineStr">
        <is>
          <t>Not found</t>
        </is>
      </c>
      <c r="L425" t="inlineStr">
        <is>
          <t>Unknown</t>
        </is>
      </c>
      <c r="T425" t="inlineStr">
        <is>
          <t>https://tenders.iglonline.net/uploads/tender/CORRIGENDUM_I_CM18611.pdf</t>
        </is>
      </c>
      <c r="U425" t="inlineStr">
        <is>
          <t>No</t>
        </is>
      </c>
      <c r="V425" t="inlineStr">
        <is>
          <t>Bot tarafindan tespit edildi (2026-07-01)</t>
        </is>
      </c>
    </row>
    <row r="426">
      <c r="A426" t="inlineStr">
        <is>
          <t>T-0230</t>
        </is>
      </c>
      <c r="B426" t="inlineStr">
        <is>
          <t>Indraprastha Gas (IGL)</t>
        </is>
      </c>
      <c r="C426" t="inlineStr">
        <is>
          <t>Indraprastha Gas (IGL)</t>
        </is>
      </c>
      <c r="F426" t="inlineStr">
        <is>
          <t>New Lead</t>
        </is>
      </c>
      <c r="H426" t="inlineStr">
        <is>
          <t>Replies to Pre Bid Queries_CM18611.pdf</t>
        </is>
      </c>
      <c r="K426" t="inlineStr">
        <is>
          <t>Not found</t>
        </is>
      </c>
      <c r="L426" t="inlineStr">
        <is>
          <t>Unknown</t>
        </is>
      </c>
      <c r="T426" t="inlineStr">
        <is>
          <t>https://tenders.iglonline.net/uploads/tender/Replies to Pre Bid Queries_CM18611.pdf</t>
        </is>
      </c>
      <c r="U426" t="inlineStr">
        <is>
          <t>No</t>
        </is>
      </c>
      <c r="V426" t="inlineStr">
        <is>
          <t>Bot tarafindan tespit edildi (2026-07-01)</t>
        </is>
      </c>
    </row>
    <row r="427">
      <c r="A427" t="inlineStr">
        <is>
          <t>T-0231</t>
        </is>
      </c>
      <c r="B427" t="inlineStr">
        <is>
          <t>Indraprastha Gas (IGL)</t>
        </is>
      </c>
      <c r="C427" t="inlineStr">
        <is>
          <t>Indraprastha Gas (IGL)</t>
        </is>
      </c>
      <c r="F427" t="inlineStr">
        <is>
          <t>New Lead</t>
        </is>
      </c>
      <c r="H427" t="inlineStr">
        <is>
          <t>View Tender</t>
        </is>
      </c>
      <c r="K427" t="inlineStr">
        <is>
          <t>Not found</t>
        </is>
      </c>
      <c r="L427" t="inlineStr">
        <is>
          <t>Unknown</t>
        </is>
      </c>
      <c r="T427" t="inlineStr">
        <is>
          <t>https://tenders.iglonline.net/tenderDetail/470/Active Tenders And Corrigendum-Addendum</t>
        </is>
      </c>
      <c r="U427" t="inlineStr">
        <is>
          <t>No</t>
        </is>
      </c>
      <c r="V427" t="inlineStr">
        <is>
          <t>Bot tarafindan tespit edildi (2026-07-01)</t>
        </is>
      </c>
    </row>
    <row r="428">
      <c r="A428" t="inlineStr">
        <is>
          <t>T-0232</t>
        </is>
      </c>
      <c r="B428" t="inlineStr">
        <is>
          <t>Indraprastha Gas (IGL)</t>
        </is>
      </c>
      <c r="C428" t="inlineStr">
        <is>
          <t>Indraprastha Gas (IGL)</t>
        </is>
      </c>
      <c r="F428" t="inlineStr">
        <is>
          <t>New Lead</t>
        </is>
      </c>
      <c r="H428" t="inlineStr">
        <is>
          <t>Corrigendum - I_Cp18569.pdf</t>
        </is>
      </c>
      <c r="K428" t="inlineStr">
        <is>
          <t>Not found</t>
        </is>
      </c>
      <c r="L428" t="inlineStr">
        <is>
          <t>Unknown</t>
        </is>
      </c>
      <c r="T428" t="inlineStr">
        <is>
          <t>https://tenders.iglonline.net/uploads/tender/Corrigendum - I_Cp18569.pdf</t>
        </is>
      </c>
      <c r="U428" t="inlineStr">
        <is>
          <t>No</t>
        </is>
      </c>
      <c r="V428" t="inlineStr">
        <is>
          <t>Bot tarafindan tespit edildi (2026-07-01)</t>
        </is>
      </c>
    </row>
    <row r="429">
      <c r="A429" t="inlineStr">
        <is>
          <t>T-0233</t>
        </is>
      </c>
      <c r="B429" t="inlineStr">
        <is>
          <t>Indraprastha Gas (IGL)</t>
        </is>
      </c>
      <c r="C429" t="inlineStr">
        <is>
          <t>Indraprastha Gas (IGL)</t>
        </is>
      </c>
      <c r="F429" t="inlineStr">
        <is>
          <t>New Lead</t>
        </is>
      </c>
      <c r="H429" t="inlineStr">
        <is>
          <t>Corrigendum_2_CP18569.pdf</t>
        </is>
      </c>
      <c r="K429" t="inlineStr">
        <is>
          <t>Not found</t>
        </is>
      </c>
      <c r="L429" t="inlineStr">
        <is>
          <t>Unknown</t>
        </is>
      </c>
      <c r="T429" t="inlineStr">
        <is>
          <t>https://tenders.iglonline.net/uploads/tender/Corrigendum_2_CP18569.pdf</t>
        </is>
      </c>
      <c r="U429" t="inlineStr">
        <is>
          <t>No</t>
        </is>
      </c>
      <c r="V429" t="inlineStr">
        <is>
          <t>Bot tarafindan tespit edildi (2026-07-01)</t>
        </is>
      </c>
    </row>
    <row r="430">
      <c r="A430" t="inlineStr">
        <is>
          <t>T-0234</t>
        </is>
      </c>
      <c r="B430" t="inlineStr">
        <is>
          <t>Indraprastha Gas (IGL)</t>
        </is>
      </c>
      <c r="C430" t="inlineStr">
        <is>
          <t>Indraprastha Gas (IGL)</t>
        </is>
      </c>
      <c r="F430" t="inlineStr">
        <is>
          <t>New Lead</t>
        </is>
      </c>
      <c r="H430" t="inlineStr">
        <is>
          <t>View Tender</t>
        </is>
      </c>
      <c r="K430" t="inlineStr">
        <is>
          <t>Not found</t>
        </is>
      </c>
      <c r="L430" t="inlineStr">
        <is>
          <t>Unknown</t>
        </is>
      </c>
      <c r="T430" t="inlineStr">
        <is>
          <t>https://tenders.iglonline.net/tenderDetail/469/Active Tenders And Corrigendum-Addendum</t>
        </is>
      </c>
      <c r="U430" t="inlineStr">
        <is>
          <t>No</t>
        </is>
      </c>
      <c r="V430" t="inlineStr">
        <is>
          <t>Bot tarafindan tespit edildi (2026-07-01)</t>
        </is>
      </c>
    </row>
    <row r="431">
      <c r="A431" t="inlineStr">
        <is>
          <t>T-0235</t>
        </is>
      </c>
      <c r="B431" t="inlineStr">
        <is>
          <t>Indraprastha Gas (IGL)</t>
        </is>
      </c>
      <c r="C431" t="inlineStr">
        <is>
          <t>Indraprastha Gas (IGL)</t>
        </is>
      </c>
      <c r="F431" t="inlineStr">
        <is>
          <t>New Lead</t>
        </is>
      </c>
      <c r="G431" t="inlineStr">
        <is>
          <t>Gas-related / review</t>
        </is>
      </c>
      <c r="H431" t="inlineStr">
        <is>
          <t>Corrigendum_ I_CC18620.pdf</t>
        </is>
      </c>
      <c r="K431" t="inlineStr">
        <is>
          <t>Not found</t>
        </is>
      </c>
      <c r="L431" t="inlineStr">
        <is>
          <t>Unknown</t>
        </is>
      </c>
      <c r="T431" t="inlineStr">
        <is>
          <t>https://tenders.iglonline.net/uploads/tender/Corrigendum_ I_CC18620.pdf</t>
        </is>
      </c>
      <c r="U431" t="inlineStr">
        <is>
          <t>No</t>
        </is>
      </c>
      <c r="V431" t="inlineStr">
        <is>
          <t>Bot tarafindan tespit edildi (2026-07-01); Bot tespit/zenginlestirme (2026-07-01); meta:score=35;priority=Low;source_type=html_table;closing_date=;equipment=Gas-related / review;reasons=equipment:Gas-related / review,document source</t>
        </is>
      </c>
    </row>
    <row r="432">
      <c r="A432" t="inlineStr">
        <is>
          <t>T-0236</t>
        </is>
      </c>
      <c r="B432" t="inlineStr">
        <is>
          <t>Indraprastha Gas (IGL)</t>
        </is>
      </c>
      <c r="C432" t="inlineStr">
        <is>
          <t>Indraprastha Gas (IGL)</t>
        </is>
      </c>
      <c r="F432" t="inlineStr">
        <is>
          <t>New Lead</t>
        </is>
      </c>
      <c r="G432" t="inlineStr">
        <is>
          <t>Gas-related / review</t>
        </is>
      </c>
      <c r="H432" t="inlineStr">
        <is>
          <t>Corrigendum_ II_CC18620.pdf</t>
        </is>
      </c>
      <c r="K432" t="inlineStr">
        <is>
          <t>Not found</t>
        </is>
      </c>
      <c r="L432" t="inlineStr">
        <is>
          <t>Unknown</t>
        </is>
      </c>
      <c r="T432" t="inlineStr">
        <is>
          <t>https://tenders.iglonline.net/uploads/tender/Corrigendum_ II_CC18620.pdf</t>
        </is>
      </c>
      <c r="U432" t="inlineStr">
        <is>
          <t>No</t>
        </is>
      </c>
      <c r="V432" t="inlineStr">
        <is>
          <t>Bot tarafindan tespit edildi (2026-07-01); Bot tespit/zenginlestirme (2026-07-01); meta:score=35;priority=Low;source_type=html_table;closing_date=;equipment=Gas-related / review;reasons=equipment:Gas-related / review,document source</t>
        </is>
      </c>
    </row>
    <row r="433">
      <c r="A433" t="inlineStr">
        <is>
          <t>T-0237</t>
        </is>
      </c>
      <c r="B433" t="inlineStr">
        <is>
          <t>Indraprastha Gas (IGL)</t>
        </is>
      </c>
      <c r="C433" t="inlineStr">
        <is>
          <t>Indraprastha Gas (IGL)</t>
        </is>
      </c>
      <c r="F433" t="inlineStr">
        <is>
          <t>New Lead</t>
        </is>
      </c>
      <c r="G433" t="inlineStr">
        <is>
          <t>Gas-related / review</t>
        </is>
      </c>
      <c r="H433" t="inlineStr">
        <is>
          <t>RTBQ-1 350 SCMH-CC18620.pdf</t>
        </is>
      </c>
      <c r="K433" t="inlineStr">
        <is>
          <t>Not found</t>
        </is>
      </c>
      <c r="L433" t="inlineStr">
        <is>
          <t>Unknown</t>
        </is>
      </c>
      <c r="T433" t="inlineStr">
        <is>
          <t>https://tenders.iglonline.net/uploads/tender/RTBQ-1 350 SCMH-CC18620.pdf</t>
        </is>
      </c>
      <c r="U433" t="inlineStr">
        <is>
          <t>No</t>
        </is>
      </c>
      <c r="V433" t="inlineStr">
        <is>
          <t>Bot tarafindan tespit edildi (2026-07-01); Bot tespit/zenginlestirme (2026-07-01); meta:score=35;priority=Low;source_type=html_table;closing_date=;equipment=Gas-related / review;reasons=equipment:Gas-related / review,document source</t>
        </is>
      </c>
    </row>
    <row r="434">
      <c r="A434" t="inlineStr">
        <is>
          <t>T-0238</t>
        </is>
      </c>
      <c r="B434" t="inlineStr">
        <is>
          <t>Indraprastha Gas (IGL)</t>
        </is>
      </c>
      <c r="C434" t="inlineStr">
        <is>
          <t>Indraprastha Gas (IGL)</t>
        </is>
      </c>
      <c r="F434" t="inlineStr">
        <is>
          <t>New Lead</t>
        </is>
      </c>
      <c r="G434" t="inlineStr">
        <is>
          <t>Gas-related / review</t>
        </is>
      </c>
      <c r="H434" t="inlineStr">
        <is>
          <t>Corrigendum_for_PBO_CC18620.pdf</t>
        </is>
      </c>
      <c r="K434" t="inlineStr">
        <is>
          <t>Not found</t>
        </is>
      </c>
      <c r="L434" t="inlineStr">
        <is>
          <t>Unknown</t>
        </is>
      </c>
      <c r="T434" t="inlineStr">
        <is>
          <t>https://tenders.iglonline.net/uploads/tender/Corrigendum_for_PBO_CC18620.pdf</t>
        </is>
      </c>
      <c r="U434" t="inlineStr">
        <is>
          <t>No</t>
        </is>
      </c>
      <c r="V434" t="inlineStr">
        <is>
          <t>Bot tarafindan tespit edildi (2026-07-01); Bot tespit/zenginlestirme (2026-07-01); meta:score=35;priority=Low;source_type=html_table;closing_date=;equipment=Gas-related / review;reasons=equipment:Gas-related / review,document source</t>
        </is>
      </c>
    </row>
    <row r="435">
      <c r="A435" t="inlineStr">
        <is>
          <t>T-0239</t>
        </is>
      </c>
      <c r="B435" t="inlineStr">
        <is>
          <t>Indraprastha Gas (IGL)</t>
        </is>
      </c>
      <c r="C435" t="inlineStr">
        <is>
          <t>Indraprastha Gas (IGL)</t>
        </is>
      </c>
      <c r="F435" t="inlineStr">
        <is>
          <t>New Lead</t>
        </is>
      </c>
      <c r="H435" t="inlineStr">
        <is>
          <t>View Tender</t>
        </is>
      </c>
      <c r="K435" t="inlineStr">
        <is>
          <t>Not found</t>
        </is>
      </c>
      <c r="L435" t="inlineStr">
        <is>
          <t>Unknown</t>
        </is>
      </c>
      <c r="T435" t="inlineStr">
        <is>
          <t>https://tenders.iglonline.net/tenderDetail/468/Active Tenders And Corrigendum-Addendum</t>
        </is>
      </c>
      <c r="U435" t="inlineStr">
        <is>
          <t>No</t>
        </is>
      </c>
      <c r="V435" t="inlineStr">
        <is>
          <t>Bot tarafindan tespit edildi (2026-07-01)</t>
        </is>
      </c>
    </row>
    <row r="436">
      <c r="A436" t="inlineStr">
        <is>
          <t>T-0240</t>
        </is>
      </c>
      <c r="B436" t="inlineStr">
        <is>
          <t>Indraprastha Gas (IGL)</t>
        </is>
      </c>
      <c r="C436" t="inlineStr">
        <is>
          <t>Indraprastha Gas (IGL)</t>
        </is>
      </c>
      <c r="D436" t="inlineStr">
        <is>
          <t>IGL/ET2/CP/CC18565</t>
        </is>
      </c>
      <c r="F436" t="inlineStr">
        <is>
          <t>New Lead</t>
        </is>
      </c>
      <c r="G436" t="inlineStr">
        <is>
          <t>Gas-related / review</t>
        </is>
      </c>
      <c r="H436" t="inlineStr">
        <is>
          <t>Corrigendum-I-CC18565.pdf</t>
        </is>
      </c>
      <c r="K436" t="inlineStr">
        <is>
          <t>Not found</t>
        </is>
      </c>
      <c r="L436" t="inlineStr">
        <is>
          <t>Unknown</t>
        </is>
      </c>
      <c r="T436" t="inlineStr">
        <is>
          <t>https://tenders.iglonline.net/uploads/tender/Corrigendum-I-CC18565.pdf</t>
        </is>
      </c>
      <c r="U436" t="inlineStr">
        <is>
          <t>No</t>
        </is>
      </c>
      <c r="V436" t="inlineStr">
        <is>
          <t>Bot tarafindan tespit edildi (2026-07-01); Bot tespit/zenginlestirme (2026-07-01); meta:score=55;priority=Medium;source_type=html_table;closing_date=;equipment=Gas-related / review;reasons=equipment:Gas-related / review,document source,quantity signal</t>
        </is>
      </c>
    </row>
    <row r="437">
      <c r="A437" t="inlineStr">
        <is>
          <t>T-0241</t>
        </is>
      </c>
      <c r="B437" t="inlineStr">
        <is>
          <t>Indraprastha Gas (IGL)</t>
        </is>
      </c>
      <c r="C437" t="inlineStr">
        <is>
          <t>Indraprastha Gas (IGL)</t>
        </is>
      </c>
      <c r="D437" t="inlineStr">
        <is>
          <t>IGL/ET2/CP/CC18565</t>
        </is>
      </c>
      <c r="F437" t="inlineStr">
        <is>
          <t>New Lead</t>
        </is>
      </c>
      <c r="G437" t="inlineStr">
        <is>
          <t>Gas-related / review</t>
        </is>
      </c>
      <c r="H437" t="inlineStr">
        <is>
          <t>RTBQ_CC18565.pdf</t>
        </is>
      </c>
      <c r="K437" t="inlineStr">
        <is>
          <t>shall submit structural drawing of the frame giving details of the steel, welding</t>
        </is>
      </c>
      <c r="L437" t="inlineStr">
        <is>
          <t>Unknown</t>
        </is>
      </c>
      <c r="M437" t="n">
        <v>184723000</v>
      </c>
      <c r="T437" t="inlineStr">
        <is>
          <t>https://tenders.iglonline.net/uploads/tender/RTBQ_CC18565.pdf</t>
        </is>
      </c>
      <c r="U437" t="inlineStr">
        <is>
          <t>No</t>
        </is>
      </c>
      <c r="V437" t="inlineStr">
        <is>
          <t>Bot tarafindan tespit edildi (2026-07-01); Bot tespit/zenginlestirme (2026-07-01); meta:score=55;priority=Medium;source_type=html_table;closing_date=;equipment=Gas-related / review;reasons=equipment:Gas-related / review,document source,quantity signal</t>
        </is>
      </c>
    </row>
    <row r="438">
      <c r="A438" t="inlineStr">
        <is>
          <t>T-0242</t>
        </is>
      </c>
      <c r="B438" t="inlineStr">
        <is>
          <t>Indraprastha Gas (IGL)</t>
        </is>
      </c>
      <c r="C438" t="inlineStr">
        <is>
          <t>Indraprastha Gas (IGL)</t>
        </is>
      </c>
      <c r="D438" t="inlineStr">
        <is>
          <t>IGL/ET2/CP/CC18565</t>
        </is>
      </c>
      <c r="F438" t="inlineStr">
        <is>
          <t>New Lead</t>
        </is>
      </c>
      <c r="G438" t="inlineStr">
        <is>
          <t>Gas-related / review</t>
        </is>
      </c>
      <c r="H438" t="inlineStr">
        <is>
          <t>Corrigendum_ II_CC18565.pdf</t>
        </is>
      </c>
      <c r="K438" t="inlineStr">
        <is>
          <t>Not found</t>
        </is>
      </c>
      <c r="L438" t="inlineStr">
        <is>
          <t>Unknown</t>
        </is>
      </c>
      <c r="T438" t="inlineStr">
        <is>
          <t>https://tenders.iglonline.net/uploads/tender/Corrigendum_ II_CC18565.pdf</t>
        </is>
      </c>
      <c r="U438" t="inlineStr">
        <is>
          <t>No</t>
        </is>
      </c>
      <c r="V438" t="inlineStr">
        <is>
          <t>Bot tarafindan tespit edildi (2026-07-01); Bot tespit/zenginlestirme (2026-07-01); meta:score=55;priority=Medium;source_type=html_table;closing_date=;equipment=Gas-related / review;reasons=equipment:Gas-related / review,document source,quantity signal</t>
        </is>
      </c>
    </row>
    <row r="439">
      <c r="A439" t="inlineStr">
        <is>
          <t>T-0243</t>
        </is>
      </c>
      <c r="B439" t="inlineStr">
        <is>
          <t>Indraprastha Gas (IGL)</t>
        </is>
      </c>
      <c r="C439" t="inlineStr">
        <is>
          <t>Indraprastha Gas (IGL)</t>
        </is>
      </c>
      <c r="F439" t="inlineStr">
        <is>
          <t>New Lead</t>
        </is>
      </c>
      <c r="H439" t="inlineStr">
        <is>
          <t>View Tender</t>
        </is>
      </c>
      <c r="K439" t="inlineStr">
        <is>
          <t>Not found</t>
        </is>
      </c>
      <c r="L439" t="inlineStr">
        <is>
          <t>Unknown</t>
        </is>
      </c>
      <c r="T439" t="inlineStr">
        <is>
          <t>https://tenders.iglonline.net/tenderDetail/467/Active Tenders And Corrigendum-Addendum</t>
        </is>
      </c>
      <c r="U439" t="inlineStr">
        <is>
          <t>No</t>
        </is>
      </c>
      <c r="V439" t="inlineStr">
        <is>
          <t>Bot tarafindan tespit edildi (2026-07-01)</t>
        </is>
      </c>
    </row>
    <row r="440">
      <c r="A440" t="inlineStr">
        <is>
          <t>T-0244</t>
        </is>
      </c>
      <c r="B440" t="inlineStr">
        <is>
          <t>Indraprastha Gas (IGL)</t>
        </is>
      </c>
      <c r="C440" t="inlineStr">
        <is>
          <t>Indraprastha Gas (IGL)</t>
        </is>
      </c>
      <c r="F440" t="inlineStr">
        <is>
          <t>New Lead</t>
        </is>
      </c>
      <c r="G440" t="inlineStr">
        <is>
          <t>Gas-related / review</t>
        </is>
      </c>
      <c r="H440" t="inlineStr">
        <is>
          <t>Corrigendum_for_PBO_CC18605.pdf</t>
        </is>
      </c>
      <c r="K440" t="inlineStr">
        <is>
          <t>Not found</t>
        </is>
      </c>
      <c r="L440" t="inlineStr">
        <is>
          <t>Unknown</t>
        </is>
      </c>
      <c r="T440" t="inlineStr">
        <is>
          <t>https://tenders.iglonline.net/uploads/tender/Corrigendum_for_PBO_CC18605.pdf</t>
        </is>
      </c>
      <c r="U440" t="inlineStr">
        <is>
          <t>No</t>
        </is>
      </c>
      <c r="V440" t="inlineStr">
        <is>
          <t>Bot tarafindan tespit edildi (2026-07-01); Bot tespit/zenginlestirme (2026-07-01); meta:score=35;priority=Low;source_type=html_table;closing_date=;equipment=Gas-related / review;reasons=equipment:Gas-related / review,document source</t>
        </is>
      </c>
    </row>
    <row r="441">
      <c r="A441" t="inlineStr">
        <is>
          <t>T-0245</t>
        </is>
      </c>
      <c r="B441" t="inlineStr">
        <is>
          <t>Indraprastha Gas (IGL)</t>
        </is>
      </c>
      <c r="C441" t="inlineStr">
        <is>
          <t>Indraprastha Gas (IGL)</t>
        </is>
      </c>
      <c r="F441" t="inlineStr">
        <is>
          <t>New Lead</t>
        </is>
      </c>
      <c r="H441" t="inlineStr">
        <is>
          <t>View Tender</t>
        </is>
      </c>
      <c r="K441" t="inlineStr">
        <is>
          <t>Not found</t>
        </is>
      </c>
      <c r="L441" t="inlineStr">
        <is>
          <t>Unknown</t>
        </is>
      </c>
      <c r="T441" t="inlineStr">
        <is>
          <t>https://tenders.iglonline.net/tenderDetail/466/Active Tenders And Corrigendum-Addendum</t>
        </is>
      </c>
      <c r="U441" t="inlineStr">
        <is>
          <t>No</t>
        </is>
      </c>
      <c r="V441" t="inlineStr">
        <is>
          <t>Bot tarafindan tespit edildi (2026-07-01)</t>
        </is>
      </c>
    </row>
    <row r="442">
      <c r="A442" t="inlineStr">
        <is>
          <t>T-0246</t>
        </is>
      </c>
      <c r="B442" t="inlineStr">
        <is>
          <t>Indraprastha Gas (IGL)</t>
        </is>
      </c>
      <c r="C442" t="inlineStr">
        <is>
          <t>Indraprastha Gas (IGL)</t>
        </is>
      </c>
      <c r="F442" t="inlineStr">
        <is>
          <t>New Lead</t>
        </is>
      </c>
      <c r="H442" t="inlineStr">
        <is>
          <t>View Tender</t>
        </is>
      </c>
      <c r="K442" t="inlineStr">
        <is>
          <t>Not found</t>
        </is>
      </c>
      <c r="L442" t="inlineStr">
        <is>
          <t>Unknown</t>
        </is>
      </c>
      <c r="T442" t="inlineStr">
        <is>
          <t>https://tenders.iglonline.net/tenderDetail/465/Active Tenders And Corrigendum-Addendum</t>
        </is>
      </c>
      <c r="U442" t="inlineStr">
        <is>
          <t>No</t>
        </is>
      </c>
      <c r="V442" t="inlineStr">
        <is>
          <t>Bot tarafindan tespit edildi (2026-07-01)</t>
        </is>
      </c>
    </row>
    <row r="443">
      <c r="A443" t="inlineStr">
        <is>
          <t>T-0247</t>
        </is>
      </c>
      <c r="B443" t="inlineStr">
        <is>
          <t>Indraprastha Gas (IGL)</t>
        </is>
      </c>
      <c r="C443" t="inlineStr">
        <is>
          <t>Indraprastha Gas (IGL)</t>
        </is>
      </c>
      <c r="F443" t="inlineStr">
        <is>
          <t>New Lead</t>
        </is>
      </c>
      <c r="G443" t="inlineStr">
        <is>
          <t>Gas-related / review</t>
        </is>
      </c>
      <c r="H443" t="inlineStr">
        <is>
          <t>RTBQ_CC18588_with drawings.pdf</t>
        </is>
      </c>
      <c r="K443" t="inlineStr">
        <is>
          <t>Not found</t>
        </is>
      </c>
      <c r="L443" t="inlineStr">
        <is>
          <t>Unknown</t>
        </is>
      </c>
      <c r="T443" t="inlineStr">
        <is>
          <t>https://tenders.iglonline.net/uploads/tender/RTBQ_CC18588_with drawings.pdf</t>
        </is>
      </c>
      <c r="U443" t="inlineStr">
        <is>
          <t>No</t>
        </is>
      </c>
      <c r="V443" t="inlineStr">
        <is>
          <t>Bot tarafindan tespit edildi (2026-07-01); Bot tespit/zenginlestirme (2026-07-01); meta:score=35;priority=Low;source_type=html_table;closing_date=;equipment=Gas-related / review;reasons=equipment:Gas-related / review,document source</t>
        </is>
      </c>
    </row>
    <row r="444">
      <c r="A444" t="inlineStr">
        <is>
          <t>T-0248</t>
        </is>
      </c>
      <c r="B444" t="inlineStr">
        <is>
          <t>Indraprastha Gas (IGL)</t>
        </is>
      </c>
      <c r="C444" t="inlineStr">
        <is>
          <t>Indraprastha Gas (IGL)</t>
        </is>
      </c>
      <c r="F444" t="inlineStr">
        <is>
          <t>New Lead</t>
        </is>
      </c>
      <c r="G444" t="inlineStr">
        <is>
          <t>Gas-related / review</t>
        </is>
      </c>
      <c r="H444" t="inlineStr">
        <is>
          <t>Corrigendum_I_CC18588.pdf</t>
        </is>
      </c>
      <c r="K444" t="inlineStr">
        <is>
          <t>Not found</t>
        </is>
      </c>
      <c r="L444" t="inlineStr">
        <is>
          <t>Unknown</t>
        </is>
      </c>
      <c r="T444" t="inlineStr">
        <is>
          <t>https://tenders.iglonline.net/uploads/tender/Corrigendum_I_CC18588.pdf</t>
        </is>
      </c>
      <c r="U444" t="inlineStr">
        <is>
          <t>No</t>
        </is>
      </c>
      <c r="V444" t="inlineStr">
        <is>
          <t>Bot tarafindan tespit edildi (2026-07-01); Bot tespit/zenginlestirme (2026-07-01); meta:score=35;priority=Low;source_type=html_table;closing_date=;equipment=Gas-related / review;reasons=equipment:Gas-related / review,document source</t>
        </is>
      </c>
    </row>
    <row r="445">
      <c r="A445" t="inlineStr">
        <is>
          <t>T-0249</t>
        </is>
      </c>
      <c r="B445" t="inlineStr">
        <is>
          <t>Indraprastha Gas (IGL)</t>
        </is>
      </c>
      <c r="C445" t="inlineStr">
        <is>
          <t>Indraprastha Gas (IGL)</t>
        </is>
      </c>
      <c r="F445" t="inlineStr">
        <is>
          <t>New Lead</t>
        </is>
      </c>
      <c r="H445" t="inlineStr">
        <is>
          <t>View Tender</t>
        </is>
      </c>
      <c r="K445" t="inlineStr">
        <is>
          <t>Not found</t>
        </is>
      </c>
      <c r="L445" t="inlineStr">
        <is>
          <t>Unknown</t>
        </is>
      </c>
      <c r="T445" t="inlineStr">
        <is>
          <t>https://tenders.iglonline.net/tenderDetail/464/Active Tenders And Corrigendum-Addendum</t>
        </is>
      </c>
      <c r="U445" t="inlineStr">
        <is>
          <t>No</t>
        </is>
      </c>
      <c r="V445" t="inlineStr">
        <is>
          <t>Bot tarafindan tespit edildi (2026-07-01)</t>
        </is>
      </c>
    </row>
    <row r="446">
      <c r="A446" t="inlineStr">
        <is>
          <t>T-0250</t>
        </is>
      </c>
      <c r="B446" t="inlineStr">
        <is>
          <t>Indraprastha Gas (IGL)</t>
        </is>
      </c>
      <c r="C446" t="inlineStr">
        <is>
          <t>Indraprastha Gas (IGL)</t>
        </is>
      </c>
      <c r="F446" t="inlineStr">
        <is>
          <t>New Lead</t>
        </is>
      </c>
      <c r="G446" t="inlineStr">
        <is>
          <t>Gas-related / review</t>
        </is>
      </c>
      <c r="H446" t="inlineStr">
        <is>
          <t>Corrigendum_I_CC18552.pdf</t>
        </is>
      </c>
      <c r="K446" t="inlineStr">
        <is>
          <t>Not found</t>
        </is>
      </c>
      <c r="L446" t="inlineStr">
        <is>
          <t>Unknown</t>
        </is>
      </c>
      <c r="T446" t="inlineStr">
        <is>
          <t>https://tenders.iglonline.net/uploads/tender/Corrigendum_I_CC18552.pdf</t>
        </is>
      </c>
      <c r="U446" t="inlineStr">
        <is>
          <t>No</t>
        </is>
      </c>
      <c r="V446" t="inlineStr">
        <is>
          <t>Bot tarafindan tespit edildi (2026-07-01); Bot tespit/zenginlestirme (2026-07-01); meta:score=35;priority=Low;source_type=html_table;closing_date=;equipment=Gas-related / review;reasons=equipment:Gas-related / review,document source</t>
        </is>
      </c>
    </row>
    <row r="447">
      <c r="A447" t="inlineStr">
        <is>
          <t>T-0251</t>
        </is>
      </c>
      <c r="B447" t="inlineStr">
        <is>
          <t>Indraprastha Gas (IGL)</t>
        </is>
      </c>
      <c r="C447" t="inlineStr">
        <is>
          <t>Indraprastha Gas (IGL)</t>
        </is>
      </c>
      <c r="F447" t="inlineStr">
        <is>
          <t>New Lead</t>
        </is>
      </c>
      <c r="G447" t="inlineStr">
        <is>
          <t>Gas-related / review</t>
        </is>
      </c>
      <c r="H447" t="inlineStr">
        <is>
          <t>RTBQ_CC18552.pdf</t>
        </is>
      </c>
      <c r="K447" t="inlineStr">
        <is>
          <t>Not found</t>
        </is>
      </c>
      <c r="L447" t="inlineStr">
        <is>
          <t>Unknown</t>
        </is>
      </c>
      <c r="T447" t="inlineStr">
        <is>
          <t>https://tenders.iglonline.net/uploads/tender/RTBQ_CC18552.pdf</t>
        </is>
      </c>
      <c r="U447" t="inlineStr">
        <is>
          <t>No</t>
        </is>
      </c>
      <c r="V447" t="inlineStr">
        <is>
          <t>Bot tarafindan tespit edildi (2026-07-01); Bot tespit/zenginlestirme (2026-07-01); meta:score=35;priority=Low;source_type=html_table;closing_date=;equipment=Gas-related / review;reasons=equipment:Gas-related / review,document source</t>
        </is>
      </c>
    </row>
    <row r="448">
      <c r="A448" t="inlineStr">
        <is>
          <t>T-0252</t>
        </is>
      </c>
      <c r="B448" t="inlineStr">
        <is>
          <t>Indraprastha Gas (IGL)</t>
        </is>
      </c>
      <c r="C448" t="inlineStr">
        <is>
          <t>Indraprastha Gas (IGL)</t>
        </is>
      </c>
      <c r="F448" t="inlineStr">
        <is>
          <t>New Lead</t>
        </is>
      </c>
      <c r="G448" t="inlineStr">
        <is>
          <t>Gas-related / review</t>
        </is>
      </c>
      <c r="H448" t="inlineStr">
        <is>
          <t>RTBQ IIunibtemp_CC18552.pdf</t>
        </is>
      </c>
      <c r="K448" t="inlineStr">
        <is>
          <t>Not found</t>
        </is>
      </c>
      <c r="L448" t="inlineStr">
        <is>
          <t>Unknown</t>
        </is>
      </c>
      <c r="T448" t="inlineStr">
        <is>
          <t>https://tenders.iglonline.net/uploads/tender/RTBQ IIunibtemp_CC18552.pdf</t>
        </is>
      </c>
      <c r="U448" t="inlineStr">
        <is>
          <t>No</t>
        </is>
      </c>
      <c r="V448" t="inlineStr">
        <is>
          <t>Bot tarafindan tespit edildi (2026-07-01); Bot tespit/zenginlestirme (2026-07-01); meta:score=35;priority=Low;source_type=html_table;closing_date=;equipment=Gas-related / review;reasons=equipment:Gas-related / review,document source</t>
        </is>
      </c>
    </row>
    <row r="449">
      <c r="A449" t="inlineStr">
        <is>
          <t>T-0253</t>
        </is>
      </c>
      <c r="B449" t="inlineStr">
        <is>
          <t>Indraprastha Gas (IGL)</t>
        </is>
      </c>
      <c r="C449" t="inlineStr">
        <is>
          <t>Indraprastha Gas (IGL)</t>
        </is>
      </c>
      <c r="F449" t="inlineStr">
        <is>
          <t>New Lead</t>
        </is>
      </c>
      <c r="G449" t="inlineStr">
        <is>
          <t>Gas-related / review</t>
        </is>
      </c>
      <c r="H449" t="inlineStr">
        <is>
          <t>RTBQ_III_CC18552.pdf</t>
        </is>
      </c>
      <c r="K449" t="inlineStr">
        <is>
          <t>Not found</t>
        </is>
      </c>
      <c r="L449" t="inlineStr">
        <is>
          <t>Unknown</t>
        </is>
      </c>
      <c r="T449" t="inlineStr">
        <is>
          <t>https://tenders.iglonline.net/uploads/tender/RTBQ_III_CC18552.pdf</t>
        </is>
      </c>
      <c r="U449" t="inlineStr">
        <is>
          <t>No</t>
        </is>
      </c>
      <c r="V449" t="inlineStr">
        <is>
          <t>Bot tarafindan tespit edildi (2026-07-01); Bot tespit/zenginlestirme (2026-07-01); meta:score=35;priority=Low;source_type=html_table;closing_date=;equipment=Gas-related / review;reasons=equipment:Gas-related / review,document source</t>
        </is>
      </c>
    </row>
    <row r="450">
      <c r="A450" t="inlineStr">
        <is>
          <t>T-0254</t>
        </is>
      </c>
      <c r="B450" t="inlineStr">
        <is>
          <t>Indraprastha Gas (IGL)</t>
        </is>
      </c>
      <c r="C450" t="inlineStr">
        <is>
          <t>Indraprastha Gas (IGL)</t>
        </is>
      </c>
      <c r="F450" t="inlineStr">
        <is>
          <t>New Lead</t>
        </is>
      </c>
      <c r="H450" t="inlineStr">
        <is>
          <t>View Tender</t>
        </is>
      </c>
      <c r="K450" t="inlineStr">
        <is>
          <t>Not found</t>
        </is>
      </c>
      <c r="L450" t="inlineStr">
        <is>
          <t>Unknown</t>
        </is>
      </c>
      <c r="T450" t="inlineStr">
        <is>
          <t>https://tenders.iglonline.net/tenderDetail/463/Active Tenders And Corrigendum-Addendum</t>
        </is>
      </c>
      <c r="U450" t="inlineStr">
        <is>
          <t>No</t>
        </is>
      </c>
      <c r="V450" t="inlineStr">
        <is>
          <t>Bot tarafindan tespit edildi (2026-07-01)</t>
        </is>
      </c>
    </row>
    <row r="451">
      <c r="A451" t="inlineStr">
        <is>
          <t>T-0255</t>
        </is>
      </c>
      <c r="B451" t="inlineStr">
        <is>
          <t>Indraprastha Gas (IGL)</t>
        </is>
      </c>
      <c r="C451" t="inlineStr">
        <is>
          <t>Indraprastha Gas (IGL)</t>
        </is>
      </c>
      <c r="F451" t="inlineStr">
        <is>
          <t>New Lead</t>
        </is>
      </c>
      <c r="H451" t="inlineStr">
        <is>
          <t>View Tender</t>
        </is>
      </c>
      <c r="K451" t="inlineStr">
        <is>
          <t>Not found</t>
        </is>
      </c>
      <c r="L451" t="inlineStr">
        <is>
          <t>Unknown</t>
        </is>
      </c>
      <c r="T451" t="inlineStr">
        <is>
          <t>https://tenders.iglonline.net/tenderDetail/461/Active Tenders And Corrigendum-Addendum</t>
        </is>
      </c>
      <c r="U451" t="inlineStr">
        <is>
          <t>No</t>
        </is>
      </c>
      <c r="V451" t="inlineStr">
        <is>
          <t>Bot tarafindan tespit edildi (2026-07-01)</t>
        </is>
      </c>
    </row>
    <row r="452">
      <c r="A452" t="inlineStr">
        <is>
          <t>T-0256</t>
        </is>
      </c>
      <c r="B452" t="inlineStr">
        <is>
          <t>Indraprastha Gas (IGL)</t>
        </is>
      </c>
      <c r="C452" t="inlineStr">
        <is>
          <t>Indraprastha Gas (IGL)</t>
        </is>
      </c>
      <c r="F452" t="inlineStr">
        <is>
          <t>New Lead</t>
        </is>
      </c>
      <c r="H452" t="inlineStr">
        <is>
          <t>Corrigendum_I_CC18568.pdf</t>
        </is>
      </c>
      <c r="K452" t="inlineStr">
        <is>
          <t>Not found</t>
        </is>
      </c>
      <c r="L452" t="inlineStr">
        <is>
          <t>Unknown</t>
        </is>
      </c>
      <c r="T452" t="inlineStr">
        <is>
          <t>https://tenders.iglonline.net/uploads/tender/Corrigendum_I_CC18568.pdf</t>
        </is>
      </c>
      <c r="U452" t="inlineStr">
        <is>
          <t>No</t>
        </is>
      </c>
      <c r="V452" t="inlineStr">
        <is>
          <t>Bot tarafindan tespit edildi (2026-07-01)</t>
        </is>
      </c>
    </row>
    <row r="453">
      <c r="A453" t="inlineStr">
        <is>
          <t>T-0257</t>
        </is>
      </c>
      <c r="B453" t="inlineStr">
        <is>
          <t>Indraprastha Gas (IGL)</t>
        </is>
      </c>
      <c r="C453" t="inlineStr">
        <is>
          <t>Indraprastha Gas (IGL)</t>
        </is>
      </c>
      <c r="F453" t="inlineStr">
        <is>
          <t>New Lead</t>
        </is>
      </c>
      <c r="H453" t="inlineStr">
        <is>
          <t>RTBQ_I_CC18568.pdf</t>
        </is>
      </c>
      <c r="K453" t="inlineStr">
        <is>
          <t>Not found</t>
        </is>
      </c>
      <c r="L453" t="inlineStr">
        <is>
          <t>Unknown</t>
        </is>
      </c>
      <c r="T453" t="inlineStr">
        <is>
          <t>https://tenders.iglonline.net/uploads/tender/RTBQ_I_CC18568.pdf</t>
        </is>
      </c>
      <c r="U453" t="inlineStr">
        <is>
          <t>No</t>
        </is>
      </c>
      <c r="V453" t="inlineStr">
        <is>
          <t>Bot tarafindan tespit edildi (2026-07-01)</t>
        </is>
      </c>
    </row>
    <row r="454">
      <c r="A454" t="inlineStr">
        <is>
          <t>T-0258</t>
        </is>
      </c>
      <c r="B454" t="inlineStr">
        <is>
          <t>Indraprastha Gas (IGL)</t>
        </is>
      </c>
      <c r="C454" t="inlineStr">
        <is>
          <t>Indraprastha Gas (IGL)</t>
        </is>
      </c>
      <c r="F454" t="inlineStr">
        <is>
          <t>New Lead</t>
        </is>
      </c>
      <c r="H454" t="inlineStr">
        <is>
          <t>Corrigendum_II_CC18568.pdf</t>
        </is>
      </c>
      <c r="K454" t="inlineStr">
        <is>
          <t>Not found</t>
        </is>
      </c>
      <c r="L454" t="inlineStr">
        <is>
          <t>Unknown</t>
        </is>
      </c>
      <c r="T454" t="inlineStr">
        <is>
          <t>https://tenders.iglonline.net/uploads/tender/Corrigendum_II_CC18568.pdf</t>
        </is>
      </c>
      <c r="U454" t="inlineStr">
        <is>
          <t>No</t>
        </is>
      </c>
      <c r="V454" t="inlineStr">
        <is>
          <t>Bot tarafindan tespit edildi (2026-07-01)</t>
        </is>
      </c>
    </row>
    <row r="455">
      <c r="A455" t="inlineStr">
        <is>
          <t>T-0259</t>
        </is>
      </c>
      <c r="B455" t="inlineStr">
        <is>
          <t>Indraprastha Gas (IGL)</t>
        </is>
      </c>
      <c r="C455" t="inlineStr">
        <is>
          <t>Indraprastha Gas (IGL)</t>
        </is>
      </c>
      <c r="F455" t="inlineStr">
        <is>
          <t>New Lead</t>
        </is>
      </c>
      <c r="H455" t="inlineStr">
        <is>
          <t>Corrigendum_III_CC18568.pdf</t>
        </is>
      </c>
      <c r="K455" t="inlineStr">
        <is>
          <t>Not found</t>
        </is>
      </c>
      <c r="L455" t="inlineStr">
        <is>
          <t>Unknown</t>
        </is>
      </c>
      <c r="T455" t="inlineStr">
        <is>
          <t>https://tenders.iglonline.net/uploads/tender/Corrigendum_III_CC18568.pdf</t>
        </is>
      </c>
      <c r="U455" t="inlineStr">
        <is>
          <t>No</t>
        </is>
      </c>
      <c r="V455" t="inlineStr">
        <is>
          <t>Bot tarafindan tespit edildi (2026-07-01)</t>
        </is>
      </c>
    </row>
    <row r="456">
      <c r="A456" t="inlineStr">
        <is>
          <t>T-0260</t>
        </is>
      </c>
      <c r="B456" t="inlineStr">
        <is>
          <t>Indraprastha Gas (IGL)</t>
        </is>
      </c>
      <c r="C456" t="inlineStr">
        <is>
          <t>Indraprastha Gas (IGL)</t>
        </is>
      </c>
      <c r="F456" t="inlineStr">
        <is>
          <t>New Lead</t>
        </is>
      </c>
      <c r="H456" t="inlineStr">
        <is>
          <t>View Tender</t>
        </is>
      </c>
      <c r="K456" t="inlineStr">
        <is>
          <t>Not found</t>
        </is>
      </c>
      <c r="L456" t="inlineStr">
        <is>
          <t>Unknown</t>
        </is>
      </c>
      <c r="T456" t="inlineStr">
        <is>
          <t>https://tenders.iglonline.net/tenderDetail/460/Active Tenders And Corrigendum-Addendum</t>
        </is>
      </c>
      <c r="U456" t="inlineStr">
        <is>
          <t>No</t>
        </is>
      </c>
      <c r="V456" t="inlineStr">
        <is>
          <t>Bot tarafindan tespit edildi (2026-07-01)</t>
        </is>
      </c>
    </row>
    <row r="457">
      <c r="A457" t="inlineStr">
        <is>
          <t>T-0261</t>
        </is>
      </c>
      <c r="B457" t="inlineStr">
        <is>
          <t>Indraprastha Gas (IGL)</t>
        </is>
      </c>
      <c r="C457" t="inlineStr">
        <is>
          <t>Indraprastha Gas (IGL)</t>
        </is>
      </c>
      <c r="F457" t="inlineStr">
        <is>
          <t>New Lead</t>
        </is>
      </c>
      <c r="H457" t="inlineStr">
        <is>
          <t>Corrigendum_I_CC18571.pdf</t>
        </is>
      </c>
      <c r="K457" t="inlineStr">
        <is>
          <t>Not found</t>
        </is>
      </c>
      <c r="L457" t="inlineStr">
        <is>
          <t>Unknown</t>
        </is>
      </c>
      <c r="T457" t="inlineStr">
        <is>
          <t>https://tenders.iglonline.net/uploads/tender/Corrigendum_I_CC18571.pdf</t>
        </is>
      </c>
      <c r="U457" t="inlineStr">
        <is>
          <t>No</t>
        </is>
      </c>
      <c r="V457" t="inlineStr">
        <is>
          <t>Bot tarafindan tespit edildi (2026-07-01)</t>
        </is>
      </c>
    </row>
    <row r="458">
      <c r="A458" t="inlineStr">
        <is>
          <t>T-0262</t>
        </is>
      </c>
      <c r="B458" t="inlineStr">
        <is>
          <t>Indraprastha Gas (IGL)</t>
        </is>
      </c>
      <c r="C458" t="inlineStr">
        <is>
          <t>Indraprastha Gas (IGL)</t>
        </is>
      </c>
      <c r="F458" t="inlineStr">
        <is>
          <t>New Lead</t>
        </is>
      </c>
      <c r="H458" t="inlineStr">
        <is>
          <t>View Tender</t>
        </is>
      </c>
      <c r="K458" t="inlineStr">
        <is>
          <t>Not found</t>
        </is>
      </c>
      <c r="L458" t="inlineStr">
        <is>
          <t>Unknown</t>
        </is>
      </c>
      <c r="T458" t="inlineStr">
        <is>
          <t>https://tenders.iglonline.net/tenderDetail/459/Active Tenders And Corrigendum-Addendum</t>
        </is>
      </c>
      <c r="U458" t="inlineStr">
        <is>
          <t>No</t>
        </is>
      </c>
      <c r="V458" t="inlineStr">
        <is>
          <t>Bot tarafindan tespit edildi (2026-07-01)</t>
        </is>
      </c>
    </row>
    <row r="459">
      <c r="A459" t="inlineStr">
        <is>
          <t>T-0263</t>
        </is>
      </c>
      <c r="B459" t="inlineStr">
        <is>
          <t>Indraprastha Gas (IGL)</t>
        </is>
      </c>
      <c r="C459" t="inlineStr">
        <is>
          <t>Indraprastha Gas (IGL)</t>
        </is>
      </c>
      <c r="F459" t="inlineStr">
        <is>
          <t>New Lead</t>
        </is>
      </c>
      <c r="G459" t="inlineStr">
        <is>
          <t>Unclassified</t>
        </is>
      </c>
      <c r="H459" t="inlineStr">
        <is>
          <t>Corrigendum_I_CC18577.pdf</t>
        </is>
      </c>
      <c r="K459" t="inlineStr">
        <is>
          <t>Not found</t>
        </is>
      </c>
      <c r="L459" t="inlineStr">
        <is>
          <t>Unknown</t>
        </is>
      </c>
      <c r="T459" t="inlineStr">
        <is>
          <t>https://tenders.iglonline.net/uploads/tender/Corrigendum_I_CC18577.pdf</t>
        </is>
      </c>
      <c r="U459" t="inlineStr">
        <is>
          <t>No</t>
        </is>
      </c>
      <c r="V459" t="inlineStr">
        <is>
          <t>Bot tarafindan tespit edildi (2026-07-01); Bot tespit/zenginlestirme (2026-07-01); meta:score=40;priority=Medium;source_type=html_table;closing_date=;equipment=Unclassified;reasons=document source,quantity signal</t>
        </is>
      </c>
    </row>
    <row r="460">
      <c r="A460" t="inlineStr">
        <is>
          <t>T-0264</t>
        </is>
      </c>
      <c r="B460" t="inlineStr">
        <is>
          <t>Indraprastha Gas (IGL)</t>
        </is>
      </c>
      <c r="C460" t="inlineStr">
        <is>
          <t>Indraprastha Gas (IGL)</t>
        </is>
      </c>
      <c r="F460" t="inlineStr">
        <is>
          <t>New Lead</t>
        </is>
      </c>
      <c r="G460" t="inlineStr">
        <is>
          <t>Unclassified</t>
        </is>
      </c>
      <c r="H460" t="inlineStr">
        <is>
          <t>RTBQ_CC18577.pdf</t>
        </is>
      </c>
      <c r="K460" t="inlineStr">
        <is>
          <t>Not found</t>
        </is>
      </c>
      <c r="L460" t="inlineStr">
        <is>
          <t>Unknown</t>
        </is>
      </c>
      <c r="T460" t="inlineStr">
        <is>
          <t>https://tenders.iglonline.net/uploads/tender/RTBQ_CC18577.pdf</t>
        </is>
      </c>
      <c r="U460" t="inlineStr">
        <is>
          <t>No</t>
        </is>
      </c>
      <c r="V460" t="inlineStr">
        <is>
          <t>Bot tarafindan tespit edildi (2026-07-01); Bot tespit/zenginlestirme (2026-07-01); meta:score=40;priority=Medium;source_type=html_table;closing_date=;equipment=Unclassified;reasons=document source,quantity signal</t>
        </is>
      </c>
    </row>
    <row r="461">
      <c r="A461" t="inlineStr">
        <is>
          <t>T-0265</t>
        </is>
      </c>
      <c r="B461" t="inlineStr">
        <is>
          <t>Indraprastha Gas (IGL)</t>
        </is>
      </c>
      <c r="C461" t="inlineStr">
        <is>
          <t>Indraprastha Gas (IGL)</t>
        </is>
      </c>
      <c r="F461" t="inlineStr">
        <is>
          <t>New Lead</t>
        </is>
      </c>
      <c r="H461" t="inlineStr">
        <is>
          <t>View Tender</t>
        </is>
      </c>
      <c r="K461" t="inlineStr">
        <is>
          <t>Not found</t>
        </is>
      </c>
      <c r="L461" t="inlineStr">
        <is>
          <t>Unknown</t>
        </is>
      </c>
      <c r="T461" t="inlineStr">
        <is>
          <t>https://tenders.iglonline.net/tenderDetail/458/Active Tenders And Corrigendum-Addendum</t>
        </is>
      </c>
      <c r="U461" t="inlineStr">
        <is>
          <t>No</t>
        </is>
      </c>
      <c r="V461" t="inlineStr">
        <is>
          <t>Bot tarafindan tespit edildi (2026-07-01)</t>
        </is>
      </c>
    </row>
    <row r="462">
      <c r="A462" t="inlineStr">
        <is>
          <t>T-0266</t>
        </is>
      </c>
      <c r="B462" t="inlineStr">
        <is>
          <t>Indraprastha Gas (IGL)</t>
        </is>
      </c>
      <c r="C462" t="inlineStr">
        <is>
          <t>Indraprastha Gas (IGL)</t>
        </is>
      </c>
      <c r="D462" t="inlineStr">
        <is>
          <t>IGL/ET2/CP/CP18542</t>
        </is>
      </c>
      <c r="F462" t="inlineStr">
        <is>
          <t>New Lead</t>
        </is>
      </c>
      <c r="G462" t="inlineStr">
        <is>
          <t>Unclassified</t>
        </is>
      </c>
      <c r="H462" t="inlineStr">
        <is>
          <t>RTBQ_CP18542.pdf</t>
        </is>
      </c>
      <c r="K462" t="inlineStr">
        <is>
          <t>shall supply spares and consumables required as part of 3 Tech</t>
        </is>
      </c>
      <c r="L462" t="inlineStr">
        <is>
          <t>Unknown</t>
        </is>
      </c>
      <c r="T462" t="inlineStr">
        <is>
          <t>https://tenders.iglonline.net/uploads/tender/RTBQ_CP18542.pdf</t>
        </is>
      </c>
      <c r="U462" t="inlineStr">
        <is>
          <t>No</t>
        </is>
      </c>
      <c r="V462" t="inlineStr">
        <is>
          <t>Bot tarafindan tespit edildi (2026-07-01); Bot tespit/zenginlestirme (2026-07-01); meta:score=55;priority=Medium;source_type=html_table;closing_date=;equipment=Unclassified;reasons=document source,quantity signal,tender reference signal</t>
        </is>
      </c>
    </row>
    <row r="463">
      <c r="A463" t="inlineStr">
        <is>
          <t>T-0267</t>
        </is>
      </c>
      <c r="B463" t="inlineStr">
        <is>
          <t>Indraprastha Gas (IGL)</t>
        </is>
      </c>
      <c r="C463" t="inlineStr">
        <is>
          <t>Indraprastha Gas (IGL)</t>
        </is>
      </c>
      <c r="D463" t="inlineStr">
        <is>
          <t>IGL/ET2/CP/CP18542</t>
        </is>
      </c>
      <c r="F463" t="inlineStr">
        <is>
          <t>New Lead</t>
        </is>
      </c>
      <c r="G463" t="inlineStr">
        <is>
          <t>Unclassified</t>
        </is>
      </c>
      <c r="H463" t="inlineStr">
        <is>
          <t>Corrigendum_1_CP18542.pdf</t>
        </is>
      </c>
      <c r="K463" t="inlineStr">
        <is>
          <t>Not found</t>
        </is>
      </c>
      <c r="L463" t="inlineStr">
        <is>
          <t>Unknown</t>
        </is>
      </c>
      <c r="T463" t="inlineStr">
        <is>
          <t>https://tenders.iglonline.net/uploads/tender/Corrigendum_1_CP18542.pdf</t>
        </is>
      </c>
      <c r="U463" t="inlineStr">
        <is>
          <t>No</t>
        </is>
      </c>
      <c r="V463" t="inlineStr">
        <is>
          <t>Bot tarafindan tespit edildi (2026-07-01); Bot tespit/zenginlestirme (2026-07-01); meta:score=55;priority=Medium;source_type=html_table;closing_date=;equipment=Unclassified;reasons=document source,quantity signal,tender reference signal</t>
        </is>
      </c>
    </row>
    <row r="464">
      <c r="A464" t="inlineStr">
        <is>
          <t>T-0268</t>
        </is>
      </c>
      <c r="B464" t="inlineStr">
        <is>
          <t>Indraprastha Gas (IGL)</t>
        </is>
      </c>
      <c r="C464" t="inlineStr">
        <is>
          <t>Indraprastha Gas (IGL)</t>
        </is>
      </c>
      <c r="F464" t="inlineStr">
        <is>
          <t>New Lead</t>
        </is>
      </c>
      <c r="H464" t="inlineStr">
        <is>
          <t>View Tender</t>
        </is>
      </c>
      <c r="K464" t="inlineStr">
        <is>
          <t>Not found</t>
        </is>
      </c>
      <c r="L464" t="inlineStr">
        <is>
          <t>Unknown</t>
        </is>
      </c>
      <c r="T464" t="inlineStr">
        <is>
          <t>https://tenders.iglonline.net/tenderDetail/457/Active Tenders And Corrigendum-Addendum</t>
        </is>
      </c>
      <c r="U464" t="inlineStr">
        <is>
          <t>No</t>
        </is>
      </c>
      <c r="V464" t="inlineStr">
        <is>
          <t>Bot tarafindan tespit edildi (2026-07-01)</t>
        </is>
      </c>
    </row>
    <row r="465">
      <c r="A465" t="inlineStr">
        <is>
          <t>T-0269</t>
        </is>
      </c>
      <c r="B465" t="inlineStr">
        <is>
          <t>Indraprastha Gas (IGL)</t>
        </is>
      </c>
      <c r="C465" t="inlineStr">
        <is>
          <t>Indraprastha Gas (IGL)</t>
        </is>
      </c>
      <c r="D465" t="inlineStr">
        <is>
          <t>IGL/ET2/CP/CC18554</t>
        </is>
      </c>
      <c r="F465" t="inlineStr">
        <is>
          <t>New Lead</t>
        </is>
      </c>
      <c r="G465" t="inlineStr">
        <is>
          <t>Gas-related / review</t>
        </is>
      </c>
      <c r="H465" t="inlineStr">
        <is>
          <t>RTBQ_CC18554.pdf</t>
        </is>
      </c>
      <c r="K465" t="inlineStr">
        <is>
          <t>fails to provide the required services attributed to him, then penalty per dispen</t>
        </is>
      </c>
      <c r="L465" t="inlineStr">
        <is>
          <t>Unknown</t>
        </is>
      </c>
      <c r="M465" t="n">
        <v>1500000</v>
      </c>
      <c r="T465" t="inlineStr">
        <is>
          <t>https://tenders.iglonline.net/uploads/tender/RTBQ_CC18554.pdf</t>
        </is>
      </c>
      <c r="U465" t="inlineStr">
        <is>
          <t>No</t>
        </is>
      </c>
      <c r="V465" t="inlineStr">
        <is>
          <t>Bot tarafindan tespit edildi (2026-07-01); Bot tespit/zenginlestirme (2026-07-01); meta:score=55;priority=Medium;source_type=html_table;closing_date=;equipment=Gas-related / review;reasons=equipment:Gas-related / review,document source,quantity signal</t>
        </is>
      </c>
    </row>
    <row r="466">
      <c r="A466" t="inlineStr">
        <is>
          <t>T-0270</t>
        </is>
      </c>
      <c r="B466" t="inlineStr">
        <is>
          <t>Indraprastha Gas (IGL)</t>
        </is>
      </c>
      <c r="C466" t="inlineStr">
        <is>
          <t>Indraprastha Gas (IGL)</t>
        </is>
      </c>
      <c r="D466" t="inlineStr">
        <is>
          <t>IGL/ET2/CP/CC18554</t>
        </is>
      </c>
      <c r="F466" t="inlineStr">
        <is>
          <t>New Lead</t>
        </is>
      </c>
      <c r="G466" t="inlineStr">
        <is>
          <t>Gas-related / review</t>
        </is>
      </c>
      <c r="H466" t="inlineStr">
        <is>
          <t>Corrigendum_I_CC18554.pdf</t>
        </is>
      </c>
      <c r="K466" t="inlineStr">
        <is>
          <t>Not found</t>
        </is>
      </c>
      <c r="L466" t="inlineStr">
        <is>
          <t>Unknown</t>
        </is>
      </c>
      <c r="M466" t="n">
        <v>16.09</v>
      </c>
      <c r="T466" t="inlineStr">
        <is>
          <t>https://tenders.iglonline.net/uploads/tender/Corrigendum_I_CC18554.pdf</t>
        </is>
      </c>
      <c r="U466" t="inlineStr">
        <is>
          <t>No</t>
        </is>
      </c>
      <c r="V466" t="inlineStr">
        <is>
          <t>Bot tarafindan tespit edildi (2026-07-01); Bot tespit/zenginlestirme (2026-07-01); meta:score=55;priority=Medium;source_type=html_table;closing_date=;equipment=Gas-related / review;reasons=equipment:Gas-related / review,document source,quantity signal</t>
        </is>
      </c>
    </row>
    <row r="467">
      <c r="A467" t="inlineStr">
        <is>
          <t>T-0271</t>
        </is>
      </c>
      <c r="B467" t="inlineStr">
        <is>
          <t>Indraprastha Gas (IGL)</t>
        </is>
      </c>
      <c r="C467" t="inlineStr">
        <is>
          <t>Indraprastha Gas (IGL)</t>
        </is>
      </c>
      <c r="D467" t="inlineStr">
        <is>
          <t>IGL/ET2/CP/CC18554</t>
        </is>
      </c>
      <c r="F467" t="inlineStr">
        <is>
          <t>New Lead</t>
        </is>
      </c>
      <c r="G467" t="inlineStr">
        <is>
          <t>Gas-related / review</t>
        </is>
      </c>
      <c r="H467" t="inlineStr">
        <is>
          <t>Corrigendum-II_CC18554.pdf</t>
        </is>
      </c>
      <c r="K467" t="inlineStr">
        <is>
          <t>Not found</t>
        </is>
      </c>
      <c r="L467" t="inlineStr">
        <is>
          <t>Unknown</t>
        </is>
      </c>
      <c r="M467" t="n">
        <v>18.09</v>
      </c>
      <c r="T467" t="inlineStr">
        <is>
          <t>https://tenders.iglonline.net/uploads/tender/Corrigendum-II_CC18554.pdf</t>
        </is>
      </c>
      <c r="U467" t="inlineStr">
        <is>
          <t>No</t>
        </is>
      </c>
      <c r="V467" t="inlineStr">
        <is>
          <t>Bot tarafindan tespit edildi (2026-07-01); Bot tespit/zenginlestirme (2026-07-01); meta:score=55;priority=Medium;source_type=html_table;closing_date=;equipment=Gas-related / review;reasons=equipment:Gas-related / review,document source,quantity signal</t>
        </is>
      </c>
    </row>
    <row r="468">
      <c r="A468" t="inlineStr">
        <is>
          <t>T-0272</t>
        </is>
      </c>
      <c r="B468" t="inlineStr">
        <is>
          <t>Indraprastha Gas (IGL)</t>
        </is>
      </c>
      <c r="C468" t="inlineStr">
        <is>
          <t>Indraprastha Gas (IGL)</t>
        </is>
      </c>
      <c r="D468" t="inlineStr">
        <is>
          <t>IGL/ET2/CP/CC18554</t>
        </is>
      </c>
      <c r="F468" t="inlineStr">
        <is>
          <t>New Lead</t>
        </is>
      </c>
      <c r="G468" t="inlineStr">
        <is>
          <t>Gas-related / review</t>
        </is>
      </c>
      <c r="H468" t="inlineStr">
        <is>
          <t>Corrigendum_III_CC18554.pdf</t>
        </is>
      </c>
      <c r="K468" t="inlineStr">
        <is>
          <t>Not found</t>
        </is>
      </c>
      <c r="L468" t="inlineStr">
        <is>
          <t>Unknown</t>
        </is>
      </c>
      <c r="M468" t="n">
        <v>25.09</v>
      </c>
      <c r="T468" t="inlineStr">
        <is>
          <t>https://tenders.iglonline.net/uploads/tender/Corrigendum_III_CC18554.pdf</t>
        </is>
      </c>
      <c r="U468" t="inlineStr">
        <is>
          <t>No</t>
        </is>
      </c>
      <c r="V468" t="inlineStr">
        <is>
          <t>Bot tarafindan tespit edildi (2026-07-01); Bot tespit/zenginlestirme (2026-07-01); meta:score=55;priority=Medium;source_type=html_table;closing_date=;equipment=Gas-related / review;reasons=equipment:Gas-related / review,document source,quantity signal</t>
        </is>
      </c>
    </row>
    <row r="469">
      <c r="A469" t="inlineStr">
        <is>
          <t>T-0273</t>
        </is>
      </c>
      <c r="B469" t="inlineStr">
        <is>
          <t>Indraprastha Gas (IGL)</t>
        </is>
      </c>
      <c r="C469" t="inlineStr">
        <is>
          <t>Indraprastha Gas (IGL)</t>
        </is>
      </c>
      <c r="D469" t="inlineStr">
        <is>
          <t>IGL/ET2/CP/CC18554</t>
        </is>
      </c>
      <c r="F469" t="inlineStr">
        <is>
          <t>New Lead</t>
        </is>
      </c>
      <c r="G469" t="inlineStr">
        <is>
          <t>Gas-related / review</t>
        </is>
      </c>
      <c r="H469" t="inlineStr">
        <is>
          <t>Corrigendum-IV_CC18554.pdf</t>
        </is>
      </c>
      <c r="K469" t="inlineStr">
        <is>
          <t>Not found</t>
        </is>
      </c>
      <c r="L469" t="inlineStr">
        <is>
          <t>Unknown</t>
        </is>
      </c>
      <c r="M469" t="n">
        <v>14.1</v>
      </c>
      <c r="T469" t="inlineStr">
        <is>
          <t>https://tenders.iglonline.net/uploads/tender/Corrigendum-IV_CC18554.pdf</t>
        </is>
      </c>
      <c r="U469" t="inlineStr">
        <is>
          <t>No</t>
        </is>
      </c>
      <c r="V469" t="inlineStr">
        <is>
          <t>Bot tarafindan tespit edildi (2026-07-01); Bot tespit/zenginlestirme (2026-07-01); meta:score=55;priority=Medium;source_type=html_table;closing_date=;equipment=Gas-related / review;reasons=equipment:Gas-related / review,document source,quantity signal</t>
        </is>
      </c>
    </row>
    <row r="470">
      <c r="A470" t="inlineStr">
        <is>
          <t>T-0274</t>
        </is>
      </c>
      <c r="B470" t="inlineStr">
        <is>
          <t>Indraprastha Gas (IGL)</t>
        </is>
      </c>
      <c r="C470" t="inlineStr">
        <is>
          <t>Indraprastha Gas (IGL)</t>
        </is>
      </c>
      <c r="D470" t="inlineStr">
        <is>
          <t>IGL/ET2/CP/CC18554</t>
        </is>
      </c>
      <c r="F470" t="inlineStr">
        <is>
          <t>New Lead</t>
        </is>
      </c>
      <c r="G470" t="inlineStr">
        <is>
          <t>Gas-related / review</t>
        </is>
      </c>
      <c r="H470" t="inlineStr">
        <is>
          <t>Corrigendum for PBO_CC18554.pdf</t>
        </is>
      </c>
      <c r="K470" t="inlineStr">
        <is>
          <t>Not found</t>
        </is>
      </c>
      <c r="L470" t="inlineStr">
        <is>
          <t>Unknown</t>
        </is>
      </c>
      <c r="T470" t="inlineStr">
        <is>
          <t>https://tenders.iglonline.net/uploads/tender/Corrigendum for PBO_CC18554.pdf</t>
        </is>
      </c>
      <c r="U470" t="inlineStr">
        <is>
          <t>No</t>
        </is>
      </c>
      <c r="V470" t="inlineStr">
        <is>
          <t>Bot tarafindan tespit edildi (2026-07-01); Bot tespit/zenginlestirme (2026-07-01); meta:score=55;priority=Medium;source_type=html_table;closing_date=;equipment=Gas-related / review;reasons=equipment:Gas-related / review,document source,quantity signal</t>
        </is>
      </c>
    </row>
    <row r="471">
      <c r="A471" t="inlineStr">
        <is>
          <t>T-0275</t>
        </is>
      </c>
      <c r="B471" t="inlineStr">
        <is>
          <t>Indraprastha Gas (IGL)</t>
        </is>
      </c>
      <c r="C471" t="inlineStr">
        <is>
          <t>Indraprastha Gas (IGL)</t>
        </is>
      </c>
      <c r="F471" t="inlineStr">
        <is>
          <t>New Lead</t>
        </is>
      </c>
      <c r="G471" t="inlineStr">
        <is>
          <t>Regulating station</t>
        </is>
      </c>
      <c r="H471" t="inlineStr">
        <is>
          <t>View Tender</t>
        </is>
      </c>
      <c r="K471" t="inlineStr">
        <is>
          <t>Not found</t>
        </is>
      </c>
      <c r="L471" t="inlineStr">
        <is>
          <t>Unknown</t>
        </is>
      </c>
      <c r="T471" t="inlineStr">
        <is>
          <t>https://tenders.iglonline.net/tenderDetail/454/Active Tenders And Corrigendum-Addendum</t>
        </is>
      </c>
      <c r="U471" t="inlineStr">
        <is>
          <t>No</t>
        </is>
      </c>
      <c r="V471" t="inlineStr">
        <is>
          <t>Bot tarafindan tespit edildi (2026-07-01); Bot tespit/zenginlestirme (2026-07-01); meta:score=80;priority=High;source_type=html_table;closing_date=;equipment=Regulating station;reasons=equipment:Regulating station,station/skid keyword,document source; Bot clean extraction (2026-07-01); meta:score=90;priority=High;source_type=html_table;closing_date=;equipment=Regulating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472">
      <c r="A472" t="inlineStr">
        <is>
          <t>T-0276</t>
        </is>
      </c>
      <c r="B472" t="inlineStr">
        <is>
          <t>Indraprastha Gas (IGL)</t>
        </is>
      </c>
      <c r="C472" t="inlineStr">
        <is>
          <t>Indraprastha Gas (IGL)</t>
        </is>
      </c>
      <c r="D472" t="inlineStr">
        <is>
          <t>IGL/ET2/CP/CP18558</t>
        </is>
      </c>
      <c r="F472" t="inlineStr">
        <is>
          <t>Awarded</t>
        </is>
      </c>
      <c r="G472" t="inlineStr">
        <is>
          <t>MRS</t>
        </is>
      </c>
      <c r="H472" t="inlineStr">
        <is>
          <t>RTBQ_CP18558.pdf</t>
        </is>
      </c>
      <c r="K472" t="inlineStr">
        <is>
          <t>FLANGE N FLANGE for supply 1 of Flange and their fittings as currently also we are procurin</t>
        </is>
      </c>
      <c r="L472" t="inlineStr">
        <is>
          <t>Unknown</t>
        </is>
      </c>
      <c r="M472" t="n">
        <v>37000</v>
      </c>
      <c r="T472" t="inlineStr">
        <is>
          <t>https://tenders.iglonline.net/uploads/tender/RTBQ_CP18558.pdf</t>
        </is>
      </c>
      <c r="U472" t="inlineStr">
        <is>
          <t>No</t>
        </is>
      </c>
      <c r="V472" t="inlineStr">
        <is>
          <t>Bot tarafindan tespit edildi (2026-07-01) | Bot enrich; date=2026-07-01; type=pdf; score=330; pdf_conf=Medium;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station;quality_status=market_target;market_relevance=High;document_type=boq;unit_price_inr=;amount_label=currency_near_total;matched_terms=Regulating / metering station,Gas filter station / filter equipment;reject_reasons=;scope=market_intelligence_only;excluded_scope=no_bid_or_offer_submission_automation</t>
        </is>
      </c>
    </row>
    <row r="473">
      <c r="A473" t="inlineStr">
        <is>
          <t>T-0277</t>
        </is>
      </c>
      <c r="B473" t="inlineStr">
        <is>
          <t>Indraprastha Gas (IGL)</t>
        </is>
      </c>
      <c r="C473" t="inlineStr">
        <is>
          <t>Indraprastha Gas (IGL)</t>
        </is>
      </c>
      <c r="D473" t="inlineStr">
        <is>
          <t>IGL/ET2/CP/CP18558</t>
        </is>
      </c>
      <c r="F473" t="inlineStr">
        <is>
          <t>Awarded</t>
        </is>
      </c>
      <c r="G473" t="inlineStr">
        <is>
          <t>MRS</t>
        </is>
      </c>
      <c r="H473" t="inlineStr">
        <is>
          <t>Corrigendum_1_CP18558.pdf</t>
        </is>
      </c>
      <c r="K473" t="inlineStr">
        <is>
          <t>Not found</t>
        </is>
      </c>
      <c r="L473" t="inlineStr">
        <is>
          <t>Unknown</t>
        </is>
      </c>
      <c r="T473" t="inlineStr">
        <is>
          <t>https://tenders.iglonline.net/uploads/tender/Corrigendum_1_CP18558.pdf</t>
        </is>
      </c>
      <c r="U473" t="inlineStr">
        <is>
          <t>No</t>
        </is>
      </c>
      <c r="V473"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station;quality_status=market_target;market_relevance=High;document_type=corrigendum;unit_price_inr=;amount_label=;matched_terms=Regulating / metering station;reject_reasons=employment/corporate;scope=market_intelligence_only;excluded_scope=no_bid_or_offer_submission_automation</t>
        </is>
      </c>
    </row>
    <row r="474">
      <c r="A474" t="inlineStr">
        <is>
          <t>T-0278</t>
        </is>
      </c>
      <c r="B474" t="inlineStr">
        <is>
          <t>Indraprastha Gas (IGL)</t>
        </is>
      </c>
      <c r="C474" t="inlineStr">
        <is>
          <t>Indraprastha Gas (IGL)</t>
        </is>
      </c>
      <c r="D474" t="inlineStr">
        <is>
          <t>IGL/ET2/CP/CP18558</t>
        </is>
      </c>
      <c r="F474" t="inlineStr">
        <is>
          <t>Awarded</t>
        </is>
      </c>
      <c r="G474" t="inlineStr">
        <is>
          <t>MRS</t>
        </is>
      </c>
      <c r="H474" t="inlineStr">
        <is>
          <t>Corrigendum_2_CP18558.pdf</t>
        </is>
      </c>
      <c r="K474" t="inlineStr">
        <is>
          <t>Not found</t>
        </is>
      </c>
      <c r="L474" t="inlineStr">
        <is>
          <t>Unknown</t>
        </is>
      </c>
      <c r="T474" t="inlineStr">
        <is>
          <t>https://tenders.iglonline.net/uploads/tender/Corrigendum_2_CP18558.pdf</t>
        </is>
      </c>
      <c r="U474" t="inlineStr">
        <is>
          <t>No</t>
        </is>
      </c>
      <c r="V474"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station;quality_status=market_target;market_relevance=High;document_type=corrigendum;unit_price_inr=;amount_label=;matched_terms=Regulating / metering station;reject_reasons=employment/corporate;scope=market_intelligence_only;excluded_scope=no_bid_or_offer_submission_automation</t>
        </is>
      </c>
    </row>
    <row r="475">
      <c r="A475" t="inlineStr">
        <is>
          <t>T-0279</t>
        </is>
      </c>
      <c r="B475" t="inlineStr">
        <is>
          <t>Indraprastha Gas (IGL)</t>
        </is>
      </c>
      <c r="C475" t="inlineStr">
        <is>
          <t>Indraprastha Gas (IGL)</t>
        </is>
      </c>
      <c r="F475" t="inlineStr">
        <is>
          <t>New Lead</t>
        </is>
      </c>
      <c r="H475" t="inlineStr">
        <is>
          <t>View Tender</t>
        </is>
      </c>
      <c r="K475" t="inlineStr">
        <is>
          <t>Not found</t>
        </is>
      </c>
      <c r="L475" t="inlineStr">
        <is>
          <t>Unknown</t>
        </is>
      </c>
      <c r="T475" t="inlineStr">
        <is>
          <t>https://tenders.iglonline.net/tenderDetail/453/Active Tenders And Corrigendum-Addendum</t>
        </is>
      </c>
      <c r="U475" t="inlineStr">
        <is>
          <t>No</t>
        </is>
      </c>
      <c r="V475" t="inlineStr">
        <is>
          <t>Bot tarafindan tespit edildi (2026-07-01)</t>
        </is>
      </c>
    </row>
    <row r="476">
      <c r="A476" t="inlineStr">
        <is>
          <t>T-0280</t>
        </is>
      </c>
      <c r="B476" t="inlineStr">
        <is>
          <t>Indraprastha Gas (IGL)</t>
        </is>
      </c>
      <c r="C476" t="inlineStr">
        <is>
          <t>Indraprastha Gas (IGL)</t>
        </is>
      </c>
      <c r="F476" t="inlineStr">
        <is>
          <t>New Lead</t>
        </is>
      </c>
      <c r="G476" t="inlineStr">
        <is>
          <t>Gas-related / review</t>
        </is>
      </c>
      <c r="H476" t="inlineStr">
        <is>
          <t>Corrigendum_II_CC18520.pdf</t>
        </is>
      </c>
      <c r="K476" t="inlineStr">
        <is>
          <t>Not found</t>
        </is>
      </c>
      <c r="L476" t="inlineStr">
        <is>
          <t>Unknown</t>
        </is>
      </c>
      <c r="T476" t="inlineStr">
        <is>
          <t>https://tenders.iglonline.net/uploads/tender/Corrigendum_II_CC18520.pdf</t>
        </is>
      </c>
      <c r="U476" t="inlineStr">
        <is>
          <t>No</t>
        </is>
      </c>
      <c r="V476" t="inlineStr">
        <is>
          <t>Bot tarafindan tespit edildi (2026-07-01); Bot tespit/zenginlestirme (2026-07-01); meta:score=35;priority=Low;source_type=html_table;closing_date=;equipment=Gas-related / review;reasons=equipment:Gas-related / review,document source</t>
        </is>
      </c>
    </row>
    <row r="477">
      <c r="A477" t="inlineStr">
        <is>
          <t>T-0281</t>
        </is>
      </c>
      <c r="B477" t="inlineStr">
        <is>
          <t>Indraprastha Gas (IGL)</t>
        </is>
      </c>
      <c r="C477" t="inlineStr">
        <is>
          <t>Indraprastha Gas (IGL)</t>
        </is>
      </c>
      <c r="F477" t="inlineStr">
        <is>
          <t>New Lead</t>
        </is>
      </c>
      <c r="G477" t="inlineStr">
        <is>
          <t>Gas-related / review</t>
        </is>
      </c>
      <c r="H477" t="inlineStr">
        <is>
          <t>Corrigendum_III_CC18520.pdf</t>
        </is>
      </c>
      <c r="K477" t="inlineStr">
        <is>
          <t>Not found</t>
        </is>
      </c>
      <c r="L477" t="inlineStr">
        <is>
          <t>Unknown</t>
        </is>
      </c>
      <c r="T477" t="inlineStr">
        <is>
          <t>https://tenders.iglonline.net/uploads/tender/Corrigendum_III_CC18520.pdf</t>
        </is>
      </c>
      <c r="U477" t="inlineStr">
        <is>
          <t>No</t>
        </is>
      </c>
      <c r="V477" t="inlineStr">
        <is>
          <t>Bot tarafindan tespit edildi (2026-07-01); Bot tespit/zenginlestirme (2026-07-01); meta:score=35;priority=Low;source_type=html_table;closing_date=;equipment=Gas-related / review;reasons=equipment:Gas-related / review,document source</t>
        </is>
      </c>
    </row>
    <row r="478">
      <c r="A478" t="inlineStr">
        <is>
          <t>T-0282</t>
        </is>
      </c>
      <c r="B478" t="inlineStr">
        <is>
          <t>Indraprastha Gas (IGL)</t>
        </is>
      </c>
      <c r="C478" t="inlineStr">
        <is>
          <t>Indraprastha Gas (IGL)</t>
        </is>
      </c>
      <c r="F478" t="inlineStr">
        <is>
          <t>New Lead</t>
        </is>
      </c>
      <c r="H478" t="inlineStr">
        <is>
          <t>View Tender</t>
        </is>
      </c>
      <c r="K478" t="inlineStr">
        <is>
          <t>Not found</t>
        </is>
      </c>
      <c r="L478" t="inlineStr">
        <is>
          <t>Unknown</t>
        </is>
      </c>
      <c r="T478" t="inlineStr">
        <is>
          <t>https://tenders.iglonline.net/tenderDetail/452/Active Tenders And Corrigendum-Addendum</t>
        </is>
      </c>
      <c r="U478" t="inlineStr">
        <is>
          <t>No</t>
        </is>
      </c>
      <c r="V478" t="inlineStr">
        <is>
          <t>Bot tarafindan tespit edildi (2026-07-01)</t>
        </is>
      </c>
    </row>
    <row r="479">
      <c r="A479" t="inlineStr">
        <is>
          <t>T-0283</t>
        </is>
      </c>
      <c r="B479" t="inlineStr">
        <is>
          <t>Indraprastha Gas (IGL)</t>
        </is>
      </c>
      <c r="C479" t="inlineStr">
        <is>
          <t>Indraprastha Gas (IGL)</t>
        </is>
      </c>
      <c r="F479" t="inlineStr">
        <is>
          <t>New Lead</t>
        </is>
      </c>
      <c r="H479" t="inlineStr">
        <is>
          <t>Corrigendum_1_CM18555.pdf</t>
        </is>
      </c>
      <c r="K479" t="inlineStr">
        <is>
          <t>Not found</t>
        </is>
      </c>
      <c r="L479" t="inlineStr">
        <is>
          <t>Unknown</t>
        </is>
      </c>
      <c r="T479" t="inlineStr">
        <is>
          <t>https://tenders.iglonline.net/uploads/tender/Corrigendum_1_CM18555.pdf</t>
        </is>
      </c>
      <c r="U479" t="inlineStr">
        <is>
          <t>No</t>
        </is>
      </c>
      <c r="V479" t="inlineStr">
        <is>
          <t>Bot tarafindan tespit edildi (2026-07-01)</t>
        </is>
      </c>
    </row>
    <row r="480">
      <c r="A480" t="inlineStr">
        <is>
          <t>T-0284</t>
        </is>
      </c>
      <c r="B480" t="inlineStr">
        <is>
          <t>Indraprastha Gas (IGL)</t>
        </is>
      </c>
      <c r="C480" t="inlineStr">
        <is>
          <t>Indraprastha Gas (IGL)</t>
        </is>
      </c>
      <c r="F480" t="inlineStr">
        <is>
          <t>New Lead</t>
        </is>
      </c>
      <c r="H480" t="inlineStr">
        <is>
          <t>Corrigendum_2_CM18555.pdf</t>
        </is>
      </c>
      <c r="K480" t="inlineStr">
        <is>
          <t>Not found</t>
        </is>
      </c>
      <c r="L480" t="inlineStr">
        <is>
          <t>Unknown</t>
        </is>
      </c>
      <c r="T480" t="inlineStr">
        <is>
          <t>https://tenders.iglonline.net/uploads/tender/Corrigendum_2_CM18555.pdf</t>
        </is>
      </c>
      <c r="U480" t="inlineStr">
        <is>
          <t>No</t>
        </is>
      </c>
      <c r="V480" t="inlineStr">
        <is>
          <t>Bot tarafindan tespit edildi (2026-07-01)</t>
        </is>
      </c>
    </row>
    <row r="481">
      <c r="A481" t="inlineStr">
        <is>
          <t>T-0285</t>
        </is>
      </c>
      <c r="B481" t="inlineStr">
        <is>
          <t>Indraprastha Gas (IGL)</t>
        </is>
      </c>
      <c r="C481" t="inlineStr">
        <is>
          <t>Indraprastha Gas (IGL)</t>
        </is>
      </c>
      <c r="F481" t="inlineStr">
        <is>
          <t>New Lead</t>
        </is>
      </c>
      <c r="H481" t="inlineStr">
        <is>
          <t>View Tender</t>
        </is>
      </c>
      <c r="K481" t="inlineStr">
        <is>
          <t>Not found</t>
        </is>
      </c>
      <c r="L481" t="inlineStr">
        <is>
          <t>Unknown</t>
        </is>
      </c>
      <c r="T481" t="inlineStr">
        <is>
          <t>https://tenders.iglonline.net/tenderDetail/451/Active Tenders And Corrigendum-Addendum</t>
        </is>
      </c>
      <c r="U481" t="inlineStr">
        <is>
          <t>No</t>
        </is>
      </c>
      <c r="V481" t="inlineStr">
        <is>
          <t>Bot tarafindan tespit edildi (2026-07-01)</t>
        </is>
      </c>
    </row>
    <row r="482">
      <c r="A482" t="inlineStr">
        <is>
          <t>T-0286</t>
        </is>
      </c>
      <c r="B482" t="inlineStr">
        <is>
          <t>Indraprastha Gas (IGL)</t>
        </is>
      </c>
      <c r="C482" t="inlineStr">
        <is>
          <t>Indraprastha Gas (IGL)</t>
        </is>
      </c>
      <c r="D482" t="inlineStr">
        <is>
          <t>IGL/ET2/CP/</t>
        </is>
      </c>
      <c r="F482" t="inlineStr">
        <is>
          <t>New Lead</t>
        </is>
      </c>
      <c r="G482" t="inlineStr">
        <is>
          <t>Unclassified</t>
        </is>
      </c>
      <c r="H482" t="inlineStr">
        <is>
          <t>Corrigendum _I_CP18529 (A).pdf</t>
        </is>
      </c>
      <c r="K482" t="inlineStr">
        <is>
          <t>Not found</t>
        </is>
      </c>
      <c r="L482" t="inlineStr">
        <is>
          <t>Unknown</t>
        </is>
      </c>
      <c r="T482" t="inlineStr">
        <is>
          <t>https://tenders.iglonline.net/uploads/tender/Corrigendum _I_CP18529 (A).pdf</t>
        </is>
      </c>
      <c r="U482" t="inlineStr">
        <is>
          <t>No</t>
        </is>
      </c>
      <c r="V482" t="inlineStr">
        <is>
          <t>Bot tarafindan tespit edildi (2026-07-01); Bot tespit/zenginlestirme (2026-07-01); meta:score=55;priority=Medium;source_type=html_table;closing_date=;equipment=Unclassified;reasons=document source,quantity signal,tender reference signal</t>
        </is>
      </c>
    </row>
    <row r="483">
      <c r="A483" t="inlineStr">
        <is>
          <t>T-0287</t>
        </is>
      </c>
      <c r="B483" t="inlineStr">
        <is>
          <t>Indraprastha Gas (IGL)</t>
        </is>
      </c>
      <c r="C483" t="inlineStr">
        <is>
          <t>Indraprastha Gas (IGL)</t>
        </is>
      </c>
      <c r="D483" t="inlineStr">
        <is>
          <t>IGL/ET2/CP/CP18529</t>
        </is>
      </c>
      <c r="F483" t="inlineStr">
        <is>
          <t>New Lead</t>
        </is>
      </c>
      <c r="G483" t="inlineStr">
        <is>
          <t>Unclassified</t>
        </is>
      </c>
      <c r="H483" t="inlineStr">
        <is>
          <t>Corrigendum_CP18529_3.pdf</t>
        </is>
      </c>
      <c r="K483" t="inlineStr">
        <is>
          <t>Not found</t>
        </is>
      </c>
      <c r="L483" t="inlineStr">
        <is>
          <t>Unknown</t>
        </is>
      </c>
      <c r="T483" t="inlineStr">
        <is>
          <t>https://tenders.iglonline.net/uploads/tender/Corrigendum_CP18529_3.pdf</t>
        </is>
      </c>
      <c r="U483" t="inlineStr">
        <is>
          <t>No</t>
        </is>
      </c>
      <c r="V483" t="inlineStr">
        <is>
          <t>Bot tarafindan tespit edildi (2026-07-01); Bot tespit/zenginlestirme (2026-07-01); meta:score=55;priority=Medium;source_type=html_table;closing_date=;equipment=Unclassified;reasons=document source,quantity signal,tender reference signal</t>
        </is>
      </c>
    </row>
    <row r="484">
      <c r="A484" t="inlineStr">
        <is>
          <t>T-0288</t>
        </is>
      </c>
      <c r="B484" t="inlineStr">
        <is>
          <t>Indraprastha Gas (IGL)</t>
        </is>
      </c>
      <c r="C484" t="inlineStr">
        <is>
          <t>Indraprastha Gas (IGL)</t>
        </is>
      </c>
      <c r="D484" t="inlineStr">
        <is>
          <t>IGL/ET2/CP/CP18529</t>
        </is>
      </c>
      <c r="F484" t="inlineStr">
        <is>
          <t>New Lead</t>
        </is>
      </c>
      <c r="G484" t="inlineStr">
        <is>
          <t>Unclassified</t>
        </is>
      </c>
      <c r="H484" t="inlineStr">
        <is>
          <t>RTBQ_CP18529.pdf</t>
        </is>
      </c>
      <c r="K484" t="inlineStr">
        <is>
          <t>shall ensure necessary cover for 1 water and duct entry inside the cabinet. Hence</t>
        </is>
      </c>
      <c r="L484" t="inlineStr">
        <is>
          <t>Unknown</t>
        </is>
      </c>
      <c r="T484" t="inlineStr">
        <is>
          <t>https://tenders.iglonline.net/uploads/tender/RTBQ_CP18529.pdf</t>
        </is>
      </c>
      <c r="U484" t="inlineStr">
        <is>
          <t>No</t>
        </is>
      </c>
      <c r="V484" t="inlineStr">
        <is>
          <t>Bot tarafindan tespit edildi (2026-07-01); Bot tespit/zenginlestirme (2026-07-01); meta:score=55;priority=Medium;source_type=html_table;closing_date=;equipment=Unclassified;reasons=document source,quantity signal,tender reference signal</t>
        </is>
      </c>
    </row>
    <row r="485">
      <c r="A485" t="inlineStr">
        <is>
          <t>T-0289</t>
        </is>
      </c>
      <c r="B485" t="inlineStr">
        <is>
          <t>Indraprastha Gas (IGL)</t>
        </is>
      </c>
      <c r="C485" t="inlineStr">
        <is>
          <t>Indraprastha Gas (IGL)</t>
        </is>
      </c>
      <c r="D485" t="inlineStr">
        <is>
          <t>IGL/ET2/CP/</t>
        </is>
      </c>
      <c r="F485" t="inlineStr">
        <is>
          <t>New Lead</t>
        </is>
      </c>
      <c r="G485" t="inlineStr">
        <is>
          <t>Unclassified</t>
        </is>
      </c>
      <c r="H485" t="inlineStr">
        <is>
          <t>Corrigendum-IV-CP18529 (C).pdf</t>
        </is>
      </c>
      <c r="K485" t="inlineStr">
        <is>
          <t>Not found</t>
        </is>
      </c>
      <c r="L485" t="inlineStr">
        <is>
          <t>Unknown</t>
        </is>
      </c>
      <c r="T485" t="inlineStr">
        <is>
          <t>https://tenders.iglonline.net/uploads/tender/Corrigendum-IV-CP18529 (C).pdf</t>
        </is>
      </c>
      <c r="U485" t="inlineStr">
        <is>
          <t>No</t>
        </is>
      </c>
      <c r="V485" t="inlineStr">
        <is>
          <t>Bot tarafindan tespit edildi (2026-07-01); Bot tespit/zenginlestirme (2026-07-01); meta:score=55;priority=Medium;source_type=html_table;closing_date=;equipment=Unclassified;reasons=document source,quantity signal,tender reference signal</t>
        </is>
      </c>
    </row>
    <row r="486">
      <c r="A486" t="inlineStr">
        <is>
          <t>T-0290</t>
        </is>
      </c>
      <c r="B486" t="inlineStr">
        <is>
          <t>Indraprastha Gas (IGL)</t>
        </is>
      </c>
      <c r="C486" t="inlineStr">
        <is>
          <t>Indraprastha Gas (IGL)</t>
        </is>
      </c>
      <c r="D486" t="inlineStr">
        <is>
          <t>IGL/ET2/CP/</t>
        </is>
      </c>
      <c r="F486" t="inlineStr">
        <is>
          <t>New Lead</t>
        </is>
      </c>
      <c r="G486" t="inlineStr">
        <is>
          <t>Unclassified</t>
        </is>
      </c>
      <c r="H486" t="inlineStr">
        <is>
          <t>Corrigendum-V-CP18529.pdf</t>
        </is>
      </c>
      <c r="K486" t="inlineStr">
        <is>
          <t>Not found</t>
        </is>
      </c>
      <c r="L486" t="inlineStr">
        <is>
          <t>Unknown</t>
        </is>
      </c>
      <c r="T486" t="inlineStr">
        <is>
          <t>https://tenders.iglonline.net/uploads/tender/Corrigendum-V-CP18529.pdf</t>
        </is>
      </c>
      <c r="U486" t="inlineStr">
        <is>
          <t>No</t>
        </is>
      </c>
      <c r="V486" t="inlineStr">
        <is>
          <t>Bot tarafindan tespit edildi (2026-07-01); Bot tespit/zenginlestirme (2026-07-01); meta:score=55;priority=Medium;source_type=html_table;closing_date=;equipment=Unclassified;reasons=document source,quantity signal,tender reference signal</t>
        </is>
      </c>
    </row>
    <row r="487">
      <c r="A487" t="inlineStr">
        <is>
          <t>T-0291</t>
        </is>
      </c>
      <c r="B487" t="inlineStr">
        <is>
          <t>Indraprastha Gas (IGL)</t>
        </is>
      </c>
      <c r="C487" t="inlineStr">
        <is>
          <t>Indraprastha Gas (IGL)</t>
        </is>
      </c>
      <c r="F487" t="inlineStr">
        <is>
          <t>New Lead</t>
        </is>
      </c>
      <c r="H487" t="inlineStr">
        <is>
          <t>View Tender</t>
        </is>
      </c>
      <c r="K487" t="inlineStr">
        <is>
          <t>Not found</t>
        </is>
      </c>
      <c r="L487" t="inlineStr">
        <is>
          <t>Unknown</t>
        </is>
      </c>
      <c r="T487" t="inlineStr">
        <is>
          <t>https://tenders.iglonline.net/tenderDetail/450/Active Tenders And Corrigendum-Addendum</t>
        </is>
      </c>
      <c r="U487" t="inlineStr">
        <is>
          <t>No</t>
        </is>
      </c>
      <c r="V487" t="inlineStr">
        <is>
          <t>Bot tarafindan tespit edildi (2026-07-01)</t>
        </is>
      </c>
    </row>
    <row r="488">
      <c r="A488" t="inlineStr">
        <is>
          <t>T-0292</t>
        </is>
      </c>
      <c r="B488" t="inlineStr">
        <is>
          <t>Indraprastha Gas (IGL)</t>
        </is>
      </c>
      <c r="C488" t="inlineStr">
        <is>
          <t>Indraprastha Gas (IGL)</t>
        </is>
      </c>
      <c r="F488" t="inlineStr">
        <is>
          <t>New Lead</t>
        </is>
      </c>
      <c r="H488" t="inlineStr">
        <is>
          <t>View Tender</t>
        </is>
      </c>
      <c r="K488" t="inlineStr">
        <is>
          <t>Not found</t>
        </is>
      </c>
      <c r="L488" t="inlineStr">
        <is>
          <t>Unknown</t>
        </is>
      </c>
      <c r="T488" t="inlineStr">
        <is>
          <t>https://tenders.iglonline.net/tenderDetail/449/Active Tenders And Corrigendum-Addendum</t>
        </is>
      </c>
      <c r="U488" t="inlineStr">
        <is>
          <t>No</t>
        </is>
      </c>
      <c r="V488" t="inlineStr">
        <is>
          <t>Bot tarafindan tespit edildi (2026-07-01)</t>
        </is>
      </c>
    </row>
    <row r="489">
      <c r="A489" t="inlineStr">
        <is>
          <t>T-0293</t>
        </is>
      </c>
      <c r="B489" t="inlineStr">
        <is>
          <t>Indraprastha Gas (IGL)</t>
        </is>
      </c>
      <c r="C489" t="inlineStr">
        <is>
          <t>Indraprastha Gas (IGL)</t>
        </is>
      </c>
      <c r="F489" t="inlineStr">
        <is>
          <t>New Lead</t>
        </is>
      </c>
      <c r="H489" t="inlineStr">
        <is>
          <t>View Tender</t>
        </is>
      </c>
      <c r="K489" t="inlineStr">
        <is>
          <t>Not found</t>
        </is>
      </c>
      <c r="L489" t="inlineStr">
        <is>
          <t>Unknown</t>
        </is>
      </c>
      <c r="T489" t="inlineStr">
        <is>
          <t>https://tenders.iglonline.net/tenderDetail/448/Active Tenders And Corrigendum-Addendum</t>
        </is>
      </c>
      <c r="U489" t="inlineStr">
        <is>
          <t>No</t>
        </is>
      </c>
      <c r="V489" t="inlineStr">
        <is>
          <t>Bot tarafindan tespit edildi (2026-07-01)</t>
        </is>
      </c>
    </row>
    <row r="490">
      <c r="A490" t="inlineStr">
        <is>
          <t>T-0294</t>
        </is>
      </c>
      <c r="B490" t="inlineStr">
        <is>
          <t>Indraprastha Gas (IGL)</t>
        </is>
      </c>
      <c r="C490" t="inlineStr">
        <is>
          <t>Indraprastha Gas (IGL)</t>
        </is>
      </c>
      <c r="D490" t="inlineStr">
        <is>
          <t>Loading</t>
        </is>
      </c>
      <c r="F490" t="inlineStr">
        <is>
          <t>Awarded</t>
        </is>
      </c>
      <c r="G490" t="inlineStr">
        <is>
          <t>FRS</t>
        </is>
      </c>
      <c r="H490" t="inlineStr">
        <is>
          <t>RTBQ_CP18517_v1.pdf</t>
        </is>
      </c>
      <c r="K490" t="inlineStr">
        <is>
          <t>after filter. During line sizing calculation of 9000 FRS gas velocity is going slightly abo</t>
        </is>
      </c>
      <c r="L490" t="inlineStr">
        <is>
          <t>Unknown</t>
        </is>
      </c>
      <c r="M490" t="n">
        <v>485</v>
      </c>
      <c r="T490" t="inlineStr">
        <is>
          <t>https://tenders.iglonline.net/uploads/tender/RTBQ_CP18517_v1.pdf</t>
        </is>
      </c>
      <c r="U490" t="inlineStr">
        <is>
          <t>No</t>
        </is>
      </c>
      <c r="V490" t="inlineStr">
        <is>
          <t>Bot tarafindan tespit edildi (2026-07-01) | Bot enrich; date=2026-07-01; type=pdf; score=330; pdf_conf=Medium</t>
        </is>
      </c>
    </row>
    <row r="491">
      <c r="A491" t="inlineStr">
        <is>
          <t>T-0295</t>
        </is>
      </c>
      <c r="B491" t="inlineStr">
        <is>
          <t>Indraprastha Gas (IGL)</t>
        </is>
      </c>
      <c r="C491" t="inlineStr">
        <is>
          <t>Indraprastha Gas (IGL)</t>
        </is>
      </c>
      <c r="D491" t="inlineStr">
        <is>
          <t>IGL/ET2/CP/CP18517</t>
        </is>
      </c>
      <c r="F491" t="inlineStr">
        <is>
          <t>Awarded</t>
        </is>
      </c>
      <c r="G491" t="inlineStr">
        <is>
          <t>FRS</t>
        </is>
      </c>
      <c r="H491" t="inlineStr">
        <is>
          <t>CP18517_Corrigendum_I.pdf</t>
        </is>
      </c>
      <c r="K491" t="inlineStr">
        <is>
          <t>Not found</t>
        </is>
      </c>
      <c r="L491" t="inlineStr">
        <is>
          <t>Unknown</t>
        </is>
      </c>
      <c r="T491" t="inlineStr">
        <is>
          <t>https://tenders.iglonline.net/uploads/tender/CP18517_Corrigendum_I.pdf</t>
        </is>
      </c>
      <c r="U491" t="inlineStr">
        <is>
          <t>No</t>
        </is>
      </c>
      <c r="V491" t="inlineStr">
        <is>
          <t>Bot tarafindan tespit edildi (2026-07-01) | Bot enrich; date=2026-07-01; type=pdf; score=330; pdf_conf=Low</t>
        </is>
      </c>
    </row>
    <row r="492">
      <c r="A492" t="inlineStr">
        <is>
          <t>T-0296</t>
        </is>
      </c>
      <c r="B492" t="inlineStr">
        <is>
          <t>Indraprastha Gas (IGL)</t>
        </is>
      </c>
      <c r="C492" t="inlineStr">
        <is>
          <t>Indraprastha Gas (IGL)</t>
        </is>
      </c>
      <c r="F492" t="inlineStr">
        <is>
          <t>New Lead</t>
        </is>
      </c>
      <c r="H492" t="inlineStr">
        <is>
          <t>View Tender</t>
        </is>
      </c>
      <c r="K492" t="inlineStr">
        <is>
          <t>Not found</t>
        </is>
      </c>
      <c r="L492" t="inlineStr">
        <is>
          <t>Unknown</t>
        </is>
      </c>
      <c r="T492" t="inlineStr">
        <is>
          <t>https://tenders.iglonline.net/tenderDetail/447/Active Tenders And Corrigendum-Addendum</t>
        </is>
      </c>
      <c r="U492" t="inlineStr">
        <is>
          <t>No</t>
        </is>
      </c>
      <c r="V492" t="inlineStr">
        <is>
          <t>Bot tarafindan tespit edildi (2026-07-01)</t>
        </is>
      </c>
    </row>
    <row r="493">
      <c r="A493" t="inlineStr">
        <is>
          <t>T-0297</t>
        </is>
      </c>
      <c r="B493" t="inlineStr">
        <is>
          <t>Indraprastha Gas (IGL)</t>
        </is>
      </c>
      <c r="C493" t="inlineStr">
        <is>
          <t>Indraprastha Gas (IGL)</t>
        </is>
      </c>
      <c r="F493" t="inlineStr">
        <is>
          <t>New Lead</t>
        </is>
      </c>
      <c r="H493" t="inlineStr">
        <is>
          <t>RTBQ_1_CP18393_Procurement of Squeeze Off Tools-Final.pdf</t>
        </is>
      </c>
      <c r="K493" t="inlineStr">
        <is>
          <t>Not found</t>
        </is>
      </c>
      <c r="L493" t="inlineStr">
        <is>
          <t>Unknown</t>
        </is>
      </c>
      <c r="T493" t="inlineStr">
        <is>
          <t>https://tenders.iglonline.net/uploads/tender/RTBQ_1_CP18393_Procurement of Squeeze Off Tools-Final.pdf</t>
        </is>
      </c>
      <c r="U493" t="inlineStr">
        <is>
          <t>No</t>
        </is>
      </c>
      <c r="V493" t="inlineStr">
        <is>
          <t>Bot tarafindan tespit edildi (2026-07-01)</t>
        </is>
      </c>
    </row>
    <row r="494">
      <c r="A494" t="inlineStr">
        <is>
          <t>T-0298</t>
        </is>
      </c>
      <c r="B494" t="inlineStr">
        <is>
          <t>Indraprastha Gas (IGL)</t>
        </is>
      </c>
      <c r="C494" t="inlineStr">
        <is>
          <t>Indraprastha Gas (IGL)</t>
        </is>
      </c>
      <c r="F494" t="inlineStr">
        <is>
          <t>New Lead</t>
        </is>
      </c>
      <c r="H494" t="inlineStr">
        <is>
          <t>Corrigendum_I_CP18393.pdf</t>
        </is>
      </c>
      <c r="K494" t="inlineStr">
        <is>
          <t>Not found</t>
        </is>
      </c>
      <c r="L494" t="inlineStr">
        <is>
          <t>Unknown</t>
        </is>
      </c>
      <c r="T494" t="inlineStr">
        <is>
          <t>https://tenders.iglonline.net/uploads/tender/Corrigendum_I_CP18393.pdf</t>
        </is>
      </c>
      <c r="U494" t="inlineStr">
        <is>
          <t>No</t>
        </is>
      </c>
      <c r="V494" t="inlineStr">
        <is>
          <t>Bot tarafindan tespit edildi (2026-07-01)</t>
        </is>
      </c>
    </row>
    <row r="495">
      <c r="A495" t="inlineStr">
        <is>
          <t>T-0299</t>
        </is>
      </c>
      <c r="B495" t="inlineStr">
        <is>
          <t>Indraprastha Gas (IGL)</t>
        </is>
      </c>
      <c r="C495" t="inlineStr">
        <is>
          <t>Indraprastha Gas (IGL)</t>
        </is>
      </c>
      <c r="F495" t="inlineStr">
        <is>
          <t>New Lead</t>
        </is>
      </c>
      <c r="H495" t="inlineStr">
        <is>
          <t>Cancellation_Notice_CP18393.pdf</t>
        </is>
      </c>
      <c r="K495" t="inlineStr">
        <is>
          <t>Not found</t>
        </is>
      </c>
      <c r="L495" t="inlineStr">
        <is>
          <t>Unknown</t>
        </is>
      </c>
      <c r="T495" t="inlineStr">
        <is>
          <t>https://tenders.iglonline.net/uploads/tender/Cancellation_Notice_CP18393.pdf</t>
        </is>
      </c>
      <c r="U495" t="inlineStr">
        <is>
          <t>No</t>
        </is>
      </c>
      <c r="V495" t="inlineStr">
        <is>
          <t>Bot tarafindan tespit edildi (2026-07-01)</t>
        </is>
      </c>
    </row>
    <row r="496">
      <c r="A496" t="inlineStr">
        <is>
          <t>T-0300</t>
        </is>
      </c>
      <c r="B496" t="inlineStr">
        <is>
          <t>Indraprastha Gas (IGL)</t>
        </is>
      </c>
      <c r="C496" t="inlineStr">
        <is>
          <t>Indraprastha Gas (IGL)</t>
        </is>
      </c>
      <c r="F496" t="inlineStr">
        <is>
          <t>New Lead</t>
        </is>
      </c>
      <c r="H496" t="inlineStr">
        <is>
          <t>View Tender</t>
        </is>
      </c>
      <c r="K496" t="inlineStr">
        <is>
          <t>Not found</t>
        </is>
      </c>
      <c r="L496" t="inlineStr">
        <is>
          <t>Unknown</t>
        </is>
      </c>
      <c r="T496" t="inlineStr">
        <is>
          <t>https://tenders.iglonline.net/tenderDetail/446/Active Tenders And Corrigendum-Addendum</t>
        </is>
      </c>
      <c r="U496" t="inlineStr">
        <is>
          <t>No</t>
        </is>
      </c>
      <c r="V496" t="inlineStr">
        <is>
          <t>Bot tarafindan tespit edildi (2026-07-01)</t>
        </is>
      </c>
    </row>
    <row r="497">
      <c r="A497" t="inlineStr">
        <is>
          <t>T-0301</t>
        </is>
      </c>
      <c r="B497" t="inlineStr">
        <is>
          <t>Indraprastha Gas (IGL)</t>
        </is>
      </c>
      <c r="C497" t="inlineStr">
        <is>
          <t>Indraprastha Gas (IGL)</t>
        </is>
      </c>
      <c r="F497" t="inlineStr">
        <is>
          <t>New Lead</t>
        </is>
      </c>
      <c r="G497" t="inlineStr">
        <is>
          <t>Gas-related / review</t>
        </is>
      </c>
      <c r="H497" t="inlineStr">
        <is>
          <t>Corrigendum _I_CP18540.pdf</t>
        </is>
      </c>
      <c r="K497" t="inlineStr">
        <is>
          <t>Not found</t>
        </is>
      </c>
      <c r="L497" t="inlineStr">
        <is>
          <t>Unknown</t>
        </is>
      </c>
      <c r="T497" t="inlineStr">
        <is>
          <t>https://tenders.iglonline.net/uploads/tender/Corrigendum _I_CP18540.pdf</t>
        </is>
      </c>
      <c r="U497" t="inlineStr">
        <is>
          <t>No</t>
        </is>
      </c>
      <c r="V497" t="inlineStr">
        <is>
          <t>Bot tarafindan tespit edildi (2026-07-01); Bot tespit/zenginlestirme (2026-07-01); meta:score=35;priority=Low;source_type=html_table;closing_date=;equipment=Gas-related / review;reasons=equipment:Gas-related / review,document source</t>
        </is>
      </c>
    </row>
    <row r="498">
      <c r="A498" t="inlineStr">
        <is>
          <t>T-0302</t>
        </is>
      </c>
      <c r="B498" t="inlineStr">
        <is>
          <t>Indraprastha Gas (IGL)</t>
        </is>
      </c>
      <c r="C498" t="inlineStr">
        <is>
          <t>Indraprastha Gas (IGL)</t>
        </is>
      </c>
      <c r="F498" t="inlineStr">
        <is>
          <t>New Lead</t>
        </is>
      </c>
      <c r="G498" t="inlineStr">
        <is>
          <t>Gas-related / review</t>
        </is>
      </c>
      <c r="H498" t="inlineStr">
        <is>
          <t>RTBQ_1_CP18540_Laser Methane-F.pdf</t>
        </is>
      </c>
      <c r="K498" t="inlineStr">
        <is>
          <t>Not found</t>
        </is>
      </c>
      <c r="L498" t="inlineStr">
        <is>
          <t>Unknown</t>
        </is>
      </c>
      <c r="T498" t="inlineStr">
        <is>
          <t>https://tenders.iglonline.net/uploads/tender/RTBQ_1_CP18540_Laser Methane-F.pdf</t>
        </is>
      </c>
      <c r="U498" t="inlineStr">
        <is>
          <t>No</t>
        </is>
      </c>
      <c r="V498" t="inlineStr">
        <is>
          <t>Bot tarafindan tespit edildi (2026-07-01); Bot tespit/zenginlestirme (2026-07-01); meta:score=35;priority=Low;source_type=html_table;closing_date=;equipment=Gas-related / review;reasons=equipment:Gas-related / review,document source</t>
        </is>
      </c>
    </row>
    <row r="499">
      <c r="A499" t="inlineStr">
        <is>
          <t>T-0303</t>
        </is>
      </c>
      <c r="B499" t="inlineStr">
        <is>
          <t>Indraprastha Gas (IGL)</t>
        </is>
      </c>
      <c r="C499" t="inlineStr">
        <is>
          <t>Indraprastha Gas (IGL)</t>
        </is>
      </c>
      <c r="F499" t="inlineStr">
        <is>
          <t>New Lead</t>
        </is>
      </c>
      <c r="H499" t="inlineStr">
        <is>
          <t>View Tender</t>
        </is>
      </c>
      <c r="K499" t="inlineStr">
        <is>
          <t>Not found</t>
        </is>
      </c>
      <c r="L499" t="inlineStr">
        <is>
          <t>Unknown</t>
        </is>
      </c>
      <c r="T499" t="inlineStr">
        <is>
          <t>https://tenders.iglonline.net/tenderDetail/445/Active Tenders And Corrigendum-Addendum</t>
        </is>
      </c>
      <c r="U499" t="inlineStr">
        <is>
          <t>No</t>
        </is>
      </c>
      <c r="V499" t="inlineStr">
        <is>
          <t>Bot tarafindan tespit edildi (2026-07-01)</t>
        </is>
      </c>
    </row>
    <row r="500">
      <c r="A500" t="inlineStr">
        <is>
          <t>T-0304</t>
        </is>
      </c>
      <c r="B500" t="inlineStr">
        <is>
          <t>Indraprastha Gas (IGL)</t>
        </is>
      </c>
      <c r="C500" t="inlineStr">
        <is>
          <t>Indraprastha Gas (IGL)</t>
        </is>
      </c>
      <c r="F500" t="inlineStr">
        <is>
          <t>New Lead</t>
        </is>
      </c>
      <c r="H500" t="inlineStr">
        <is>
          <t>Tender_CP18546.pdf</t>
        </is>
      </c>
      <c r="K500" t="inlineStr">
        <is>
          <t>Not found</t>
        </is>
      </c>
      <c r="L500" t="inlineStr">
        <is>
          <t>Unknown</t>
        </is>
      </c>
      <c r="T500" t="inlineStr">
        <is>
          <t>https://tenders.iglonline.net/uploads/tender/Tender_CP18546.pdf</t>
        </is>
      </c>
      <c r="U500" t="inlineStr">
        <is>
          <t>No</t>
        </is>
      </c>
      <c r="V500" t="inlineStr">
        <is>
          <t>Bot tarafindan tespit edildi (2026-07-01)</t>
        </is>
      </c>
    </row>
    <row r="501">
      <c r="A501" t="inlineStr">
        <is>
          <t>T-0305</t>
        </is>
      </c>
      <c r="B501" t="inlineStr">
        <is>
          <t>Indraprastha Gas (IGL)</t>
        </is>
      </c>
      <c r="C501" t="inlineStr">
        <is>
          <t>Indraprastha Gas (IGL)</t>
        </is>
      </c>
      <c r="F501" t="inlineStr">
        <is>
          <t>New Lead</t>
        </is>
      </c>
      <c r="H501" t="inlineStr">
        <is>
          <t>Corrigendum_1_CP18546.pdf</t>
        </is>
      </c>
      <c r="K501" t="inlineStr">
        <is>
          <t>Not found</t>
        </is>
      </c>
      <c r="L501" t="inlineStr">
        <is>
          <t>Unknown</t>
        </is>
      </c>
      <c r="T501" t="inlineStr">
        <is>
          <t>https://tenders.iglonline.net/uploads/tender/Corrigendum_1_CP18546.pdf</t>
        </is>
      </c>
      <c r="U501" t="inlineStr">
        <is>
          <t>No</t>
        </is>
      </c>
      <c r="V501" t="inlineStr">
        <is>
          <t>Bot tarafindan tespit edildi (2026-07-01)</t>
        </is>
      </c>
    </row>
    <row r="502">
      <c r="A502" t="inlineStr">
        <is>
          <t>T-0306</t>
        </is>
      </c>
      <c r="B502" t="inlineStr">
        <is>
          <t>Indraprastha Gas (IGL)</t>
        </is>
      </c>
      <c r="C502" t="inlineStr">
        <is>
          <t>Indraprastha Gas (IGL)</t>
        </is>
      </c>
      <c r="F502" t="inlineStr">
        <is>
          <t>New Lead</t>
        </is>
      </c>
      <c r="H502" t="inlineStr">
        <is>
          <t>View Tender</t>
        </is>
      </c>
      <c r="K502" t="inlineStr">
        <is>
          <t>Not found</t>
        </is>
      </c>
      <c r="L502" t="inlineStr">
        <is>
          <t>Unknown</t>
        </is>
      </c>
      <c r="T502" t="inlineStr">
        <is>
          <t>https://tenders.iglonline.net/tenderDetail/444/Active Tenders And Corrigendum-Addendum</t>
        </is>
      </c>
      <c r="U502" t="inlineStr">
        <is>
          <t>No</t>
        </is>
      </c>
      <c r="V502" t="inlineStr">
        <is>
          <t>Bot tarafindan tespit edildi (2026-07-01)</t>
        </is>
      </c>
    </row>
    <row r="503">
      <c r="A503" t="inlineStr">
        <is>
          <t>T-0307</t>
        </is>
      </c>
      <c r="B503" t="inlineStr">
        <is>
          <t>Indraprastha Gas (IGL)</t>
        </is>
      </c>
      <c r="C503" t="inlineStr">
        <is>
          <t>Indraprastha Gas (IGL)</t>
        </is>
      </c>
      <c r="F503" t="inlineStr">
        <is>
          <t>New Lead</t>
        </is>
      </c>
      <c r="H503" t="inlineStr">
        <is>
          <t>Tender_CP18547.pdf</t>
        </is>
      </c>
      <c r="K503" t="inlineStr">
        <is>
          <t>Not found</t>
        </is>
      </c>
      <c r="L503" t="inlineStr">
        <is>
          <t>Unknown</t>
        </is>
      </c>
      <c r="T503" t="inlineStr">
        <is>
          <t>https://tenders.iglonline.net/uploads/tender/Tender_CP18547.pdf</t>
        </is>
      </c>
      <c r="U503" t="inlineStr">
        <is>
          <t>No</t>
        </is>
      </c>
      <c r="V503" t="inlineStr">
        <is>
          <t>Bot tarafindan tespit edildi (2026-07-01)</t>
        </is>
      </c>
    </row>
    <row r="504">
      <c r="A504" t="inlineStr">
        <is>
          <t>T-0308</t>
        </is>
      </c>
      <c r="B504" t="inlineStr">
        <is>
          <t>Indraprastha Gas (IGL)</t>
        </is>
      </c>
      <c r="C504" t="inlineStr">
        <is>
          <t>Indraprastha Gas (IGL)</t>
        </is>
      </c>
      <c r="F504" t="inlineStr">
        <is>
          <t>New Lead</t>
        </is>
      </c>
      <c r="H504" t="inlineStr">
        <is>
          <t>RTBQ CP18547.pdf</t>
        </is>
      </c>
      <c r="K504" t="inlineStr">
        <is>
          <t>Not found</t>
        </is>
      </c>
      <c r="L504" t="inlineStr">
        <is>
          <t>Unknown</t>
        </is>
      </c>
      <c r="T504" t="inlineStr">
        <is>
          <t>https://tenders.iglonline.net/uploads/tender/RTBQ CP18547.pdf</t>
        </is>
      </c>
      <c r="U504" t="inlineStr">
        <is>
          <t>No</t>
        </is>
      </c>
      <c r="V504" t="inlineStr">
        <is>
          <t>Bot tarafindan tespit edildi (2026-07-01)</t>
        </is>
      </c>
    </row>
    <row r="505">
      <c r="A505" t="inlineStr">
        <is>
          <t>T-0309</t>
        </is>
      </c>
      <c r="B505" t="inlineStr">
        <is>
          <t>Indraprastha Gas (IGL)</t>
        </is>
      </c>
      <c r="C505" t="inlineStr">
        <is>
          <t>Indraprastha Gas (IGL)</t>
        </is>
      </c>
      <c r="F505" t="inlineStr">
        <is>
          <t>New Lead</t>
        </is>
      </c>
      <c r="H505" t="inlineStr">
        <is>
          <t>View Tender</t>
        </is>
      </c>
      <c r="K505" t="inlineStr">
        <is>
          <t>Not found</t>
        </is>
      </c>
      <c r="L505" t="inlineStr">
        <is>
          <t>Unknown</t>
        </is>
      </c>
      <c r="T505" t="inlineStr">
        <is>
          <t>https://tenders.iglonline.net/tenderDetail/443/Active Tenders And Corrigendum-Addendum</t>
        </is>
      </c>
      <c r="U505" t="inlineStr">
        <is>
          <t>No</t>
        </is>
      </c>
      <c r="V505" t="inlineStr">
        <is>
          <t>Bot tarafindan tespit edildi (2026-07-01)</t>
        </is>
      </c>
    </row>
    <row r="506">
      <c r="A506" t="inlineStr">
        <is>
          <t>T-0310</t>
        </is>
      </c>
      <c r="B506" t="inlineStr">
        <is>
          <t>Indraprastha Gas (IGL)</t>
        </is>
      </c>
      <c r="C506" t="inlineStr">
        <is>
          <t>Indraprastha Gas (IGL)</t>
        </is>
      </c>
      <c r="F506" t="inlineStr">
        <is>
          <t>New Lead</t>
        </is>
      </c>
      <c r="H506" t="inlineStr">
        <is>
          <t>Tender_Doc_CC18414.pdf</t>
        </is>
      </c>
      <c r="K506" t="inlineStr">
        <is>
          <t>Not found</t>
        </is>
      </c>
      <c r="L506" t="inlineStr">
        <is>
          <t>Unknown</t>
        </is>
      </c>
      <c r="T506" t="inlineStr">
        <is>
          <t>https://tenders.iglonline.net/uploads/tender/Tender_Doc_CC18414.pdf</t>
        </is>
      </c>
      <c r="U506" t="inlineStr">
        <is>
          <t>No</t>
        </is>
      </c>
      <c r="V506" t="inlineStr">
        <is>
          <t>Bot tarafindan tespit edildi (2026-07-01)</t>
        </is>
      </c>
    </row>
    <row r="507">
      <c r="A507" t="inlineStr">
        <is>
          <t>T-0311</t>
        </is>
      </c>
      <c r="B507" t="inlineStr">
        <is>
          <t>Indraprastha Gas (IGL)</t>
        </is>
      </c>
      <c r="C507" t="inlineStr">
        <is>
          <t>Indraprastha Gas (IGL)</t>
        </is>
      </c>
      <c r="F507" t="inlineStr">
        <is>
          <t>New Lead</t>
        </is>
      </c>
      <c r="H507" t="inlineStr">
        <is>
          <t>View Tender</t>
        </is>
      </c>
      <c r="K507" t="inlineStr">
        <is>
          <t>Not found</t>
        </is>
      </c>
      <c r="L507" t="inlineStr">
        <is>
          <t>Unknown</t>
        </is>
      </c>
      <c r="T507" t="inlineStr">
        <is>
          <t>https://tenders.iglonline.net/tenderDetail/442/Active Tenders And Corrigendum-Addendum</t>
        </is>
      </c>
      <c r="U507" t="inlineStr">
        <is>
          <t>No</t>
        </is>
      </c>
      <c r="V507" t="inlineStr">
        <is>
          <t>Bot tarafindan tespit edildi (2026-07-01)</t>
        </is>
      </c>
    </row>
    <row r="508">
      <c r="A508" t="inlineStr">
        <is>
          <t>T-0312</t>
        </is>
      </c>
      <c r="B508" t="inlineStr">
        <is>
          <t>Indraprastha Gas (IGL)</t>
        </is>
      </c>
      <c r="C508" t="inlineStr">
        <is>
          <t>Indraprastha Gas (IGL)</t>
        </is>
      </c>
      <c r="F508" t="inlineStr">
        <is>
          <t>New Lead</t>
        </is>
      </c>
      <c r="G508" t="inlineStr">
        <is>
          <t>Gas-related / review</t>
        </is>
      </c>
      <c r="H508" t="inlineStr">
        <is>
          <t>Tender_CC18543_Dismantling_and_Shifting.pdf</t>
        </is>
      </c>
      <c r="K508" t="inlineStr">
        <is>
          <t>Not found</t>
        </is>
      </c>
      <c r="L508" t="inlineStr">
        <is>
          <t>Unknown</t>
        </is>
      </c>
      <c r="T508" t="inlineStr">
        <is>
          <t>https://tenders.iglonline.net/uploads/tender/Tender_CC18543_Dismantling_and_Shifting.pdf</t>
        </is>
      </c>
      <c r="U508" t="inlineStr">
        <is>
          <t>No</t>
        </is>
      </c>
      <c r="V508" t="inlineStr">
        <is>
          <t>Bot tarafindan tespit edildi (2026-07-01); Bot tespit/zenginlestirme (2026-07-01); meta:score=35;priority=Low;source_type=html_table;closing_date=;equipment=Gas-related / review;reasons=equipment:Gas-related / review,document source</t>
        </is>
      </c>
    </row>
    <row r="509">
      <c r="A509" t="inlineStr">
        <is>
          <t>T-0313</t>
        </is>
      </c>
      <c r="B509" t="inlineStr">
        <is>
          <t>Indraprastha Gas (IGL)</t>
        </is>
      </c>
      <c r="C509" t="inlineStr">
        <is>
          <t>Indraprastha Gas (IGL)</t>
        </is>
      </c>
      <c r="F509" t="inlineStr">
        <is>
          <t>New Lead</t>
        </is>
      </c>
      <c r="H509" t="inlineStr">
        <is>
          <t>View Tender</t>
        </is>
      </c>
      <c r="K509" t="inlineStr">
        <is>
          <t>Not found</t>
        </is>
      </c>
      <c r="L509" t="inlineStr">
        <is>
          <t>Unknown</t>
        </is>
      </c>
      <c r="T509" t="inlineStr">
        <is>
          <t>https://tenders.iglonline.net/tenderDetail/441/Active Tenders And Corrigendum-Addendum</t>
        </is>
      </c>
      <c r="U509" t="inlineStr">
        <is>
          <t>No</t>
        </is>
      </c>
      <c r="V509" t="inlineStr">
        <is>
          <t>Bot tarafindan tespit edildi (2026-07-01)</t>
        </is>
      </c>
    </row>
    <row r="510">
      <c r="A510" t="inlineStr">
        <is>
          <t>T-0314</t>
        </is>
      </c>
      <c r="B510" t="inlineStr">
        <is>
          <t>Indraprastha Gas (IGL)</t>
        </is>
      </c>
      <c r="C510" t="inlineStr">
        <is>
          <t>Indraprastha Gas (IGL)</t>
        </is>
      </c>
      <c r="F510" t="inlineStr">
        <is>
          <t>New Lead</t>
        </is>
      </c>
      <c r="H510" t="inlineStr">
        <is>
          <t>Tender_Document_CM18548.pdf</t>
        </is>
      </c>
      <c r="K510" t="inlineStr">
        <is>
          <t>Not found</t>
        </is>
      </c>
      <c r="L510" t="inlineStr">
        <is>
          <t>Unknown</t>
        </is>
      </c>
      <c r="T510" t="inlineStr">
        <is>
          <t>https://tenders.iglonline.net/uploads/tender/Tender_Document_CM18548.pdf</t>
        </is>
      </c>
      <c r="U510" t="inlineStr">
        <is>
          <t>No</t>
        </is>
      </c>
      <c r="V510" t="inlineStr">
        <is>
          <t>Bot tarafindan tespit edildi (2026-07-01)</t>
        </is>
      </c>
    </row>
    <row r="511">
      <c r="A511" t="inlineStr">
        <is>
          <t>T-0315</t>
        </is>
      </c>
      <c r="B511" t="inlineStr">
        <is>
          <t>Indraprastha Gas (IGL)</t>
        </is>
      </c>
      <c r="C511" t="inlineStr">
        <is>
          <t>Indraprastha Gas (IGL)</t>
        </is>
      </c>
      <c r="F511" t="inlineStr">
        <is>
          <t>New Lead</t>
        </is>
      </c>
      <c r="H511" t="inlineStr">
        <is>
          <t>RTPBQ_CM18548.pdf</t>
        </is>
      </c>
      <c r="K511" t="inlineStr">
        <is>
          <t>Not found</t>
        </is>
      </c>
      <c r="L511" t="inlineStr">
        <is>
          <t>Unknown</t>
        </is>
      </c>
      <c r="T511" t="inlineStr">
        <is>
          <t>https://tenders.iglonline.net/uploads/tender/RTPBQ_CM18548.pdf</t>
        </is>
      </c>
      <c r="U511" t="inlineStr">
        <is>
          <t>No</t>
        </is>
      </c>
      <c r="V511" t="inlineStr">
        <is>
          <t>Bot tarafindan tespit edildi (2026-07-01)</t>
        </is>
      </c>
    </row>
    <row r="512">
      <c r="A512" t="inlineStr">
        <is>
          <t>T-0316</t>
        </is>
      </c>
      <c r="B512" t="inlineStr">
        <is>
          <t>Indraprastha Gas (IGL)</t>
        </is>
      </c>
      <c r="C512" t="inlineStr">
        <is>
          <t>Indraprastha Gas (IGL)</t>
        </is>
      </c>
      <c r="F512" t="inlineStr">
        <is>
          <t>New Lead</t>
        </is>
      </c>
      <c r="G512" t="inlineStr">
        <is>
          <t>Regulating station</t>
        </is>
      </c>
      <c r="H512" t="inlineStr">
        <is>
          <t>View Tender</t>
        </is>
      </c>
      <c r="K512" t="inlineStr">
        <is>
          <t>Not found</t>
        </is>
      </c>
      <c r="L512" t="inlineStr">
        <is>
          <t>Unknown</t>
        </is>
      </c>
      <c r="T512" t="inlineStr">
        <is>
          <t>https://tenders.iglonline.net/tenderDetail/440/Active Tenders And Corrigendum-Addendum</t>
        </is>
      </c>
      <c r="U512" t="inlineStr">
        <is>
          <t>No</t>
        </is>
      </c>
      <c r="V512" t="inlineStr">
        <is>
          <t>Bot tarafindan tespit edildi (2026-07-01); Bot tespit/zenginlestirme (2026-07-01); meta:score=80;priority=High;source_type=html_table;closing_date=;equipment=Regulating station;reasons=equipment:Regulating station,station/skid keyword,document source; Bot clean extraction (2026-07-01); meta:score=90;priority=High;source_type=html_table;closing_date=;equipment=Regulating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513">
      <c r="A513" t="inlineStr">
        <is>
          <t>T-0317</t>
        </is>
      </c>
      <c r="B513" t="inlineStr">
        <is>
          <t>Indraprastha Gas (IGL)</t>
        </is>
      </c>
      <c r="C513" t="inlineStr">
        <is>
          <t>Indraprastha Gas (IGL)</t>
        </is>
      </c>
      <c r="D513" t="inlineStr">
        <is>
          <t>Loading</t>
        </is>
      </c>
      <c r="E513" t="inlineStr">
        <is>
          <t>10-03-33</t>
        </is>
      </c>
      <c r="F513" t="inlineStr">
        <is>
          <t>Awarded</t>
        </is>
      </c>
      <c r="G513" t="inlineStr">
        <is>
          <t>MRS</t>
        </is>
      </c>
      <c r="H513" t="inlineStr">
        <is>
          <t>Technical_Volume_CP18519.pdf</t>
        </is>
      </c>
      <c r="K513" t="inlineStr">
        <is>
          <t>Bharat Petroleum Corporation Limited (BPCL) and Govt. of National Capital Territory of Delh</t>
        </is>
      </c>
      <c r="L513" t="inlineStr">
        <is>
          <t>Unknown</t>
        </is>
      </c>
      <c r="M513" t="n">
        <v>44</v>
      </c>
      <c r="T513" t="inlineStr">
        <is>
          <t>https://tenders.iglonline.net/uploads/tender/Technical_Volume_CP18519.pdf</t>
        </is>
      </c>
      <c r="U513" t="inlineStr">
        <is>
          <t>No</t>
        </is>
      </c>
      <c r="V513" t="inlineStr">
        <is>
          <t>Bot tarafindan tespit edildi (2026-07-01) | Bot enrich; date=2026-07-01; type=pdf; score=330; pdf_conf=Medium;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station;quality_status=market_target;market_relevance=High;document_type=award;unit_price_inr=;amount_label=;matched_terms=Regulating / metering station,Skid / gas train;reject_reasons=employment/corporate,non-product service,retail/cng station noise,civil/electrical only;scope=market_intelligence_only;excluded_scope=no_bid_or_offer_submission_automation</t>
        </is>
      </c>
    </row>
    <row r="514">
      <c r="A514" t="inlineStr">
        <is>
          <t>T-0318</t>
        </is>
      </c>
      <c r="B514" t="inlineStr">
        <is>
          <t>Indraprastha Gas (IGL)</t>
        </is>
      </c>
      <c r="C514" t="inlineStr">
        <is>
          <t>Indraprastha Gas (IGL)</t>
        </is>
      </c>
      <c r="D514" t="inlineStr">
        <is>
          <t>DOCUMENT</t>
        </is>
      </c>
      <c r="F514" t="inlineStr">
        <is>
          <t>Awarded</t>
        </is>
      </c>
      <c r="G514" t="inlineStr">
        <is>
          <t>MRS</t>
        </is>
      </c>
      <c r="H514" t="inlineStr">
        <is>
          <t>Commercial_Volume_CP18519.pdf</t>
        </is>
      </c>
      <c r="K514" t="inlineStr">
        <is>
          <t>TO INFORM .......................................................................</t>
        </is>
      </c>
      <c r="L514" t="inlineStr">
        <is>
          <t>Unknown</t>
        </is>
      </c>
      <c r="M514" t="n">
        <v>2000000</v>
      </c>
      <c r="T514" t="inlineStr">
        <is>
          <t>https://tenders.iglonline.net/uploads/tender/Commercial_Volume_CP18519.pdf</t>
        </is>
      </c>
      <c r="U514" t="inlineStr">
        <is>
          <t>No</t>
        </is>
      </c>
      <c r="V514" t="inlineStr">
        <is>
          <t>Bot tarafindan tespit edildi (2026-07-01) | Bot enrich; date=2026-07-01; type=pdf; score=330; pdf_conf=Medium;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station;quality_status=market_target;market_relevance=High;document_type=award;unit_price_inr=;amount_label=currency_near_total;matched_terms=Regulating / metering station;reject_reasons=employment/corporate,civil/electrical only;scope=market_intelligence_only;excluded_scope=no_bid_or_offer_submission_automation</t>
        </is>
      </c>
    </row>
    <row r="515">
      <c r="A515" t="inlineStr">
        <is>
          <t>T-0319</t>
        </is>
      </c>
      <c r="B515" t="inlineStr">
        <is>
          <t>Indraprastha Gas (IGL)</t>
        </is>
      </c>
      <c r="C515" t="inlineStr">
        <is>
          <t>Indraprastha Gas (IGL)</t>
        </is>
      </c>
      <c r="D515" t="inlineStr">
        <is>
          <t>DOCUMENT</t>
        </is>
      </c>
      <c r="F515" t="inlineStr">
        <is>
          <t>Awarded</t>
        </is>
      </c>
      <c r="G515" t="inlineStr">
        <is>
          <t>MRS</t>
        </is>
      </c>
      <c r="H515" t="inlineStr">
        <is>
          <t>Commercial_Volume_CP18519_new.pdf</t>
        </is>
      </c>
      <c r="K515" t="inlineStr">
        <is>
          <t>TO INFORM .......................................................................</t>
        </is>
      </c>
      <c r="L515" t="inlineStr">
        <is>
          <t>Unknown</t>
        </is>
      </c>
      <c r="M515" t="n">
        <v>2000000</v>
      </c>
      <c r="T515" t="inlineStr">
        <is>
          <t>https://tenders.iglonline.net/uploads/tender/Commercial_Volume_CP18519_new.pdf</t>
        </is>
      </c>
      <c r="U515" t="inlineStr">
        <is>
          <t>No</t>
        </is>
      </c>
      <c r="V515" t="inlineStr">
        <is>
          <t>Bot tarafindan tespit edildi (2026-07-01) | Bot enrich; date=2026-07-01; type=pdf; score=330; pdf_conf=Medium;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station;quality_status=market_target;market_relevance=High;document_type=award;unit_price_inr=;amount_label=currency_near_total;matched_terms=Regulating / metering station;reject_reasons=employment/corporate,civil/electrical only;scope=market_intelligence_only;excluded_scope=no_bid_or_offer_submission_automation</t>
        </is>
      </c>
    </row>
    <row r="516">
      <c r="A516" t="inlineStr">
        <is>
          <t>T-0320</t>
        </is>
      </c>
      <c r="B516" t="inlineStr">
        <is>
          <t>Indraprastha Gas (IGL)</t>
        </is>
      </c>
      <c r="C516" t="inlineStr">
        <is>
          <t>Indraprastha Gas (IGL)</t>
        </is>
      </c>
      <c r="D516" t="inlineStr">
        <is>
          <t>QUERIES</t>
        </is>
      </c>
      <c r="F516" t="inlineStr">
        <is>
          <t>Awarded</t>
        </is>
      </c>
      <c r="G516" t="inlineStr">
        <is>
          <t>MRS</t>
        </is>
      </c>
      <c r="H516" t="inlineStr">
        <is>
          <t>RTBQ_CP18519.pdf</t>
        </is>
      </c>
      <c r="K516" t="inlineStr">
        <is>
          <t>Astron Brass 31 General</t>
        </is>
      </c>
      <c r="L516" t="inlineStr">
        <is>
          <t>Unknown</t>
        </is>
      </c>
      <c r="T516" t="inlineStr">
        <is>
          <t>https://tenders.iglonline.net/uploads/tender/RTBQ_CP18519.pdf</t>
        </is>
      </c>
      <c r="U516" t="inlineStr">
        <is>
          <t>No</t>
        </is>
      </c>
      <c r="V516" t="inlineStr">
        <is>
          <t>Bot tarafindan tespit edildi (2026-07-01) | Bot enrich; date=2026-07-01; type=pdf; score=330; pdf_conf=Medium;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station;quality_status=market_target;market_relevance=High;document_type=award;unit_price_inr=;amount_label=;matched_terms=Regulating / metering station;reject_reasons=employment/corporate,non-product service;scope=market_intelligence_only;excluded_scope=no_bid_or_offer_submission_automation</t>
        </is>
      </c>
    </row>
    <row r="517">
      <c r="A517" t="inlineStr">
        <is>
          <t>T-0321</t>
        </is>
      </c>
      <c r="B517" t="inlineStr">
        <is>
          <t>Indraprastha Gas (IGL)</t>
        </is>
      </c>
      <c r="C517" t="inlineStr">
        <is>
          <t>Indraprastha Gas (IGL)</t>
        </is>
      </c>
      <c r="D517" t="inlineStr">
        <is>
          <t>DOCUMENT</t>
        </is>
      </c>
      <c r="F517" t="inlineStr">
        <is>
          <t>Awarded</t>
        </is>
      </c>
      <c r="G517" t="inlineStr">
        <is>
          <t>MRS</t>
        </is>
      </c>
      <c r="H517" t="inlineStr">
        <is>
          <t>Corrigendum_1_CP18519.pdf</t>
        </is>
      </c>
      <c r="K517" t="inlineStr">
        <is>
          <t>after gas charging shall be paid as per SOR 4. Construction of RCC structure for</t>
        </is>
      </c>
      <c r="L517" t="inlineStr">
        <is>
          <t>Unknown</t>
        </is>
      </c>
      <c r="T517" t="inlineStr">
        <is>
          <t>https://tenders.iglonline.net/uploads/tender/Corrigendum_1_CP18519.pdf</t>
        </is>
      </c>
      <c r="U517" t="inlineStr">
        <is>
          <t>No</t>
        </is>
      </c>
      <c r="V517"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station;quality_status=market_target;market_relevance=High;document_type=corrigendum;unit_price_inr=;amount_label=;matched_terms=Regulating / metering station;reject_reasons=employment/corporate;scope=market_intelligence_only;excluded_scope=no_bid_or_offer_submission_automation</t>
        </is>
      </c>
    </row>
    <row r="518">
      <c r="A518" t="inlineStr">
        <is>
          <t>T-0322</t>
        </is>
      </c>
      <c r="B518" t="inlineStr">
        <is>
          <t>Indraprastha Gas (IGL)</t>
        </is>
      </c>
      <c r="C518" t="inlineStr">
        <is>
          <t>Indraprastha Gas (IGL)</t>
        </is>
      </c>
      <c r="F518" t="inlineStr">
        <is>
          <t>New Lead</t>
        </is>
      </c>
      <c r="H518" t="inlineStr">
        <is>
          <t>View Tender</t>
        </is>
      </c>
      <c r="K518" t="inlineStr">
        <is>
          <t>Not found</t>
        </is>
      </c>
      <c r="L518" t="inlineStr">
        <is>
          <t>Unknown</t>
        </is>
      </c>
      <c r="T518" t="inlineStr">
        <is>
          <t>https://tenders.iglonline.net/tenderDetail/439/Active Tenders And Corrigendum-Addendum</t>
        </is>
      </c>
      <c r="U518" t="inlineStr">
        <is>
          <t>No</t>
        </is>
      </c>
      <c r="V518" t="inlineStr">
        <is>
          <t>Bot tarafindan tespit edildi (2026-07-01)</t>
        </is>
      </c>
    </row>
    <row r="519">
      <c r="A519" t="inlineStr">
        <is>
          <t>T-0323</t>
        </is>
      </c>
      <c r="B519" t="inlineStr">
        <is>
          <t>Indraprastha Gas (IGL)</t>
        </is>
      </c>
      <c r="C519" t="inlineStr">
        <is>
          <t>Indraprastha Gas (IGL)</t>
        </is>
      </c>
      <c r="F519" t="inlineStr">
        <is>
          <t>New Lead</t>
        </is>
      </c>
      <c r="H519" t="inlineStr">
        <is>
          <t>Tender_CP18492.pdf</t>
        </is>
      </c>
      <c r="K519" t="inlineStr">
        <is>
          <t>Not found</t>
        </is>
      </c>
      <c r="L519" t="inlineStr">
        <is>
          <t>Unknown</t>
        </is>
      </c>
      <c r="T519" t="inlineStr">
        <is>
          <t>https://tenders.iglonline.net/uploads/tender/Tender_CP18492.pdf</t>
        </is>
      </c>
      <c r="U519" t="inlineStr">
        <is>
          <t>No</t>
        </is>
      </c>
      <c r="V519" t="inlineStr">
        <is>
          <t>Bot tarafindan tespit edildi (2026-07-01)</t>
        </is>
      </c>
    </row>
    <row r="520">
      <c r="A520" t="inlineStr">
        <is>
          <t>T-0324</t>
        </is>
      </c>
      <c r="B520" t="inlineStr">
        <is>
          <t>Indraprastha Gas (IGL)</t>
        </is>
      </c>
      <c r="C520" t="inlineStr">
        <is>
          <t>Indraprastha Gas (IGL)</t>
        </is>
      </c>
      <c r="F520" t="inlineStr">
        <is>
          <t>New Lead</t>
        </is>
      </c>
      <c r="H520" t="inlineStr">
        <is>
          <t>RTBQ CP18492_F.pdf</t>
        </is>
      </c>
      <c r="K520" t="inlineStr">
        <is>
          <t>Not found</t>
        </is>
      </c>
      <c r="L520" t="inlineStr">
        <is>
          <t>Unknown</t>
        </is>
      </c>
      <c r="T520" t="inlineStr">
        <is>
          <t>https://tenders.iglonline.net/uploads/tender/RTBQ CP18492_F.pdf</t>
        </is>
      </c>
      <c r="U520" t="inlineStr">
        <is>
          <t>No</t>
        </is>
      </c>
      <c r="V520" t="inlineStr">
        <is>
          <t>Bot tarafindan tespit edildi (2026-07-01)</t>
        </is>
      </c>
    </row>
    <row r="521">
      <c r="A521" t="inlineStr">
        <is>
          <t>T-0325</t>
        </is>
      </c>
      <c r="B521" t="inlineStr">
        <is>
          <t>Indraprastha Gas (IGL)</t>
        </is>
      </c>
      <c r="C521" t="inlineStr">
        <is>
          <t>Indraprastha Gas (IGL)</t>
        </is>
      </c>
      <c r="F521" t="inlineStr">
        <is>
          <t>New Lead</t>
        </is>
      </c>
      <c r="H521" t="inlineStr">
        <is>
          <t>Corrigendum_I_CP18492.pdf</t>
        </is>
      </c>
      <c r="K521" t="inlineStr">
        <is>
          <t>Not found</t>
        </is>
      </c>
      <c r="L521" t="inlineStr">
        <is>
          <t>Unknown</t>
        </is>
      </c>
      <c r="T521" t="inlineStr">
        <is>
          <t>https://tenders.iglonline.net/uploads/tender/Corrigendum_I_CP18492.pdf</t>
        </is>
      </c>
      <c r="U521" t="inlineStr">
        <is>
          <t>No</t>
        </is>
      </c>
      <c r="V521" t="inlineStr">
        <is>
          <t>Bot tarafindan tespit edildi (2026-07-01)</t>
        </is>
      </c>
    </row>
    <row r="522">
      <c r="A522" t="inlineStr">
        <is>
          <t>T-0326</t>
        </is>
      </c>
      <c r="B522" t="inlineStr">
        <is>
          <t>Indraprastha Gas (IGL)</t>
        </is>
      </c>
      <c r="C522" t="inlineStr">
        <is>
          <t>Indraprastha Gas (IGL)</t>
        </is>
      </c>
      <c r="F522" t="inlineStr">
        <is>
          <t>New Lead</t>
        </is>
      </c>
      <c r="H522" t="inlineStr">
        <is>
          <t>View Tender</t>
        </is>
      </c>
      <c r="K522" t="inlineStr">
        <is>
          <t>Not found</t>
        </is>
      </c>
      <c r="L522" t="inlineStr">
        <is>
          <t>Unknown</t>
        </is>
      </c>
      <c r="T522" t="inlineStr">
        <is>
          <t>https://tenders.iglonline.net/tenderDetail/438/Active Tenders And Corrigendum-Addendum</t>
        </is>
      </c>
      <c r="U522" t="inlineStr">
        <is>
          <t>No</t>
        </is>
      </c>
      <c r="V522" t="inlineStr">
        <is>
          <t>Bot tarafindan tespit edildi (2026-07-01)</t>
        </is>
      </c>
    </row>
    <row r="523">
      <c r="A523" t="inlineStr">
        <is>
          <t>T-0327</t>
        </is>
      </c>
      <c r="B523" t="inlineStr">
        <is>
          <t>Indraprastha Gas (IGL)</t>
        </is>
      </c>
      <c r="C523" t="inlineStr">
        <is>
          <t>Indraprastha Gas (IGL)</t>
        </is>
      </c>
      <c r="F523" t="inlineStr">
        <is>
          <t>New Lead</t>
        </is>
      </c>
      <c r="H523" t="inlineStr">
        <is>
          <t>Comm_Vol_CP18502.pdf</t>
        </is>
      </c>
      <c r="K523" t="inlineStr">
        <is>
          <t>Not found</t>
        </is>
      </c>
      <c r="L523" t="inlineStr">
        <is>
          <t>Unknown</t>
        </is>
      </c>
      <c r="T523" t="inlineStr">
        <is>
          <t>https://tenders.iglonline.net/uploads/tender/Comm_Vol_CP18502.pdf</t>
        </is>
      </c>
      <c r="U523" t="inlineStr">
        <is>
          <t>No</t>
        </is>
      </c>
      <c r="V523" t="inlineStr">
        <is>
          <t>Bot tarafindan tespit edildi (2026-07-01)</t>
        </is>
      </c>
    </row>
    <row r="524">
      <c r="A524" t="inlineStr">
        <is>
          <t>T-0328</t>
        </is>
      </c>
      <c r="B524" t="inlineStr">
        <is>
          <t>Indraprastha Gas (IGL)</t>
        </is>
      </c>
      <c r="C524" t="inlineStr">
        <is>
          <t>Indraprastha Gas (IGL)</t>
        </is>
      </c>
      <c r="F524" t="inlineStr">
        <is>
          <t>New Lead</t>
        </is>
      </c>
      <c r="H524" t="inlineStr">
        <is>
          <t>Tech_Vol_CP18502.pdf</t>
        </is>
      </c>
      <c r="K524" t="inlineStr">
        <is>
          <t>Not found</t>
        </is>
      </c>
      <c r="L524" t="inlineStr">
        <is>
          <t>Unknown</t>
        </is>
      </c>
      <c r="T524" t="inlineStr">
        <is>
          <t>https://tenders.iglonline.net/uploads/tender/Tech_Vol_CP18502.pdf</t>
        </is>
      </c>
      <c r="U524" t="inlineStr">
        <is>
          <t>No</t>
        </is>
      </c>
      <c r="V524" t="inlineStr">
        <is>
          <t>Bot tarafindan tespit edildi (2026-07-01)</t>
        </is>
      </c>
    </row>
    <row r="525">
      <c r="A525" t="inlineStr">
        <is>
          <t>T-0329</t>
        </is>
      </c>
      <c r="B525" t="inlineStr">
        <is>
          <t>Indraprastha Gas (IGL)</t>
        </is>
      </c>
      <c r="C525" t="inlineStr">
        <is>
          <t>Indraprastha Gas (IGL)</t>
        </is>
      </c>
      <c r="F525" t="inlineStr">
        <is>
          <t>New Lead</t>
        </is>
      </c>
      <c r="H525" t="inlineStr">
        <is>
          <t>RTBQ CP18502.pdf</t>
        </is>
      </c>
      <c r="K525" t="inlineStr">
        <is>
          <t>Not found</t>
        </is>
      </c>
      <c r="L525" t="inlineStr">
        <is>
          <t>Unknown</t>
        </is>
      </c>
      <c r="T525" t="inlineStr">
        <is>
          <t>https://tenders.iglonline.net/uploads/tender/RTBQ CP18502.pdf</t>
        </is>
      </c>
      <c r="U525" t="inlineStr">
        <is>
          <t>No</t>
        </is>
      </c>
      <c r="V525" t="inlineStr">
        <is>
          <t>Bot tarafindan tespit edildi (2026-07-01)</t>
        </is>
      </c>
    </row>
    <row r="526">
      <c r="A526" t="inlineStr">
        <is>
          <t>T-0330</t>
        </is>
      </c>
      <c r="B526" t="inlineStr">
        <is>
          <t>Indraprastha Gas (IGL)</t>
        </is>
      </c>
      <c r="C526" t="inlineStr">
        <is>
          <t>Indraprastha Gas (IGL)</t>
        </is>
      </c>
      <c r="F526" t="inlineStr">
        <is>
          <t>New Lead</t>
        </is>
      </c>
      <c r="H526" t="inlineStr">
        <is>
          <t>View Tender</t>
        </is>
      </c>
      <c r="K526" t="inlineStr">
        <is>
          <t>Not found</t>
        </is>
      </c>
      <c r="L526" t="inlineStr">
        <is>
          <t>Unknown</t>
        </is>
      </c>
      <c r="T526" t="inlineStr">
        <is>
          <t>https://tenders.iglonline.net/tenderDetail/437/Active Tenders And Corrigendum-Addendum</t>
        </is>
      </c>
      <c r="U526" t="inlineStr">
        <is>
          <t>No</t>
        </is>
      </c>
      <c r="V526" t="inlineStr">
        <is>
          <t>Bot tarafindan tespit edildi (2026-07-01)</t>
        </is>
      </c>
    </row>
    <row r="527">
      <c r="A527" t="inlineStr">
        <is>
          <t>T-0331</t>
        </is>
      </c>
      <c r="B527" t="inlineStr">
        <is>
          <t>Indraprastha Gas (IGL)</t>
        </is>
      </c>
      <c r="C527" t="inlineStr">
        <is>
          <t>Indraprastha Gas (IGL)</t>
        </is>
      </c>
      <c r="F527" t="inlineStr">
        <is>
          <t>New Lead</t>
        </is>
      </c>
      <c r="G527" t="inlineStr">
        <is>
          <t>Unclassified</t>
        </is>
      </c>
      <c r="H527" t="inlineStr">
        <is>
          <t>Tender_Doc_Hiring_Vehicle.pdf</t>
        </is>
      </c>
      <c r="K527" t="inlineStr">
        <is>
          <t>Not found</t>
        </is>
      </c>
      <c r="L527" t="inlineStr">
        <is>
          <t>Unknown</t>
        </is>
      </c>
      <c r="T527" t="inlineStr">
        <is>
          <t>https://tenders.iglonline.net/uploads/tender/Tender_Doc_Hiring_Vehicle.pdf</t>
        </is>
      </c>
      <c r="U527" t="inlineStr">
        <is>
          <t>No</t>
        </is>
      </c>
      <c r="V527" t="inlineStr">
        <is>
          <t>Bot tarafindan tespit edildi (2026-07-01); Bot tespit/zenginlestirme (2026-07-01); meta:score=40;priority=Medium;source_type=html_table;closing_date=;equipment=Unclassified;reasons=document source,quantity signal</t>
        </is>
      </c>
    </row>
    <row r="528">
      <c r="A528" t="inlineStr">
        <is>
          <t>T-0332</t>
        </is>
      </c>
      <c r="B528" t="inlineStr">
        <is>
          <t>Indraprastha Gas (IGL)</t>
        </is>
      </c>
      <c r="C528" t="inlineStr">
        <is>
          <t>Indraprastha Gas (IGL)</t>
        </is>
      </c>
      <c r="F528" t="inlineStr">
        <is>
          <t>New Lead</t>
        </is>
      </c>
      <c r="H528" t="inlineStr">
        <is>
          <t>View Tender</t>
        </is>
      </c>
      <c r="K528" t="inlineStr">
        <is>
          <t>Not found</t>
        </is>
      </c>
      <c r="L528" t="inlineStr">
        <is>
          <t>Unknown</t>
        </is>
      </c>
      <c r="T528" t="inlineStr">
        <is>
          <t>https://tenders.iglonline.net/tenderDetail/436/Active Tenders And Corrigendum-Addendum</t>
        </is>
      </c>
      <c r="U528" t="inlineStr">
        <is>
          <t>No</t>
        </is>
      </c>
      <c r="V528" t="inlineStr">
        <is>
          <t>Bot tarafindan tespit edildi (2026-07-01)</t>
        </is>
      </c>
    </row>
    <row r="529">
      <c r="A529" t="inlineStr">
        <is>
          <t>T-0333</t>
        </is>
      </c>
      <c r="B529" t="inlineStr">
        <is>
          <t>Indraprastha Gas (IGL)</t>
        </is>
      </c>
      <c r="C529" t="inlineStr">
        <is>
          <t>Indraprastha Gas (IGL)</t>
        </is>
      </c>
      <c r="F529" t="inlineStr">
        <is>
          <t>New Lead</t>
        </is>
      </c>
      <c r="G529" t="inlineStr">
        <is>
          <t>Gas-related / review</t>
        </is>
      </c>
      <c r="H529" t="inlineStr">
        <is>
          <t>Tender_CM18513.pdf</t>
        </is>
      </c>
      <c r="K529" t="inlineStr">
        <is>
          <t>Not found</t>
        </is>
      </c>
      <c r="L529" t="inlineStr">
        <is>
          <t>Unknown</t>
        </is>
      </c>
      <c r="T529" t="inlineStr">
        <is>
          <t>https://tenders.iglonline.net/uploads/tender/Tender_CM18513.pdf</t>
        </is>
      </c>
      <c r="U529" t="inlineStr">
        <is>
          <t>No</t>
        </is>
      </c>
      <c r="V529" t="inlineStr">
        <is>
          <t>Bot tarafindan tespit edildi (2026-07-01); Bot tespit/zenginlestirme (2026-07-01); meta:score=35;priority=Low;source_type=html_table;closing_date=;equipment=Gas-related / review;reasons=equipment:Gas-related / review,document source</t>
        </is>
      </c>
    </row>
    <row r="530">
      <c r="A530" t="inlineStr">
        <is>
          <t>T-0334</t>
        </is>
      </c>
      <c r="B530" t="inlineStr">
        <is>
          <t>Indraprastha Gas (IGL)</t>
        </is>
      </c>
      <c r="C530" t="inlineStr">
        <is>
          <t>Indraprastha Gas (IGL)</t>
        </is>
      </c>
      <c r="F530" t="inlineStr">
        <is>
          <t>New Lead</t>
        </is>
      </c>
      <c r="G530" t="inlineStr">
        <is>
          <t>Gas-related / review</t>
        </is>
      </c>
      <c r="H530" t="inlineStr">
        <is>
          <t>Corrigendum-1-CM18513.pdf</t>
        </is>
      </c>
      <c r="K530" t="inlineStr">
        <is>
          <t>Not found</t>
        </is>
      </c>
      <c r="L530" t="inlineStr">
        <is>
          <t>Unknown</t>
        </is>
      </c>
      <c r="T530" t="inlineStr">
        <is>
          <t>https://tenders.iglonline.net/uploads/tender/Corrigendum-1-CM18513.pdf</t>
        </is>
      </c>
      <c r="U530" t="inlineStr">
        <is>
          <t>No</t>
        </is>
      </c>
      <c r="V530" t="inlineStr">
        <is>
          <t>Bot tarafindan tespit edildi (2026-07-01); Bot tespit/zenginlestirme (2026-07-01); meta:score=35;priority=Low;source_type=html_table;closing_date=;equipment=Gas-related / review;reasons=equipment:Gas-related / review,document source</t>
        </is>
      </c>
    </row>
    <row r="531">
      <c r="A531" t="inlineStr">
        <is>
          <t>T-0335</t>
        </is>
      </c>
      <c r="B531" t="inlineStr">
        <is>
          <t>Indraprastha Gas (IGL)</t>
        </is>
      </c>
      <c r="C531" t="inlineStr">
        <is>
          <t>Indraprastha Gas (IGL)</t>
        </is>
      </c>
      <c r="F531" t="inlineStr">
        <is>
          <t>New Lead</t>
        </is>
      </c>
      <c r="H531" t="inlineStr">
        <is>
          <t>View Tender</t>
        </is>
      </c>
      <c r="K531" t="inlineStr">
        <is>
          <t>Not found</t>
        </is>
      </c>
      <c r="L531" t="inlineStr">
        <is>
          <t>Unknown</t>
        </is>
      </c>
      <c r="T531" t="inlineStr">
        <is>
          <t>https://tenders.iglonline.net/tenderDetail/435/Active Tenders And Corrigendum-Addendum</t>
        </is>
      </c>
      <c r="U531" t="inlineStr">
        <is>
          <t>No</t>
        </is>
      </c>
      <c r="V531" t="inlineStr">
        <is>
          <t>Bot tarafindan tespit edildi (2026-07-01)</t>
        </is>
      </c>
    </row>
    <row r="532">
      <c r="A532" t="inlineStr">
        <is>
          <t>T-0336</t>
        </is>
      </c>
      <c r="B532" t="inlineStr">
        <is>
          <t>Indraprastha Gas (IGL)</t>
        </is>
      </c>
      <c r="C532" t="inlineStr">
        <is>
          <t>Indraprastha Gas (IGL)</t>
        </is>
      </c>
      <c r="F532" t="inlineStr">
        <is>
          <t>New Lead</t>
        </is>
      </c>
      <c r="H532" t="inlineStr">
        <is>
          <t>Tender_CC18506.pdf</t>
        </is>
      </c>
      <c r="K532" t="inlineStr">
        <is>
          <t>Not found</t>
        </is>
      </c>
      <c r="L532" t="inlineStr">
        <is>
          <t>Unknown</t>
        </is>
      </c>
      <c r="T532" t="inlineStr">
        <is>
          <t>https://tenders.iglonline.net/uploads/tender/Tender_CC18506.pdf</t>
        </is>
      </c>
      <c r="U532" t="inlineStr">
        <is>
          <t>No</t>
        </is>
      </c>
      <c r="V532" t="inlineStr">
        <is>
          <t>Bot tarafindan tespit edildi (2026-07-01)</t>
        </is>
      </c>
    </row>
    <row r="533">
      <c r="A533" t="inlineStr">
        <is>
          <t>T-0337</t>
        </is>
      </c>
      <c r="B533" t="inlineStr">
        <is>
          <t>Indraprastha Gas (IGL)</t>
        </is>
      </c>
      <c r="C533" t="inlineStr">
        <is>
          <t>Indraprastha Gas (IGL)</t>
        </is>
      </c>
      <c r="F533" t="inlineStr">
        <is>
          <t>New Lead</t>
        </is>
      </c>
      <c r="H533" t="inlineStr">
        <is>
          <t>View Tender</t>
        </is>
      </c>
      <c r="K533" t="inlineStr">
        <is>
          <t>Not found</t>
        </is>
      </c>
      <c r="L533" t="inlineStr">
        <is>
          <t>Unknown</t>
        </is>
      </c>
      <c r="T533" t="inlineStr">
        <is>
          <t>https://tenders.iglonline.net/tenderDetail/434/Active Tenders And Corrigendum-Addendum</t>
        </is>
      </c>
      <c r="U533" t="inlineStr">
        <is>
          <t>No</t>
        </is>
      </c>
      <c r="V533" t="inlineStr">
        <is>
          <t>Bot tarafindan tespit edildi (2026-07-01)</t>
        </is>
      </c>
    </row>
    <row r="534">
      <c r="A534" t="inlineStr">
        <is>
          <t>T-0338</t>
        </is>
      </c>
      <c r="B534" t="inlineStr">
        <is>
          <t>Indraprastha Gas (IGL)</t>
        </is>
      </c>
      <c r="C534" t="inlineStr">
        <is>
          <t>Indraprastha Gas (IGL)</t>
        </is>
      </c>
      <c r="F534" t="inlineStr">
        <is>
          <t>New Lead</t>
        </is>
      </c>
      <c r="G534" t="inlineStr">
        <is>
          <t>Gas-related / review</t>
        </is>
      </c>
      <c r="H534" t="inlineStr">
        <is>
          <t>Tender Document_CM18515.pdf</t>
        </is>
      </c>
      <c r="K534" t="inlineStr">
        <is>
          <t>Not found</t>
        </is>
      </c>
      <c r="L534" t="inlineStr">
        <is>
          <t>Unknown</t>
        </is>
      </c>
      <c r="T534" t="inlineStr">
        <is>
          <t>https://tenders.iglonline.net/uploads/tender/Tender Document_CM18515.pdf</t>
        </is>
      </c>
      <c r="U534" t="inlineStr">
        <is>
          <t>No</t>
        </is>
      </c>
      <c r="V534" t="inlineStr">
        <is>
          <t>Bot tarafindan tespit edildi (2026-07-01); Bot tespit/zenginlestirme (2026-07-01); meta:score=35;priority=Low;source_type=html_table;closing_date=;equipment=Gas-related / review;reasons=equipment:Gas-related / review,document source</t>
        </is>
      </c>
    </row>
    <row r="535">
      <c r="A535" t="inlineStr">
        <is>
          <t>T-0339</t>
        </is>
      </c>
      <c r="B535" t="inlineStr">
        <is>
          <t>Indraprastha Gas (IGL)</t>
        </is>
      </c>
      <c r="C535" t="inlineStr">
        <is>
          <t>Indraprastha Gas (IGL)</t>
        </is>
      </c>
      <c r="F535" t="inlineStr">
        <is>
          <t>New Lead</t>
        </is>
      </c>
      <c r="G535" t="inlineStr">
        <is>
          <t>Gas-related / review</t>
        </is>
      </c>
      <c r="H535" t="inlineStr">
        <is>
          <t>RTPBQ_CM18515.pdf</t>
        </is>
      </c>
      <c r="K535" t="inlineStr">
        <is>
          <t>Not found</t>
        </is>
      </c>
      <c r="L535" t="inlineStr">
        <is>
          <t>Unknown</t>
        </is>
      </c>
      <c r="T535" t="inlineStr">
        <is>
          <t>https://tenders.iglonline.net/uploads/tender/RTPBQ_CM18515.pdf</t>
        </is>
      </c>
      <c r="U535" t="inlineStr">
        <is>
          <t>No</t>
        </is>
      </c>
      <c r="V535" t="inlineStr">
        <is>
          <t>Bot tarafindan tespit edildi (2026-07-01); Bot tespit/zenginlestirme (2026-07-01); meta:score=35;priority=Low;source_type=html_table;closing_date=;equipment=Gas-related / review;reasons=equipment:Gas-related / review,document source</t>
        </is>
      </c>
    </row>
    <row r="536">
      <c r="A536" t="inlineStr">
        <is>
          <t>T-0340</t>
        </is>
      </c>
      <c r="B536" t="inlineStr">
        <is>
          <t>Indraprastha Gas (IGL)</t>
        </is>
      </c>
      <c r="C536" t="inlineStr">
        <is>
          <t>Indraprastha Gas (IGL)</t>
        </is>
      </c>
      <c r="F536" t="inlineStr">
        <is>
          <t>New Lead</t>
        </is>
      </c>
      <c r="H536" t="inlineStr">
        <is>
          <t>View Tender</t>
        </is>
      </c>
      <c r="K536" t="inlineStr">
        <is>
          <t>Not found</t>
        </is>
      </c>
      <c r="L536" t="inlineStr">
        <is>
          <t>Unknown</t>
        </is>
      </c>
      <c r="T536" t="inlineStr">
        <is>
          <t>https://tenders.iglonline.net/tenderDetail/433/Active Tenders And Corrigendum-Addendum</t>
        </is>
      </c>
      <c r="U536" t="inlineStr">
        <is>
          <t>No</t>
        </is>
      </c>
      <c r="V536" t="inlineStr">
        <is>
          <t>Bot tarafindan tespit edildi (2026-07-01)</t>
        </is>
      </c>
    </row>
    <row r="537">
      <c r="A537" t="inlineStr">
        <is>
          <t>T-0341</t>
        </is>
      </c>
      <c r="B537" t="inlineStr">
        <is>
          <t>Indraprastha Gas (IGL)</t>
        </is>
      </c>
      <c r="C537" t="inlineStr">
        <is>
          <t>Indraprastha Gas (IGL)</t>
        </is>
      </c>
      <c r="F537" t="inlineStr">
        <is>
          <t>New Lead</t>
        </is>
      </c>
      <c r="G537" t="inlineStr">
        <is>
          <t>Unclassified</t>
        </is>
      </c>
      <c r="H537" t="inlineStr">
        <is>
          <t>Tender Document_CM18483.pdf</t>
        </is>
      </c>
      <c r="K537" t="inlineStr">
        <is>
          <t>Not found</t>
        </is>
      </c>
      <c r="L537" t="inlineStr">
        <is>
          <t>Unknown</t>
        </is>
      </c>
      <c r="T537" t="inlineStr">
        <is>
          <t>https://tenders.iglonline.net/uploads/tender/Tender Document_CM18483.pdf</t>
        </is>
      </c>
      <c r="U537" t="inlineStr">
        <is>
          <t>No</t>
        </is>
      </c>
      <c r="V537" t="inlineStr">
        <is>
          <t>Bot tarafindan tespit edildi (2026-07-01); Bot tespit/zenginlestirme (2026-07-01); meta:score=40;priority=Medium;source_type=html_table;closing_date=;equipment=Unclassified;reasons=document source,quantity signal</t>
        </is>
      </c>
    </row>
    <row r="538">
      <c r="A538" t="inlineStr">
        <is>
          <t>T-0342</t>
        </is>
      </c>
      <c r="B538" t="inlineStr">
        <is>
          <t>Indraprastha Gas (IGL)</t>
        </is>
      </c>
      <c r="C538" t="inlineStr">
        <is>
          <t>Indraprastha Gas (IGL)</t>
        </is>
      </c>
      <c r="F538" t="inlineStr">
        <is>
          <t>New Lead</t>
        </is>
      </c>
      <c r="H538" t="inlineStr">
        <is>
          <t>View Tender</t>
        </is>
      </c>
      <c r="K538" t="inlineStr">
        <is>
          <t>Not found</t>
        </is>
      </c>
      <c r="L538" t="inlineStr">
        <is>
          <t>Unknown</t>
        </is>
      </c>
      <c r="T538" t="inlineStr">
        <is>
          <t>https://tenders.iglonline.net/tenderDetail/432/Active Tenders And Corrigendum-Addendum</t>
        </is>
      </c>
      <c r="U538" t="inlineStr">
        <is>
          <t>No</t>
        </is>
      </c>
      <c r="V538" t="inlineStr">
        <is>
          <t>Bot tarafindan tespit edildi (2026-07-01)</t>
        </is>
      </c>
    </row>
    <row r="539">
      <c r="A539" t="inlineStr">
        <is>
          <t>T-0343</t>
        </is>
      </c>
      <c r="B539" t="inlineStr">
        <is>
          <t>Indraprastha Gas (IGL)</t>
        </is>
      </c>
      <c r="C539" t="inlineStr">
        <is>
          <t>Indraprastha Gas (IGL)</t>
        </is>
      </c>
      <c r="F539" t="inlineStr">
        <is>
          <t>New Lead</t>
        </is>
      </c>
      <c r="G539" t="inlineStr">
        <is>
          <t>Gas-related / review</t>
        </is>
      </c>
      <c r="H539" t="inlineStr">
        <is>
          <t>Tender CM18514.pdf</t>
        </is>
      </c>
      <c r="K539" t="inlineStr">
        <is>
          <t>Not found</t>
        </is>
      </c>
      <c r="L539" t="inlineStr">
        <is>
          <t>Unknown</t>
        </is>
      </c>
      <c r="T539" t="inlineStr">
        <is>
          <t>https://tenders.iglonline.net/uploads/tender/Tender CM18514.pdf</t>
        </is>
      </c>
      <c r="U539" t="inlineStr">
        <is>
          <t>No</t>
        </is>
      </c>
      <c r="V539" t="inlineStr">
        <is>
          <t>Bot tarafindan tespit edildi (2026-07-01); Bot tespit/zenginlestirme (2026-07-01); meta:score=35;priority=Low;source_type=html_table;closing_date=;equipment=Gas-related / review;reasons=equipment:Gas-related / review,document source</t>
        </is>
      </c>
    </row>
    <row r="540">
      <c r="A540" t="inlineStr">
        <is>
          <t>T-0344</t>
        </is>
      </c>
      <c r="B540" t="inlineStr">
        <is>
          <t>Indraprastha Gas (IGL)</t>
        </is>
      </c>
      <c r="C540" t="inlineStr">
        <is>
          <t>Indraprastha Gas (IGL)</t>
        </is>
      </c>
      <c r="F540" t="inlineStr">
        <is>
          <t>New Lead</t>
        </is>
      </c>
      <c r="G540" t="inlineStr">
        <is>
          <t>Gas-related / review</t>
        </is>
      </c>
      <c r="H540" t="inlineStr">
        <is>
          <t>RTPBQ_CM18514.pdf</t>
        </is>
      </c>
      <c r="K540" t="inlineStr">
        <is>
          <t>Not found</t>
        </is>
      </c>
      <c r="L540" t="inlineStr">
        <is>
          <t>Unknown</t>
        </is>
      </c>
      <c r="T540" t="inlineStr">
        <is>
          <t>https://tenders.iglonline.net/uploads/tender/RTPBQ_CM18514.pdf</t>
        </is>
      </c>
      <c r="U540" t="inlineStr">
        <is>
          <t>No</t>
        </is>
      </c>
      <c r="V540" t="inlineStr">
        <is>
          <t>Bot tarafindan tespit edildi (2026-07-01); Bot tespit/zenginlestirme (2026-07-01); meta:score=35;priority=Low;source_type=html_table;closing_date=;equipment=Gas-related / review;reasons=equipment:Gas-related / review,document source</t>
        </is>
      </c>
    </row>
    <row r="541">
      <c r="A541" t="inlineStr">
        <is>
          <t>T-0345</t>
        </is>
      </c>
      <c r="B541" t="inlineStr">
        <is>
          <t>Indraprastha Gas (IGL)</t>
        </is>
      </c>
      <c r="C541" t="inlineStr">
        <is>
          <t>Indraprastha Gas (IGL)</t>
        </is>
      </c>
      <c r="F541" t="inlineStr">
        <is>
          <t>New Lead</t>
        </is>
      </c>
      <c r="G541" t="inlineStr">
        <is>
          <t>Gas-related / review</t>
        </is>
      </c>
      <c r="H541" t="inlineStr">
        <is>
          <t>Corrigendum_1_CM18514.pdf</t>
        </is>
      </c>
      <c r="K541" t="inlineStr">
        <is>
          <t>Not found</t>
        </is>
      </c>
      <c r="L541" t="inlineStr">
        <is>
          <t>Unknown</t>
        </is>
      </c>
      <c r="T541" t="inlineStr">
        <is>
          <t>https://tenders.iglonline.net/uploads/tender/Corrigendum_1_CM18514.pdf</t>
        </is>
      </c>
      <c r="U541" t="inlineStr">
        <is>
          <t>No</t>
        </is>
      </c>
      <c r="V541" t="inlineStr">
        <is>
          <t>Bot tarafindan tespit edildi (2026-07-01); Bot tespit/zenginlestirme (2026-07-01); meta:score=35;priority=Low;source_type=html_table;closing_date=;equipment=Gas-related / review;reasons=equipment:Gas-related / review,document source</t>
        </is>
      </c>
    </row>
    <row r="542">
      <c r="A542" t="inlineStr">
        <is>
          <t>T-0346</t>
        </is>
      </c>
      <c r="B542" t="inlineStr">
        <is>
          <t>Indraprastha Gas (IGL)</t>
        </is>
      </c>
      <c r="C542" t="inlineStr">
        <is>
          <t>Indraprastha Gas (IGL)</t>
        </is>
      </c>
      <c r="F542" t="inlineStr">
        <is>
          <t>New Lead</t>
        </is>
      </c>
      <c r="G542" t="inlineStr">
        <is>
          <t>Gas-related / review</t>
        </is>
      </c>
      <c r="H542" t="inlineStr">
        <is>
          <t>Corrigendum_3_CM18514.pdf</t>
        </is>
      </c>
      <c r="K542" t="inlineStr">
        <is>
          <t>Not found</t>
        </is>
      </c>
      <c r="L542" t="inlineStr">
        <is>
          <t>Unknown</t>
        </is>
      </c>
      <c r="T542" t="inlineStr">
        <is>
          <t>https://tenders.iglonline.net/uploads/tender/Corrigendum_3_CM18514.pdf</t>
        </is>
      </c>
      <c r="U542" t="inlineStr">
        <is>
          <t>No</t>
        </is>
      </c>
      <c r="V542" t="inlineStr">
        <is>
          <t>Bot tarafindan tespit edildi (2026-07-01); Bot tespit/zenginlestirme (2026-07-01); meta:score=35;priority=Low;source_type=html_table;closing_date=;equipment=Gas-related / review;reasons=equipment:Gas-related / review,document source</t>
        </is>
      </c>
    </row>
    <row r="543">
      <c r="A543" t="inlineStr">
        <is>
          <t>T-0347</t>
        </is>
      </c>
      <c r="B543" t="inlineStr">
        <is>
          <t>Indraprastha Gas (IGL)</t>
        </is>
      </c>
      <c r="C543" t="inlineStr">
        <is>
          <t>Indraprastha Gas (IGL)</t>
        </is>
      </c>
      <c r="F543" t="inlineStr">
        <is>
          <t>New Lead</t>
        </is>
      </c>
      <c r="H543" t="inlineStr">
        <is>
          <t>View Tender</t>
        </is>
      </c>
      <c r="K543" t="inlineStr">
        <is>
          <t>Not found</t>
        </is>
      </c>
      <c r="L543" t="inlineStr">
        <is>
          <t>Unknown</t>
        </is>
      </c>
      <c r="T543" t="inlineStr">
        <is>
          <t>https://tenders.iglonline.net/tenderDetail/431/Active Tenders And Corrigendum-Addendum</t>
        </is>
      </c>
      <c r="U543" t="inlineStr">
        <is>
          <t>No</t>
        </is>
      </c>
      <c r="V543" t="inlineStr">
        <is>
          <t>Bot tarafindan tespit edildi (2026-07-01)</t>
        </is>
      </c>
    </row>
    <row r="544">
      <c r="A544" t="inlineStr">
        <is>
          <t>T-0348</t>
        </is>
      </c>
      <c r="B544" t="inlineStr">
        <is>
          <t>Indraprastha Gas (IGL)</t>
        </is>
      </c>
      <c r="C544" t="inlineStr">
        <is>
          <t>Indraprastha Gas (IGL)</t>
        </is>
      </c>
      <c r="F544" t="inlineStr">
        <is>
          <t>New Lead</t>
        </is>
      </c>
      <c r="H544" t="inlineStr">
        <is>
          <t>Tender_CM18493.pdf</t>
        </is>
      </c>
      <c r="K544" t="inlineStr">
        <is>
          <t>Not found</t>
        </is>
      </c>
      <c r="L544" t="inlineStr">
        <is>
          <t>Unknown</t>
        </is>
      </c>
      <c r="T544" t="inlineStr">
        <is>
          <t>https://tenders.iglonline.net/uploads/tender/Tender_CM18493.pdf</t>
        </is>
      </c>
      <c r="U544" t="inlineStr">
        <is>
          <t>No</t>
        </is>
      </c>
      <c r="V544" t="inlineStr">
        <is>
          <t>Bot tarafindan tespit edildi (2026-07-01)</t>
        </is>
      </c>
    </row>
    <row r="545">
      <c r="A545" t="inlineStr">
        <is>
          <t>T-0349</t>
        </is>
      </c>
      <c r="B545" t="inlineStr">
        <is>
          <t>Indraprastha Gas (IGL)</t>
        </is>
      </c>
      <c r="C545" t="inlineStr">
        <is>
          <t>Indraprastha Gas (IGL)</t>
        </is>
      </c>
      <c r="F545" t="inlineStr">
        <is>
          <t>New Lead</t>
        </is>
      </c>
      <c r="H545" t="inlineStr">
        <is>
          <t>Pre_bid_queries_CCTV_CM18493.pdf</t>
        </is>
      </c>
      <c r="K545" t="inlineStr">
        <is>
          <t>Not found</t>
        </is>
      </c>
      <c r="L545" t="inlineStr">
        <is>
          <t>Unknown</t>
        </is>
      </c>
      <c r="T545" t="inlineStr">
        <is>
          <t>https://tenders.iglonline.net/uploads/tender/Pre_bid_queries_CCTV_CM18493.pdf</t>
        </is>
      </c>
      <c r="U545" t="inlineStr">
        <is>
          <t>No</t>
        </is>
      </c>
      <c r="V545" t="inlineStr">
        <is>
          <t>Bot tarafindan tespit edildi (2026-07-01)</t>
        </is>
      </c>
    </row>
    <row r="546">
      <c r="A546" t="inlineStr">
        <is>
          <t>T-0350</t>
        </is>
      </c>
      <c r="B546" t="inlineStr">
        <is>
          <t>Indraprastha Gas (IGL)</t>
        </is>
      </c>
      <c r="C546" t="inlineStr">
        <is>
          <t>Indraprastha Gas (IGL)</t>
        </is>
      </c>
      <c r="F546" t="inlineStr">
        <is>
          <t>New Lead</t>
        </is>
      </c>
      <c r="H546" t="inlineStr">
        <is>
          <t>View Tender</t>
        </is>
      </c>
      <c r="K546" t="inlineStr">
        <is>
          <t>Not found</t>
        </is>
      </c>
      <c r="L546" t="inlineStr">
        <is>
          <t>Unknown</t>
        </is>
      </c>
      <c r="T546" t="inlineStr">
        <is>
          <t>https://tenders.iglonline.net/tenderDetail/430/Active Tenders And Corrigendum-Addendum</t>
        </is>
      </c>
      <c r="U546" t="inlineStr">
        <is>
          <t>No</t>
        </is>
      </c>
      <c r="V546" t="inlineStr">
        <is>
          <t>Bot tarafindan tespit edildi (2026-07-01)</t>
        </is>
      </c>
    </row>
    <row r="547">
      <c r="A547" t="inlineStr">
        <is>
          <t>T-0351</t>
        </is>
      </c>
      <c r="B547" t="inlineStr">
        <is>
          <t>Indraprastha Gas (IGL)</t>
        </is>
      </c>
      <c r="C547" t="inlineStr">
        <is>
          <t>Indraprastha Gas (IGL)</t>
        </is>
      </c>
      <c r="F547" t="inlineStr">
        <is>
          <t>New Lead</t>
        </is>
      </c>
      <c r="G547" t="inlineStr">
        <is>
          <t>Gas-related / review</t>
        </is>
      </c>
      <c r="H547" t="inlineStr">
        <is>
          <t>Tender_CP18495_Technical Volume_Part II.pdf</t>
        </is>
      </c>
      <c r="K547" t="inlineStr">
        <is>
          <t>Not found</t>
        </is>
      </c>
      <c r="L547" t="inlineStr">
        <is>
          <t>Unknown</t>
        </is>
      </c>
      <c r="T547" t="inlineStr">
        <is>
          <t>https://tenders.iglonline.net/uploads/tender/Tender_CP18495_Technical Volume_Part II.pdf</t>
        </is>
      </c>
      <c r="U547" t="inlineStr">
        <is>
          <t>No</t>
        </is>
      </c>
      <c r="V547" t="inlineStr">
        <is>
          <t>Bot tarafindan tespit edildi (2026-07-01); Bot tespit/zenginlestirme (2026-07-01); meta:score=35;priority=Low;source_type=html_table;closing_date=;equipment=Gas-related / review;reasons=equipment:Gas-related / review,document source</t>
        </is>
      </c>
    </row>
    <row r="548">
      <c r="A548" t="inlineStr">
        <is>
          <t>T-0352</t>
        </is>
      </c>
      <c r="B548" t="inlineStr">
        <is>
          <t>Indraprastha Gas (IGL)</t>
        </is>
      </c>
      <c r="C548" t="inlineStr">
        <is>
          <t>Indraprastha Gas (IGL)</t>
        </is>
      </c>
      <c r="F548" t="inlineStr">
        <is>
          <t>New Lead</t>
        </is>
      </c>
      <c r="G548" t="inlineStr">
        <is>
          <t>Gas-related / review</t>
        </is>
      </c>
      <c r="H548" t="inlineStr">
        <is>
          <t>Tender_CP18495_Commercial Vol_Part I.pdf</t>
        </is>
      </c>
      <c r="K548" t="inlineStr">
        <is>
          <t>Not found</t>
        </is>
      </c>
      <c r="L548" t="inlineStr">
        <is>
          <t>Unknown</t>
        </is>
      </c>
      <c r="T548" t="inlineStr">
        <is>
          <t>https://tenders.iglonline.net/uploads/tender/Tender_CP18495_Commercial Vol_Part I.pdf</t>
        </is>
      </c>
      <c r="U548" t="inlineStr">
        <is>
          <t>No</t>
        </is>
      </c>
      <c r="V548" t="inlineStr">
        <is>
          <t>Bot tarafindan tespit edildi (2026-07-01); Bot tespit/zenginlestirme (2026-07-01); meta:score=35;priority=Low;source_type=html_table;closing_date=;equipment=Gas-related / review;reasons=equipment:Gas-related / review,document source</t>
        </is>
      </c>
    </row>
    <row r="549">
      <c r="A549" t="inlineStr">
        <is>
          <t>T-0353</t>
        </is>
      </c>
      <c r="B549" t="inlineStr">
        <is>
          <t>Indraprastha Gas (IGL)</t>
        </is>
      </c>
      <c r="C549" t="inlineStr">
        <is>
          <t>Indraprastha Gas (IGL)</t>
        </is>
      </c>
      <c r="F549" t="inlineStr">
        <is>
          <t>New Lead</t>
        </is>
      </c>
      <c r="G549" t="inlineStr">
        <is>
          <t>Gas-related / review</t>
        </is>
      </c>
      <c r="H549" t="inlineStr">
        <is>
          <t>Corrigendum_1_CP18495.pdf</t>
        </is>
      </c>
      <c r="K549" t="inlineStr">
        <is>
          <t>Not found</t>
        </is>
      </c>
      <c r="L549" t="inlineStr">
        <is>
          <t>Unknown</t>
        </is>
      </c>
      <c r="T549" t="inlineStr">
        <is>
          <t>https://tenders.iglonline.net/uploads/tender/Corrigendum_1_CP18495.pdf</t>
        </is>
      </c>
      <c r="U549" t="inlineStr">
        <is>
          <t>No</t>
        </is>
      </c>
      <c r="V549" t="inlineStr">
        <is>
          <t>Bot tarafindan tespit edildi (2026-07-01); Bot tespit/zenginlestirme (2026-07-01); meta:score=35;priority=Low;source_type=html_table;closing_date=;equipment=Gas-related / review;reasons=equipment:Gas-related / review,document source</t>
        </is>
      </c>
    </row>
    <row r="550">
      <c r="A550" t="inlineStr">
        <is>
          <t>T-0354</t>
        </is>
      </c>
      <c r="B550" t="inlineStr">
        <is>
          <t>Indraprastha Gas (IGL)</t>
        </is>
      </c>
      <c r="C550" t="inlineStr">
        <is>
          <t>Indraprastha Gas (IGL)</t>
        </is>
      </c>
      <c r="F550" t="inlineStr">
        <is>
          <t>New Lead</t>
        </is>
      </c>
      <c r="H550" t="inlineStr">
        <is>
          <t>View Tender</t>
        </is>
      </c>
      <c r="K550" t="inlineStr">
        <is>
          <t>Not found</t>
        </is>
      </c>
      <c r="L550" t="inlineStr">
        <is>
          <t>Unknown</t>
        </is>
      </c>
      <c r="T550" t="inlineStr">
        <is>
          <t>https://tenders.iglonline.net/tenderDetail/429/Active Tenders And Corrigendum-Addendum</t>
        </is>
      </c>
      <c r="U550" t="inlineStr">
        <is>
          <t>No</t>
        </is>
      </c>
      <c r="V550" t="inlineStr">
        <is>
          <t>Bot tarafindan tespit edildi (2026-07-01)</t>
        </is>
      </c>
    </row>
    <row r="551">
      <c r="A551" t="inlineStr">
        <is>
          <t>T-0355</t>
        </is>
      </c>
      <c r="B551" t="inlineStr">
        <is>
          <t>Indraprastha Gas (IGL)</t>
        </is>
      </c>
      <c r="C551" t="inlineStr">
        <is>
          <t>Indraprastha Gas (IGL)</t>
        </is>
      </c>
      <c r="F551" t="inlineStr">
        <is>
          <t>New Lead</t>
        </is>
      </c>
      <c r="H551" t="inlineStr">
        <is>
          <t>Tender_CM18500.pdf</t>
        </is>
      </c>
      <c r="K551" t="inlineStr">
        <is>
          <t>Not found</t>
        </is>
      </c>
      <c r="L551" t="inlineStr">
        <is>
          <t>Unknown</t>
        </is>
      </c>
      <c r="T551" t="inlineStr">
        <is>
          <t>https://tenders.iglonline.net/uploads/tender/Tender_CM18500.pdf</t>
        </is>
      </c>
      <c r="U551" t="inlineStr">
        <is>
          <t>No</t>
        </is>
      </c>
      <c r="V551" t="inlineStr">
        <is>
          <t>Bot tarafindan tespit edildi (2026-07-01)</t>
        </is>
      </c>
    </row>
    <row r="552">
      <c r="A552" t="inlineStr">
        <is>
          <t>T-0356</t>
        </is>
      </c>
      <c r="B552" t="inlineStr">
        <is>
          <t>Indraprastha Gas (IGL)</t>
        </is>
      </c>
      <c r="C552" t="inlineStr">
        <is>
          <t>Indraprastha Gas (IGL)</t>
        </is>
      </c>
      <c r="F552" t="inlineStr">
        <is>
          <t>New Lead</t>
        </is>
      </c>
      <c r="H552" t="inlineStr">
        <is>
          <t>Pre bid Replies_CM18500.pdf</t>
        </is>
      </c>
      <c r="K552" t="inlineStr">
        <is>
          <t>Not found</t>
        </is>
      </c>
      <c r="L552" t="inlineStr">
        <is>
          <t>Unknown</t>
        </is>
      </c>
      <c r="T552" t="inlineStr">
        <is>
          <t>https://tenders.iglonline.net/uploads/tender/Pre bid Replies_CM18500.pdf</t>
        </is>
      </c>
      <c r="U552" t="inlineStr">
        <is>
          <t>No</t>
        </is>
      </c>
      <c r="V552" t="inlineStr">
        <is>
          <t>Bot tarafindan tespit edildi (2026-07-01)</t>
        </is>
      </c>
    </row>
    <row r="553">
      <c r="A553" t="inlineStr">
        <is>
          <t>T-0357</t>
        </is>
      </c>
      <c r="B553" t="inlineStr">
        <is>
          <t>Indraprastha Gas (IGL)</t>
        </is>
      </c>
      <c r="C553" t="inlineStr">
        <is>
          <t>Indraprastha Gas (IGL)</t>
        </is>
      </c>
      <c r="F553" t="inlineStr">
        <is>
          <t>New Lead</t>
        </is>
      </c>
      <c r="H553" t="inlineStr">
        <is>
          <t>View Tender</t>
        </is>
      </c>
      <c r="K553" t="inlineStr">
        <is>
          <t>Not found</t>
        </is>
      </c>
      <c r="L553" t="inlineStr">
        <is>
          <t>Unknown</t>
        </is>
      </c>
      <c r="T553" t="inlineStr">
        <is>
          <t>https://tenders.iglonline.net/tenderDetail/428/Active Tenders And Corrigendum-Addendum</t>
        </is>
      </c>
      <c r="U553" t="inlineStr">
        <is>
          <t>No</t>
        </is>
      </c>
      <c r="V553" t="inlineStr">
        <is>
          <t>Bot tarafindan tespit edildi (2026-07-01)</t>
        </is>
      </c>
    </row>
    <row r="554">
      <c r="A554" t="inlineStr">
        <is>
          <t>T-0358</t>
        </is>
      </c>
      <c r="B554" t="inlineStr">
        <is>
          <t>Indraprastha Gas (IGL)</t>
        </is>
      </c>
      <c r="C554" t="inlineStr">
        <is>
          <t>Indraprastha Gas (IGL)</t>
        </is>
      </c>
      <c r="F554" t="inlineStr">
        <is>
          <t>New Lead</t>
        </is>
      </c>
      <c r="H554" t="inlineStr">
        <is>
          <t>Tender_Doc_CC18489_FD.pdf</t>
        </is>
      </c>
      <c r="K554" t="inlineStr">
        <is>
          <t>Not found</t>
        </is>
      </c>
      <c r="L554" t="inlineStr">
        <is>
          <t>Unknown</t>
        </is>
      </c>
      <c r="T554" t="inlineStr">
        <is>
          <t>https://tenders.iglonline.net/uploads/tender/Tender_Doc_CC18489_FD.pdf</t>
        </is>
      </c>
      <c r="U554" t="inlineStr">
        <is>
          <t>No</t>
        </is>
      </c>
      <c r="V554" t="inlineStr">
        <is>
          <t>Bot tarafindan tespit edildi (2026-07-01)</t>
        </is>
      </c>
    </row>
    <row r="555">
      <c r="A555" t="inlineStr">
        <is>
          <t>T-0359</t>
        </is>
      </c>
      <c r="B555" t="inlineStr">
        <is>
          <t>Indraprastha Gas (IGL)</t>
        </is>
      </c>
      <c r="C555" t="inlineStr">
        <is>
          <t>Indraprastha Gas (IGL)</t>
        </is>
      </c>
      <c r="F555" t="inlineStr">
        <is>
          <t>New Lead</t>
        </is>
      </c>
      <c r="H555" t="inlineStr">
        <is>
          <t>Corrigendum_I_CC18489.pdf</t>
        </is>
      </c>
      <c r="K555" t="inlineStr">
        <is>
          <t>Not found</t>
        </is>
      </c>
      <c r="L555" t="inlineStr">
        <is>
          <t>Unknown</t>
        </is>
      </c>
      <c r="T555" t="inlineStr">
        <is>
          <t>https://tenders.iglonline.net/uploads/tender/Corrigendum_I_CC18489.pdf</t>
        </is>
      </c>
      <c r="U555" t="inlineStr">
        <is>
          <t>No</t>
        </is>
      </c>
      <c r="V555" t="inlineStr">
        <is>
          <t>Bot tarafindan tespit edildi (2026-07-01)</t>
        </is>
      </c>
    </row>
    <row r="556">
      <c r="A556" t="inlineStr">
        <is>
          <t>T-0360</t>
        </is>
      </c>
      <c r="B556" t="inlineStr">
        <is>
          <t>Indraprastha Gas (IGL)</t>
        </is>
      </c>
      <c r="C556" t="inlineStr">
        <is>
          <t>Indraprastha Gas (IGL)</t>
        </is>
      </c>
      <c r="F556" t="inlineStr">
        <is>
          <t>New Lead</t>
        </is>
      </c>
      <c r="H556" t="inlineStr">
        <is>
          <t>RTBQ_CC18489.pdf</t>
        </is>
      </c>
      <c r="K556" t="inlineStr">
        <is>
          <t>Not found</t>
        </is>
      </c>
      <c r="L556" t="inlineStr">
        <is>
          <t>Unknown</t>
        </is>
      </c>
      <c r="T556" t="inlineStr">
        <is>
          <t>https://tenders.iglonline.net/uploads/tender/RTBQ_CC18489.pdf</t>
        </is>
      </c>
      <c r="U556" t="inlineStr">
        <is>
          <t>No</t>
        </is>
      </c>
      <c r="V556" t="inlineStr">
        <is>
          <t>Bot tarafindan tespit edildi (2026-07-01)</t>
        </is>
      </c>
    </row>
    <row r="557">
      <c r="A557" t="inlineStr">
        <is>
          <t>T-0361</t>
        </is>
      </c>
      <c r="B557" t="inlineStr">
        <is>
          <t>Indraprastha Gas (IGL)</t>
        </is>
      </c>
      <c r="C557" t="inlineStr">
        <is>
          <t>Indraprastha Gas (IGL)</t>
        </is>
      </c>
      <c r="F557" t="inlineStr">
        <is>
          <t>New Lead</t>
        </is>
      </c>
      <c r="H557" t="inlineStr">
        <is>
          <t>View Tender</t>
        </is>
      </c>
      <c r="K557" t="inlineStr">
        <is>
          <t>Not found</t>
        </is>
      </c>
      <c r="L557" t="inlineStr">
        <is>
          <t>Unknown</t>
        </is>
      </c>
      <c r="T557" t="inlineStr">
        <is>
          <t>https://tenders.iglonline.net/tenderDetail/427/Active Tenders And Corrigendum-Addendum</t>
        </is>
      </c>
      <c r="U557" t="inlineStr">
        <is>
          <t>No</t>
        </is>
      </c>
      <c r="V557" t="inlineStr">
        <is>
          <t>Bot tarafindan tespit edildi (2026-07-01)</t>
        </is>
      </c>
    </row>
    <row r="558">
      <c r="A558" t="inlineStr">
        <is>
          <t>T-0362</t>
        </is>
      </c>
      <c r="B558" t="inlineStr">
        <is>
          <t>Indraprastha Gas (IGL)</t>
        </is>
      </c>
      <c r="C558" t="inlineStr">
        <is>
          <t>Indraprastha Gas (IGL)</t>
        </is>
      </c>
      <c r="F558" t="inlineStr">
        <is>
          <t>New Lead</t>
        </is>
      </c>
      <c r="H558" t="inlineStr">
        <is>
          <t>Tender_Document_CC18505_Kaka_Nagar.pdf</t>
        </is>
      </c>
      <c r="K558" t="inlineStr">
        <is>
          <t>Not found</t>
        </is>
      </c>
      <c r="L558" t="inlineStr">
        <is>
          <t>Unknown</t>
        </is>
      </c>
      <c r="T558" t="inlineStr">
        <is>
          <t>https://tenders.iglonline.net/uploads/tender/Tender_Document_CC18505_Kaka_Nagar.pdf</t>
        </is>
      </c>
      <c r="U558" t="inlineStr">
        <is>
          <t>No</t>
        </is>
      </c>
      <c r="V558" t="inlineStr">
        <is>
          <t>Bot tarafindan tespit edildi (2026-07-01)</t>
        </is>
      </c>
    </row>
    <row r="559">
      <c r="A559" t="inlineStr">
        <is>
          <t>T-0363</t>
        </is>
      </c>
      <c r="B559" t="inlineStr">
        <is>
          <t>Indraprastha Gas (IGL)</t>
        </is>
      </c>
      <c r="C559" t="inlineStr">
        <is>
          <t>Indraprastha Gas (IGL)</t>
        </is>
      </c>
      <c r="F559" t="inlineStr">
        <is>
          <t>New Lead</t>
        </is>
      </c>
      <c r="H559" t="inlineStr">
        <is>
          <t>PBO_Corrigendum_CC18505.pdf</t>
        </is>
      </c>
      <c r="K559" t="inlineStr">
        <is>
          <t>Not found</t>
        </is>
      </c>
      <c r="L559" t="inlineStr">
        <is>
          <t>Unknown</t>
        </is>
      </c>
      <c r="T559" t="inlineStr">
        <is>
          <t>https://tenders.iglonline.net/uploads/tender/PBO_Corrigendum_CC18505.pdf</t>
        </is>
      </c>
      <c r="U559" t="inlineStr">
        <is>
          <t>No</t>
        </is>
      </c>
      <c r="V559" t="inlineStr">
        <is>
          <t>Bot tarafindan tespit edildi (2026-07-01)</t>
        </is>
      </c>
    </row>
    <row r="560">
      <c r="A560" t="inlineStr">
        <is>
          <t>T-0364</t>
        </is>
      </c>
      <c r="B560" t="inlineStr">
        <is>
          <t>Indraprastha Gas (IGL)</t>
        </is>
      </c>
      <c r="C560" t="inlineStr">
        <is>
          <t>Indraprastha Gas (IGL)</t>
        </is>
      </c>
      <c r="F560" t="inlineStr">
        <is>
          <t>New Lead</t>
        </is>
      </c>
      <c r="H560" t="inlineStr">
        <is>
          <t>View Tender</t>
        </is>
      </c>
      <c r="K560" t="inlineStr">
        <is>
          <t>Not found</t>
        </is>
      </c>
      <c r="L560" t="inlineStr">
        <is>
          <t>Unknown</t>
        </is>
      </c>
      <c r="T560" t="inlineStr">
        <is>
          <t>https://tenders.iglonline.net/tenderDetail/426/Active Tenders And Corrigendum-Addendum</t>
        </is>
      </c>
      <c r="U560" t="inlineStr">
        <is>
          <t>No</t>
        </is>
      </c>
      <c r="V560" t="inlineStr">
        <is>
          <t>Bot tarafindan tespit edildi (2026-07-01)</t>
        </is>
      </c>
    </row>
    <row r="561">
      <c r="A561" t="inlineStr">
        <is>
          <t>T-0365</t>
        </is>
      </c>
      <c r="B561" t="inlineStr">
        <is>
          <t>Indraprastha Gas (IGL)</t>
        </is>
      </c>
      <c r="C561" t="inlineStr">
        <is>
          <t>Indraprastha Gas (IGL)</t>
        </is>
      </c>
      <c r="D561" t="inlineStr">
        <is>
          <t>oring</t>
        </is>
      </c>
      <c r="F561" t="inlineStr">
        <is>
          <t>New Lead</t>
        </is>
      </c>
      <c r="G561" t="inlineStr">
        <is>
          <t>Unclassified</t>
        </is>
      </c>
      <c r="H561" t="inlineStr">
        <is>
          <t>Tender_CP18467.pdf</t>
        </is>
      </c>
      <c r="K561" t="inlineStr">
        <is>
          <t>Not found</t>
        </is>
      </c>
      <c r="L561" t="inlineStr">
        <is>
          <t>Unknown</t>
        </is>
      </c>
      <c r="T561" t="inlineStr">
        <is>
          <t>https://tenders.iglonline.net/uploads/tender/Tender_CP18467.pdf</t>
        </is>
      </c>
      <c r="U561" t="inlineStr">
        <is>
          <t>No</t>
        </is>
      </c>
      <c r="V561" t="inlineStr">
        <is>
          <t>Bot tarafindan tespit edildi (2026-07-01); Bot tespit/zenginlestirme (2026-07-01); meta:score=35;priority=Low;source_type=html_table;closing_date=;equipment=Unclassified;reasons=document source,tender reference signal</t>
        </is>
      </c>
    </row>
    <row r="562">
      <c r="A562" t="inlineStr">
        <is>
          <t>T-0366</t>
        </is>
      </c>
      <c r="B562" t="inlineStr">
        <is>
          <t>Indraprastha Gas (IGL)</t>
        </is>
      </c>
      <c r="C562" t="inlineStr">
        <is>
          <t>Indraprastha Gas (IGL)</t>
        </is>
      </c>
      <c r="D562" t="inlineStr">
        <is>
          <t>oring</t>
        </is>
      </c>
      <c r="F562" t="inlineStr">
        <is>
          <t>New Lead</t>
        </is>
      </c>
      <c r="G562" t="inlineStr">
        <is>
          <t>Unclassified</t>
        </is>
      </c>
      <c r="H562" t="inlineStr">
        <is>
          <t>CP18467.pdf</t>
        </is>
      </c>
      <c r="K562" t="inlineStr">
        <is>
          <t>Not found</t>
        </is>
      </c>
      <c r="L562" t="inlineStr">
        <is>
          <t>Unknown</t>
        </is>
      </c>
      <c r="T562" t="inlineStr">
        <is>
          <t>https://tenders.iglonline.net/uploads/tender/CP18467.pdf</t>
        </is>
      </c>
      <c r="U562" t="inlineStr">
        <is>
          <t>No</t>
        </is>
      </c>
      <c r="V562" t="inlineStr">
        <is>
          <t>Bot tarafindan tespit edildi (2026-07-01); Bot tespit/zenginlestirme (2026-07-01); meta:score=35;priority=Low;source_type=html_table;closing_date=;equipment=Unclassified;reasons=document source,tender reference signal</t>
        </is>
      </c>
    </row>
    <row r="563">
      <c r="A563" t="inlineStr">
        <is>
          <t>T-0367</t>
        </is>
      </c>
      <c r="B563" t="inlineStr">
        <is>
          <t>Indraprastha Gas (IGL)</t>
        </is>
      </c>
      <c r="C563" t="inlineStr">
        <is>
          <t>Indraprastha Gas (IGL)</t>
        </is>
      </c>
      <c r="D563" t="inlineStr">
        <is>
          <t>oring</t>
        </is>
      </c>
      <c r="F563" t="inlineStr">
        <is>
          <t>New Lead</t>
        </is>
      </c>
      <c r="G563" t="inlineStr">
        <is>
          <t>Unclassified</t>
        </is>
      </c>
      <c r="H563" t="inlineStr">
        <is>
          <t>RTBQ CP18467.pdf</t>
        </is>
      </c>
      <c r="K563" t="inlineStr">
        <is>
          <t>Not found</t>
        </is>
      </c>
      <c r="L563" t="inlineStr">
        <is>
          <t>Unknown</t>
        </is>
      </c>
      <c r="T563" t="inlineStr">
        <is>
          <t>https://tenders.iglonline.net/uploads/tender/RTBQ CP18467.pdf</t>
        </is>
      </c>
      <c r="U563" t="inlineStr">
        <is>
          <t>No</t>
        </is>
      </c>
      <c r="V563" t="inlineStr">
        <is>
          <t>Bot tarafindan tespit edildi (2026-07-01); Bot tespit/zenginlestirme (2026-07-01); meta:score=35;priority=Low;source_type=html_table;closing_date=;equipment=Unclassified;reasons=document source,tender reference signal</t>
        </is>
      </c>
    </row>
    <row r="564">
      <c r="A564" t="inlineStr">
        <is>
          <t>T-0368</t>
        </is>
      </c>
      <c r="B564" t="inlineStr">
        <is>
          <t>Indraprastha Gas (IGL)</t>
        </is>
      </c>
      <c r="C564" t="inlineStr">
        <is>
          <t>Indraprastha Gas (IGL)</t>
        </is>
      </c>
      <c r="F564" t="inlineStr">
        <is>
          <t>New Lead</t>
        </is>
      </c>
      <c r="H564" t="inlineStr">
        <is>
          <t>View Tender</t>
        </is>
      </c>
      <c r="K564" t="inlineStr">
        <is>
          <t>Not found</t>
        </is>
      </c>
      <c r="L564" t="inlineStr">
        <is>
          <t>Unknown</t>
        </is>
      </c>
      <c r="T564" t="inlineStr">
        <is>
          <t>https://tenders.iglonline.net/tenderDetail/425/Active Tenders And Corrigendum-Addendum</t>
        </is>
      </c>
      <c r="U564" t="inlineStr">
        <is>
          <t>No</t>
        </is>
      </c>
      <c r="V564" t="inlineStr">
        <is>
          <t>Bot tarafindan tespit edildi (2026-07-01)</t>
        </is>
      </c>
    </row>
    <row r="565">
      <c r="A565" t="inlineStr">
        <is>
          <t>T-0369</t>
        </is>
      </c>
      <c r="B565" t="inlineStr">
        <is>
          <t>Indraprastha Gas (IGL)</t>
        </is>
      </c>
      <c r="C565" t="inlineStr">
        <is>
          <t>Indraprastha Gas (IGL)</t>
        </is>
      </c>
      <c r="F565" t="inlineStr">
        <is>
          <t>New Lead</t>
        </is>
      </c>
      <c r="H565" t="inlineStr">
        <is>
          <t>Comm_Vol_CP18455.pdf</t>
        </is>
      </c>
      <c r="K565" t="inlineStr">
        <is>
          <t>Not found</t>
        </is>
      </c>
      <c r="L565" t="inlineStr">
        <is>
          <t>Unknown</t>
        </is>
      </c>
      <c r="T565" t="inlineStr">
        <is>
          <t>https://tenders.iglonline.net/uploads/tender/Comm_Vol_CP18455.pdf</t>
        </is>
      </c>
      <c r="U565" t="inlineStr">
        <is>
          <t>No</t>
        </is>
      </c>
      <c r="V565" t="inlineStr">
        <is>
          <t>Bot tarafindan tespit edildi (2026-07-01)</t>
        </is>
      </c>
    </row>
    <row r="566">
      <c r="A566" t="inlineStr">
        <is>
          <t>T-0370</t>
        </is>
      </c>
      <c r="B566" t="inlineStr">
        <is>
          <t>Indraprastha Gas (IGL)</t>
        </is>
      </c>
      <c r="C566" t="inlineStr">
        <is>
          <t>Indraprastha Gas (IGL)</t>
        </is>
      </c>
      <c r="F566" t="inlineStr">
        <is>
          <t>New Lead</t>
        </is>
      </c>
      <c r="H566" t="inlineStr">
        <is>
          <t>CP18455_Technical_Vol_II_of_II.pdf</t>
        </is>
      </c>
      <c r="K566" t="inlineStr">
        <is>
          <t>Not found</t>
        </is>
      </c>
      <c r="L566" t="inlineStr">
        <is>
          <t>Unknown</t>
        </is>
      </c>
      <c r="T566" t="inlineStr">
        <is>
          <t>https://tenders.iglonline.net/uploads/tender/CP18455_Technical_Vol_II_of_II.pdf</t>
        </is>
      </c>
      <c r="U566" t="inlineStr">
        <is>
          <t>No</t>
        </is>
      </c>
      <c r="V566" t="inlineStr">
        <is>
          <t>Bot tarafindan tespit edildi (2026-07-01)</t>
        </is>
      </c>
    </row>
    <row r="567">
      <c r="A567" t="inlineStr">
        <is>
          <t>T-0371</t>
        </is>
      </c>
      <c r="B567" t="inlineStr">
        <is>
          <t>Indraprastha Gas (IGL)</t>
        </is>
      </c>
      <c r="C567" t="inlineStr">
        <is>
          <t>Indraprastha Gas (IGL)</t>
        </is>
      </c>
      <c r="F567" t="inlineStr">
        <is>
          <t>New Lead</t>
        </is>
      </c>
      <c r="H567" t="inlineStr">
        <is>
          <t>RTBQ CP18455.pdf</t>
        </is>
      </c>
      <c r="K567" t="inlineStr">
        <is>
          <t>Not found</t>
        </is>
      </c>
      <c r="L567" t="inlineStr">
        <is>
          <t>Unknown</t>
        </is>
      </c>
      <c r="T567" t="inlineStr">
        <is>
          <t>https://tenders.iglonline.net/uploads/tender/RTBQ CP18455.pdf</t>
        </is>
      </c>
      <c r="U567" t="inlineStr">
        <is>
          <t>No</t>
        </is>
      </c>
      <c r="V567" t="inlineStr">
        <is>
          <t>Bot tarafindan tespit edildi (2026-07-01)</t>
        </is>
      </c>
    </row>
    <row r="568">
      <c r="A568" t="inlineStr">
        <is>
          <t>T-0372</t>
        </is>
      </c>
      <c r="B568" t="inlineStr">
        <is>
          <t>Indraprastha Gas (IGL)</t>
        </is>
      </c>
      <c r="C568" t="inlineStr">
        <is>
          <t>Indraprastha Gas (IGL)</t>
        </is>
      </c>
      <c r="F568" t="inlineStr">
        <is>
          <t>New Lead</t>
        </is>
      </c>
      <c r="H568" t="inlineStr">
        <is>
          <t>RTBQ 2 CP18455.pdf</t>
        </is>
      </c>
      <c r="K568" t="inlineStr">
        <is>
          <t>Not found</t>
        </is>
      </c>
      <c r="L568" t="inlineStr">
        <is>
          <t>Unknown</t>
        </is>
      </c>
      <c r="T568" t="inlineStr">
        <is>
          <t>https://tenders.iglonline.net/uploads/tender/RTBQ 2 CP18455.pdf</t>
        </is>
      </c>
      <c r="U568" t="inlineStr">
        <is>
          <t>No</t>
        </is>
      </c>
      <c r="V568" t="inlineStr">
        <is>
          <t>Bot tarafindan tespit edildi (2026-07-01)</t>
        </is>
      </c>
    </row>
    <row r="569">
      <c r="A569" t="inlineStr">
        <is>
          <t>T-0373</t>
        </is>
      </c>
      <c r="B569" t="inlineStr">
        <is>
          <t>Indraprastha Gas (IGL)</t>
        </is>
      </c>
      <c r="C569" t="inlineStr">
        <is>
          <t>Indraprastha Gas (IGL)</t>
        </is>
      </c>
      <c r="F569" t="inlineStr">
        <is>
          <t>New Lead</t>
        </is>
      </c>
      <c r="H569" t="inlineStr">
        <is>
          <t>Corrigendum_I_CP18455.pdf</t>
        </is>
      </c>
      <c r="K569" t="inlineStr">
        <is>
          <t>Not found</t>
        </is>
      </c>
      <c r="L569" t="inlineStr">
        <is>
          <t>Unknown</t>
        </is>
      </c>
      <c r="T569" t="inlineStr">
        <is>
          <t>https://tenders.iglonline.net/uploads/tender/Corrigendum_I_CP18455.pdf</t>
        </is>
      </c>
      <c r="U569" t="inlineStr">
        <is>
          <t>No</t>
        </is>
      </c>
      <c r="V569" t="inlineStr">
        <is>
          <t>Bot tarafindan tespit edildi (2026-07-01)</t>
        </is>
      </c>
    </row>
    <row r="570">
      <c r="A570" t="inlineStr">
        <is>
          <t>T-0374</t>
        </is>
      </c>
      <c r="B570" t="inlineStr">
        <is>
          <t>Indraprastha Gas (IGL)</t>
        </is>
      </c>
      <c r="C570" t="inlineStr">
        <is>
          <t>Indraprastha Gas (IGL)</t>
        </is>
      </c>
      <c r="F570" t="inlineStr">
        <is>
          <t>New Lead</t>
        </is>
      </c>
      <c r="H570" t="inlineStr">
        <is>
          <t>View Tender</t>
        </is>
      </c>
      <c r="K570" t="inlineStr">
        <is>
          <t>Not found</t>
        </is>
      </c>
      <c r="L570" t="inlineStr">
        <is>
          <t>Unknown</t>
        </is>
      </c>
      <c r="T570" t="inlineStr">
        <is>
          <t>https://tenders.iglonline.net/tenderDetail/424/Active Tenders And Corrigendum-Addendum</t>
        </is>
      </c>
      <c r="U570" t="inlineStr">
        <is>
          <t>No</t>
        </is>
      </c>
      <c r="V570" t="inlineStr">
        <is>
          <t>Bot tarafindan tespit edildi (2026-07-01)</t>
        </is>
      </c>
    </row>
    <row r="571">
      <c r="A571" t="inlineStr">
        <is>
          <t>T-0375</t>
        </is>
      </c>
      <c r="B571" t="inlineStr">
        <is>
          <t>Indraprastha Gas (IGL)</t>
        </is>
      </c>
      <c r="C571" t="inlineStr">
        <is>
          <t>Indraprastha Gas (IGL)</t>
        </is>
      </c>
      <c r="F571" t="inlineStr">
        <is>
          <t>New Lead</t>
        </is>
      </c>
      <c r="H571" t="inlineStr">
        <is>
          <t>Tender_Doc_CP18494.pdf</t>
        </is>
      </c>
      <c r="K571" t="inlineStr">
        <is>
          <t>Not found</t>
        </is>
      </c>
      <c r="L571" t="inlineStr">
        <is>
          <t>Unknown</t>
        </is>
      </c>
      <c r="T571" t="inlineStr">
        <is>
          <t>https://tenders.iglonline.net/uploads/tender/Tender_Doc_CP18494.pdf</t>
        </is>
      </c>
      <c r="U571" t="inlineStr">
        <is>
          <t>No</t>
        </is>
      </c>
      <c r="V571" t="inlineStr">
        <is>
          <t>Bot tarafindan tespit edildi (2026-07-01)</t>
        </is>
      </c>
    </row>
    <row r="572">
      <c r="A572" t="inlineStr">
        <is>
          <t>T-0376</t>
        </is>
      </c>
      <c r="B572" t="inlineStr">
        <is>
          <t>Indraprastha Gas (IGL)</t>
        </is>
      </c>
      <c r="C572" t="inlineStr">
        <is>
          <t>Indraprastha Gas (IGL)</t>
        </is>
      </c>
      <c r="F572" t="inlineStr">
        <is>
          <t>New Lead</t>
        </is>
      </c>
      <c r="H572" t="inlineStr">
        <is>
          <t>Corrigendum_1_CP18494.pdf</t>
        </is>
      </c>
      <c r="K572" t="inlineStr">
        <is>
          <t>Not found</t>
        </is>
      </c>
      <c r="L572" t="inlineStr">
        <is>
          <t>Unknown</t>
        </is>
      </c>
      <c r="T572" t="inlineStr">
        <is>
          <t>https://tenders.iglonline.net/uploads/tender/Corrigendum_1_CP18494.pdf</t>
        </is>
      </c>
      <c r="U572" t="inlineStr">
        <is>
          <t>No</t>
        </is>
      </c>
      <c r="V572" t="inlineStr">
        <is>
          <t>Bot tarafindan tespit edildi (2026-07-01)</t>
        </is>
      </c>
    </row>
    <row r="573">
      <c r="A573" t="inlineStr">
        <is>
          <t>T-0377</t>
        </is>
      </c>
      <c r="B573" t="inlineStr">
        <is>
          <t>Indraprastha Gas (IGL)</t>
        </is>
      </c>
      <c r="C573" t="inlineStr">
        <is>
          <t>Indraprastha Gas (IGL)</t>
        </is>
      </c>
      <c r="F573" t="inlineStr">
        <is>
          <t>New Lead</t>
        </is>
      </c>
      <c r="H573" t="inlineStr">
        <is>
          <t>Corrigendum_II_CP18494.pdf</t>
        </is>
      </c>
      <c r="K573" t="inlineStr">
        <is>
          <t>Not found</t>
        </is>
      </c>
      <c r="L573" t="inlineStr">
        <is>
          <t>Unknown</t>
        </is>
      </c>
      <c r="T573" t="inlineStr">
        <is>
          <t>https://tenders.iglonline.net/uploads/tender/Corrigendum_II_CP18494.pdf</t>
        </is>
      </c>
      <c r="U573" t="inlineStr">
        <is>
          <t>No</t>
        </is>
      </c>
      <c r="V573" t="inlineStr">
        <is>
          <t>Bot tarafindan tespit edildi (2026-07-01)</t>
        </is>
      </c>
    </row>
    <row r="574">
      <c r="A574" t="inlineStr">
        <is>
          <t>T-0378</t>
        </is>
      </c>
      <c r="B574" t="inlineStr">
        <is>
          <t>Indraprastha Gas (IGL)</t>
        </is>
      </c>
      <c r="C574" t="inlineStr">
        <is>
          <t>Indraprastha Gas (IGL)</t>
        </is>
      </c>
      <c r="F574" t="inlineStr">
        <is>
          <t>New Lead</t>
        </is>
      </c>
      <c r="H574" t="inlineStr">
        <is>
          <t>View Tender</t>
        </is>
      </c>
      <c r="K574" t="inlineStr">
        <is>
          <t>Not found</t>
        </is>
      </c>
      <c r="L574" t="inlineStr">
        <is>
          <t>Unknown</t>
        </is>
      </c>
      <c r="T574" t="inlineStr">
        <is>
          <t>https://tenders.iglonline.net/tenderDetail/423/Active Tenders And Corrigendum-Addendum</t>
        </is>
      </c>
      <c r="U574" t="inlineStr">
        <is>
          <t>No</t>
        </is>
      </c>
      <c r="V574" t="inlineStr">
        <is>
          <t>Bot tarafindan tespit edildi (2026-07-01)</t>
        </is>
      </c>
    </row>
    <row r="575">
      <c r="A575" t="inlineStr">
        <is>
          <t>T-0379</t>
        </is>
      </c>
      <c r="B575" t="inlineStr">
        <is>
          <t>Indraprastha Gas (IGL)</t>
        </is>
      </c>
      <c r="C575" t="inlineStr">
        <is>
          <t>Indraprastha Gas (IGL)</t>
        </is>
      </c>
      <c r="F575" t="inlineStr">
        <is>
          <t>New Lead</t>
        </is>
      </c>
      <c r="G575" t="inlineStr">
        <is>
          <t>Gas-related / review</t>
        </is>
      </c>
      <c r="H575" t="inlineStr">
        <is>
          <t>Tender_ CC18420_30 KVA Gas Generator.pdf</t>
        </is>
      </c>
      <c r="K575" t="inlineStr">
        <is>
          <t>Not found</t>
        </is>
      </c>
      <c r="L575" t="inlineStr">
        <is>
          <t>Unknown</t>
        </is>
      </c>
      <c r="T575" t="inlineStr">
        <is>
          <t>https://tenders.iglonline.net/uploads/tender/Tender_ CC18420_30 KVA Gas Generator.pdf</t>
        </is>
      </c>
      <c r="U575" t="inlineStr">
        <is>
          <t>No</t>
        </is>
      </c>
      <c r="V575" t="inlineStr">
        <is>
          <t>Bot tarafindan tespit edildi (2026-07-01); Bot tespit/zenginlestirme (2026-07-01); meta:score=35;priority=Low;source_type=html_table;closing_date=;equipment=Gas-related / review;reasons=equipment:Gas-related / review,document source</t>
        </is>
      </c>
    </row>
    <row r="576">
      <c r="A576" t="inlineStr">
        <is>
          <t>T-0380</t>
        </is>
      </c>
      <c r="B576" t="inlineStr">
        <is>
          <t>Indraprastha Gas (IGL)</t>
        </is>
      </c>
      <c r="C576" t="inlineStr">
        <is>
          <t>Indraprastha Gas (IGL)</t>
        </is>
      </c>
      <c r="F576" t="inlineStr">
        <is>
          <t>New Lead</t>
        </is>
      </c>
      <c r="G576" t="inlineStr">
        <is>
          <t>Gas-related / review</t>
        </is>
      </c>
      <c r="H576" t="inlineStr">
        <is>
          <t>Corrigendum_I_CC18420.pdf</t>
        </is>
      </c>
      <c r="K576" t="inlineStr">
        <is>
          <t>Not found</t>
        </is>
      </c>
      <c r="L576" t="inlineStr">
        <is>
          <t>Unknown</t>
        </is>
      </c>
      <c r="T576" t="inlineStr">
        <is>
          <t>https://tenders.iglonline.net/uploads/tender/Corrigendum_I_CC18420.pdf</t>
        </is>
      </c>
      <c r="U576" t="inlineStr">
        <is>
          <t>No</t>
        </is>
      </c>
      <c r="V576" t="inlineStr">
        <is>
          <t>Bot tarafindan tespit edildi (2026-07-01); Bot tespit/zenginlestirme (2026-07-01); meta:score=35;priority=Low;source_type=html_table;closing_date=;equipment=Gas-related / review;reasons=equipment:Gas-related / review,document source</t>
        </is>
      </c>
    </row>
    <row r="577">
      <c r="A577" t="inlineStr">
        <is>
          <t>T-0381</t>
        </is>
      </c>
      <c r="B577" t="inlineStr">
        <is>
          <t>Indraprastha Gas (IGL)</t>
        </is>
      </c>
      <c r="C577" t="inlineStr">
        <is>
          <t>Indraprastha Gas (IGL)</t>
        </is>
      </c>
      <c r="F577" t="inlineStr">
        <is>
          <t>New Lead</t>
        </is>
      </c>
      <c r="G577" t="inlineStr">
        <is>
          <t>Gas-related / review</t>
        </is>
      </c>
      <c r="H577" t="inlineStr">
        <is>
          <t>RTBQ_CC18420.pdf</t>
        </is>
      </c>
      <c r="K577" t="inlineStr">
        <is>
          <t>Not found</t>
        </is>
      </c>
      <c r="L577" t="inlineStr">
        <is>
          <t>Unknown</t>
        </is>
      </c>
      <c r="T577" t="inlineStr">
        <is>
          <t>https://tenders.iglonline.net/uploads/tender/RTBQ_CC18420.pdf</t>
        </is>
      </c>
      <c r="U577" t="inlineStr">
        <is>
          <t>No</t>
        </is>
      </c>
      <c r="V577" t="inlineStr">
        <is>
          <t>Bot tarafindan tespit edildi (2026-07-01); Bot tespit/zenginlestirme (2026-07-01); meta:score=35;priority=Low;source_type=html_table;closing_date=;equipment=Gas-related / review;reasons=equipment:Gas-related / review,document source</t>
        </is>
      </c>
    </row>
    <row r="578">
      <c r="A578" t="inlineStr">
        <is>
          <t>T-0382</t>
        </is>
      </c>
      <c r="B578" t="inlineStr">
        <is>
          <t>Indraprastha Gas (IGL)</t>
        </is>
      </c>
      <c r="C578" t="inlineStr">
        <is>
          <t>Indraprastha Gas (IGL)</t>
        </is>
      </c>
      <c r="F578" t="inlineStr">
        <is>
          <t>New Lead</t>
        </is>
      </c>
      <c r="G578" t="inlineStr">
        <is>
          <t>Gas-related / review</t>
        </is>
      </c>
      <c r="H578" t="inlineStr">
        <is>
          <t>Corrigendum_II_CC18420.pdf</t>
        </is>
      </c>
      <c r="K578" t="inlineStr">
        <is>
          <t>Not found</t>
        </is>
      </c>
      <c r="L578" t="inlineStr">
        <is>
          <t>Unknown</t>
        </is>
      </c>
      <c r="T578" t="inlineStr">
        <is>
          <t>https://tenders.iglonline.net/uploads/tender/Corrigendum_II_CC18420.pdf</t>
        </is>
      </c>
      <c r="U578" t="inlineStr">
        <is>
          <t>No</t>
        </is>
      </c>
      <c r="V578" t="inlineStr">
        <is>
          <t>Bot tarafindan tespit edildi (2026-07-01); Bot tespit/zenginlestirme (2026-07-01); meta:score=35;priority=Low;source_type=html_table;closing_date=;equipment=Gas-related / review;reasons=equipment:Gas-related / review,document source</t>
        </is>
      </c>
    </row>
    <row r="579">
      <c r="A579" t="inlineStr">
        <is>
          <t>T-0383</t>
        </is>
      </c>
      <c r="B579" t="inlineStr">
        <is>
          <t>Indraprastha Gas (IGL)</t>
        </is>
      </c>
      <c r="C579" t="inlineStr">
        <is>
          <t>Indraprastha Gas (IGL)</t>
        </is>
      </c>
      <c r="F579" t="inlineStr">
        <is>
          <t>New Lead</t>
        </is>
      </c>
      <c r="H579" t="inlineStr">
        <is>
          <t>View Tender</t>
        </is>
      </c>
      <c r="K579" t="inlineStr">
        <is>
          <t>Not found</t>
        </is>
      </c>
      <c r="L579" t="inlineStr">
        <is>
          <t>Unknown</t>
        </is>
      </c>
      <c r="T579" t="inlineStr">
        <is>
          <t>https://tenders.iglonline.net/tenderDetail/422/Active Tenders And Corrigendum-Addendum</t>
        </is>
      </c>
      <c r="U579" t="inlineStr">
        <is>
          <t>No</t>
        </is>
      </c>
      <c r="V579" t="inlineStr">
        <is>
          <t>Bot tarafindan tespit edildi (2026-07-01)</t>
        </is>
      </c>
    </row>
    <row r="580">
      <c r="A580" t="inlineStr">
        <is>
          <t>T-0384</t>
        </is>
      </c>
      <c r="B580" t="inlineStr">
        <is>
          <t>Indraprastha Gas (IGL)</t>
        </is>
      </c>
      <c r="C580" t="inlineStr">
        <is>
          <t>Indraprastha Gas (IGL)</t>
        </is>
      </c>
      <c r="F580" t="inlineStr">
        <is>
          <t>New Lead</t>
        </is>
      </c>
      <c r="H580" t="inlineStr">
        <is>
          <t>Tender CC18497_Electrical Maintenance.pdf</t>
        </is>
      </c>
      <c r="K580" t="inlineStr">
        <is>
          <t>Not found</t>
        </is>
      </c>
      <c r="L580" t="inlineStr">
        <is>
          <t>Unknown</t>
        </is>
      </c>
      <c r="T580" t="inlineStr">
        <is>
          <t>https://tenders.iglonline.net/uploads/tender/Tender CC18497_Electrical Maintenance.pdf</t>
        </is>
      </c>
      <c r="U580" t="inlineStr">
        <is>
          <t>No</t>
        </is>
      </c>
      <c r="V580" t="inlineStr">
        <is>
          <t>Bot tarafindan tespit edildi (2026-07-01)</t>
        </is>
      </c>
    </row>
    <row r="581">
      <c r="A581" t="inlineStr">
        <is>
          <t>T-0385</t>
        </is>
      </c>
      <c r="B581" t="inlineStr">
        <is>
          <t>Indraprastha Gas (IGL)</t>
        </is>
      </c>
      <c r="C581" t="inlineStr">
        <is>
          <t>Indraprastha Gas (IGL)</t>
        </is>
      </c>
      <c r="F581" t="inlineStr">
        <is>
          <t>New Lead</t>
        </is>
      </c>
      <c r="H581" t="inlineStr">
        <is>
          <t>View Tender</t>
        </is>
      </c>
      <c r="K581" t="inlineStr">
        <is>
          <t>Not found</t>
        </is>
      </c>
      <c r="L581" t="inlineStr">
        <is>
          <t>Unknown</t>
        </is>
      </c>
      <c r="T581" t="inlineStr">
        <is>
          <t>https://tenders.iglonline.net/tenderDetail/421/Active Tenders And Corrigendum-Addendum</t>
        </is>
      </c>
      <c r="U581" t="inlineStr">
        <is>
          <t>No</t>
        </is>
      </c>
      <c r="V581" t="inlineStr">
        <is>
          <t>Bot tarafindan tespit edildi (2026-07-01)</t>
        </is>
      </c>
    </row>
    <row r="582">
      <c r="A582" t="inlineStr">
        <is>
          <t>T-0386</t>
        </is>
      </c>
      <c r="B582" t="inlineStr">
        <is>
          <t>Indraprastha Gas (IGL)</t>
        </is>
      </c>
      <c r="C582" t="inlineStr">
        <is>
          <t>Indraprastha Gas (IGL)</t>
        </is>
      </c>
      <c r="F582" t="inlineStr">
        <is>
          <t>New Lead</t>
        </is>
      </c>
      <c r="H582" t="inlineStr">
        <is>
          <t>Comm_Vol_CP18456.pdf</t>
        </is>
      </c>
      <c r="K582" t="inlineStr">
        <is>
          <t>Not found</t>
        </is>
      </c>
      <c r="L582" t="inlineStr">
        <is>
          <t>Unknown</t>
        </is>
      </c>
      <c r="T582" t="inlineStr">
        <is>
          <t>https://tenders.iglonline.net/uploads/tender/Comm_Vol_CP18456.pdf</t>
        </is>
      </c>
      <c r="U582" t="inlineStr">
        <is>
          <t>No</t>
        </is>
      </c>
      <c r="V582" t="inlineStr">
        <is>
          <t>Bot tarafindan tespit edildi (2026-07-01)</t>
        </is>
      </c>
    </row>
    <row r="583">
      <c r="A583" t="inlineStr">
        <is>
          <t>T-0387</t>
        </is>
      </c>
      <c r="B583" t="inlineStr">
        <is>
          <t>Indraprastha Gas (IGL)</t>
        </is>
      </c>
      <c r="C583" t="inlineStr">
        <is>
          <t>Indraprastha Gas (IGL)</t>
        </is>
      </c>
      <c r="F583" t="inlineStr">
        <is>
          <t>New Lead</t>
        </is>
      </c>
      <c r="H583" t="inlineStr">
        <is>
          <t>Tech_Vol_CP18456.pdf</t>
        </is>
      </c>
      <c r="K583" t="inlineStr">
        <is>
          <t>Not found</t>
        </is>
      </c>
      <c r="L583" t="inlineStr">
        <is>
          <t>Unknown</t>
        </is>
      </c>
      <c r="T583" t="inlineStr">
        <is>
          <t>https://tenders.iglonline.net/uploads/tender/Tech_Vol_CP18456.pdf</t>
        </is>
      </c>
      <c r="U583" t="inlineStr">
        <is>
          <t>No</t>
        </is>
      </c>
      <c r="V583" t="inlineStr">
        <is>
          <t>Bot tarafindan tespit edildi (2026-07-01)</t>
        </is>
      </c>
    </row>
    <row r="584">
      <c r="A584" t="inlineStr">
        <is>
          <t>T-0388</t>
        </is>
      </c>
      <c r="B584" t="inlineStr">
        <is>
          <t>Indraprastha Gas (IGL)</t>
        </is>
      </c>
      <c r="C584" t="inlineStr">
        <is>
          <t>Indraprastha Gas (IGL)</t>
        </is>
      </c>
      <c r="F584" t="inlineStr">
        <is>
          <t>New Lead</t>
        </is>
      </c>
      <c r="H584" t="inlineStr">
        <is>
          <t>View Tender</t>
        </is>
      </c>
      <c r="K584" t="inlineStr">
        <is>
          <t>Not found</t>
        </is>
      </c>
      <c r="L584" t="inlineStr">
        <is>
          <t>Unknown</t>
        </is>
      </c>
      <c r="T584" t="inlineStr">
        <is>
          <t>https://tenders.iglonline.net/tenderDetail/420/Active Tenders And Corrigendum-Addendum</t>
        </is>
      </c>
      <c r="U584" t="inlineStr">
        <is>
          <t>No</t>
        </is>
      </c>
      <c r="V584" t="inlineStr">
        <is>
          <t>Bot tarafindan tespit edildi (2026-07-01)</t>
        </is>
      </c>
    </row>
    <row r="585">
      <c r="A585" t="inlineStr">
        <is>
          <t>T-0389</t>
        </is>
      </c>
      <c r="B585" t="inlineStr">
        <is>
          <t>Indraprastha Gas (IGL)</t>
        </is>
      </c>
      <c r="C585" t="inlineStr">
        <is>
          <t>Indraprastha Gas (IGL)</t>
        </is>
      </c>
      <c r="F585" t="inlineStr">
        <is>
          <t>New Lead</t>
        </is>
      </c>
      <c r="H585" t="inlineStr">
        <is>
          <t>Tender_Doc_CC18421.pdf</t>
        </is>
      </c>
      <c r="K585" t="inlineStr">
        <is>
          <t>Not found</t>
        </is>
      </c>
      <c r="L585" t="inlineStr">
        <is>
          <t>Unknown</t>
        </is>
      </c>
      <c r="T585" t="inlineStr">
        <is>
          <t>https://tenders.iglonline.net/uploads/tender/Tender_Doc_CC18421.pdf</t>
        </is>
      </c>
      <c r="U585" t="inlineStr">
        <is>
          <t>No</t>
        </is>
      </c>
      <c r="V585" t="inlineStr">
        <is>
          <t>Bot tarafindan tespit edildi (2026-07-01)</t>
        </is>
      </c>
    </row>
    <row r="586">
      <c r="A586" t="inlineStr">
        <is>
          <t>T-0390</t>
        </is>
      </c>
      <c r="B586" t="inlineStr">
        <is>
          <t>Indraprastha Gas (IGL)</t>
        </is>
      </c>
      <c r="C586" t="inlineStr">
        <is>
          <t>Indraprastha Gas (IGL)</t>
        </is>
      </c>
      <c r="F586" t="inlineStr">
        <is>
          <t>New Lead</t>
        </is>
      </c>
      <c r="H586" t="inlineStr">
        <is>
          <t>Reply to Bidders Query_CC18421.pdf</t>
        </is>
      </c>
      <c r="K586" t="inlineStr">
        <is>
          <t>Not found</t>
        </is>
      </c>
      <c r="L586" t="inlineStr">
        <is>
          <t>Unknown</t>
        </is>
      </c>
      <c r="T586" t="inlineStr">
        <is>
          <t>https://tenders.iglonline.net/uploads/tender/Reply to Bidders Query_CC18421.pdf</t>
        </is>
      </c>
      <c r="U586" t="inlineStr">
        <is>
          <t>No</t>
        </is>
      </c>
      <c r="V586" t="inlineStr">
        <is>
          <t>Bot tarafindan tespit edildi (2026-07-01)</t>
        </is>
      </c>
    </row>
    <row r="587">
      <c r="A587" t="inlineStr">
        <is>
          <t>T-0391</t>
        </is>
      </c>
      <c r="B587" t="inlineStr">
        <is>
          <t>Indraprastha Gas (IGL)</t>
        </is>
      </c>
      <c r="C587" t="inlineStr">
        <is>
          <t>Indraprastha Gas (IGL)</t>
        </is>
      </c>
      <c r="F587" t="inlineStr">
        <is>
          <t>New Lead</t>
        </is>
      </c>
      <c r="H587" t="inlineStr">
        <is>
          <t>Corrigendum_I_CC18421.pdf</t>
        </is>
      </c>
      <c r="K587" t="inlineStr">
        <is>
          <t>Not found</t>
        </is>
      </c>
      <c r="L587" t="inlineStr">
        <is>
          <t>Unknown</t>
        </is>
      </c>
      <c r="T587" t="inlineStr">
        <is>
          <t>https://tenders.iglonline.net/uploads/tender/Corrigendum_I_CC18421.pdf</t>
        </is>
      </c>
      <c r="U587" t="inlineStr">
        <is>
          <t>No</t>
        </is>
      </c>
      <c r="V587" t="inlineStr">
        <is>
          <t>Bot tarafindan tespit edildi (2026-07-01)</t>
        </is>
      </c>
    </row>
    <row r="588">
      <c r="A588" t="inlineStr">
        <is>
          <t>T-0392</t>
        </is>
      </c>
      <c r="B588" t="inlineStr">
        <is>
          <t>Indraprastha Gas (IGL)</t>
        </is>
      </c>
      <c r="C588" t="inlineStr">
        <is>
          <t>Indraprastha Gas (IGL)</t>
        </is>
      </c>
      <c r="F588" t="inlineStr">
        <is>
          <t>New Lead</t>
        </is>
      </c>
      <c r="H588" t="inlineStr">
        <is>
          <t>View Tender</t>
        </is>
      </c>
      <c r="K588" t="inlineStr">
        <is>
          <t>Not found</t>
        </is>
      </c>
      <c r="L588" t="inlineStr">
        <is>
          <t>Unknown</t>
        </is>
      </c>
      <c r="T588" t="inlineStr">
        <is>
          <t>https://tenders.iglonline.net/tenderDetail/419/Active Tenders And Corrigendum-Addendum</t>
        </is>
      </c>
      <c r="U588" t="inlineStr">
        <is>
          <t>No</t>
        </is>
      </c>
      <c r="V588" t="inlineStr">
        <is>
          <t>Bot tarafindan tespit edildi (2026-07-01)</t>
        </is>
      </c>
    </row>
    <row r="589">
      <c r="A589" t="inlineStr">
        <is>
          <t>T-0393</t>
        </is>
      </c>
      <c r="B589" t="inlineStr">
        <is>
          <t>Indraprastha Gas (IGL)</t>
        </is>
      </c>
      <c r="C589" t="inlineStr">
        <is>
          <t>Indraprastha Gas (IGL)</t>
        </is>
      </c>
      <c r="F589" t="inlineStr">
        <is>
          <t>New Lead</t>
        </is>
      </c>
      <c r="H589" t="inlineStr">
        <is>
          <t>Tender CC18461_Housekeeping.pdf</t>
        </is>
      </c>
      <c r="K589" t="inlineStr">
        <is>
          <t>Not found</t>
        </is>
      </c>
      <c r="L589" t="inlineStr">
        <is>
          <t>Unknown</t>
        </is>
      </c>
      <c r="T589" t="inlineStr">
        <is>
          <t>https://tenders.iglonline.net/uploads/tender/Tender CC18461_Housekeeping.pdf</t>
        </is>
      </c>
      <c r="U589" t="inlineStr">
        <is>
          <t>No</t>
        </is>
      </c>
      <c r="V589" t="inlineStr">
        <is>
          <t>Bot tarafindan tespit edildi (2026-07-01)</t>
        </is>
      </c>
    </row>
    <row r="590">
      <c r="A590" t="inlineStr">
        <is>
          <t>T-0394</t>
        </is>
      </c>
      <c r="B590" t="inlineStr">
        <is>
          <t>Indraprastha Gas (IGL)</t>
        </is>
      </c>
      <c r="C590" t="inlineStr">
        <is>
          <t>Indraprastha Gas (IGL)</t>
        </is>
      </c>
      <c r="F590" t="inlineStr">
        <is>
          <t>New Lead</t>
        </is>
      </c>
      <c r="H590" t="inlineStr">
        <is>
          <t>Corrigendum-I-CC18461.pdf</t>
        </is>
      </c>
      <c r="K590" t="inlineStr">
        <is>
          <t>Not found</t>
        </is>
      </c>
      <c r="L590" t="inlineStr">
        <is>
          <t>Unknown</t>
        </is>
      </c>
      <c r="T590" t="inlineStr">
        <is>
          <t>https://tenders.iglonline.net/uploads/tender/Corrigendum-I-CC18461.pdf</t>
        </is>
      </c>
      <c r="U590" t="inlineStr">
        <is>
          <t>No</t>
        </is>
      </c>
      <c r="V590" t="inlineStr">
        <is>
          <t>Bot tarafindan tespit edildi (2026-07-01)</t>
        </is>
      </c>
    </row>
    <row r="591">
      <c r="A591" t="inlineStr">
        <is>
          <t>T-0395</t>
        </is>
      </c>
      <c r="B591" t="inlineStr">
        <is>
          <t>Indraprastha Gas (IGL)</t>
        </is>
      </c>
      <c r="C591" t="inlineStr">
        <is>
          <t>Indraprastha Gas (IGL)</t>
        </is>
      </c>
      <c r="F591" t="inlineStr">
        <is>
          <t>New Lead</t>
        </is>
      </c>
      <c r="H591" t="inlineStr">
        <is>
          <t>View Tender</t>
        </is>
      </c>
      <c r="K591" t="inlineStr">
        <is>
          <t>Not found</t>
        </is>
      </c>
      <c r="L591" t="inlineStr">
        <is>
          <t>Unknown</t>
        </is>
      </c>
      <c r="T591" t="inlineStr">
        <is>
          <t>https://tenders.iglonline.net/tenderDetail/418/Active Tenders And Corrigendum-Addendum</t>
        </is>
      </c>
      <c r="U591" t="inlineStr">
        <is>
          <t>No</t>
        </is>
      </c>
      <c r="V591" t="inlineStr">
        <is>
          <t>Bot tarafindan tespit edildi (2026-07-01)</t>
        </is>
      </c>
    </row>
    <row r="592">
      <c r="A592" t="inlineStr">
        <is>
          <t>T-0396</t>
        </is>
      </c>
      <c r="B592" t="inlineStr">
        <is>
          <t>Indraprastha Gas (IGL)</t>
        </is>
      </c>
      <c r="C592" t="inlineStr">
        <is>
          <t>Indraprastha Gas (IGL)</t>
        </is>
      </c>
      <c r="F592" t="inlineStr">
        <is>
          <t>New Lead</t>
        </is>
      </c>
      <c r="H592" t="inlineStr">
        <is>
          <t>Tender_CC18415.pdf</t>
        </is>
      </c>
      <c r="K592" t="inlineStr">
        <is>
          <t>Not found</t>
        </is>
      </c>
      <c r="L592" t="inlineStr">
        <is>
          <t>Unknown</t>
        </is>
      </c>
      <c r="T592" t="inlineStr">
        <is>
          <t>https://tenders.iglonline.net/uploads/tender/Tender_CC18415.pdf</t>
        </is>
      </c>
      <c r="U592" t="inlineStr">
        <is>
          <t>No</t>
        </is>
      </c>
      <c r="V592" t="inlineStr">
        <is>
          <t>Bot tarafindan tespit edildi (2026-07-01)</t>
        </is>
      </c>
    </row>
    <row r="593">
      <c r="A593" t="inlineStr">
        <is>
          <t>T-0397</t>
        </is>
      </c>
      <c r="B593" t="inlineStr">
        <is>
          <t>Indraprastha Gas (IGL)</t>
        </is>
      </c>
      <c r="C593" t="inlineStr">
        <is>
          <t>Indraprastha Gas (IGL)</t>
        </is>
      </c>
      <c r="F593" t="inlineStr">
        <is>
          <t>New Lead</t>
        </is>
      </c>
      <c r="H593" t="inlineStr">
        <is>
          <t>Corrigendum_I_CC18415.pdf</t>
        </is>
      </c>
      <c r="K593" t="inlineStr">
        <is>
          <t>Not found</t>
        </is>
      </c>
      <c r="L593" t="inlineStr">
        <is>
          <t>Unknown</t>
        </is>
      </c>
      <c r="T593" t="inlineStr">
        <is>
          <t>https://tenders.iglonline.net/uploads/tender/Corrigendum_I_CC18415.pdf</t>
        </is>
      </c>
      <c r="U593" t="inlineStr">
        <is>
          <t>No</t>
        </is>
      </c>
      <c r="V593" t="inlineStr">
        <is>
          <t>Bot tarafindan tespit edildi (2026-07-01)</t>
        </is>
      </c>
    </row>
    <row r="594">
      <c r="A594" t="inlineStr">
        <is>
          <t>T-0398</t>
        </is>
      </c>
      <c r="B594" t="inlineStr">
        <is>
          <t>Indraprastha Gas (IGL)</t>
        </is>
      </c>
      <c r="C594" t="inlineStr">
        <is>
          <t>Indraprastha Gas (IGL)</t>
        </is>
      </c>
      <c r="F594" t="inlineStr">
        <is>
          <t>New Lead</t>
        </is>
      </c>
      <c r="H594" t="inlineStr">
        <is>
          <t>View Tender</t>
        </is>
      </c>
      <c r="K594" t="inlineStr">
        <is>
          <t>Not found</t>
        </is>
      </c>
      <c r="L594" t="inlineStr">
        <is>
          <t>Unknown</t>
        </is>
      </c>
      <c r="T594" t="inlineStr">
        <is>
          <t>https://tenders.iglonline.net/tenderDetail/417/Active Tenders And Corrigendum-Addendum</t>
        </is>
      </c>
      <c r="U594" t="inlineStr">
        <is>
          <t>No</t>
        </is>
      </c>
      <c r="V594" t="inlineStr">
        <is>
          <t>Bot tarafindan tespit edildi (2026-07-01)</t>
        </is>
      </c>
    </row>
    <row r="595">
      <c r="A595" t="inlineStr">
        <is>
          <t>T-0399</t>
        </is>
      </c>
      <c r="B595" t="inlineStr">
        <is>
          <t>Indraprastha Gas (IGL)</t>
        </is>
      </c>
      <c r="C595" t="inlineStr">
        <is>
          <t>Indraprastha Gas (IGL)</t>
        </is>
      </c>
      <c r="F595" t="inlineStr">
        <is>
          <t>New Lead</t>
        </is>
      </c>
      <c r="H595" t="inlineStr">
        <is>
          <t>Tender CM18479.pdf</t>
        </is>
      </c>
      <c r="K595" t="inlineStr">
        <is>
          <t>Not found</t>
        </is>
      </c>
      <c r="L595" t="inlineStr">
        <is>
          <t>Unknown</t>
        </is>
      </c>
      <c r="T595" t="inlineStr">
        <is>
          <t>https://tenders.iglonline.net/uploads/tender/Tender CM18479.pdf</t>
        </is>
      </c>
      <c r="U595" t="inlineStr">
        <is>
          <t>No</t>
        </is>
      </c>
      <c r="V595" t="inlineStr">
        <is>
          <t>Bot tarafindan tespit edildi (2026-07-01)</t>
        </is>
      </c>
    </row>
    <row r="596">
      <c r="A596" t="inlineStr">
        <is>
          <t>T-0400</t>
        </is>
      </c>
      <c r="B596" t="inlineStr">
        <is>
          <t>Indraprastha Gas (IGL)</t>
        </is>
      </c>
      <c r="C596" t="inlineStr">
        <is>
          <t>Indraprastha Gas (IGL)</t>
        </is>
      </c>
      <c r="F596" t="inlineStr">
        <is>
          <t>New Lead</t>
        </is>
      </c>
      <c r="H596" t="inlineStr">
        <is>
          <t>Corrigendum_1_CM18479.pdf</t>
        </is>
      </c>
      <c r="K596" t="inlineStr">
        <is>
          <t>Not found</t>
        </is>
      </c>
      <c r="L596" t="inlineStr">
        <is>
          <t>Unknown</t>
        </is>
      </c>
      <c r="T596" t="inlineStr">
        <is>
          <t>https://tenders.iglonline.net/uploads/tender/Corrigendum_1_CM18479.pdf</t>
        </is>
      </c>
      <c r="U596" t="inlineStr">
        <is>
          <t>No</t>
        </is>
      </c>
      <c r="V596" t="inlineStr">
        <is>
          <t>Bot tarafindan tespit edildi (2026-07-01)</t>
        </is>
      </c>
    </row>
    <row r="597">
      <c r="A597" t="inlineStr">
        <is>
          <t>T-0401</t>
        </is>
      </c>
      <c r="B597" t="inlineStr">
        <is>
          <t>Indraprastha Gas (IGL)</t>
        </is>
      </c>
      <c r="C597" t="inlineStr">
        <is>
          <t>Indraprastha Gas (IGL)</t>
        </is>
      </c>
      <c r="F597" t="inlineStr">
        <is>
          <t>New Lead</t>
        </is>
      </c>
      <c r="H597" t="inlineStr">
        <is>
          <t>View Tender</t>
        </is>
      </c>
      <c r="K597" t="inlineStr">
        <is>
          <t>Not found</t>
        </is>
      </c>
      <c r="L597" t="inlineStr">
        <is>
          <t>Unknown</t>
        </is>
      </c>
      <c r="T597" t="inlineStr">
        <is>
          <t>https://tenders.iglonline.net/tenderDetail/416/Active Tenders And Corrigendum-Addendum</t>
        </is>
      </c>
      <c r="U597" t="inlineStr">
        <is>
          <t>No</t>
        </is>
      </c>
      <c r="V597" t="inlineStr">
        <is>
          <t>Bot tarafindan tespit edildi (2026-07-01)</t>
        </is>
      </c>
    </row>
    <row r="598">
      <c r="A598" t="inlineStr">
        <is>
          <t>T-0402</t>
        </is>
      </c>
      <c r="B598" t="inlineStr">
        <is>
          <t>Indraprastha Gas (IGL)</t>
        </is>
      </c>
      <c r="C598" t="inlineStr">
        <is>
          <t>Indraprastha Gas (IGL)</t>
        </is>
      </c>
      <c r="F598" t="inlineStr">
        <is>
          <t>New Lead</t>
        </is>
      </c>
      <c r="H598" t="inlineStr">
        <is>
          <t>Tender_Doc_CP18396-merged.pdf</t>
        </is>
      </c>
      <c r="K598" t="inlineStr">
        <is>
          <t>Not found</t>
        </is>
      </c>
      <c r="L598" t="inlineStr">
        <is>
          <t>Unknown</t>
        </is>
      </c>
      <c r="T598" t="inlineStr">
        <is>
          <t>https://tenders.iglonline.net/uploads/tender/Tender_Doc_CP18396-merged.pdf</t>
        </is>
      </c>
      <c r="U598" t="inlineStr">
        <is>
          <t>No</t>
        </is>
      </c>
      <c r="V598" t="inlineStr">
        <is>
          <t>Bot tarafindan tespit edildi (2026-07-01)</t>
        </is>
      </c>
    </row>
    <row r="599">
      <c r="A599" t="inlineStr">
        <is>
          <t>T-0403</t>
        </is>
      </c>
      <c r="B599" t="inlineStr">
        <is>
          <t>Indraprastha Gas (IGL)</t>
        </is>
      </c>
      <c r="C599" t="inlineStr">
        <is>
          <t>Indraprastha Gas (IGL)</t>
        </is>
      </c>
      <c r="F599" t="inlineStr">
        <is>
          <t>New Lead</t>
        </is>
      </c>
      <c r="H599" t="inlineStr">
        <is>
          <t>View Tender</t>
        </is>
      </c>
      <c r="K599" t="inlineStr">
        <is>
          <t>Not found</t>
        </is>
      </c>
      <c r="L599" t="inlineStr">
        <is>
          <t>Unknown</t>
        </is>
      </c>
      <c r="T599" t="inlineStr">
        <is>
          <t>https://tenders.iglonline.net/tenderDetail/415/Active Tenders And Corrigendum-Addendum</t>
        </is>
      </c>
      <c r="U599" t="inlineStr">
        <is>
          <t>No</t>
        </is>
      </c>
      <c r="V599" t="inlineStr">
        <is>
          <t>Bot tarafindan tespit edildi (2026-07-01)</t>
        </is>
      </c>
    </row>
    <row r="600">
      <c r="A600" t="inlineStr">
        <is>
          <t>T-0404</t>
        </is>
      </c>
      <c r="B600" t="inlineStr">
        <is>
          <t>Indraprastha Gas (IGL)</t>
        </is>
      </c>
      <c r="C600" t="inlineStr">
        <is>
          <t>Indraprastha Gas (IGL)</t>
        </is>
      </c>
      <c r="F600" t="inlineStr">
        <is>
          <t>New Lead</t>
        </is>
      </c>
      <c r="H600" t="inlineStr">
        <is>
          <t>Tech_Vol_CP18448.pdf</t>
        </is>
      </c>
      <c r="K600" t="inlineStr">
        <is>
          <t>Not found</t>
        </is>
      </c>
      <c r="L600" t="inlineStr">
        <is>
          <t>Unknown</t>
        </is>
      </c>
      <c r="T600" t="inlineStr">
        <is>
          <t>https://tenders.iglonline.net/uploads/tender/Tech_Vol_CP18448.pdf</t>
        </is>
      </c>
      <c r="U600" t="inlineStr">
        <is>
          <t>No</t>
        </is>
      </c>
      <c r="V600" t="inlineStr">
        <is>
          <t>Bot tarafindan tespit edildi (2026-07-01)</t>
        </is>
      </c>
    </row>
    <row r="601">
      <c r="A601" t="inlineStr">
        <is>
          <t>T-0405</t>
        </is>
      </c>
      <c r="B601" t="inlineStr">
        <is>
          <t>Indraprastha Gas (IGL)</t>
        </is>
      </c>
      <c r="C601" t="inlineStr">
        <is>
          <t>Indraprastha Gas (IGL)</t>
        </is>
      </c>
      <c r="F601" t="inlineStr">
        <is>
          <t>New Lead</t>
        </is>
      </c>
      <c r="H601" t="inlineStr">
        <is>
          <t>Comm_Vol_CP18448.pdf</t>
        </is>
      </c>
      <c r="K601" t="inlineStr">
        <is>
          <t>Not found</t>
        </is>
      </c>
      <c r="L601" t="inlineStr">
        <is>
          <t>Unknown</t>
        </is>
      </c>
      <c r="T601" t="inlineStr">
        <is>
          <t>https://tenders.iglonline.net/uploads/tender/Comm_Vol_CP18448.pdf</t>
        </is>
      </c>
      <c r="U601" t="inlineStr">
        <is>
          <t>No</t>
        </is>
      </c>
      <c r="V601" t="inlineStr">
        <is>
          <t>Bot tarafindan tespit edildi (2026-07-01)</t>
        </is>
      </c>
    </row>
    <row r="602">
      <c r="A602" t="inlineStr">
        <is>
          <t>T-0406</t>
        </is>
      </c>
      <c r="B602" t="inlineStr">
        <is>
          <t>Indraprastha Gas (IGL)</t>
        </is>
      </c>
      <c r="C602" t="inlineStr">
        <is>
          <t>Indraprastha Gas (IGL)</t>
        </is>
      </c>
      <c r="F602" t="inlineStr">
        <is>
          <t>New Lead</t>
        </is>
      </c>
      <c r="H602" t="inlineStr">
        <is>
          <t>View Tender</t>
        </is>
      </c>
      <c r="K602" t="inlineStr">
        <is>
          <t>Not found</t>
        </is>
      </c>
      <c r="L602" t="inlineStr">
        <is>
          <t>Unknown</t>
        </is>
      </c>
      <c r="T602" t="inlineStr">
        <is>
          <t>https://tenders.iglonline.net/tenderDetail/414/Active Tenders And Corrigendum-Addendum</t>
        </is>
      </c>
      <c r="U602" t="inlineStr">
        <is>
          <t>No</t>
        </is>
      </c>
      <c r="V602" t="inlineStr">
        <is>
          <t>Bot tarafindan tespit edildi (2026-07-01)</t>
        </is>
      </c>
    </row>
    <row r="603">
      <c r="A603" t="inlineStr">
        <is>
          <t>T-0407</t>
        </is>
      </c>
      <c r="B603" t="inlineStr">
        <is>
          <t>Indraprastha Gas (IGL)</t>
        </is>
      </c>
      <c r="C603" t="inlineStr">
        <is>
          <t>Indraprastha Gas (IGL)</t>
        </is>
      </c>
      <c r="F603" t="inlineStr">
        <is>
          <t>New Lead</t>
        </is>
      </c>
      <c r="H603" t="inlineStr">
        <is>
          <t>Tender_CM18469.pdf</t>
        </is>
      </c>
      <c r="K603" t="inlineStr">
        <is>
          <t>Not found</t>
        </is>
      </c>
      <c r="L603" t="inlineStr">
        <is>
          <t>Unknown</t>
        </is>
      </c>
      <c r="T603" t="inlineStr">
        <is>
          <t>https://tenders.iglonline.net/uploads/tender/Tender_CM18469.pdf</t>
        </is>
      </c>
      <c r="U603" t="inlineStr">
        <is>
          <t>No</t>
        </is>
      </c>
      <c r="V603" t="inlineStr">
        <is>
          <t>Bot tarafindan tespit edildi (2026-07-01)</t>
        </is>
      </c>
    </row>
    <row r="604">
      <c r="A604" t="inlineStr">
        <is>
          <t>T-0408</t>
        </is>
      </c>
      <c r="B604" t="inlineStr">
        <is>
          <t>Indraprastha Gas (IGL)</t>
        </is>
      </c>
      <c r="C604" t="inlineStr">
        <is>
          <t>Indraprastha Gas (IGL)</t>
        </is>
      </c>
      <c r="F604" t="inlineStr">
        <is>
          <t>New Lead</t>
        </is>
      </c>
      <c r="H604" t="inlineStr">
        <is>
          <t>Pre_bid_replies.pdf</t>
        </is>
      </c>
      <c r="K604" t="inlineStr">
        <is>
          <t>Not found</t>
        </is>
      </c>
      <c r="L604" t="inlineStr">
        <is>
          <t>Unknown</t>
        </is>
      </c>
      <c r="T604" t="inlineStr">
        <is>
          <t>https://tenders.iglonline.net/uploads/tender/Pre_bid_replies.pdf</t>
        </is>
      </c>
      <c r="U604" t="inlineStr">
        <is>
          <t>No</t>
        </is>
      </c>
      <c r="V604" t="inlineStr">
        <is>
          <t>Bot tarafindan tespit edildi (2026-07-01)</t>
        </is>
      </c>
    </row>
    <row r="605">
      <c r="A605" t="inlineStr">
        <is>
          <t>T-0409</t>
        </is>
      </c>
      <c r="B605" t="inlineStr">
        <is>
          <t>Indraprastha Gas (IGL)</t>
        </is>
      </c>
      <c r="C605" t="inlineStr">
        <is>
          <t>Indraprastha Gas (IGL)</t>
        </is>
      </c>
      <c r="F605" t="inlineStr">
        <is>
          <t>New Lead</t>
        </is>
      </c>
      <c r="H605" t="inlineStr">
        <is>
          <t>CORRIGENDUM I_CM18469.pdf</t>
        </is>
      </c>
      <c r="K605" t="inlineStr">
        <is>
          <t>Not found</t>
        </is>
      </c>
      <c r="L605" t="inlineStr">
        <is>
          <t>Unknown</t>
        </is>
      </c>
      <c r="T605" t="inlineStr">
        <is>
          <t>https://tenders.iglonline.net/uploads/tender/CORRIGENDUM I_CM18469.pdf</t>
        </is>
      </c>
      <c r="U605" t="inlineStr">
        <is>
          <t>No</t>
        </is>
      </c>
      <c r="V605" t="inlineStr">
        <is>
          <t>Bot tarafindan tespit edildi (2026-07-01)</t>
        </is>
      </c>
    </row>
    <row r="606">
      <c r="A606" t="inlineStr">
        <is>
          <t>T-0410</t>
        </is>
      </c>
      <c r="B606" t="inlineStr">
        <is>
          <t>Indraprastha Gas (IGL)</t>
        </is>
      </c>
      <c r="C606" t="inlineStr">
        <is>
          <t>Indraprastha Gas (IGL)</t>
        </is>
      </c>
      <c r="F606" t="inlineStr">
        <is>
          <t>New Lead</t>
        </is>
      </c>
      <c r="H606" t="inlineStr">
        <is>
          <t>View Tender</t>
        </is>
      </c>
      <c r="K606" t="inlineStr">
        <is>
          <t>Not found</t>
        </is>
      </c>
      <c r="L606" t="inlineStr">
        <is>
          <t>Unknown</t>
        </is>
      </c>
      <c r="T606" t="inlineStr">
        <is>
          <t>https://tenders.iglonline.net/tenderDetail/413/Active Tenders And Corrigendum-Addendum</t>
        </is>
      </c>
      <c r="U606" t="inlineStr">
        <is>
          <t>No</t>
        </is>
      </c>
      <c r="V606" t="inlineStr">
        <is>
          <t>Bot tarafindan tespit edildi (2026-07-01)</t>
        </is>
      </c>
    </row>
    <row r="607">
      <c r="A607" t="inlineStr">
        <is>
          <t>T-0411</t>
        </is>
      </c>
      <c r="B607" t="inlineStr">
        <is>
          <t>Indraprastha Gas (IGL)</t>
        </is>
      </c>
      <c r="C607" t="inlineStr">
        <is>
          <t>Indraprastha Gas (IGL)</t>
        </is>
      </c>
      <c r="F607" t="inlineStr">
        <is>
          <t>New Lead</t>
        </is>
      </c>
      <c r="H607" t="inlineStr">
        <is>
          <t>Tender_CP18449.pdf</t>
        </is>
      </c>
      <c r="K607" t="inlineStr">
        <is>
          <t>Not found</t>
        </is>
      </c>
      <c r="L607" t="inlineStr">
        <is>
          <t>Unknown</t>
        </is>
      </c>
      <c r="T607" t="inlineStr">
        <is>
          <t>https://tenders.iglonline.net/uploads/tender/Tender_CP18449.pdf</t>
        </is>
      </c>
      <c r="U607" t="inlineStr">
        <is>
          <t>No</t>
        </is>
      </c>
      <c r="V607" t="inlineStr">
        <is>
          <t>Bot tarafindan tespit edildi (2026-07-01)</t>
        </is>
      </c>
    </row>
    <row r="608">
      <c r="A608" t="inlineStr">
        <is>
          <t>T-0412</t>
        </is>
      </c>
      <c r="B608" t="inlineStr">
        <is>
          <t>Indraprastha Gas (IGL)</t>
        </is>
      </c>
      <c r="C608" t="inlineStr">
        <is>
          <t>Indraprastha Gas (IGL)</t>
        </is>
      </c>
      <c r="F608" t="inlineStr">
        <is>
          <t>New Lead</t>
        </is>
      </c>
      <c r="H608" t="inlineStr">
        <is>
          <t>RTBQ_CP18449.pdf</t>
        </is>
      </c>
      <c r="K608" t="inlineStr">
        <is>
          <t>Not found</t>
        </is>
      </c>
      <c r="L608" t="inlineStr">
        <is>
          <t>Unknown</t>
        </is>
      </c>
      <c r="T608" t="inlineStr">
        <is>
          <t>https://tenders.iglonline.net/uploads/tender/RTBQ_CP18449.pdf</t>
        </is>
      </c>
      <c r="U608" t="inlineStr">
        <is>
          <t>No</t>
        </is>
      </c>
      <c r="V608" t="inlineStr">
        <is>
          <t>Bot tarafindan tespit edildi (2026-07-01)</t>
        </is>
      </c>
    </row>
    <row r="609">
      <c r="A609" t="inlineStr">
        <is>
          <t>T-0413</t>
        </is>
      </c>
      <c r="B609" t="inlineStr">
        <is>
          <t>Indraprastha Gas (IGL)</t>
        </is>
      </c>
      <c r="C609" t="inlineStr">
        <is>
          <t>Indraprastha Gas (IGL)</t>
        </is>
      </c>
      <c r="F609" t="inlineStr">
        <is>
          <t>New Lead</t>
        </is>
      </c>
      <c r="H609" t="inlineStr">
        <is>
          <t>View Tender</t>
        </is>
      </c>
      <c r="K609" t="inlineStr">
        <is>
          <t>Not found</t>
        </is>
      </c>
      <c r="L609" t="inlineStr">
        <is>
          <t>Unknown</t>
        </is>
      </c>
      <c r="T609" t="inlineStr">
        <is>
          <t>https://tenders.iglonline.net/tenderDetail/412/Active Tenders And Corrigendum-Addendum</t>
        </is>
      </c>
      <c r="U609" t="inlineStr">
        <is>
          <t>No</t>
        </is>
      </c>
      <c r="V609" t="inlineStr">
        <is>
          <t>Bot tarafindan tespit edildi (2026-07-01)</t>
        </is>
      </c>
    </row>
    <row r="610">
      <c r="A610" t="inlineStr">
        <is>
          <t>T-0414</t>
        </is>
      </c>
      <c r="B610" t="inlineStr">
        <is>
          <t>Indraprastha Gas (IGL)</t>
        </is>
      </c>
      <c r="C610" t="inlineStr">
        <is>
          <t>Indraprastha Gas (IGL)</t>
        </is>
      </c>
      <c r="F610" t="inlineStr">
        <is>
          <t>New Lead</t>
        </is>
      </c>
      <c r="H610" t="inlineStr">
        <is>
          <t>Tender_Doc_CC18466.pdf</t>
        </is>
      </c>
      <c r="K610" t="inlineStr">
        <is>
          <t>Not found</t>
        </is>
      </c>
      <c r="L610" t="inlineStr">
        <is>
          <t>Unknown</t>
        </is>
      </c>
      <c r="T610" t="inlineStr">
        <is>
          <t>https://tenders.iglonline.net/uploads/tender/Tender_Doc_CC18466.pdf</t>
        </is>
      </c>
      <c r="U610" t="inlineStr">
        <is>
          <t>No</t>
        </is>
      </c>
      <c r="V610" t="inlineStr">
        <is>
          <t>Bot tarafindan tespit edildi (2026-07-01)</t>
        </is>
      </c>
    </row>
    <row r="611">
      <c r="A611" t="inlineStr">
        <is>
          <t>T-0415</t>
        </is>
      </c>
      <c r="B611" t="inlineStr">
        <is>
          <t>Indraprastha Gas (IGL)</t>
        </is>
      </c>
      <c r="C611" t="inlineStr">
        <is>
          <t>Indraprastha Gas (IGL)</t>
        </is>
      </c>
      <c r="F611" t="inlineStr">
        <is>
          <t>New Lead</t>
        </is>
      </c>
      <c r="H611" t="inlineStr">
        <is>
          <t>Corrigendum_I_CC18466.pdf</t>
        </is>
      </c>
      <c r="K611" t="inlineStr">
        <is>
          <t>Not found</t>
        </is>
      </c>
      <c r="L611" t="inlineStr">
        <is>
          <t>Unknown</t>
        </is>
      </c>
      <c r="T611" t="inlineStr">
        <is>
          <t>https://tenders.iglonline.net/uploads/tender/Corrigendum_I_CC18466.pdf</t>
        </is>
      </c>
      <c r="U611" t="inlineStr">
        <is>
          <t>No</t>
        </is>
      </c>
      <c r="V611" t="inlineStr">
        <is>
          <t>Bot tarafindan tespit edildi (2026-07-01)</t>
        </is>
      </c>
    </row>
    <row r="612">
      <c r="A612" t="inlineStr">
        <is>
          <t>T-0416</t>
        </is>
      </c>
      <c r="B612" t="inlineStr">
        <is>
          <t>Indraprastha Gas (IGL)</t>
        </is>
      </c>
      <c r="C612" t="inlineStr">
        <is>
          <t>Indraprastha Gas (IGL)</t>
        </is>
      </c>
      <c r="F612" t="inlineStr">
        <is>
          <t>New Lead</t>
        </is>
      </c>
      <c r="H612" t="inlineStr">
        <is>
          <t>View Tender</t>
        </is>
      </c>
      <c r="K612" t="inlineStr">
        <is>
          <t>Not found</t>
        </is>
      </c>
      <c r="L612" t="inlineStr">
        <is>
          <t>Unknown</t>
        </is>
      </c>
      <c r="T612" t="inlineStr">
        <is>
          <t>https://tenders.iglonline.net/tenderDetail/411/Active Tenders And Corrigendum-Addendum</t>
        </is>
      </c>
      <c r="U612" t="inlineStr">
        <is>
          <t>No</t>
        </is>
      </c>
      <c r="V612" t="inlineStr">
        <is>
          <t>Bot tarafindan tespit edildi (2026-07-01)</t>
        </is>
      </c>
    </row>
    <row r="613">
      <c r="A613" t="inlineStr">
        <is>
          <t>T-0417</t>
        </is>
      </c>
      <c r="B613" t="inlineStr">
        <is>
          <t>Indraprastha Gas (IGL)</t>
        </is>
      </c>
      <c r="C613" t="inlineStr">
        <is>
          <t>Indraprastha Gas (IGL)</t>
        </is>
      </c>
      <c r="F613" t="inlineStr">
        <is>
          <t>New Lead</t>
        </is>
      </c>
      <c r="H613" t="inlineStr">
        <is>
          <t>Tender CC18476_Dismantling of Canopy.pdf</t>
        </is>
      </c>
      <c r="K613" t="inlineStr">
        <is>
          <t>Not found</t>
        </is>
      </c>
      <c r="L613" t="inlineStr">
        <is>
          <t>Unknown</t>
        </is>
      </c>
      <c r="T613" t="inlineStr">
        <is>
          <t>https://tenders.iglonline.net/uploads/tender/Tender CC18476_Dismantling of Canopy.pdf</t>
        </is>
      </c>
      <c r="U613" t="inlineStr">
        <is>
          <t>No</t>
        </is>
      </c>
      <c r="V613" t="inlineStr">
        <is>
          <t>Bot tarafindan tespit edildi (2026-07-01)</t>
        </is>
      </c>
    </row>
    <row r="614">
      <c r="A614" t="inlineStr">
        <is>
          <t>T-0418</t>
        </is>
      </c>
      <c r="B614" t="inlineStr">
        <is>
          <t>Indraprastha Gas (IGL)</t>
        </is>
      </c>
      <c r="C614" t="inlineStr">
        <is>
          <t>Indraprastha Gas (IGL)</t>
        </is>
      </c>
      <c r="F614" t="inlineStr">
        <is>
          <t>New Lead</t>
        </is>
      </c>
      <c r="H614" t="inlineStr">
        <is>
          <t>View Tender</t>
        </is>
      </c>
      <c r="K614" t="inlineStr">
        <is>
          <t>Not found</t>
        </is>
      </c>
      <c r="L614" t="inlineStr">
        <is>
          <t>Unknown</t>
        </is>
      </c>
      <c r="T614" t="inlineStr">
        <is>
          <t>https://tenders.iglonline.net/tenderDetail/410/Active Tenders And Corrigendum-Addendum</t>
        </is>
      </c>
      <c r="U614" t="inlineStr">
        <is>
          <t>No</t>
        </is>
      </c>
      <c r="V614" t="inlineStr">
        <is>
          <t>Bot tarafindan tespit edildi (2026-07-01)</t>
        </is>
      </c>
    </row>
    <row r="615">
      <c r="A615" t="inlineStr">
        <is>
          <t>T-0419</t>
        </is>
      </c>
      <c r="B615" t="inlineStr">
        <is>
          <t>Indraprastha Gas (IGL)</t>
        </is>
      </c>
      <c r="C615" t="inlineStr">
        <is>
          <t>Indraprastha Gas (IGL)</t>
        </is>
      </c>
      <c r="F615" t="inlineStr">
        <is>
          <t>New Lead</t>
        </is>
      </c>
      <c r="G615" t="inlineStr">
        <is>
          <t>Gas-related / review</t>
        </is>
      </c>
      <c r="H615" t="inlineStr">
        <is>
          <t>Comm_Vol_CP18457_v5-merged.pdf</t>
        </is>
      </c>
      <c r="K615" t="inlineStr">
        <is>
          <t>Not found</t>
        </is>
      </c>
      <c r="L615" t="inlineStr">
        <is>
          <t>Unknown</t>
        </is>
      </c>
      <c r="T615" t="inlineStr">
        <is>
          <t>https://tenders.iglonline.net/uploads/tender/Comm_Vol_CP18457_v5-merged.pdf</t>
        </is>
      </c>
      <c r="U615" t="inlineStr">
        <is>
          <t>No</t>
        </is>
      </c>
      <c r="V615" t="inlineStr">
        <is>
          <t>Bot tarafindan tespit edildi (2026-07-01); Bot tespit/zenginlestirme (2026-07-01); meta:score=35;priority=Low;source_type=html_table;closing_date=;equipment=Gas-related / review;reasons=equipment:Gas-related / review,document source</t>
        </is>
      </c>
    </row>
    <row r="616">
      <c r="A616" t="inlineStr">
        <is>
          <t>T-0420</t>
        </is>
      </c>
      <c r="B616" t="inlineStr">
        <is>
          <t>Indraprastha Gas (IGL)</t>
        </is>
      </c>
      <c r="C616" t="inlineStr">
        <is>
          <t>Indraprastha Gas (IGL)</t>
        </is>
      </c>
      <c r="F616" t="inlineStr">
        <is>
          <t>New Lead</t>
        </is>
      </c>
      <c r="G616" t="inlineStr">
        <is>
          <t>Gas-related / review</t>
        </is>
      </c>
      <c r="H616" t="inlineStr">
        <is>
          <t>Tech_Vol_CP18457_v2.pdf</t>
        </is>
      </c>
      <c r="K616" t="inlineStr">
        <is>
          <t>Not found</t>
        </is>
      </c>
      <c r="L616" t="inlineStr">
        <is>
          <t>Unknown</t>
        </is>
      </c>
      <c r="T616" t="inlineStr">
        <is>
          <t>https://tenders.iglonline.net/uploads/tender/Tech_Vol_CP18457_v2.pdf</t>
        </is>
      </c>
      <c r="U616" t="inlineStr">
        <is>
          <t>No</t>
        </is>
      </c>
      <c r="V616" t="inlineStr">
        <is>
          <t>Bot tarafindan tespit edildi (2026-07-01); Bot tespit/zenginlestirme (2026-07-01); meta:score=35;priority=Low;source_type=html_table;closing_date=;equipment=Gas-related / review;reasons=equipment:Gas-related / review,document source</t>
        </is>
      </c>
    </row>
    <row r="617">
      <c r="A617" t="inlineStr">
        <is>
          <t>T-0421</t>
        </is>
      </c>
      <c r="B617" t="inlineStr">
        <is>
          <t>Indraprastha Gas (IGL)</t>
        </is>
      </c>
      <c r="C617" t="inlineStr">
        <is>
          <t>Indraprastha Gas (IGL)</t>
        </is>
      </c>
      <c r="F617" t="inlineStr">
        <is>
          <t>New Lead</t>
        </is>
      </c>
      <c r="H617" t="inlineStr">
        <is>
          <t>View Tender</t>
        </is>
      </c>
      <c r="K617" t="inlineStr">
        <is>
          <t>Not found</t>
        </is>
      </c>
      <c r="L617" t="inlineStr">
        <is>
          <t>Unknown</t>
        </is>
      </c>
      <c r="T617" t="inlineStr">
        <is>
          <t>https://tenders.iglonline.net/tenderDetail/409/Active Tenders And Corrigendum-Addendum</t>
        </is>
      </c>
      <c r="U617" t="inlineStr">
        <is>
          <t>No</t>
        </is>
      </c>
      <c r="V617" t="inlineStr">
        <is>
          <t>Bot tarafindan tespit edildi (2026-07-01)</t>
        </is>
      </c>
    </row>
    <row r="618">
      <c r="A618" t="inlineStr">
        <is>
          <t>T-0422</t>
        </is>
      </c>
      <c r="B618" t="inlineStr">
        <is>
          <t>Indraprastha Gas (IGL)</t>
        </is>
      </c>
      <c r="C618" t="inlineStr">
        <is>
          <t>Indraprastha Gas (IGL)</t>
        </is>
      </c>
      <c r="F618" t="inlineStr">
        <is>
          <t>New Lead</t>
        </is>
      </c>
      <c r="G618" t="inlineStr">
        <is>
          <t>Gas-related / review</t>
        </is>
      </c>
      <c r="H618" t="inlineStr">
        <is>
          <t>Tender Document_CM18463.pdf</t>
        </is>
      </c>
      <c r="K618" t="inlineStr">
        <is>
          <t>Not found</t>
        </is>
      </c>
      <c r="L618" t="inlineStr">
        <is>
          <t>Unknown</t>
        </is>
      </c>
      <c r="T618" t="inlineStr">
        <is>
          <t>https://tenders.iglonline.net/uploads/tender/Tender Document_CM18463.pdf</t>
        </is>
      </c>
      <c r="U618" t="inlineStr">
        <is>
          <t>No</t>
        </is>
      </c>
      <c r="V618" t="inlineStr">
        <is>
          <t>Bot tarafindan tespit edildi (2026-07-01); Bot tespit/zenginlestirme (2026-07-01); meta:score=35;priority=Low;source_type=html_table;closing_date=;equipment=Gas-related / review;reasons=equipment:Gas-related / review,document source</t>
        </is>
      </c>
    </row>
    <row r="619">
      <c r="A619" t="inlineStr">
        <is>
          <t>T-0423</t>
        </is>
      </c>
      <c r="B619" t="inlineStr">
        <is>
          <t>Indraprastha Gas (IGL)</t>
        </is>
      </c>
      <c r="C619" t="inlineStr">
        <is>
          <t>Indraprastha Gas (IGL)</t>
        </is>
      </c>
      <c r="F619" t="inlineStr">
        <is>
          <t>New Lead</t>
        </is>
      </c>
      <c r="G619" t="inlineStr">
        <is>
          <t>Gas-related / review</t>
        </is>
      </c>
      <c r="H619" t="inlineStr">
        <is>
          <t>Corrigendum_1_CM18463.pdf</t>
        </is>
      </c>
      <c r="K619" t="inlineStr">
        <is>
          <t>Not found</t>
        </is>
      </c>
      <c r="L619" t="inlineStr">
        <is>
          <t>Unknown</t>
        </is>
      </c>
      <c r="T619" t="inlineStr">
        <is>
          <t>https://tenders.iglonline.net/uploads/tender/Corrigendum_1_CM18463.pdf</t>
        </is>
      </c>
      <c r="U619" t="inlineStr">
        <is>
          <t>No</t>
        </is>
      </c>
      <c r="V619" t="inlineStr">
        <is>
          <t>Bot tarafindan tespit edildi (2026-07-01); Bot tespit/zenginlestirme (2026-07-01); meta:score=35;priority=Low;source_type=html_table;closing_date=;equipment=Gas-related / review;reasons=equipment:Gas-related / review,document source</t>
        </is>
      </c>
    </row>
    <row r="620">
      <c r="A620" t="inlineStr">
        <is>
          <t>T-0424</t>
        </is>
      </c>
      <c r="B620" t="inlineStr">
        <is>
          <t>Indraprastha Gas (IGL)</t>
        </is>
      </c>
      <c r="C620" t="inlineStr">
        <is>
          <t>Indraprastha Gas (IGL)</t>
        </is>
      </c>
      <c r="F620" t="inlineStr">
        <is>
          <t>New Lead</t>
        </is>
      </c>
      <c r="H620" t="inlineStr">
        <is>
          <t>View Tender</t>
        </is>
      </c>
      <c r="K620" t="inlineStr">
        <is>
          <t>Not found</t>
        </is>
      </c>
      <c r="L620" t="inlineStr">
        <is>
          <t>Unknown</t>
        </is>
      </c>
      <c r="T620" t="inlineStr">
        <is>
          <t>https://tenders.iglonline.net/tenderDetail/408/Active Tenders And Corrigendum-Addendum</t>
        </is>
      </c>
      <c r="U620" t="inlineStr">
        <is>
          <t>No</t>
        </is>
      </c>
      <c r="V620" t="inlineStr">
        <is>
          <t>Bot tarafindan tespit edildi (2026-07-01)</t>
        </is>
      </c>
    </row>
    <row r="621">
      <c r="A621" t="inlineStr">
        <is>
          <t>T-0425</t>
        </is>
      </c>
      <c r="B621" t="inlineStr">
        <is>
          <t>Indraprastha Gas (IGL)</t>
        </is>
      </c>
      <c r="C621" t="inlineStr">
        <is>
          <t>Indraprastha Gas (IGL)</t>
        </is>
      </c>
      <c r="F621" t="inlineStr">
        <is>
          <t>New Lead</t>
        </is>
      </c>
      <c r="G621" t="inlineStr">
        <is>
          <t>Gas-related / review</t>
        </is>
      </c>
      <c r="H621" t="inlineStr">
        <is>
          <t>Tender_CC18441.pdf</t>
        </is>
      </c>
      <c r="K621" t="inlineStr">
        <is>
          <t>Not found</t>
        </is>
      </c>
      <c r="L621" t="inlineStr">
        <is>
          <t>Unknown</t>
        </is>
      </c>
      <c r="T621" t="inlineStr">
        <is>
          <t>https://tenders.iglonline.net/uploads/tender/Tender_CC18441.pdf</t>
        </is>
      </c>
      <c r="U621" t="inlineStr">
        <is>
          <t>No</t>
        </is>
      </c>
      <c r="V621" t="inlineStr">
        <is>
          <t>Bot tarafindan tespit edildi (2026-07-01); Bot tespit/zenginlestirme (2026-07-01); meta:score=35;priority=Low;source_type=html_table;closing_date=;equipment=Gas-related / review;reasons=equipment:Gas-related / review,document source</t>
        </is>
      </c>
    </row>
    <row r="622">
      <c r="A622" t="inlineStr">
        <is>
          <t>T-0426</t>
        </is>
      </c>
      <c r="B622" t="inlineStr">
        <is>
          <t>Indraprastha Gas (IGL)</t>
        </is>
      </c>
      <c r="C622" t="inlineStr">
        <is>
          <t>Indraprastha Gas (IGL)</t>
        </is>
      </c>
      <c r="F622" t="inlineStr">
        <is>
          <t>New Lead</t>
        </is>
      </c>
      <c r="G622" t="inlineStr">
        <is>
          <t>Gas-related / review</t>
        </is>
      </c>
      <c r="H622" t="inlineStr">
        <is>
          <t>Pre Bid Replies CC18441.pdf</t>
        </is>
      </c>
      <c r="K622" t="inlineStr">
        <is>
          <t>Not found</t>
        </is>
      </c>
      <c r="L622" t="inlineStr">
        <is>
          <t>Unknown</t>
        </is>
      </c>
      <c r="T622" t="inlineStr">
        <is>
          <t>https://tenders.iglonline.net/uploads/tender/Pre Bid Replies CC18441.pdf</t>
        </is>
      </c>
      <c r="U622" t="inlineStr">
        <is>
          <t>No</t>
        </is>
      </c>
      <c r="V622" t="inlineStr">
        <is>
          <t>Bot tarafindan tespit edildi (2026-07-01); Bot tespit/zenginlestirme (2026-07-01); meta:score=35;priority=Low;source_type=html_table;closing_date=;equipment=Gas-related / review;reasons=equipment:Gas-related / review,document source</t>
        </is>
      </c>
    </row>
    <row r="623">
      <c r="A623" t="inlineStr">
        <is>
          <t>T-0427</t>
        </is>
      </c>
      <c r="B623" t="inlineStr">
        <is>
          <t>Indraprastha Gas (IGL)</t>
        </is>
      </c>
      <c r="C623" t="inlineStr">
        <is>
          <t>Indraprastha Gas (IGL)</t>
        </is>
      </c>
      <c r="F623" t="inlineStr">
        <is>
          <t>New Lead</t>
        </is>
      </c>
      <c r="H623" t="inlineStr">
        <is>
          <t>View Tender</t>
        </is>
      </c>
      <c r="K623" t="inlineStr">
        <is>
          <t>Not found</t>
        </is>
      </c>
      <c r="L623" t="inlineStr">
        <is>
          <t>Unknown</t>
        </is>
      </c>
      <c r="T623" t="inlineStr">
        <is>
          <t>https://tenders.iglonline.net/tenderDetail/407/Active Tenders And Corrigendum-Addendum</t>
        </is>
      </c>
      <c r="U623" t="inlineStr">
        <is>
          <t>No</t>
        </is>
      </c>
      <c r="V623" t="inlineStr">
        <is>
          <t>Bot tarafindan tespit edildi (2026-07-01)</t>
        </is>
      </c>
    </row>
    <row r="624">
      <c r="A624" t="inlineStr">
        <is>
          <t>T-0428</t>
        </is>
      </c>
      <c r="B624" t="inlineStr">
        <is>
          <t>Indraprastha Gas (IGL)</t>
        </is>
      </c>
      <c r="C624" t="inlineStr">
        <is>
          <t>Indraprastha Gas (IGL)</t>
        </is>
      </c>
      <c r="F624" t="inlineStr">
        <is>
          <t>New Lead</t>
        </is>
      </c>
      <c r="G624" t="inlineStr">
        <is>
          <t>Gas-related / review</t>
        </is>
      </c>
      <c r="H624" t="inlineStr">
        <is>
          <t>Tender_CP18446-merged.pdf</t>
        </is>
      </c>
      <c r="K624" t="inlineStr">
        <is>
          <t>Not found</t>
        </is>
      </c>
      <c r="L624" t="inlineStr">
        <is>
          <t>Unknown</t>
        </is>
      </c>
      <c r="T624" t="inlineStr">
        <is>
          <t>https://tenders.iglonline.net/uploads/tender/Tender_CP18446-merged.pdf</t>
        </is>
      </c>
      <c r="U624" t="inlineStr">
        <is>
          <t>No</t>
        </is>
      </c>
      <c r="V624" t="inlineStr">
        <is>
          <t>Bot tarafindan tespit edildi (2026-07-01); Bot tespit/zenginlestirme (2026-07-01); meta:score=35;priority=Low;source_type=html_table;closing_date=;equipment=Gas-related / review;reasons=equipment:Gas-related / review,document source</t>
        </is>
      </c>
    </row>
    <row r="625">
      <c r="A625" t="inlineStr">
        <is>
          <t>T-0429</t>
        </is>
      </c>
      <c r="B625" t="inlineStr">
        <is>
          <t>Indraprastha Gas (IGL)</t>
        </is>
      </c>
      <c r="C625" t="inlineStr">
        <is>
          <t>Indraprastha Gas (IGL)</t>
        </is>
      </c>
      <c r="F625" t="inlineStr">
        <is>
          <t>New Lead</t>
        </is>
      </c>
      <c r="G625" t="inlineStr">
        <is>
          <t>Gas-related / review</t>
        </is>
      </c>
      <c r="H625" t="inlineStr">
        <is>
          <t>RTBQ CP18446.pdf</t>
        </is>
      </c>
      <c r="K625" t="inlineStr">
        <is>
          <t>Not found</t>
        </is>
      </c>
      <c r="L625" t="inlineStr">
        <is>
          <t>Unknown</t>
        </is>
      </c>
      <c r="T625" t="inlineStr">
        <is>
          <t>https://tenders.iglonline.net/uploads/tender/RTBQ CP18446.pdf</t>
        </is>
      </c>
      <c r="U625" t="inlineStr">
        <is>
          <t>No</t>
        </is>
      </c>
      <c r="V625" t="inlineStr">
        <is>
          <t>Bot tarafindan tespit edildi (2026-07-01); Bot tespit/zenginlestirme (2026-07-01); meta:score=35;priority=Low;source_type=html_table;closing_date=;equipment=Gas-related / review;reasons=equipment:Gas-related / review,document source</t>
        </is>
      </c>
    </row>
    <row r="626">
      <c r="A626" t="inlineStr">
        <is>
          <t>T-0430</t>
        </is>
      </c>
      <c r="B626" t="inlineStr">
        <is>
          <t>Indraprastha Gas (IGL)</t>
        </is>
      </c>
      <c r="C626" t="inlineStr">
        <is>
          <t>Indraprastha Gas (IGL)</t>
        </is>
      </c>
      <c r="F626" t="inlineStr">
        <is>
          <t>New Lead</t>
        </is>
      </c>
      <c r="H626" t="inlineStr">
        <is>
          <t>View Tender</t>
        </is>
      </c>
      <c r="K626" t="inlineStr">
        <is>
          <t>Not found</t>
        </is>
      </c>
      <c r="L626" t="inlineStr">
        <is>
          <t>Unknown</t>
        </is>
      </c>
      <c r="T626" t="inlineStr">
        <is>
          <t>https://tenders.iglonline.net/tenderDetail/406/Active Tenders And Corrigendum-Addendum</t>
        </is>
      </c>
      <c r="U626" t="inlineStr">
        <is>
          <t>No</t>
        </is>
      </c>
      <c r="V626" t="inlineStr">
        <is>
          <t>Bot tarafindan tespit edildi (2026-07-01)</t>
        </is>
      </c>
    </row>
    <row r="627">
      <c r="A627" t="inlineStr">
        <is>
          <t>T-0431</t>
        </is>
      </c>
      <c r="B627" t="inlineStr">
        <is>
          <t>Indraprastha Gas (IGL)</t>
        </is>
      </c>
      <c r="C627" t="inlineStr">
        <is>
          <t>Indraprastha Gas (IGL)</t>
        </is>
      </c>
      <c r="F627" t="inlineStr">
        <is>
          <t>New Lead</t>
        </is>
      </c>
      <c r="H627" t="inlineStr">
        <is>
          <t>Tender_Doc_CP18269.pdf</t>
        </is>
      </c>
      <c r="K627" t="inlineStr">
        <is>
          <t>Not found</t>
        </is>
      </c>
      <c r="L627" t="inlineStr">
        <is>
          <t>Unknown</t>
        </is>
      </c>
      <c r="T627" t="inlineStr">
        <is>
          <t>https://tenders.iglonline.net/uploads/tender/Tender_Doc_CP18269.pdf</t>
        </is>
      </c>
      <c r="U627" t="inlineStr">
        <is>
          <t>No</t>
        </is>
      </c>
      <c r="V627" t="inlineStr">
        <is>
          <t>Bot tarafindan tespit edildi (2026-07-01)</t>
        </is>
      </c>
    </row>
    <row r="628">
      <c r="A628" t="inlineStr">
        <is>
          <t>T-0432</t>
        </is>
      </c>
      <c r="B628" t="inlineStr">
        <is>
          <t>Indraprastha Gas (IGL)</t>
        </is>
      </c>
      <c r="C628" t="inlineStr">
        <is>
          <t>Indraprastha Gas (IGL)</t>
        </is>
      </c>
      <c r="F628" t="inlineStr">
        <is>
          <t>New Lead</t>
        </is>
      </c>
      <c r="H628" t="inlineStr">
        <is>
          <t>Corrigendum_1_CP18269.pdf</t>
        </is>
      </c>
      <c r="K628" t="inlineStr">
        <is>
          <t>Not found</t>
        </is>
      </c>
      <c r="L628" t="inlineStr">
        <is>
          <t>Unknown</t>
        </is>
      </c>
      <c r="T628" t="inlineStr">
        <is>
          <t>https://tenders.iglonline.net/uploads/tender/Corrigendum_1_CP18269.pdf</t>
        </is>
      </c>
      <c r="U628" t="inlineStr">
        <is>
          <t>No</t>
        </is>
      </c>
      <c r="V628" t="inlineStr">
        <is>
          <t>Bot tarafindan tespit edildi (2026-07-01)</t>
        </is>
      </c>
    </row>
    <row r="629">
      <c r="A629" t="inlineStr">
        <is>
          <t>T-0433</t>
        </is>
      </c>
      <c r="B629" t="inlineStr">
        <is>
          <t>Indraprastha Gas (IGL)</t>
        </is>
      </c>
      <c r="C629" t="inlineStr">
        <is>
          <t>Indraprastha Gas (IGL)</t>
        </is>
      </c>
      <c r="F629" t="inlineStr">
        <is>
          <t>New Lead</t>
        </is>
      </c>
      <c r="H629" t="inlineStr">
        <is>
          <t>View Tender</t>
        </is>
      </c>
      <c r="K629" t="inlineStr">
        <is>
          <t>Not found</t>
        </is>
      </c>
      <c r="L629" t="inlineStr">
        <is>
          <t>Unknown</t>
        </is>
      </c>
      <c r="T629" t="inlineStr">
        <is>
          <t>https://tenders.iglonline.net/tenderDetail/405/Active Tenders And Corrigendum-Addendum</t>
        </is>
      </c>
      <c r="U629" t="inlineStr">
        <is>
          <t>No</t>
        </is>
      </c>
      <c r="V629" t="inlineStr">
        <is>
          <t>Bot tarafindan tespit edildi (2026-07-01)</t>
        </is>
      </c>
    </row>
    <row r="630">
      <c r="A630" t="inlineStr">
        <is>
          <t>T-0434</t>
        </is>
      </c>
      <c r="B630" t="inlineStr">
        <is>
          <t>Indraprastha Gas (IGL)</t>
        </is>
      </c>
      <c r="C630" t="inlineStr">
        <is>
          <t>Indraprastha Gas (IGL)</t>
        </is>
      </c>
      <c r="F630" t="inlineStr">
        <is>
          <t>New Lead</t>
        </is>
      </c>
      <c r="H630" t="inlineStr">
        <is>
          <t>Tender_CM18453.pdf</t>
        </is>
      </c>
      <c r="K630" t="inlineStr">
        <is>
          <t>Not found</t>
        </is>
      </c>
      <c r="L630" t="inlineStr">
        <is>
          <t>Unknown</t>
        </is>
      </c>
      <c r="T630" t="inlineStr">
        <is>
          <t>https://tenders.iglonline.net/uploads/tender/Tender_CM18453.pdf</t>
        </is>
      </c>
      <c r="U630" t="inlineStr">
        <is>
          <t>No</t>
        </is>
      </c>
      <c r="V630" t="inlineStr">
        <is>
          <t>Bot tarafindan tespit edildi (2026-07-01)</t>
        </is>
      </c>
    </row>
    <row r="631">
      <c r="A631" t="inlineStr">
        <is>
          <t>T-0435</t>
        </is>
      </c>
      <c r="B631" t="inlineStr">
        <is>
          <t>Indraprastha Gas (IGL)</t>
        </is>
      </c>
      <c r="C631" t="inlineStr">
        <is>
          <t>Indraprastha Gas (IGL)</t>
        </is>
      </c>
      <c r="F631" t="inlineStr">
        <is>
          <t>New Lead</t>
        </is>
      </c>
      <c r="H631" t="inlineStr">
        <is>
          <t>CORRIGENDUM I.pdf</t>
        </is>
      </c>
      <c r="K631" t="inlineStr">
        <is>
          <t>Not found</t>
        </is>
      </c>
      <c r="L631" t="inlineStr">
        <is>
          <t>Unknown</t>
        </is>
      </c>
      <c r="T631" t="inlineStr">
        <is>
          <t>https://tenders.iglonline.net/uploads/tender/CORRIGENDUM I.pdf</t>
        </is>
      </c>
      <c r="U631" t="inlineStr">
        <is>
          <t>No</t>
        </is>
      </c>
      <c r="V631" t="inlineStr">
        <is>
          <t>Bot tarafindan tespit edildi (2026-07-01)</t>
        </is>
      </c>
    </row>
    <row r="632">
      <c r="A632" t="inlineStr">
        <is>
          <t>T-0436</t>
        </is>
      </c>
      <c r="B632" t="inlineStr">
        <is>
          <t>Indraprastha Gas (IGL)</t>
        </is>
      </c>
      <c r="C632" t="inlineStr">
        <is>
          <t>Indraprastha Gas (IGL)</t>
        </is>
      </c>
      <c r="F632" t="inlineStr">
        <is>
          <t>New Lead</t>
        </is>
      </c>
      <c r="H632" t="inlineStr">
        <is>
          <t>Replies Pre bid Queries_SDWAN.pdf</t>
        </is>
      </c>
      <c r="K632" t="inlineStr">
        <is>
          <t>Not found</t>
        </is>
      </c>
      <c r="L632" t="inlineStr">
        <is>
          <t>Unknown</t>
        </is>
      </c>
      <c r="T632" t="inlineStr">
        <is>
          <t>https://tenders.iglonline.net/uploads/tender/Replies Pre bid Queries_SDWAN.pdf</t>
        </is>
      </c>
      <c r="U632" t="inlineStr">
        <is>
          <t>No</t>
        </is>
      </c>
      <c r="V632" t="inlineStr">
        <is>
          <t>Bot tarafindan tespit edildi (2026-07-01)</t>
        </is>
      </c>
    </row>
    <row r="633">
      <c r="A633" t="inlineStr">
        <is>
          <t>T-0437</t>
        </is>
      </c>
      <c r="B633" t="inlineStr">
        <is>
          <t>Indraprastha Gas (IGL)</t>
        </is>
      </c>
      <c r="C633" t="inlineStr">
        <is>
          <t>Indraprastha Gas (IGL)</t>
        </is>
      </c>
      <c r="F633" t="inlineStr">
        <is>
          <t>New Lead</t>
        </is>
      </c>
      <c r="H633" t="inlineStr">
        <is>
          <t>CORRIGENDUM-II-CM18453.pdf</t>
        </is>
      </c>
      <c r="K633" t="inlineStr">
        <is>
          <t>Not found</t>
        </is>
      </c>
      <c r="L633" t="inlineStr">
        <is>
          <t>Unknown</t>
        </is>
      </c>
      <c r="T633" t="inlineStr">
        <is>
          <t>https://tenders.iglonline.net/uploads/tender/CORRIGENDUM-II-CM18453.pdf</t>
        </is>
      </c>
      <c r="U633" t="inlineStr">
        <is>
          <t>No</t>
        </is>
      </c>
      <c r="V633" t="inlineStr">
        <is>
          <t>Bot tarafindan tespit edildi (2026-07-01)</t>
        </is>
      </c>
    </row>
    <row r="634">
      <c r="A634" t="inlineStr">
        <is>
          <t>T-0438</t>
        </is>
      </c>
      <c r="B634" t="inlineStr">
        <is>
          <t>Indraprastha Gas (IGL)</t>
        </is>
      </c>
      <c r="C634" t="inlineStr">
        <is>
          <t>Indraprastha Gas (IGL)</t>
        </is>
      </c>
      <c r="F634" t="inlineStr">
        <is>
          <t>New Lead</t>
        </is>
      </c>
      <c r="H634" t="inlineStr">
        <is>
          <t>CORRIGENDUM-III-CM18453.pdf</t>
        </is>
      </c>
      <c r="K634" t="inlineStr">
        <is>
          <t>Not found</t>
        </is>
      </c>
      <c r="L634" t="inlineStr">
        <is>
          <t>Unknown</t>
        </is>
      </c>
      <c r="T634" t="inlineStr">
        <is>
          <t>https://tenders.iglonline.net/uploads/tender/CORRIGENDUM-III-CM18453.pdf</t>
        </is>
      </c>
      <c r="U634" t="inlineStr">
        <is>
          <t>No</t>
        </is>
      </c>
      <c r="V634" t="inlineStr">
        <is>
          <t>Bot tarafindan tespit edildi (2026-07-01)</t>
        </is>
      </c>
    </row>
    <row r="635">
      <c r="A635" t="inlineStr">
        <is>
          <t>T-0439</t>
        </is>
      </c>
      <c r="B635" t="inlineStr">
        <is>
          <t>Indraprastha Gas (IGL)</t>
        </is>
      </c>
      <c r="C635" t="inlineStr">
        <is>
          <t>Indraprastha Gas (IGL)</t>
        </is>
      </c>
      <c r="F635" t="inlineStr">
        <is>
          <t>New Lead</t>
        </is>
      </c>
      <c r="H635" t="inlineStr">
        <is>
          <t>Clarification to the queries.pdf</t>
        </is>
      </c>
      <c r="K635" t="inlineStr">
        <is>
          <t>Not found</t>
        </is>
      </c>
      <c r="L635" t="inlineStr">
        <is>
          <t>Unknown</t>
        </is>
      </c>
      <c r="T635" t="inlineStr">
        <is>
          <t>https://tenders.iglonline.net/uploads/tender/Clarification to the queries.pdf</t>
        </is>
      </c>
      <c r="U635" t="inlineStr">
        <is>
          <t>No</t>
        </is>
      </c>
      <c r="V635" t="inlineStr">
        <is>
          <t>Bot tarafindan tespit edildi (2026-07-01)</t>
        </is>
      </c>
    </row>
    <row r="636">
      <c r="A636" t="inlineStr">
        <is>
          <t>T-0440</t>
        </is>
      </c>
      <c r="B636" t="inlineStr">
        <is>
          <t>Indraprastha Gas (IGL)</t>
        </is>
      </c>
      <c r="C636" t="inlineStr">
        <is>
          <t>Indraprastha Gas (IGL)</t>
        </is>
      </c>
      <c r="F636" t="inlineStr">
        <is>
          <t>New Lead</t>
        </is>
      </c>
      <c r="H636" t="inlineStr">
        <is>
          <t>View Tender</t>
        </is>
      </c>
      <c r="K636" t="inlineStr">
        <is>
          <t>Not found</t>
        </is>
      </c>
      <c r="L636" t="inlineStr">
        <is>
          <t>Unknown</t>
        </is>
      </c>
      <c r="T636" t="inlineStr">
        <is>
          <t>https://tenders.iglonline.net/tenderDetail/404/Active Tenders And Corrigendum-Addendum</t>
        </is>
      </c>
      <c r="U636" t="inlineStr">
        <is>
          <t>No</t>
        </is>
      </c>
      <c r="V636" t="inlineStr">
        <is>
          <t>Bot tarafindan tespit edildi (2026-07-01)</t>
        </is>
      </c>
    </row>
    <row r="637">
      <c r="A637" t="inlineStr">
        <is>
          <t>T-0441</t>
        </is>
      </c>
      <c r="B637" t="inlineStr">
        <is>
          <t>Indraprastha Gas (IGL)</t>
        </is>
      </c>
      <c r="C637" t="inlineStr">
        <is>
          <t>Indraprastha Gas (IGL)</t>
        </is>
      </c>
      <c r="F637" t="inlineStr">
        <is>
          <t>New Lead</t>
        </is>
      </c>
      <c r="H637" t="inlineStr">
        <is>
          <t>Tender_Doc_CC18417.pdf</t>
        </is>
      </c>
      <c r="K637" t="inlineStr">
        <is>
          <t>Not found</t>
        </is>
      </c>
      <c r="L637" t="inlineStr">
        <is>
          <t>Unknown</t>
        </is>
      </c>
      <c r="T637" t="inlineStr">
        <is>
          <t>https://tenders.iglonline.net/uploads/tender/Tender_Doc_CC18417.pdf</t>
        </is>
      </c>
      <c r="U637" t="inlineStr">
        <is>
          <t>No</t>
        </is>
      </c>
      <c r="V637" t="inlineStr">
        <is>
          <t>Bot tarafindan tespit edildi (2026-07-01)</t>
        </is>
      </c>
    </row>
    <row r="638">
      <c r="A638" t="inlineStr">
        <is>
          <t>T-0442</t>
        </is>
      </c>
      <c r="B638" t="inlineStr">
        <is>
          <t>Indraprastha Gas (IGL)</t>
        </is>
      </c>
      <c r="C638" t="inlineStr">
        <is>
          <t>Indraprastha Gas (IGL)</t>
        </is>
      </c>
      <c r="F638" t="inlineStr">
        <is>
          <t>New Lead</t>
        </is>
      </c>
      <c r="H638" t="inlineStr">
        <is>
          <t>View Tender</t>
        </is>
      </c>
      <c r="K638" t="inlineStr">
        <is>
          <t>Not found</t>
        </is>
      </c>
      <c r="L638" t="inlineStr">
        <is>
          <t>Unknown</t>
        </is>
      </c>
      <c r="T638" t="inlineStr">
        <is>
          <t>https://tenders.iglonline.net/tenderDetail/403/Active Tenders And Corrigendum-Addendum</t>
        </is>
      </c>
      <c r="U638" t="inlineStr">
        <is>
          <t>No</t>
        </is>
      </c>
      <c r="V638" t="inlineStr">
        <is>
          <t>Bot tarafindan tespit edildi (2026-07-01)</t>
        </is>
      </c>
    </row>
    <row r="639">
      <c r="A639" t="inlineStr">
        <is>
          <t>T-0443</t>
        </is>
      </c>
      <c r="B639" t="inlineStr">
        <is>
          <t>Indraprastha Gas (IGL)</t>
        </is>
      </c>
      <c r="C639" t="inlineStr">
        <is>
          <t>Indraprastha Gas (IGL)</t>
        </is>
      </c>
      <c r="F639" t="inlineStr">
        <is>
          <t>New Lead</t>
        </is>
      </c>
      <c r="G639" t="inlineStr">
        <is>
          <t>Gas-related / review</t>
        </is>
      </c>
      <c r="H639" t="inlineStr">
        <is>
          <t>Tender_CP18438_v1.pdf</t>
        </is>
      </c>
      <c r="K639" t="inlineStr">
        <is>
          <t>Not found</t>
        </is>
      </c>
      <c r="L639" t="inlineStr">
        <is>
          <t>Unknown</t>
        </is>
      </c>
      <c r="T639" t="inlineStr">
        <is>
          <t>https://tenders.iglonline.net/uploads/tender/Tender_CP18438_v1.pdf</t>
        </is>
      </c>
      <c r="U639" t="inlineStr">
        <is>
          <t>No</t>
        </is>
      </c>
      <c r="V639" t="inlineStr">
        <is>
          <t>Bot tarafindan tespit edildi (2026-07-01); Bot tespit/zenginlestirme (2026-07-01); meta:score=35;priority=Low;source_type=html_table;closing_date=;equipment=Gas-related / review;reasons=equipment:Gas-related / review,document source</t>
        </is>
      </c>
    </row>
    <row r="640">
      <c r="A640" t="inlineStr">
        <is>
          <t>T-0444</t>
        </is>
      </c>
      <c r="B640" t="inlineStr">
        <is>
          <t>Indraprastha Gas (IGL)</t>
        </is>
      </c>
      <c r="C640" t="inlineStr">
        <is>
          <t>Indraprastha Gas (IGL)</t>
        </is>
      </c>
      <c r="F640" t="inlineStr">
        <is>
          <t>New Lead</t>
        </is>
      </c>
      <c r="H640" t="inlineStr">
        <is>
          <t>View Tender</t>
        </is>
      </c>
      <c r="K640" t="inlineStr">
        <is>
          <t>Not found</t>
        </is>
      </c>
      <c r="L640" t="inlineStr">
        <is>
          <t>Unknown</t>
        </is>
      </c>
      <c r="T640" t="inlineStr">
        <is>
          <t>https://tenders.iglonline.net/tenderDetail/402/Active Tenders And Corrigendum-Addendum</t>
        </is>
      </c>
      <c r="U640" t="inlineStr">
        <is>
          <t>No</t>
        </is>
      </c>
      <c r="V640" t="inlineStr">
        <is>
          <t>Bot tarafindan tespit edildi (2026-07-01)</t>
        </is>
      </c>
    </row>
    <row r="641">
      <c r="A641" t="inlineStr">
        <is>
          <t>T-0445</t>
        </is>
      </c>
      <c r="B641" t="inlineStr">
        <is>
          <t>Indraprastha Gas (IGL)</t>
        </is>
      </c>
      <c r="C641" t="inlineStr">
        <is>
          <t>Indraprastha Gas (IGL)</t>
        </is>
      </c>
      <c r="F641" t="inlineStr">
        <is>
          <t>New Lead</t>
        </is>
      </c>
      <c r="H641" t="inlineStr">
        <is>
          <t>Tender_CC18364_SS_Fittings-merged.pdf</t>
        </is>
      </c>
      <c r="K641" t="inlineStr">
        <is>
          <t>Not found</t>
        </is>
      </c>
      <c r="L641" t="inlineStr">
        <is>
          <t>Unknown</t>
        </is>
      </c>
      <c r="T641" t="inlineStr">
        <is>
          <t>https://tenders.iglonline.net/uploads/tender/Tender_CC18364_SS_Fittings-merged.pdf</t>
        </is>
      </c>
      <c r="U641" t="inlineStr">
        <is>
          <t>No</t>
        </is>
      </c>
      <c r="V641" t="inlineStr">
        <is>
          <t>Bot tarafindan tespit edildi (2026-07-01)</t>
        </is>
      </c>
    </row>
    <row r="642">
      <c r="A642" t="inlineStr">
        <is>
          <t>T-0446</t>
        </is>
      </c>
      <c r="B642" t="inlineStr">
        <is>
          <t>Indraprastha Gas (IGL)</t>
        </is>
      </c>
      <c r="C642" t="inlineStr">
        <is>
          <t>Indraprastha Gas (IGL)</t>
        </is>
      </c>
      <c r="F642" t="inlineStr">
        <is>
          <t>New Lead</t>
        </is>
      </c>
      <c r="H642" t="inlineStr">
        <is>
          <t>Reply to Bidders Query.pdf</t>
        </is>
      </c>
      <c r="K642" t="inlineStr">
        <is>
          <t>Not found</t>
        </is>
      </c>
      <c r="L642" t="inlineStr">
        <is>
          <t>Unknown</t>
        </is>
      </c>
      <c r="T642" t="inlineStr">
        <is>
          <t>https://tenders.iglonline.net/uploads/tender/Reply to Bidders Query.pdf</t>
        </is>
      </c>
      <c r="U642" t="inlineStr">
        <is>
          <t>No</t>
        </is>
      </c>
      <c r="V642" t="inlineStr">
        <is>
          <t>Bot tarafindan tespit edildi (2026-07-01)</t>
        </is>
      </c>
    </row>
    <row r="643">
      <c r="A643" t="inlineStr">
        <is>
          <t>T-0447</t>
        </is>
      </c>
      <c r="B643" t="inlineStr">
        <is>
          <t>Indraprastha Gas (IGL)</t>
        </is>
      </c>
      <c r="C643" t="inlineStr">
        <is>
          <t>Indraprastha Gas (IGL)</t>
        </is>
      </c>
      <c r="F643" t="inlineStr">
        <is>
          <t>New Lead</t>
        </is>
      </c>
      <c r="H643" t="inlineStr">
        <is>
          <t>View Tender</t>
        </is>
      </c>
      <c r="K643" t="inlineStr">
        <is>
          <t>Not found</t>
        </is>
      </c>
      <c r="L643" t="inlineStr">
        <is>
          <t>Unknown</t>
        </is>
      </c>
      <c r="T643" t="inlineStr">
        <is>
          <t>https://tenders.iglonline.net/tenderDetail/401/Active Tenders And Corrigendum-Addendum</t>
        </is>
      </c>
      <c r="U643" t="inlineStr">
        <is>
          <t>No</t>
        </is>
      </c>
      <c r="V643" t="inlineStr">
        <is>
          <t>Bot tarafindan tespit edildi (2026-07-01)</t>
        </is>
      </c>
    </row>
    <row r="644">
      <c r="A644" t="inlineStr">
        <is>
          <t>T-0448</t>
        </is>
      </c>
      <c r="B644" t="inlineStr">
        <is>
          <t>Indraprastha Gas (IGL)</t>
        </is>
      </c>
      <c r="C644" t="inlineStr">
        <is>
          <t>Indraprastha Gas (IGL)</t>
        </is>
      </c>
      <c r="F644" t="inlineStr">
        <is>
          <t>New Lead</t>
        </is>
      </c>
      <c r="H644" t="inlineStr">
        <is>
          <t>Tender CC18464_v2.pdf</t>
        </is>
      </c>
      <c r="K644" t="inlineStr">
        <is>
          <t>Not found</t>
        </is>
      </c>
      <c r="L644" t="inlineStr">
        <is>
          <t>Unknown</t>
        </is>
      </c>
      <c r="T644" t="inlineStr">
        <is>
          <t>https://tenders.iglonline.net/uploads/tender/Tender CC18464_v2.pdf</t>
        </is>
      </c>
      <c r="U644" t="inlineStr">
        <is>
          <t>No</t>
        </is>
      </c>
      <c r="V644" t="inlineStr">
        <is>
          <t>Bot tarafindan tespit edildi (2026-07-01)</t>
        </is>
      </c>
    </row>
    <row r="645">
      <c r="A645" t="inlineStr">
        <is>
          <t>T-0449</t>
        </is>
      </c>
      <c r="B645" t="inlineStr">
        <is>
          <t>Indraprastha Gas (IGL)</t>
        </is>
      </c>
      <c r="C645" t="inlineStr">
        <is>
          <t>Indraprastha Gas (IGL)</t>
        </is>
      </c>
      <c r="F645" t="inlineStr">
        <is>
          <t>New Lead</t>
        </is>
      </c>
      <c r="H645" t="inlineStr">
        <is>
          <t>View Tender</t>
        </is>
      </c>
      <c r="K645" t="inlineStr">
        <is>
          <t>Not found</t>
        </is>
      </c>
      <c r="L645" t="inlineStr">
        <is>
          <t>Unknown</t>
        </is>
      </c>
      <c r="T645" t="inlineStr">
        <is>
          <t>https://tenders.iglonline.net/tenderDetail/400/Active Tenders And Corrigendum-Addendum</t>
        </is>
      </c>
      <c r="U645" t="inlineStr">
        <is>
          <t>No</t>
        </is>
      </c>
      <c r="V645" t="inlineStr">
        <is>
          <t>Bot tarafindan tespit edildi (2026-07-01)</t>
        </is>
      </c>
    </row>
    <row r="646">
      <c r="A646" t="inlineStr">
        <is>
          <t>T-0450</t>
        </is>
      </c>
      <c r="B646" t="inlineStr">
        <is>
          <t>Indraprastha Gas (IGL)</t>
        </is>
      </c>
      <c r="C646" t="inlineStr">
        <is>
          <t>Indraprastha Gas (IGL)</t>
        </is>
      </c>
      <c r="F646" t="inlineStr">
        <is>
          <t>New Lead</t>
        </is>
      </c>
      <c r="G646" t="inlineStr">
        <is>
          <t>Gas-related / review</t>
        </is>
      </c>
      <c r="H646" t="inlineStr">
        <is>
          <t>Tender_CC18460_Customer Satisfaction.pdf</t>
        </is>
      </c>
      <c r="K646" t="inlineStr">
        <is>
          <t>Not found</t>
        </is>
      </c>
      <c r="L646" t="inlineStr">
        <is>
          <t>Unknown</t>
        </is>
      </c>
      <c r="T646" t="inlineStr">
        <is>
          <t>https://tenders.iglonline.net/uploads/tender/Tender_CC18460_Customer Satisfaction.pdf</t>
        </is>
      </c>
      <c r="U646" t="inlineStr">
        <is>
          <t>No</t>
        </is>
      </c>
      <c r="V646" t="inlineStr">
        <is>
          <t>Bot tarafindan tespit edildi (2026-07-01); Bot tespit/zenginlestirme (2026-07-01); meta:score=35;priority=Low;source_type=html_table;closing_date=;equipment=Gas-related / review;reasons=equipment:Gas-related / review,document source</t>
        </is>
      </c>
    </row>
    <row r="647">
      <c r="A647" t="inlineStr">
        <is>
          <t>T-0451</t>
        </is>
      </c>
      <c r="B647" t="inlineStr">
        <is>
          <t>Indraprastha Gas (IGL)</t>
        </is>
      </c>
      <c r="C647" t="inlineStr">
        <is>
          <t>Indraprastha Gas (IGL)</t>
        </is>
      </c>
      <c r="F647" t="inlineStr">
        <is>
          <t>New Lead</t>
        </is>
      </c>
      <c r="G647" t="inlineStr">
        <is>
          <t>Gas-related / review</t>
        </is>
      </c>
      <c r="H647" t="inlineStr">
        <is>
          <t>RTBQ-I.pdf</t>
        </is>
      </c>
      <c r="K647" t="inlineStr">
        <is>
          <t>Not found</t>
        </is>
      </c>
      <c r="L647" t="inlineStr">
        <is>
          <t>Unknown</t>
        </is>
      </c>
      <c r="T647" t="inlineStr">
        <is>
          <t>https://tenders.iglonline.net/uploads/tender/RTBQ-I.pdf</t>
        </is>
      </c>
      <c r="U647" t="inlineStr">
        <is>
          <t>No</t>
        </is>
      </c>
      <c r="V647" t="inlineStr">
        <is>
          <t>Bot tarafindan tespit edildi (2026-07-01); Bot tespit/zenginlestirme (2026-07-01); meta:score=35;priority=Low;source_type=html_table;closing_date=;equipment=Gas-related / review;reasons=equipment:Gas-related / review,document source</t>
        </is>
      </c>
    </row>
    <row r="648">
      <c r="A648" t="inlineStr">
        <is>
          <t>T-0452</t>
        </is>
      </c>
      <c r="B648" t="inlineStr">
        <is>
          <t>Indraprastha Gas (IGL)</t>
        </is>
      </c>
      <c r="C648" t="inlineStr">
        <is>
          <t>Indraprastha Gas (IGL)</t>
        </is>
      </c>
      <c r="F648" t="inlineStr">
        <is>
          <t>New Lead</t>
        </is>
      </c>
      <c r="G648" t="inlineStr">
        <is>
          <t>Gas-related / review</t>
        </is>
      </c>
      <c r="H648" t="inlineStr">
        <is>
          <t>Corrigendum-I_CC18460.pdf</t>
        </is>
      </c>
      <c r="K648" t="inlineStr">
        <is>
          <t>Not found</t>
        </is>
      </c>
      <c r="L648" t="inlineStr">
        <is>
          <t>Unknown</t>
        </is>
      </c>
      <c r="T648" t="inlineStr">
        <is>
          <t>https://tenders.iglonline.net/uploads/tender/Corrigendum-I_CC18460.pdf</t>
        </is>
      </c>
      <c r="U648" t="inlineStr">
        <is>
          <t>No</t>
        </is>
      </c>
      <c r="V648" t="inlineStr">
        <is>
          <t>Bot tarafindan tespit edildi (2026-07-01); Bot tespit/zenginlestirme (2026-07-01); meta:score=35;priority=Low;source_type=html_table;closing_date=;equipment=Gas-related / review;reasons=equipment:Gas-related / review,document source</t>
        </is>
      </c>
    </row>
    <row r="649">
      <c r="A649" t="inlineStr">
        <is>
          <t>T-0453</t>
        </is>
      </c>
      <c r="B649" t="inlineStr">
        <is>
          <t>Indraprastha Gas (IGL)</t>
        </is>
      </c>
      <c r="C649" t="inlineStr">
        <is>
          <t>Indraprastha Gas (IGL)</t>
        </is>
      </c>
      <c r="F649" t="inlineStr">
        <is>
          <t>New Lead</t>
        </is>
      </c>
      <c r="H649" t="inlineStr">
        <is>
          <t>View Tender</t>
        </is>
      </c>
      <c r="K649" t="inlineStr">
        <is>
          <t>Not found</t>
        </is>
      </c>
      <c r="L649" t="inlineStr">
        <is>
          <t>Unknown</t>
        </is>
      </c>
      <c r="T649" t="inlineStr">
        <is>
          <t>https://tenders.iglonline.net/tenderDetail/399/Active Tenders And Corrigendum-Addendum</t>
        </is>
      </c>
      <c r="U649" t="inlineStr">
        <is>
          <t>No</t>
        </is>
      </c>
      <c r="V649" t="inlineStr">
        <is>
          <t>Bot tarafindan tespit edildi (2026-07-01)</t>
        </is>
      </c>
    </row>
    <row r="650">
      <c r="A650" t="inlineStr">
        <is>
          <t>T-0454</t>
        </is>
      </c>
      <c r="B650" t="inlineStr">
        <is>
          <t>Indraprastha Gas (IGL)</t>
        </is>
      </c>
      <c r="C650" t="inlineStr">
        <is>
          <t>Indraprastha Gas (IGL)</t>
        </is>
      </c>
      <c r="F650" t="inlineStr">
        <is>
          <t>New Lead</t>
        </is>
      </c>
      <c r="G650" t="inlineStr">
        <is>
          <t>Gas-related / review</t>
        </is>
      </c>
      <c r="H650" t="inlineStr">
        <is>
          <t>Comm_Vol_CP18422.pdf</t>
        </is>
      </c>
      <c r="K650" t="inlineStr">
        <is>
          <t>Not found</t>
        </is>
      </c>
      <c r="L650" t="inlineStr">
        <is>
          <t>Unknown</t>
        </is>
      </c>
      <c r="T650" t="inlineStr">
        <is>
          <t>https://tenders.iglonline.net/uploads/tender/Comm_Vol_CP18422.pdf</t>
        </is>
      </c>
      <c r="U650" t="inlineStr">
        <is>
          <t>No</t>
        </is>
      </c>
      <c r="V650" t="inlineStr">
        <is>
          <t>Bot tarafindan tespit edildi (2026-07-01); Bot tespit/zenginlestirme (2026-07-01); meta:score=35;priority=Low;source_type=html_table;closing_date=;equipment=Gas-related / review;reasons=equipment:Gas-related / review,document source</t>
        </is>
      </c>
    </row>
    <row r="651">
      <c r="A651" t="inlineStr">
        <is>
          <t>T-0455</t>
        </is>
      </c>
      <c r="B651" t="inlineStr">
        <is>
          <t>Indraprastha Gas (IGL)</t>
        </is>
      </c>
      <c r="C651" t="inlineStr">
        <is>
          <t>Indraprastha Gas (IGL)</t>
        </is>
      </c>
      <c r="F651" t="inlineStr">
        <is>
          <t>New Lead</t>
        </is>
      </c>
      <c r="G651" t="inlineStr">
        <is>
          <t>Gas-related / review</t>
        </is>
      </c>
      <c r="H651" t="inlineStr">
        <is>
          <t>Technical Vol CP18422.pdf</t>
        </is>
      </c>
      <c r="K651" t="inlineStr">
        <is>
          <t>Not found</t>
        </is>
      </c>
      <c r="L651" t="inlineStr">
        <is>
          <t>Unknown</t>
        </is>
      </c>
      <c r="T651" t="inlineStr">
        <is>
          <t>https://tenders.iglonline.net/uploads/tender/Technical Vol CP18422.pdf</t>
        </is>
      </c>
      <c r="U651" t="inlineStr">
        <is>
          <t>No</t>
        </is>
      </c>
      <c r="V651" t="inlineStr">
        <is>
          <t>Bot tarafindan tespit edildi (2026-07-01); Bot tespit/zenginlestirme (2026-07-01); meta:score=35;priority=Low;source_type=html_table;closing_date=;equipment=Gas-related / review;reasons=equipment:Gas-related / review,document source</t>
        </is>
      </c>
    </row>
    <row r="652">
      <c r="A652" t="inlineStr">
        <is>
          <t>T-0456</t>
        </is>
      </c>
      <c r="B652" t="inlineStr">
        <is>
          <t>Indraprastha Gas (IGL)</t>
        </is>
      </c>
      <c r="C652" t="inlineStr">
        <is>
          <t>Indraprastha Gas (IGL)</t>
        </is>
      </c>
      <c r="F652" t="inlineStr">
        <is>
          <t>New Lead</t>
        </is>
      </c>
      <c r="H652" t="inlineStr">
        <is>
          <t>View Tender</t>
        </is>
      </c>
      <c r="K652" t="inlineStr">
        <is>
          <t>Not found</t>
        </is>
      </c>
      <c r="L652" t="inlineStr">
        <is>
          <t>Unknown</t>
        </is>
      </c>
      <c r="T652" t="inlineStr">
        <is>
          <t>https://tenders.iglonline.net/tenderDetail/398/Active Tenders And Corrigendum-Addendum</t>
        </is>
      </c>
      <c r="U652" t="inlineStr">
        <is>
          <t>No</t>
        </is>
      </c>
      <c r="V652" t="inlineStr">
        <is>
          <t>Bot tarafindan tespit edildi (2026-07-01)</t>
        </is>
      </c>
    </row>
    <row r="653">
      <c r="A653" t="inlineStr">
        <is>
          <t>T-0457</t>
        </is>
      </c>
      <c r="B653" t="inlineStr">
        <is>
          <t>Indraprastha Gas (IGL)</t>
        </is>
      </c>
      <c r="C653" t="inlineStr">
        <is>
          <t>Indraprastha Gas (IGL)</t>
        </is>
      </c>
      <c r="F653" t="inlineStr">
        <is>
          <t>New Lead</t>
        </is>
      </c>
      <c r="H653" t="inlineStr">
        <is>
          <t>Tender_CP18262.pdf</t>
        </is>
      </c>
      <c r="K653" t="inlineStr">
        <is>
          <t>Not found</t>
        </is>
      </c>
      <c r="L653" t="inlineStr">
        <is>
          <t>Unknown</t>
        </is>
      </c>
      <c r="T653" t="inlineStr">
        <is>
          <t>https://tenders.iglonline.net/uploads/tender/Tender_CP18262.pdf</t>
        </is>
      </c>
      <c r="U653" t="inlineStr">
        <is>
          <t>No</t>
        </is>
      </c>
      <c r="V653" t="inlineStr">
        <is>
          <t>Bot tarafindan tespit edildi (2026-07-01)</t>
        </is>
      </c>
    </row>
    <row r="654">
      <c r="A654" t="inlineStr">
        <is>
          <t>T-0458</t>
        </is>
      </c>
      <c r="B654" t="inlineStr">
        <is>
          <t>Indraprastha Gas (IGL)</t>
        </is>
      </c>
      <c r="C654" t="inlineStr">
        <is>
          <t>Indraprastha Gas (IGL)</t>
        </is>
      </c>
      <c r="F654" t="inlineStr">
        <is>
          <t>New Lead</t>
        </is>
      </c>
      <c r="H654" t="inlineStr">
        <is>
          <t>View Tender</t>
        </is>
      </c>
      <c r="K654" t="inlineStr">
        <is>
          <t>Not found</t>
        </is>
      </c>
      <c r="L654" t="inlineStr">
        <is>
          <t>Unknown</t>
        </is>
      </c>
      <c r="T654" t="inlineStr">
        <is>
          <t>https://tenders.iglonline.net/tenderDetail/397/Active Tenders And Corrigendum-Addendum</t>
        </is>
      </c>
      <c r="U654" t="inlineStr">
        <is>
          <t>No</t>
        </is>
      </c>
      <c r="V654" t="inlineStr">
        <is>
          <t>Bot tarafindan tespit edildi (2026-07-01)</t>
        </is>
      </c>
    </row>
    <row r="655">
      <c r="A655" t="inlineStr">
        <is>
          <t>T-0459</t>
        </is>
      </c>
      <c r="B655" t="inlineStr">
        <is>
          <t>Indraprastha Gas (IGL)</t>
        </is>
      </c>
      <c r="C655" t="inlineStr">
        <is>
          <t>Indraprastha Gas (IGL)</t>
        </is>
      </c>
      <c r="F655" t="inlineStr">
        <is>
          <t>New Lead</t>
        </is>
      </c>
      <c r="H655" t="inlineStr">
        <is>
          <t>Tender_Doc_CM18411.pdf</t>
        </is>
      </c>
      <c r="K655" t="inlineStr">
        <is>
          <t>Not found</t>
        </is>
      </c>
      <c r="L655" t="inlineStr">
        <is>
          <t>Unknown</t>
        </is>
      </c>
      <c r="T655" t="inlineStr">
        <is>
          <t>https://tenders.iglonline.net/uploads/tender/Tender_Doc_CM18411.pdf</t>
        </is>
      </c>
      <c r="U655" t="inlineStr">
        <is>
          <t>No</t>
        </is>
      </c>
      <c r="V655" t="inlineStr">
        <is>
          <t>Bot tarafindan tespit edildi (2026-07-01)</t>
        </is>
      </c>
    </row>
    <row r="656">
      <c r="A656" t="inlineStr">
        <is>
          <t>T-0460</t>
        </is>
      </c>
      <c r="B656" t="inlineStr">
        <is>
          <t>Indraprastha Gas (IGL)</t>
        </is>
      </c>
      <c r="C656" t="inlineStr">
        <is>
          <t>Indraprastha Gas (IGL)</t>
        </is>
      </c>
      <c r="F656" t="inlineStr">
        <is>
          <t>New Lead</t>
        </is>
      </c>
      <c r="H656" t="inlineStr">
        <is>
          <t>CORRIGENDUM I CM18411.pdf</t>
        </is>
      </c>
      <c r="K656" t="inlineStr">
        <is>
          <t>Not found</t>
        </is>
      </c>
      <c r="L656" t="inlineStr">
        <is>
          <t>Unknown</t>
        </is>
      </c>
      <c r="T656" t="inlineStr">
        <is>
          <t>https://tenders.iglonline.net/uploads/tender/CORRIGENDUM I CM18411.pdf</t>
        </is>
      </c>
      <c r="U656" t="inlineStr">
        <is>
          <t>No</t>
        </is>
      </c>
      <c r="V656" t="inlineStr">
        <is>
          <t>Bot tarafindan tespit edildi (2026-07-01)</t>
        </is>
      </c>
    </row>
    <row r="657">
      <c r="A657" t="inlineStr">
        <is>
          <t>T-0461</t>
        </is>
      </c>
      <c r="B657" t="inlineStr">
        <is>
          <t>Indraprastha Gas (IGL)</t>
        </is>
      </c>
      <c r="C657" t="inlineStr">
        <is>
          <t>Indraprastha Gas (IGL)</t>
        </is>
      </c>
      <c r="F657" t="inlineStr">
        <is>
          <t>New Lead</t>
        </is>
      </c>
      <c r="H657" t="inlineStr">
        <is>
          <t>View Tender</t>
        </is>
      </c>
      <c r="K657" t="inlineStr">
        <is>
          <t>Not found</t>
        </is>
      </c>
      <c r="L657" t="inlineStr">
        <is>
          <t>Unknown</t>
        </is>
      </c>
      <c r="T657" t="inlineStr">
        <is>
          <t>https://tenders.iglonline.net/tenderDetail/396/Active Tenders And Corrigendum-Addendum</t>
        </is>
      </c>
      <c r="U657" t="inlineStr">
        <is>
          <t>No</t>
        </is>
      </c>
      <c r="V657" t="inlineStr">
        <is>
          <t>Bot tarafindan tespit edildi (2026-07-01)</t>
        </is>
      </c>
    </row>
    <row r="658">
      <c r="A658" t="inlineStr">
        <is>
          <t>T-0462</t>
        </is>
      </c>
      <c r="B658" t="inlineStr">
        <is>
          <t>Indraprastha Gas (IGL)</t>
        </is>
      </c>
      <c r="C658" t="inlineStr">
        <is>
          <t>Indraprastha Gas (IGL)</t>
        </is>
      </c>
      <c r="F658" t="inlineStr">
        <is>
          <t>New Lead</t>
        </is>
      </c>
      <c r="H658" t="inlineStr">
        <is>
          <t>Tender_Document_CM18394.pdf</t>
        </is>
      </c>
      <c r="K658" t="inlineStr">
        <is>
          <t>Not found</t>
        </is>
      </c>
      <c r="L658" t="inlineStr">
        <is>
          <t>Unknown</t>
        </is>
      </c>
      <c r="T658" t="inlineStr">
        <is>
          <t>https://tenders.iglonline.net/uploads/tender/Tender_Document_CM18394.pdf</t>
        </is>
      </c>
      <c r="U658" t="inlineStr">
        <is>
          <t>No</t>
        </is>
      </c>
      <c r="V658" t="inlineStr">
        <is>
          <t>Bot tarafindan tespit edildi (2026-07-01)</t>
        </is>
      </c>
    </row>
    <row r="659">
      <c r="A659" t="inlineStr">
        <is>
          <t>T-0463</t>
        </is>
      </c>
      <c r="B659" t="inlineStr">
        <is>
          <t>Indraprastha Gas (IGL)</t>
        </is>
      </c>
      <c r="C659" t="inlineStr">
        <is>
          <t>Indraprastha Gas (IGL)</t>
        </is>
      </c>
      <c r="F659" t="inlineStr">
        <is>
          <t>New Lead</t>
        </is>
      </c>
      <c r="H659" t="inlineStr">
        <is>
          <t>CM18394_Corrigendum_1_Amendment.pdf</t>
        </is>
      </c>
      <c r="K659" t="inlineStr">
        <is>
          <t>Not found</t>
        </is>
      </c>
      <c r="L659" t="inlineStr">
        <is>
          <t>Unknown</t>
        </is>
      </c>
      <c r="T659" t="inlineStr">
        <is>
          <t>https://tenders.iglonline.net/uploads/tender/CM18394_Corrigendum_1_Amendment.pdf</t>
        </is>
      </c>
      <c r="U659" t="inlineStr">
        <is>
          <t>No</t>
        </is>
      </c>
      <c r="V659" t="inlineStr">
        <is>
          <t>Bot tarafindan tespit edildi (2026-07-01)</t>
        </is>
      </c>
    </row>
    <row r="660">
      <c r="A660" t="inlineStr">
        <is>
          <t>T-0464</t>
        </is>
      </c>
      <c r="B660" t="inlineStr">
        <is>
          <t>Indraprastha Gas (IGL)</t>
        </is>
      </c>
      <c r="C660" t="inlineStr">
        <is>
          <t>Indraprastha Gas (IGL)</t>
        </is>
      </c>
      <c r="F660" t="inlineStr">
        <is>
          <t>New Lead</t>
        </is>
      </c>
      <c r="H660" t="inlineStr">
        <is>
          <t>RTPBQ_CM18394.pdf</t>
        </is>
      </c>
      <c r="K660" t="inlineStr">
        <is>
          <t>Not found</t>
        </is>
      </c>
      <c r="L660" t="inlineStr">
        <is>
          <t>Unknown</t>
        </is>
      </c>
      <c r="T660" t="inlineStr">
        <is>
          <t>https://tenders.iglonline.net/uploads/tender/RTPBQ_CM18394.pdf</t>
        </is>
      </c>
      <c r="U660" t="inlineStr">
        <is>
          <t>No</t>
        </is>
      </c>
      <c r="V660" t="inlineStr">
        <is>
          <t>Bot tarafindan tespit edildi (2026-07-01)</t>
        </is>
      </c>
    </row>
    <row r="661">
      <c r="A661" t="inlineStr">
        <is>
          <t>T-0465</t>
        </is>
      </c>
      <c r="B661" t="inlineStr">
        <is>
          <t>Indraprastha Gas (IGL)</t>
        </is>
      </c>
      <c r="C661" t="inlineStr">
        <is>
          <t>Indraprastha Gas (IGL)</t>
        </is>
      </c>
      <c r="F661" t="inlineStr">
        <is>
          <t>New Lead</t>
        </is>
      </c>
      <c r="H661" t="inlineStr">
        <is>
          <t>View Tender</t>
        </is>
      </c>
      <c r="K661" t="inlineStr">
        <is>
          <t>Not found</t>
        </is>
      </c>
      <c r="L661" t="inlineStr">
        <is>
          <t>Unknown</t>
        </is>
      </c>
      <c r="T661" t="inlineStr">
        <is>
          <t>https://tenders.iglonline.net/tenderDetail/395/Active Tenders And Corrigendum-Addendum</t>
        </is>
      </c>
      <c r="U661" t="inlineStr">
        <is>
          <t>No</t>
        </is>
      </c>
      <c r="V661" t="inlineStr">
        <is>
          <t>Bot tarafindan tespit edildi (2026-07-01)</t>
        </is>
      </c>
    </row>
    <row r="662">
      <c r="A662" t="inlineStr">
        <is>
          <t>T-0466</t>
        </is>
      </c>
      <c r="B662" t="inlineStr">
        <is>
          <t>Indraprastha Gas (IGL)</t>
        </is>
      </c>
      <c r="C662" t="inlineStr">
        <is>
          <t>Indraprastha Gas (IGL)</t>
        </is>
      </c>
      <c r="F662" t="inlineStr">
        <is>
          <t>New Lead</t>
        </is>
      </c>
      <c r="H662" t="inlineStr">
        <is>
          <t>Tender_Document_CM18433.pdf</t>
        </is>
      </c>
      <c r="K662" t="inlineStr">
        <is>
          <t>Not found</t>
        </is>
      </c>
      <c r="L662" t="inlineStr">
        <is>
          <t>Unknown</t>
        </is>
      </c>
      <c r="T662" t="inlineStr">
        <is>
          <t>https://tenders.iglonline.net/uploads/tender/Tender_Document_CM18433.pdf</t>
        </is>
      </c>
      <c r="U662" t="inlineStr">
        <is>
          <t>No</t>
        </is>
      </c>
      <c r="V662" t="inlineStr">
        <is>
          <t>Bot tarafindan tespit edildi (2026-07-01)</t>
        </is>
      </c>
    </row>
    <row r="663">
      <c r="A663" t="inlineStr">
        <is>
          <t>T-0467</t>
        </is>
      </c>
      <c r="B663" t="inlineStr">
        <is>
          <t>Indraprastha Gas (IGL)</t>
        </is>
      </c>
      <c r="C663" t="inlineStr">
        <is>
          <t>Indraprastha Gas (IGL)</t>
        </is>
      </c>
      <c r="F663" t="inlineStr">
        <is>
          <t>New Lead</t>
        </is>
      </c>
      <c r="H663" t="inlineStr">
        <is>
          <t>Corrigendum_1_Cancellation of tender.pdf</t>
        </is>
      </c>
      <c r="K663" t="inlineStr">
        <is>
          <t>Not found</t>
        </is>
      </c>
      <c r="L663" t="inlineStr">
        <is>
          <t>Unknown</t>
        </is>
      </c>
      <c r="T663" t="inlineStr">
        <is>
          <t>https://tenders.iglonline.net/uploads/tender/Corrigendum_1_Cancellation of tender.pdf</t>
        </is>
      </c>
      <c r="U663" t="inlineStr">
        <is>
          <t>No</t>
        </is>
      </c>
      <c r="V663" t="inlineStr">
        <is>
          <t>Bot tarafindan tespit edildi (2026-07-01)</t>
        </is>
      </c>
    </row>
    <row r="664">
      <c r="A664" t="inlineStr">
        <is>
          <t>T-0468</t>
        </is>
      </c>
      <c r="B664" t="inlineStr">
        <is>
          <t>Indraprastha Gas (IGL)</t>
        </is>
      </c>
      <c r="C664" t="inlineStr">
        <is>
          <t>Indraprastha Gas (IGL)</t>
        </is>
      </c>
      <c r="F664" t="inlineStr">
        <is>
          <t>New Lead</t>
        </is>
      </c>
      <c r="G664" t="inlineStr">
        <is>
          <t>Unclassified</t>
        </is>
      </c>
      <c r="H664" t="inlineStr">
        <is>
          <t>View Tender</t>
        </is>
      </c>
      <c r="K664" t="inlineStr">
        <is>
          <t>Not found</t>
        </is>
      </c>
      <c r="L664" t="inlineStr">
        <is>
          <t>Unknown</t>
        </is>
      </c>
      <c r="T664" t="inlineStr">
        <is>
          <t>https://tenders.iglonline.net/tenderDetail/394/Active Tenders And Corrigendum-Addendum</t>
        </is>
      </c>
      <c r="U664" t="inlineStr">
        <is>
          <t>No</t>
        </is>
      </c>
      <c r="V664" t="inlineStr">
        <is>
          <t>Bot tarafindan tespit edildi (2026-07-01); Bot tespit/zenginlestirme (2026-07-01); meta:score=40;priority=Medium;source_type=html_table;closing_date=;equipment=Unclassified;reasons=document source,quantity signal</t>
        </is>
      </c>
    </row>
    <row r="665">
      <c r="A665" t="inlineStr">
        <is>
          <t>T-0469</t>
        </is>
      </c>
      <c r="B665" t="inlineStr">
        <is>
          <t>Indraprastha Gas (IGL)</t>
        </is>
      </c>
      <c r="C665" t="inlineStr">
        <is>
          <t>Indraprastha Gas (IGL)</t>
        </is>
      </c>
      <c r="D665" t="inlineStr">
        <is>
          <t>LOA/PO/Contract</t>
        </is>
      </c>
      <c r="F665" t="inlineStr">
        <is>
          <t>Awarded</t>
        </is>
      </c>
      <c r="G665" t="inlineStr">
        <is>
          <t>FRS</t>
        </is>
      </c>
      <c r="H665" t="inlineStr">
        <is>
          <t>Tender_Doc_CP18312.pdf</t>
        </is>
      </c>
      <c r="K665" t="inlineStr">
        <is>
          <t>s after the award of work. For bidders who have submitted their EMD through any of the e-pa</t>
        </is>
      </c>
      <c r="L665" t="inlineStr">
        <is>
          <t>Unknown</t>
        </is>
      </c>
      <c r="M665" t="n">
        <v>2644000</v>
      </c>
      <c r="T665" t="inlineStr">
        <is>
          <t>https://tenders.iglonline.net/uploads/tender/Tender_Doc_CP18312.pdf</t>
        </is>
      </c>
      <c r="U665" t="inlineStr">
        <is>
          <t>No</t>
        </is>
      </c>
      <c r="V665" t="inlineStr">
        <is>
          <t>Bot tarafindan tespit edildi (2026-07-01) | Bot enrich; date=2026-07-01; type=pdf; score=330; pdf_conf=Medium; Bot tespit/zenginlestirme (2026-07-01); meta:score=40;priority=Medium;source_type=html_table;closing_date=;equipment=Unclassified;reasons=document source,quantity signal</t>
        </is>
      </c>
    </row>
    <row r="666">
      <c r="A666" t="inlineStr">
        <is>
          <t>T-0470</t>
        </is>
      </c>
      <c r="B666" t="inlineStr">
        <is>
          <t>Indraprastha Gas (IGL)</t>
        </is>
      </c>
      <c r="C666" t="inlineStr">
        <is>
          <t>Indraprastha Gas (IGL)</t>
        </is>
      </c>
      <c r="D666" t="inlineStr">
        <is>
          <t>IGL/ET2/CP/CP18312</t>
        </is>
      </c>
      <c r="F666" t="inlineStr">
        <is>
          <t>Awarded</t>
        </is>
      </c>
      <c r="G666" t="inlineStr">
        <is>
          <t>FRS</t>
        </is>
      </c>
      <c r="H666" t="inlineStr">
        <is>
          <t>Corrigendum_1_CP18312.pdf</t>
        </is>
      </c>
      <c r="K666" t="inlineStr">
        <is>
          <t>Not found</t>
        </is>
      </c>
      <c r="L666" t="inlineStr">
        <is>
          <t>Unknown</t>
        </is>
      </c>
      <c r="T666" t="inlineStr">
        <is>
          <t>https://tenders.iglonline.net/uploads/tender/Corrigendum_1_CP18312.pdf</t>
        </is>
      </c>
      <c r="U666" t="inlineStr">
        <is>
          <t>No</t>
        </is>
      </c>
      <c r="V666" t="inlineStr">
        <is>
          <t>Bot tarafindan tespit edildi (2026-07-01) | Bot enrich; date=2026-07-01; type=pdf; score=330; pdf_conf=Low; Bot tespit/zenginlestirme (2026-07-01); meta:score=40;priority=Medium;source_type=html_table;closing_date=;equipment=Unclassified;reasons=document source,quantity signal</t>
        </is>
      </c>
    </row>
    <row r="667">
      <c r="A667" t="inlineStr">
        <is>
          <t>T-0471</t>
        </is>
      </c>
      <c r="B667" t="inlineStr">
        <is>
          <t>Indraprastha Gas (IGL)</t>
        </is>
      </c>
      <c r="C667" t="inlineStr">
        <is>
          <t>Indraprastha Gas (IGL)</t>
        </is>
      </c>
      <c r="D667" t="inlineStr">
        <is>
          <t>IGL/ET2/CP/CP18312</t>
        </is>
      </c>
      <c r="F667" t="inlineStr">
        <is>
          <t>Awarded</t>
        </is>
      </c>
      <c r="G667" t="inlineStr">
        <is>
          <t>FRS</t>
        </is>
      </c>
      <c r="H667" t="inlineStr">
        <is>
          <t>RTBQ_CP18312.pdf</t>
        </is>
      </c>
      <c r="K667" t="inlineStr">
        <is>
          <t>IGL to share the Modem</t>
        </is>
      </c>
      <c r="L667" t="inlineStr">
        <is>
          <t>Unknown</t>
        </is>
      </c>
      <c r="T667" t="inlineStr">
        <is>
          <t>https://tenders.iglonline.net/uploads/tender/RTBQ_CP18312.pdf</t>
        </is>
      </c>
      <c r="U667" t="inlineStr">
        <is>
          <t>No</t>
        </is>
      </c>
      <c r="V667" t="inlineStr">
        <is>
          <t>Bot tarafindan tespit edildi (2026-07-01) | Bot enrich; date=2026-07-01; type=pdf; score=330; pdf_conf=Medium; Bot tespit/zenginlestirme (2026-07-01); meta:score=40;priority=Medium;source_type=html_table;closing_date=;equipment=Unclassified;reasons=document source,quantity signal</t>
        </is>
      </c>
    </row>
    <row r="668">
      <c r="A668" t="inlineStr">
        <is>
          <t>T-0472</t>
        </is>
      </c>
      <c r="B668" t="inlineStr">
        <is>
          <t>Indraprastha Gas (IGL)</t>
        </is>
      </c>
      <c r="C668" t="inlineStr">
        <is>
          <t>Indraprastha Gas (IGL)</t>
        </is>
      </c>
      <c r="D668" t="inlineStr">
        <is>
          <t>IGL/ET2/CP/</t>
        </is>
      </c>
      <c r="F668" t="inlineStr">
        <is>
          <t>Awarded</t>
        </is>
      </c>
      <c r="G668" t="inlineStr">
        <is>
          <t>FRS</t>
        </is>
      </c>
      <c r="H668" t="inlineStr">
        <is>
          <t>CP18312.pdf</t>
        </is>
      </c>
      <c r="K668" t="inlineStr">
        <is>
          <t>Not found</t>
        </is>
      </c>
      <c r="L668" t="inlineStr">
        <is>
          <t>Unknown</t>
        </is>
      </c>
      <c r="T668" t="inlineStr">
        <is>
          <t>https://tenders.iglonline.net/uploads/tender/CP18312.pdf</t>
        </is>
      </c>
      <c r="U668" t="inlineStr">
        <is>
          <t>No</t>
        </is>
      </c>
      <c r="V668" t="inlineStr">
        <is>
          <t>Bot tarafindan tespit edildi (2026-07-01) | Bot enrich; date=2026-07-01; type=pdf; score=330; pdf_conf=Low; Bot tespit/zenginlestirme (2026-07-01); meta:score=40;priority=Medium;source_type=html_table;closing_date=;equipment=Unclassified;reasons=document source,quantity signal</t>
        </is>
      </c>
    </row>
    <row r="669">
      <c r="A669" t="inlineStr">
        <is>
          <t>T-0473</t>
        </is>
      </c>
      <c r="B669" t="inlineStr">
        <is>
          <t>Indraprastha Gas (IGL)</t>
        </is>
      </c>
      <c r="C669" t="inlineStr">
        <is>
          <t>Indraprastha Gas (IGL)</t>
        </is>
      </c>
      <c r="D669" t="inlineStr">
        <is>
          <t>IGL/ET2/CP/CP18312</t>
        </is>
      </c>
      <c r="F669" t="inlineStr">
        <is>
          <t>Awarded</t>
        </is>
      </c>
      <c r="G669" t="inlineStr">
        <is>
          <t>FRS</t>
        </is>
      </c>
      <c r="H669" t="inlineStr">
        <is>
          <t>RTBQ_CP18312_2.pdf</t>
        </is>
      </c>
      <c r="K669" t="inlineStr">
        <is>
          <t>shall furnish to the Purchaser the Contract Performance value (Exclusive of all taxes) to b</t>
        </is>
      </c>
      <c r="L669" t="inlineStr">
        <is>
          <t>Unknown</t>
        </is>
      </c>
      <c r="T669" t="inlineStr">
        <is>
          <t>https://tenders.iglonline.net/uploads/tender/RTBQ_CP18312_2.pdf</t>
        </is>
      </c>
      <c r="U669" t="inlineStr">
        <is>
          <t>No</t>
        </is>
      </c>
      <c r="V669" t="inlineStr">
        <is>
          <t>Bot tarafindan tespit edildi (2026-07-01) | Bot enrich; date=2026-07-01; type=pdf; score=330; pdf_conf=Medium; Bot tespit/zenginlestirme (2026-07-01); meta:score=40;priority=Medium;source_type=html_table;closing_date=;equipment=Unclassified;reasons=document source,quantity signal</t>
        </is>
      </c>
    </row>
    <row r="670">
      <c r="A670" t="inlineStr">
        <is>
          <t>T-0474</t>
        </is>
      </c>
      <c r="B670" t="inlineStr">
        <is>
          <t>Indraprastha Gas (IGL)</t>
        </is>
      </c>
      <c r="C670" t="inlineStr">
        <is>
          <t>Indraprastha Gas (IGL)</t>
        </is>
      </c>
      <c r="F670" t="inlineStr">
        <is>
          <t>New Lead</t>
        </is>
      </c>
      <c r="H670" t="inlineStr">
        <is>
          <t>View Tender</t>
        </is>
      </c>
      <c r="K670" t="inlineStr">
        <is>
          <t>Not found</t>
        </is>
      </c>
      <c r="L670" t="inlineStr">
        <is>
          <t>Unknown</t>
        </is>
      </c>
      <c r="T670" t="inlineStr">
        <is>
          <t>https://tenders.iglonline.net/tenderDetail/393/Active Tenders And Corrigendum-Addendum</t>
        </is>
      </c>
      <c r="U670" t="inlineStr">
        <is>
          <t>No</t>
        </is>
      </c>
      <c r="V670" t="inlineStr">
        <is>
          <t>Bot tarafindan tespit edildi (2026-07-01)</t>
        </is>
      </c>
    </row>
    <row r="671">
      <c r="A671" t="inlineStr">
        <is>
          <t>T-0475</t>
        </is>
      </c>
      <c r="B671" t="inlineStr">
        <is>
          <t>Indraprastha Gas (IGL)</t>
        </is>
      </c>
      <c r="C671" t="inlineStr">
        <is>
          <t>Indraprastha Gas (IGL)</t>
        </is>
      </c>
      <c r="F671" t="inlineStr">
        <is>
          <t>New Lead</t>
        </is>
      </c>
      <c r="H671" t="inlineStr">
        <is>
          <t>Tender Document_CM18388.pdf</t>
        </is>
      </c>
      <c r="K671" t="inlineStr">
        <is>
          <t>Not found</t>
        </is>
      </c>
      <c r="L671" t="inlineStr">
        <is>
          <t>Unknown</t>
        </is>
      </c>
      <c r="T671" t="inlineStr">
        <is>
          <t>https://tenders.iglonline.net/uploads/tender/Tender Document_CM18388.pdf</t>
        </is>
      </c>
      <c r="U671" t="inlineStr">
        <is>
          <t>No</t>
        </is>
      </c>
      <c r="V671" t="inlineStr">
        <is>
          <t>Bot tarafindan tespit edildi (2026-07-01)</t>
        </is>
      </c>
    </row>
    <row r="672">
      <c r="A672" t="inlineStr">
        <is>
          <t>T-0476</t>
        </is>
      </c>
      <c r="B672" t="inlineStr">
        <is>
          <t>Indraprastha Gas (IGL)</t>
        </is>
      </c>
      <c r="C672" t="inlineStr">
        <is>
          <t>Indraprastha Gas (IGL)</t>
        </is>
      </c>
      <c r="F672" t="inlineStr">
        <is>
          <t>New Lead</t>
        </is>
      </c>
      <c r="H672" t="inlineStr">
        <is>
          <t>RTPBQ_CM18388.pdf</t>
        </is>
      </c>
      <c r="K672" t="inlineStr">
        <is>
          <t>Not found</t>
        </is>
      </c>
      <c r="L672" t="inlineStr">
        <is>
          <t>Unknown</t>
        </is>
      </c>
      <c r="T672" t="inlineStr">
        <is>
          <t>https://tenders.iglonline.net/uploads/tender/RTPBQ_CM18388.pdf</t>
        </is>
      </c>
      <c r="U672" t="inlineStr">
        <is>
          <t>No</t>
        </is>
      </c>
      <c r="V672" t="inlineStr">
        <is>
          <t>Bot tarafindan tespit edildi (2026-07-01)</t>
        </is>
      </c>
    </row>
    <row r="673">
      <c r="A673" t="inlineStr">
        <is>
          <t>T-0477</t>
        </is>
      </c>
      <c r="B673" t="inlineStr">
        <is>
          <t>Indraprastha Gas (IGL)</t>
        </is>
      </c>
      <c r="C673" t="inlineStr">
        <is>
          <t>Indraprastha Gas (IGL)</t>
        </is>
      </c>
      <c r="F673" t="inlineStr">
        <is>
          <t>New Lead</t>
        </is>
      </c>
      <c r="H673" t="inlineStr">
        <is>
          <t>Tender_Document_CM18388.pdf</t>
        </is>
      </c>
      <c r="K673" t="inlineStr">
        <is>
          <t>Not found</t>
        </is>
      </c>
      <c r="L673" t="inlineStr">
        <is>
          <t>Unknown</t>
        </is>
      </c>
      <c r="T673" t="inlineStr">
        <is>
          <t>https://tenders.iglonline.net/uploads/tender/Tender_Document_CM18388.pdf</t>
        </is>
      </c>
      <c r="U673" t="inlineStr">
        <is>
          <t>No</t>
        </is>
      </c>
      <c r="V673" t="inlineStr">
        <is>
          <t>Bot tarafindan tespit edildi (2026-07-01)</t>
        </is>
      </c>
    </row>
    <row r="674">
      <c r="A674" t="inlineStr">
        <is>
          <t>T-0478</t>
        </is>
      </c>
      <c r="B674" t="inlineStr">
        <is>
          <t>Indraprastha Gas (IGL)</t>
        </is>
      </c>
      <c r="C674" t="inlineStr">
        <is>
          <t>Indraprastha Gas (IGL)</t>
        </is>
      </c>
      <c r="F674" t="inlineStr">
        <is>
          <t>New Lead</t>
        </is>
      </c>
      <c r="H674" t="inlineStr">
        <is>
          <t>View Tender</t>
        </is>
      </c>
      <c r="K674" t="inlineStr">
        <is>
          <t>Not found</t>
        </is>
      </c>
      <c r="L674" t="inlineStr">
        <is>
          <t>Unknown</t>
        </is>
      </c>
      <c r="T674" t="inlineStr">
        <is>
          <t>https://tenders.iglonline.net/tenderDetail/392/Active Tenders And Corrigendum-Addendum</t>
        </is>
      </c>
      <c r="U674" t="inlineStr">
        <is>
          <t>No</t>
        </is>
      </c>
      <c r="V674" t="inlineStr">
        <is>
          <t>Bot tarafindan tespit edildi (2026-07-01)</t>
        </is>
      </c>
    </row>
    <row r="675">
      <c r="A675" t="inlineStr">
        <is>
          <t>T-0479</t>
        </is>
      </c>
      <c r="B675" t="inlineStr">
        <is>
          <t>Indraprastha Gas (IGL)</t>
        </is>
      </c>
      <c r="C675" t="inlineStr">
        <is>
          <t>Indraprastha Gas (IGL)</t>
        </is>
      </c>
      <c r="F675" t="inlineStr">
        <is>
          <t>New Lead</t>
        </is>
      </c>
      <c r="H675" t="inlineStr">
        <is>
          <t>Tender_Doc_CM18403_IBM.pdf</t>
        </is>
      </c>
      <c r="K675" t="inlineStr">
        <is>
          <t>Not found</t>
        </is>
      </c>
      <c r="L675" t="inlineStr">
        <is>
          <t>Unknown</t>
        </is>
      </c>
      <c r="T675" t="inlineStr">
        <is>
          <t>https://tenders.iglonline.net/uploads/tender/Tender_Doc_CM18403_IBM.pdf</t>
        </is>
      </c>
      <c r="U675" t="inlineStr">
        <is>
          <t>No</t>
        </is>
      </c>
      <c r="V675" t="inlineStr">
        <is>
          <t>Bot tarafindan tespit edildi (2026-07-01)</t>
        </is>
      </c>
    </row>
    <row r="676">
      <c r="A676" t="inlineStr">
        <is>
          <t>T-0480</t>
        </is>
      </c>
      <c r="B676" t="inlineStr">
        <is>
          <t>Indraprastha Gas (IGL)</t>
        </is>
      </c>
      <c r="C676" t="inlineStr">
        <is>
          <t>Indraprastha Gas (IGL)</t>
        </is>
      </c>
      <c r="F676" t="inlineStr">
        <is>
          <t>New Lead</t>
        </is>
      </c>
      <c r="H676" t="inlineStr">
        <is>
          <t>CORRIGENDUM-I-CM18403.pdf</t>
        </is>
      </c>
      <c r="K676" t="inlineStr">
        <is>
          <t>Not found</t>
        </is>
      </c>
      <c r="L676" t="inlineStr">
        <is>
          <t>Unknown</t>
        </is>
      </c>
      <c r="T676" t="inlineStr">
        <is>
          <t>https://tenders.iglonline.net/uploads/tender/CORRIGENDUM-I-CM18403.pdf</t>
        </is>
      </c>
      <c r="U676" t="inlineStr">
        <is>
          <t>No</t>
        </is>
      </c>
      <c r="V676" t="inlineStr">
        <is>
          <t>Bot tarafindan tespit edildi (2026-07-01)</t>
        </is>
      </c>
    </row>
    <row r="677">
      <c r="A677" t="inlineStr">
        <is>
          <t>T-0481</t>
        </is>
      </c>
      <c r="B677" t="inlineStr">
        <is>
          <t>Indraprastha Gas (IGL)</t>
        </is>
      </c>
      <c r="C677" t="inlineStr">
        <is>
          <t>Indraprastha Gas (IGL)</t>
        </is>
      </c>
      <c r="F677" t="inlineStr">
        <is>
          <t>New Lead</t>
        </is>
      </c>
      <c r="H677" t="inlineStr">
        <is>
          <t>CORRIGENDUM_CM18403.pdf</t>
        </is>
      </c>
      <c r="K677" t="inlineStr">
        <is>
          <t>Not found</t>
        </is>
      </c>
      <c r="L677" t="inlineStr">
        <is>
          <t>Unknown</t>
        </is>
      </c>
      <c r="T677" t="inlineStr">
        <is>
          <t>https://tenders.iglonline.net/uploads/tender/CORRIGENDUM_CM18403.pdf</t>
        </is>
      </c>
      <c r="U677" t="inlineStr">
        <is>
          <t>No</t>
        </is>
      </c>
      <c r="V677" t="inlineStr">
        <is>
          <t>Bot tarafindan tespit edildi (2026-07-01)</t>
        </is>
      </c>
    </row>
    <row r="678">
      <c r="A678" t="inlineStr">
        <is>
          <t>T-0482</t>
        </is>
      </c>
      <c r="B678" t="inlineStr">
        <is>
          <t>Indraprastha Gas (IGL)</t>
        </is>
      </c>
      <c r="C678" t="inlineStr">
        <is>
          <t>Indraprastha Gas (IGL)</t>
        </is>
      </c>
      <c r="F678" t="inlineStr">
        <is>
          <t>New Lead</t>
        </is>
      </c>
      <c r="H678" t="inlineStr">
        <is>
          <t>View Tender</t>
        </is>
      </c>
      <c r="K678" t="inlineStr">
        <is>
          <t>Not found</t>
        </is>
      </c>
      <c r="L678" t="inlineStr">
        <is>
          <t>Unknown</t>
        </is>
      </c>
      <c r="T678" t="inlineStr">
        <is>
          <t>https://tenders.iglonline.net/tenderDetail/391/Active Tenders And Corrigendum-Addendum</t>
        </is>
      </c>
      <c r="U678" t="inlineStr">
        <is>
          <t>No</t>
        </is>
      </c>
      <c r="V678" t="inlineStr">
        <is>
          <t>Bot tarafindan tespit edildi (2026-07-01)</t>
        </is>
      </c>
    </row>
    <row r="679">
      <c r="A679" t="inlineStr">
        <is>
          <t>T-0483</t>
        </is>
      </c>
      <c r="B679" t="inlineStr">
        <is>
          <t>Indraprastha Gas (IGL)</t>
        </is>
      </c>
      <c r="C679" t="inlineStr">
        <is>
          <t>Indraprastha Gas (IGL)</t>
        </is>
      </c>
      <c r="F679" t="inlineStr">
        <is>
          <t>New Lead</t>
        </is>
      </c>
      <c r="H679" t="inlineStr">
        <is>
          <t>Commercial_Vol_CP18375-merged.pdf</t>
        </is>
      </c>
      <c r="K679" t="inlineStr">
        <is>
          <t>Not found</t>
        </is>
      </c>
      <c r="L679" t="inlineStr">
        <is>
          <t>Unknown</t>
        </is>
      </c>
      <c r="T679" t="inlineStr">
        <is>
          <t>https://tenders.iglonline.net/uploads/tender/Commercial_Vol_CP18375-merged.pdf</t>
        </is>
      </c>
      <c r="U679" t="inlineStr">
        <is>
          <t>No</t>
        </is>
      </c>
      <c r="V679" t="inlineStr">
        <is>
          <t>Bot tarafindan tespit edildi (2026-07-01)</t>
        </is>
      </c>
    </row>
    <row r="680">
      <c r="A680" t="inlineStr">
        <is>
          <t>T-0484</t>
        </is>
      </c>
      <c r="B680" t="inlineStr">
        <is>
          <t>Indraprastha Gas (IGL)</t>
        </is>
      </c>
      <c r="C680" t="inlineStr">
        <is>
          <t>Indraprastha Gas (IGL)</t>
        </is>
      </c>
      <c r="F680" t="inlineStr">
        <is>
          <t>New Lead</t>
        </is>
      </c>
      <c r="H680" t="inlineStr">
        <is>
          <t>Technical_Vol_CP18375.pdf</t>
        </is>
      </c>
      <c r="K680" t="inlineStr">
        <is>
          <t>Not found</t>
        </is>
      </c>
      <c r="L680" t="inlineStr">
        <is>
          <t>Unknown</t>
        </is>
      </c>
      <c r="T680" t="inlineStr">
        <is>
          <t>https://tenders.iglonline.net/uploads/tender/Technical_Vol_CP18375.pdf</t>
        </is>
      </c>
      <c r="U680" t="inlineStr">
        <is>
          <t>No</t>
        </is>
      </c>
      <c r="V680" t="inlineStr">
        <is>
          <t>Bot tarafindan tespit edildi (2026-07-01)</t>
        </is>
      </c>
    </row>
    <row r="681">
      <c r="A681" t="inlineStr">
        <is>
          <t>T-0485</t>
        </is>
      </c>
      <c r="B681" t="inlineStr">
        <is>
          <t>Indraprastha Gas (IGL)</t>
        </is>
      </c>
      <c r="C681" t="inlineStr">
        <is>
          <t>Indraprastha Gas (IGL)</t>
        </is>
      </c>
      <c r="F681" t="inlineStr">
        <is>
          <t>New Lead</t>
        </is>
      </c>
      <c r="H681" t="inlineStr">
        <is>
          <t>RTBQ_CP18375.pdf</t>
        </is>
      </c>
      <c r="K681" t="inlineStr">
        <is>
          <t>Not found</t>
        </is>
      </c>
      <c r="L681" t="inlineStr">
        <is>
          <t>Unknown</t>
        </is>
      </c>
      <c r="T681" t="inlineStr">
        <is>
          <t>https://tenders.iglonline.net/uploads/tender/RTBQ_CP18375.pdf</t>
        </is>
      </c>
      <c r="U681" t="inlineStr">
        <is>
          <t>No</t>
        </is>
      </c>
      <c r="V681" t="inlineStr">
        <is>
          <t>Bot tarafindan tespit edildi (2026-07-01)</t>
        </is>
      </c>
    </row>
    <row r="682">
      <c r="A682" t="inlineStr">
        <is>
          <t>T-0486</t>
        </is>
      </c>
      <c r="B682" t="inlineStr">
        <is>
          <t>Indraprastha Gas (IGL)</t>
        </is>
      </c>
      <c r="C682" t="inlineStr">
        <is>
          <t>Indraprastha Gas (IGL)</t>
        </is>
      </c>
      <c r="F682" t="inlineStr">
        <is>
          <t>New Lead</t>
        </is>
      </c>
      <c r="H682" t="inlineStr">
        <is>
          <t>Corrigendum_1_CP18375.pdf</t>
        </is>
      </c>
      <c r="K682" t="inlineStr">
        <is>
          <t>Not found</t>
        </is>
      </c>
      <c r="L682" t="inlineStr">
        <is>
          <t>Unknown</t>
        </is>
      </c>
      <c r="T682" t="inlineStr">
        <is>
          <t>https://tenders.iglonline.net/uploads/tender/Corrigendum_1_CP18375.pdf</t>
        </is>
      </c>
      <c r="U682" t="inlineStr">
        <is>
          <t>No</t>
        </is>
      </c>
      <c r="V682" t="inlineStr">
        <is>
          <t>Bot tarafindan tespit edildi (2026-07-01)</t>
        </is>
      </c>
    </row>
    <row r="683">
      <c r="A683" t="inlineStr">
        <is>
          <t>T-0487</t>
        </is>
      </c>
      <c r="B683" t="inlineStr">
        <is>
          <t>Indraprastha Gas (IGL)</t>
        </is>
      </c>
      <c r="C683" t="inlineStr">
        <is>
          <t>Indraprastha Gas (IGL)</t>
        </is>
      </c>
      <c r="E683" t="inlineStr">
        <is>
          <t>28-02-2025</t>
        </is>
      </c>
      <c r="F683" t="inlineStr">
        <is>
          <t>New Lead</t>
        </is>
      </c>
      <c r="G683" t="inlineStr">
        <is>
          <t>Regulating station</t>
        </is>
      </c>
      <c r="H683" t="inlineStr">
        <is>
          <t>View Tender</t>
        </is>
      </c>
      <c r="K683" t="inlineStr">
        <is>
          <t>Not found</t>
        </is>
      </c>
      <c r="L683" t="inlineStr">
        <is>
          <t>Unknown</t>
        </is>
      </c>
      <c r="T683" t="inlineStr">
        <is>
          <t>https://tenders.iglonline.net/tenderDetail/390/Active Tenders And Corrigendum-Addendum</t>
        </is>
      </c>
      <c r="U683" t="inlineStr">
        <is>
          <t>No</t>
        </is>
      </c>
      <c r="V683" t="inlineStr">
        <is>
          <t>Bot tarafindan tespit edildi (2026-07-01); Bot tespit/zenginlestirme (2026-07-01); meta:score=80;priority=High;source_type=html_table;closing_date=;equipment=Regulating station;reasons=equipment:Regulating station,station/skid keyword,document source; Bot clean extraction (2026-07-01); meta:score=90;priority=High;source_type=html_table;closing_date=;equipment=Regulating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684">
      <c r="A684" t="inlineStr">
        <is>
          <t>T-0488</t>
        </is>
      </c>
      <c r="B684" t="inlineStr">
        <is>
          <t>Indraprastha Gas (IGL)</t>
        </is>
      </c>
      <c r="C684" t="inlineStr">
        <is>
          <t>Indraprastha Gas (IGL)</t>
        </is>
      </c>
      <c r="D684" t="inlineStr">
        <is>
          <t>LOA from</t>
        </is>
      </c>
      <c r="E684" t="inlineStr">
        <is>
          <t>28-02-2025</t>
        </is>
      </c>
      <c r="F684" t="inlineStr">
        <is>
          <t>Awarded</t>
        </is>
      </c>
      <c r="G684" t="inlineStr">
        <is>
          <t>MRS</t>
        </is>
      </c>
      <c r="H684" t="inlineStr">
        <is>
          <t>Commercial_Volume_CP18160.pdf</t>
        </is>
      </c>
      <c r="I684" t="inlineStr">
        <is>
          <t>1</t>
        </is>
      </c>
      <c r="K684" t="inlineStr">
        <is>
          <t>s after the award of work. For bidders who have submitted their EMD through any of the e-pa</t>
        </is>
      </c>
      <c r="L684" t="inlineStr">
        <is>
          <t>Unknown</t>
        </is>
      </c>
      <c r="M684" t="n">
        <v>32102000</v>
      </c>
      <c r="T684" t="inlineStr">
        <is>
          <t>https://tenders.iglonline.net/uploads/tender/Commercial_Volume_CP18160.pdf</t>
        </is>
      </c>
      <c r="U684" t="inlineStr">
        <is>
          <t>No</t>
        </is>
      </c>
      <c r="V684" t="inlineStr">
        <is>
          <t>Bot tarafindan tespit edildi (2026-07-01) | Bot enrich; date=2026-07-01; type=pdf; score=340; pdf_conf=High;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station;quality_status=market_target;market_relevance=High;document_type=award;unit_price_inr=;amount_label=currency_near_total;matched_terms=Regulating / metering station,Skid / gas train;reject_reasons=employment/corporate,civil/electrical only;scope=market_intelligence_only;excluded_scope=no_bid_or_offer_submission_automation</t>
        </is>
      </c>
    </row>
    <row r="685">
      <c r="A685" t="inlineStr">
        <is>
          <t>T-0489</t>
        </is>
      </c>
      <c r="B685" t="inlineStr">
        <is>
          <t>Indraprastha Gas (IGL)</t>
        </is>
      </c>
      <c r="C685" t="inlineStr">
        <is>
          <t>Indraprastha Gas (IGL)</t>
        </is>
      </c>
      <c r="D685" t="inlineStr">
        <is>
          <t>loading</t>
        </is>
      </c>
      <c r="E685" t="inlineStr">
        <is>
          <t>28-02-2025</t>
        </is>
      </c>
      <c r="F685" t="inlineStr">
        <is>
          <t>Awarded</t>
        </is>
      </c>
      <c r="G685" t="inlineStr">
        <is>
          <t>MRS</t>
        </is>
      </c>
      <c r="H685" t="inlineStr">
        <is>
          <t>Technical_Volume_CP18160.pdf</t>
        </is>
      </c>
      <c r="I685" t="inlineStr">
        <is>
          <t>2</t>
        </is>
      </c>
      <c r="J685" t="inlineStr">
        <is>
          <t>Nos</t>
        </is>
      </c>
      <c r="K685" t="inlineStr">
        <is>
          <t>within specified schedule at no extra cost to owner.</t>
        </is>
      </c>
      <c r="L685" t="inlineStr">
        <is>
          <t>Unknown</t>
        </is>
      </c>
      <c r="M685" t="n">
        <v>485</v>
      </c>
      <c r="T685" t="inlineStr">
        <is>
          <t>https://tenders.iglonline.net/uploads/tender/Technical_Volume_CP18160.pdf</t>
        </is>
      </c>
      <c r="U685" t="inlineStr">
        <is>
          <t>No</t>
        </is>
      </c>
      <c r="V685" t="inlineStr">
        <is>
          <t>Bot tarafindan tespit edildi (2026-07-01) | Bot enrich; date=2026-07-01; type=pdf; score=340; pdf_conf=Medium;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station;quality_status=market_target;market_relevance=High;document_type=po_work_order;unit_price_inr=;amount_label=;matched_terms=Regulating / metering station,Skid / gas train,Gas filter station / filter equipment,Safety / shut-off equipment;reject_reasons=employment/corporate,retail/cng station noise,civil/electrical only;scope=market_intelligence_only;excluded_scope=no_bid_or_offer_submission_automation</t>
        </is>
      </c>
    </row>
    <row r="686">
      <c r="A686" t="inlineStr">
        <is>
          <t>T-0490</t>
        </is>
      </c>
      <c r="B686" t="inlineStr">
        <is>
          <t>Indraprastha Gas (IGL)</t>
        </is>
      </c>
      <c r="C686" t="inlineStr">
        <is>
          <t>Indraprastha Gas (IGL)</t>
        </is>
      </c>
      <c r="D686" t="inlineStr">
        <is>
          <t>IGL/ET2/CP/CP18160</t>
        </is>
      </c>
      <c r="E686" t="inlineStr">
        <is>
          <t>28-02-2025</t>
        </is>
      </c>
      <c r="F686" t="inlineStr">
        <is>
          <t>Awarded</t>
        </is>
      </c>
      <c r="G686" t="inlineStr">
        <is>
          <t>MRS</t>
        </is>
      </c>
      <c r="H686" t="inlineStr">
        <is>
          <t>Corrigendum_1_CP18160.pdf</t>
        </is>
      </c>
      <c r="K686" t="inlineStr">
        <is>
          <t>Not found</t>
        </is>
      </c>
      <c r="L686" t="inlineStr">
        <is>
          <t>Unknown</t>
        </is>
      </c>
      <c r="T686" t="inlineStr">
        <is>
          <t>https://tenders.iglonline.net/uploads/tender/Corrigendum_1_CP18160.pdf</t>
        </is>
      </c>
      <c r="U686" t="inlineStr">
        <is>
          <t>No</t>
        </is>
      </c>
      <c r="V686" t="inlineStr">
        <is>
          <t>Bot tarafindan tespit edildi (2026-07-01) | Bot enrich; date=2026-07-01; type=pdf; score=340; pdf_conf=Low;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station;quality_status=market_target;market_relevance=High;document_type=corrigendum;unit_price_inr=;amount_label=;matched_terms=Regulating / metering station;reject_reasons=employment/corporate;scope=market_intelligence_only;excluded_scope=no_bid_or_offer_submission_automation</t>
        </is>
      </c>
    </row>
    <row r="687">
      <c r="A687" t="inlineStr">
        <is>
          <t>T-0491</t>
        </is>
      </c>
      <c r="B687" t="inlineStr">
        <is>
          <t>Indraprastha Gas (IGL)</t>
        </is>
      </c>
      <c r="C687" t="inlineStr">
        <is>
          <t>Indraprastha Gas (IGL)</t>
        </is>
      </c>
      <c r="D687" t="inlineStr">
        <is>
          <t>Loading</t>
        </is>
      </c>
      <c r="E687" t="inlineStr">
        <is>
          <t>28-02-2025</t>
        </is>
      </c>
      <c r="F687" t="inlineStr">
        <is>
          <t>Awarded</t>
        </is>
      </c>
      <c r="G687" t="inlineStr">
        <is>
          <t>MRS</t>
        </is>
      </c>
      <c r="H687" t="inlineStr">
        <is>
          <t>RTBQ_CP18160.pdf</t>
        </is>
      </c>
      <c r="I687" t="inlineStr">
        <is>
          <t>01</t>
        </is>
      </c>
      <c r="J687" t="inlineStr">
        <is>
          <t>no</t>
        </is>
      </c>
      <c r="K687" t="inlineStr">
        <is>
          <t>HINA has been put on holiday by IGL. LIST (NRV) , as we have already supplied Hina Valves i</t>
        </is>
      </c>
      <c r="L687" t="inlineStr">
        <is>
          <t>Unknown</t>
        </is>
      </c>
      <c r="M687" t="n">
        <v>750</v>
      </c>
      <c r="T687" t="inlineStr">
        <is>
          <t>https://tenders.iglonline.net/uploads/tender/RTBQ_CP18160.pdf</t>
        </is>
      </c>
      <c r="U687" t="inlineStr">
        <is>
          <t>No</t>
        </is>
      </c>
      <c r="V687" t="inlineStr">
        <is>
          <t>Bot tarafindan tespit edildi (2026-07-01) | Bot enrich; date=2026-07-01; type=pdf; score=340; pdf_conf=Medium;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meta:score=90;priority=High;source_type=html_table;closing_date=None;equipment=Service / pressure regulator;quality_status=market_target;market_relevance=High;document_type=loa;unit_price_inr=;amount_label=;matched_terms=Service / pressure regulator,Regulating / metering station,Skid / gas train,Gas filter station / filter equipment,Safety / shut-off equipment;reject_reasons=employment/corporate,civil/electrical only;scope=market_intelligence_only;excluded_scope=no_bid_or_offer_submission_automation</t>
        </is>
      </c>
    </row>
    <row r="688">
      <c r="A688" t="inlineStr">
        <is>
          <t>T-0492</t>
        </is>
      </c>
      <c r="B688" t="inlineStr">
        <is>
          <t>Indraprastha Gas (IGL)</t>
        </is>
      </c>
      <c r="C688" t="inlineStr">
        <is>
          <t>Indraprastha Gas (IGL)</t>
        </is>
      </c>
      <c r="F688" t="inlineStr">
        <is>
          <t>New Lead</t>
        </is>
      </c>
      <c r="H688" t="inlineStr">
        <is>
          <t>View Tender</t>
        </is>
      </c>
      <c r="K688" t="inlineStr">
        <is>
          <t>Not found</t>
        </is>
      </c>
      <c r="L688" t="inlineStr">
        <is>
          <t>Unknown</t>
        </is>
      </c>
      <c r="T688" t="inlineStr">
        <is>
          <t>https://tenders.iglonline.net/tenderDetail/389/Active Tenders And Corrigendum-Addendum</t>
        </is>
      </c>
      <c r="U688" t="inlineStr">
        <is>
          <t>No</t>
        </is>
      </c>
      <c r="V688" t="inlineStr">
        <is>
          <t>Bot tarafindan tespit edildi (2026-07-01)</t>
        </is>
      </c>
    </row>
    <row r="689">
      <c r="A689" t="inlineStr">
        <is>
          <t>T-0493</t>
        </is>
      </c>
      <c r="B689" t="inlineStr">
        <is>
          <t>Indraprastha Gas (IGL)</t>
        </is>
      </c>
      <c r="C689" t="inlineStr">
        <is>
          <t>Indraprastha Gas (IGL)</t>
        </is>
      </c>
      <c r="F689" t="inlineStr">
        <is>
          <t>New Lead</t>
        </is>
      </c>
      <c r="H689" t="inlineStr">
        <is>
          <t>Corrigendum_I_CC18353.pdf</t>
        </is>
      </c>
      <c r="K689" t="inlineStr">
        <is>
          <t>Not found</t>
        </is>
      </c>
      <c r="L689" t="inlineStr">
        <is>
          <t>Unknown</t>
        </is>
      </c>
      <c r="T689" t="inlineStr">
        <is>
          <t>https://tenders.iglonline.net/uploads/tender/Corrigendum_I_CC18353.pdf</t>
        </is>
      </c>
      <c r="U689" t="inlineStr">
        <is>
          <t>No</t>
        </is>
      </c>
      <c r="V689" t="inlineStr">
        <is>
          <t>Bot tarafindan tespit edildi (2026-07-01)</t>
        </is>
      </c>
    </row>
    <row r="690">
      <c r="A690" t="inlineStr">
        <is>
          <t>T-0494</t>
        </is>
      </c>
      <c r="B690" t="inlineStr">
        <is>
          <t>Indraprastha Gas (IGL)</t>
        </is>
      </c>
      <c r="C690" t="inlineStr">
        <is>
          <t>Indraprastha Gas (IGL)</t>
        </is>
      </c>
      <c r="F690" t="inlineStr">
        <is>
          <t>New Lead</t>
        </is>
      </c>
      <c r="H690" t="inlineStr">
        <is>
          <t>CORRIGENDUM_II_CC18353.pdf</t>
        </is>
      </c>
      <c r="K690" t="inlineStr">
        <is>
          <t>Not found</t>
        </is>
      </c>
      <c r="L690" t="inlineStr">
        <is>
          <t>Unknown</t>
        </is>
      </c>
      <c r="T690" t="inlineStr">
        <is>
          <t>https://tenders.iglonline.net/uploads/tender/CORRIGENDUM_II_CC18353.pdf</t>
        </is>
      </c>
      <c r="U690" t="inlineStr">
        <is>
          <t>No</t>
        </is>
      </c>
      <c r="V690" t="inlineStr">
        <is>
          <t>Bot tarafindan tespit edildi (2026-07-01)</t>
        </is>
      </c>
    </row>
    <row r="691">
      <c r="A691" t="inlineStr">
        <is>
          <t>T-0495</t>
        </is>
      </c>
      <c r="B691" t="inlineStr">
        <is>
          <t>Indraprastha Gas (IGL)</t>
        </is>
      </c>
      <c r="C691" t="inlineStr">
        <is>
          <t>Indraprastha Gas (IGL)</t>
        </is>
      </c>
      <c r="F691" t="inlineStr">
        <is>
          <t>New Lead</t>
        </is>
      </c>
      <c r="H691" t="inlineStr">
        <is>
          <t>View Tender</t>
        </is>
      </c>
      <c r="K691" t="inlineStr">
        <is>
          <t>Not found</t>
        </is>
      </c>
      <c r="L691" t="inlineStr">
        <is>
          <t>Unknown</t>
        </is>
      </c>
      <c r="T691" t="inlineStr">
        <is>
          <t>https://tenders.iglonline.net/tenderDetail/388/Active Tenders And Corrigendum-Addendum</t>
        </is>
      </c>
      <c r="U691" t="inlineStr">
        <is>
          <t>No</t>
        </is>
      </c>
      <c r="V691" t="inlineStr">
        <is>
          <t>Bot tarafindan tespit edildi (2026-07-01)</t>
        </is>
      </c>
    </row>
    <row r="692">
      <c r="A692" t="inlineStr">
        <is>
          <t>T-0496</t>
        </is>
      </c>
      <c r="B692" t="inlineStr">
        <is>
          <t>Indraprastha Gas (IGL)</t>
        </is>
      </c>
      <c r="C692" t="inlineStr">
        <is>
          <t>Indraprastha Gas (IGL)</t>
        </is>
      </c>
      <c r="F692" t="inlineStr">
        <is>
          <t>New Lead</t>
        </is>
      </c>
      <c r="G692" t="inlineStr">
        <is>
          <t>Gas-related / review</t>
        </is>
      </c>
      <c r="H692" t="inlineStr">
        <is>
          <t>Corrigendum_1_Amendment_CC18352.pdf</t>
        </is>
      </c>
      <c r="K692" t="inlineStr">
        <is>
          <t>Not found</t>
        </is>
      </c>
      <c r="L692" t="inlineStr">
        <is>
          <t>Unknown</t>
        </is>
      </c>
      <c r="T692" t="inlineStr">
        <is>
          <t>https://tenders.iglonline.net/uploads/tender/Corrigendum_1_Amendment_CC18352.pdf</t>
        </is>
      </c>
      <c r="U692" t="inlineStr">
        <is>
          <t>No</t>
        </is>
      </c>
      <c r="V692" t="inlineStr">
        <is>
          <t>Bot tarafindan tespit edildi (2026-07-01); Bot tespit/zenginlestirme (2026-07-01); meta:score=35;priority=Low;source_type=html_table;closing_date=;equipment=Gas-related / review;reasons=equipment:Gas-related / review,document source</t>
        </is>
      </c>
    </row>
    <row r="693">
      <c r="A693" t="inlineStr">
        <is>
          <t>T-0497</t>
        </is>
      </c>
      <c r="B693" t="inlineStr">
        <is>
          <t>Indraprastha Gas (IGL)</t>
        </is>
      </c>
      <c r="C693" t="inlineStr">
        <is>
          <t>Indraprastha Gas (IGL)</t>
        </is>
      </c>
      <c r="F693" t="inlineStr">
        <is>
          <t>New Lead</t>
        </is>
      </c>
      <c r="H693" t="inlineStr">
        <is>
          <t>View Tender</t>
        </is>
      </c>
      <c r="K693" t="inlineStr">
        <is>
          <t>Not found</t>
        </is>
      </c>
      <c r="L693" t="inlineStr">
        <is>
          <t>Unknown</t>
        </is>
      </c>
      <c r="T693" t="inlineStr">
        <is>
          <t>https://tenders.iglonline.net/tenderDetail/387/Active Tenders And Corrigendum-Addendum</t>
        </is>
      </c>
      <c r="U693" t="inlineStr">
        <is>
          <t>No</t>
        </is>
      </c>
      <c r="V693" t="inlineStr">
        <is>
          <t>Bot tarafindan tespit edildi (2026-07-01)</t>
        </is>
      </c>
    </row>
    <row r="694">
      <c r="A694" t="inlineStr">
        <is>
          <t>T-0498</t>
        </is>
      </c>
      <c r="B694" t="inlineStr">
        <is>
          <t>Indraprastha Gas (IGL)</t>
        </is>
      </c>
      <c r="C694" t="inlineStr">
        <is>
          <t>Indraprastha Gas (IGL)</t>
        </is>
      </c>
      <c r="F694" t="inlineStr">
        <is>
          <t>New Lead</t>
        </is>
      </c>
      <c r="H694" t="inlineStr">
        <is>
          <t>Corrigendum_1_CM18379.pdf</t>
        </is>
      </c>
      <c r="K694" t="inlineStr">
        <is>
          <t>Not found</t>
        </is>
      </c>
      <c r="L694" t="inlineStr">
        <is>
          <t>Unknown</t>
        </is>
      </c>
      <c r="T694" t="inlineStr">
        <is>
          <t>https://tenders.iglonline.net/uploads/tender/Corrigendum_1_CM18379.pdf</t>
        </is>
      </c>
      <c r="U694" t="inlineStr">
        <is>
          <t>No</t>
        </is>
      </c>
      <c r="V694" t="inlineStr">
        <is>
          <t>Bot tarafindan tespit edildi (2026-07-01)</t>
        </is>
      </c>
    </row>
    <row r="695">
      <c r="A695" t="inlineStr">
        <is>
          <t>T-0499</t>
        </is>
      </c>
      <c r="B695" t="inlineStr">
        <is>
          <t>Indraprastha Gas (IGL)</t>
        </is>
      </c>
      <c r="C695" t="inlineStr">
        <is>
          <t>Indraprastha Gas (IGL)</t>
        </is>
      </c>
      <c r="F695" t="inlineStr">
        <is>
          <t>New Lead</t>
        </is>
      </c>
      <c r="H695" t="inlineStr">
        <is>
          <t>RTPBQ-CM18379.pdf</t>
        </is>
      </c>
      <c r="K695" t="inlineStr">
        <is>
          <t>Not found</t>
        </is>
      </c>
      <c r="L695" t="inlineStr">
        <is>
          <t>Unknown</t>
        </is>
      </c>
      <c r="T695" t="inlineStr">
        <is>
          <t>https://tenders.iglonline.net/uploads/tender/RTPBQ-CM18379.pdf</t>
        </is>
      </c>
      <c r="U695" t="inlineStr">
        <is>
          <t>No</t>
        </is>
      </c>
      <c r="V695" t="inlineStr">
        <is>
          <t>Bot tarafindan tespit edildi (2026-07-01)</t>
        </is>
      </c>
    </row>
    <row r="696">
      <c r="A696" t="inlineStr">
        <is>
          <t>T-0500</t>
        </is>
      </c>
      <c r="B696" t="inlineStr">
        <is>
          <t>Indraprastha Gas (IGL)</t>
        </is>
      </c>
      <c r="C696" t="inlineStr">
        <is>
          <t>Indraprastha Gas (IGL)</t>
        </is>
      </c>
      <c r="F696" t="inlineStr">
        <is>
          <t>New Lead</t>
        </is>
      </c>
      <c r="H696" t="inlineStr">
        <is>
          <t>CM18379_Corrigendum_3.pdf</t>
        </is>
      </c>
      <c r="K696" t="inlineStr">
        <is>
          <t>Not found</t>
        </is>
      </c>
      <c r="L696" t="inlineStr">
        <is>
          <t>Unknown</t>
        </is>
      </c>
      <c r="T696" t="inlineStr">
        <is>
          <t>https://tenders.iglonline.net/uploads/tender/CM18379_Corrigendum_3.pdf</t>
        </is>
      </c>
      <c r="U696" t="inlineStr">
        <is>
          <t>No</t>
        </is>
      </c>
      <c r="V696" t="inlineStr">
        <is>
          <t>Bot tarafindan tespit edildi (2026-07-01)</t>
        </is>
      </c>
    </row>
    <row r="697">
      <c r="A697" t="inlineStr">
        <is>
          <t>T-0501</t>
        </is>
      </c>
      <c r="B697" t="inlineStr">
        <is>
          <t>Indraprastha Gas (IGL)</t>
        </is>
      </c>
      <c r="C697" t="inlineStr">
        <is>
          <t>Indraprastha Gas (IGL)</t>
        </is>
      </c>
      <c r="F697" t="inlineStr">
        <is>
          <t>New Lead</t>
        </is>
      </c>
      <c r="H697" t="inlineStr">
        <is>
          <t>CM18379_Corrigendum-4.pdf</t>
        </is>
      </c>
      <c r="K697" t="inlineStr">
        <is>
          <t>Not found</t>
        </is>
      </c>
      <c r="L697" t="inlineStr">
        <is>
          <t>Unknown</t>
        </is>
      </c>
      <c r="T697" t="inlineStr">
        <is>
          <t>https://tenders.iglonline.net/uploads/tender/CM18379_Corrigendum-4.pdf</t>
        </is>
      </c>
      <c r="U697" t="inlineStr">
        <is>
          <t>No</t>
        </is>
      </c>
      <c r="V697" t="inlineStr">
        <is>
          <t>Bot tarafindan tespit edildi (2026-07-01)</t>
        </is>
      </c>
    </row>
    <row r="698">
      <c r="A698" t="inlineStr">
        <is>
          <t>T-0502</t>
        </is>
      </c>
      <c r="B698" t="inlineStr">
        <is>
          <t>Indraprastha Gas (IGL)</t>
        </is>
      </c>
      <c r="C698" t="inlineStr">
        <is>
          <t>Indraprastha Gas (IGL)</t>
        </is>
      </c>
      <c r="F698" t="inlineStr">
        <is>
          <t>New Lead</t>
        </is>
      </c>
      <c r="H698" t="inlineStr">
        <is>
          <t>CM18379_Corrigendum-2.pdf</t>
        </is>
      </c>
      <c r="K698" t="inlineStr">
        <is>
          <t>Not found</t>
        </is>
      </c>
      <c r="L698" t="inlineStr">
        <is>
          <t>Unknown</t>
        </is>
      </c>
      <c r="T698" t="inlineStr">
        <is>
          <t>https://tenders.iglonline.net/uploads/tender/CM18379_Corrigendum-2.pdf</t>
        </is>
      </c>
      <c r="U698" t="inlineStr">
        <is>
          <t>No</t>
        </is>
      </c>
      <c r="V698" t="inlineStr">
        <is>
          <t>Bot tarafindan tespit edildi (2026-07-01)</t>
        </is>
      </c>
    </row>
    <row r="699">
      <c r="A699" t="inlineStr">
        <is>
          <t>T-0503</t>
        </is>
      </c>
      <c r="B699" t="inlineStr">
        <is>
          <t>Indraprastha Gas (IGL)</t>
        </is>
      </c>
      <c r="C699" t="inlineStr">
        <is>
          <t>Indraprastha Gas (IGL)</t>
        </is>
      </c>
      <c r="F699" t="inlineStr">
        <is>
          <t>New Lead</t>
        </is>
      </c>
      <c r="H699" t="inlineStr">
        <is>
          <t>View Tender</t>
        </is>
      </c>
      <c r="K699" t="inlineStr">
        <is>
          <t>Not found</t>
        </is>
      </c>
      <c r="L699" t="inlineStr">
        <is>
          <t>Unknown</t>
        </is>
      </c>
      <c r="T699" t="inlineStr">
        <is>
          <t>https://tenders.iglonline.net/tenderDetail/386/Active Tenders And Corrigendum-Addendum</t>
        </is>
      </c>
      <c r="U699" t="inlineStr">
        <is>
          <t>No</t>
        </is>
      </c>
      <c r="V699" t="inlineStr">
        <is>
          <t>Bot tarafindan tespit edildi (2026-07-01)</t>
        </is>
      </c>
    </row>
    <row r="700">
      <c r="A700" t="inlineStr">
        <is>
          <t>T-0504</t>
        </is>
      </c>
      <c r="B700" t="inlineStr">
        <is>
          <t>Indraprastha Gas (IGL)</t>
        </is>
      </c>
      <c r="C700" t="inlineStr">
        <is>
          <t>Indraprastha Gas (IGL)</t>
        </is>
      </c>
      <c r="F700" t="inlineStr">
        <is>
          <t>New Lead</t>
        </is>
      </c>
      <c r="G700" t="inlineStr">
        <is>
          <t>Gas-related / review</t>
        </is>
      </c>
      <c r="H700" t="inlineStr">
        <is>
          <t>Corrigendum_I_CC18348.pdf</t>
        </is>
      </c>
      <c r="K700" t="inlineStr">
        <is>
          <t>Not found</t>
        </is>
      </c>
      <c r="L700" t="inlineStr">
        <is>
          <t>Unknown</t>
        </is>
      </c>
      <c r="T700" t="inlineStr">
        <is>
          <t>https://tenders.iglonline.net/uploads/tender/Corrigendum_I_CC18348.pdf</t>
        </is>
      </c>
      <c r="U700" t="inlineStr">
        <is>
          <t>No</t>
        </is>
      </c>
      <c r="V700" t="inlineStr">
        <is>
          <t>Bot tarafindan tespit edildi (2026-07-01); Bot tespit/zenginlestirme (2026-07-01); meta:score=35;priority=Low;source_type=html_table;closing_date=;equipment=Gas-related / review;reasons=equipment:Gas-related / review,document source</t>
        </is>
      </c>
    </row>
    <row r="701">
      <c r="A701" t="inlineStr">
        <is>
          <t>T-0505</t>
        </is>
      </c>
      <c r="B701" t="inlineStr">
        <is>
          <t>Indraprastha Gas (IGL)</t>
        </is>
      </c>
      <c r="C701" t="inlineStr">
        <is>
          <t>Indraprastha Gas (IGL)</t>
        </is>
      </c>
      <c r="F701" t="inlineStr">
        <is>
          <t>New Lead</t>
        </is>
      </c>
      <c r="G701" t="inlineStr">
        <is>
          <t>Gas-related / review</t>
        </is>
      </c>
      <c r="H701" t="inlineStr">
        <is>
          <t>Corrigendum_CC18348.pdf</t>
        </is>
      </c>
      <c r="K701" t="inlineStr">
        <is>
          <t>Not found</t>
        </is>
      </c>
      <c r="L701" t="inlineStr">
        <is>
          <t>Unknown</t>
        </is>
      </c>
      <c r="T701" t="inlineStr">
        <is>
          <t>https://tenders.iglonline.net/uploads/tender/Corrigendum_CC18348.pdf</t>
        </is>
      </c>
      <c r="U701" t="inlineStr">
        <is>
          <t>No</t>
        </is>
      </c>
      <c r="V701" t="inlineStr">
        <is>
          <t>Bot tarafindan tespit edildi (2026-07-01); Bot tespit/zenginlestirme (2026-07-01); meta:score=35;priority=Low;source_type=html_table;closing_date=;equipment=Gas-related / review;reasons=equipment:Gas-related / review,document source</t>
        </is>
      </c>
    </row>
    <row r="702">
      <c r="A702" t="inlineStr">
        <is>
          <t>T-0506</t>
        </is>
      </c>
      <c r="B702" t="inlineStr">
        <is>
          <t>Indraprastha Gas (IGL)</t>
        </is>
      </c>
      <c r="C702" t="inlineStr">
        <is>
          <t>Indraprastha Gas (IGL)</t>
        </is>
      </c>
      <c r="F702" t="inlineStr">
        <is>
          <t>New Lead</t>
        </is>
      </c>
      <c r="H702" t="inlineStr">
        <is>
          <t>View Tender</t>
        </is>
      </c>
      <c r="K702" t="inlineStr">
        <is>
          <t>Not found</t>
        </is>
      </c>
      <c r="L702" t="inlineStr">
        <is>
          <t>Unknown</t>
        </is>
      </c>
      <c r="T702" t="inlineStr">
        <is>
          <t>https://tenders.iglonline.net/tenderDetail/385/Active Tenders And Corrigendum-Addendum</t>
        </is>
      </c>
      <c r="U702" t="inlineStr">
        <is>
          <t>No</t>
        </is>
      </c>
      <c r="V702" t="inlineStr">
        <is>
          <t>Bot tarafindan tespit edildi (2026-07-01)</t>
        </is>
      </c>
    </row>
    <row r="703">
      <c r="A703" t="inlineStr">
        <is>
          <t>T-0507</t>
        </is>
      </c>
      <c r="B703" t="inlineStr">
        <is>
          <t>Indraprastha Gas (IGL)</t>
        </is>
      </c>
      <c r="C703" t="inlineStr">
        <is>
          <t>Indraprastha Gas (IGL)</t>
        </is>
      </c>
      <c r="F703" t="inlineStr">
        <is>
          <t>New Lead</t>
        </is>
      </c>
      <c r="H703" t="inlineStr">
        <is>
          <t>Pre-Bid-Replies-CM18358.pdf</t>
        </is>
      </c>
      <c r="K703" t="inlineStr">
        <is>
          <t>Not found</t>
        </is>
      </c>
      <c r="L703" t="inlineStr">
        <is>
          <t>Unknown</t>
        </is>
      </c>
      <c r="T703" t="inlineStr">
        <is>
          <t>https://tenders.iglonline.net/uploads/tender/Pre-Bid-Replies-CM18358.pdf</t>
        </is>
      </c>
      <c r="U703" t="inlineStr">
        <is>
          <t>No</t>
        </is>
      </c>
      <c r="V703" t="inlineStr">
        <is>
          <t>Bot tarafindan tespit edildi (2026-07-01)</t>
        </is>
      </c>
    </row>
    <row r="704">
      <c r="A704" t="inlineStr">
        <is>
          <t>T-0508</t>
        </is>
      </c>
      <c r="B704" t="inlineStr">
        <is>
          <t>Indraprastha Gas (IGL)</t>
        </is>
      </c>
      <c r="C704" t="inlineStr">
        <is>
          <t>Indraprastha Gas (IGL)</t>
        </is>
      </c>
      <c r="F704" t="inlineStr">
        <is>
          <t>New Lead</t>
        </is>
      </c>
      <c r="H704" t="inlineStr">
        <is>
          <t>CORRIGENDUM_I_CM18358.pdf</t>
        </is>
      </c>
      <c r="K704" t="inlineStr">
        <is>
          <t>Not found</t>
        </is>
      </c>
      <c r="L704" t="inlineStr">
        <is>
          <t>Unknown</t>
        </is>
      </c>
      <c r="T704" t="inlineStr">
        <is>
          <t>https://tenders.iglonline.net/uploads/tender/CORRIGENDUM_I_CM18358.pdf</t>
        </is>
      </c>
      <c r="U704" t="inlineStr">
        <is>
          <t>No</t>
        </is>
      </c>
      <c r="V704" t="inlineStr">
        <is>
          <t>Bot tarafindan tespit edildi (2026-07-01)</t>
        </is>
      </c>
    </row>
    <row r="705">
      <c r="A705" t="inlineStr">
        <is>
          <t>T-0509</t>
        </is>
      </c>
      <c r="B705" t="inlineStr">
        <is>
          <t>Indraprastha Gas (IGL)</t>
        </is>
      </c>
      <c r="C705" t="inlineStr">
        <is>
          <t>Indraprastha Gas (IGL)</t>
        </is>
      </c>
      <c r="F705" t="inlineStr">
        <is>
          <t>New Lead</t>
        </is>
      </c>
      <c r="H705" t="inlineStr">
        <is>
          <t>View Tender</t>
        </is>
      </c>
      <c r="K705" t="inlineStr">
        <is>
          <t>Not found</t>
        </is>
      </c>
      <c r="L705" t="inlineStr">
        <is>
          <t>Unknown</t>
        </is>
      </c>
      <c r="T705" t="inlineStr">
        <is>
          <t>https://tenders.iglonline.net/tenderDetail/384/Active Tenders And Corrigendum-Addendum</t>
        </is>
      </c>
      <c r="U705" t="inlineStr">
        <is>
          <t>No</t>
        </is>
      </c>
      <c r="V705" t="inlineStr">
        <is>
          <t>Bot tarafindan tespit edildi (2026-07-01)</t>
        </is>
      </c>
    </row>
    <row r="706">
      <c r="A706" t="inlineStr">
        <is>
          <t>T-0510</t>
        </is>
      </c>
      <c r="B706" t="inlineStr">
        <is>
          <t>Indraprastha Gas (IGL)</t>
        </is>
      </c>
      <c r="C706" t="inlineStr">
        <is>
          <t>Indraprastha Gas (IGL)</t>
        </is>
      </c>
      <c r="F706" t="inlineStr">
        <is>
          <t>New Lead</t>
        </is>
      </c>
      <c r="H706" t="inlineStr">
        <is>
          <t>RTBQ_CP18346.pdf</t>
        </is>
      </c>
      <c r="K706" t="inlineStr">
        <is>
          <t>Not found</t>
        </is>
      </c>
      <c r="L706" t="inlineStr">
        <is>
          <t>Unknown</t>
        </is>
      </c>
      <c r="T706" t="inlineStr">
        <is>
          <t>https://tenders.iglonline.net/uploads/tender/RTBQ_CP18346.pdf</t>
        </is>
      </c>
      <c r="U706" t="inlineStr">
        <is>
          <t>No</t>
        </is>
      </c>
      <c r="V706" t="inlineStr">
        <is>
          <t>Bot tarafindan tespit edildi (2026-07-01)</t>
        </is>
      </c>
    </row>
    <row r="707">
      <c r="A707" t="inlineStr">
        <is>
          <t>T-0511</t>
        </is>
      </c>
      <c r="B707" t="inlineStr">
        <is>
          <t>Indraprastha Gas (IGL)</t>
        </is>
      </c>
      <c r="C707" t="inlineStr">
        <is>
          <t>Indraprastha Gas (IGL)</t>
        </is>
      </c>
      <c r="F707" t="inlineStr">
        <is>
          <t>New Lead</t>
        </is>
      </c>
      <c r="H707" t="inlineStr">
        <is>
          <t>View Tender</t>
        </is>
      </c>
      <c r="K707" t="inlineStr">
        <is>
          <t>Not found</t>
        </is>
      </c>
      <c r="L707" t="inlineStr">
        <is>
          <t>Unknown</t>
        </is>
      </c>
      <c r="T707" t="inlineStr">
        <is>
          <t>https://tenders.iglonline.net/tenderDetail/383/Active Tenders And Corrigendum-Addendum</t>
        </is>
      </c>
      <c r="U707" t="inlineStr">
        <is>
          <t>No</t>
        </is>
      </c>
      <c r="V707" t="inlineStr">
        <is>
          <t>Bot tarafindan tespit edildi (2026-07-01)</t>
        </is>
      </c>
    </row>
    <row r="708">
      <c r="A708" t="inlineStr">
        <is>
          <t>T-0512</t>
        </is>
      </c>
      <c r="B708" t="inlineStr">
        <is>
          <t>Indraprastha Gas (IGL)</t>
        </is>
      </c>
      <c r="C708" t="inlineStr">
        <is>
          <t>Indraprastha Gas (IGL)</t>
        </is>
      </c>
      <c r="F708" t="inlineStr">
        <is>
          <t>New Lead</t>
        </is>
      </c>
      <c r="G708" t="inlineStr">
        <is>
          <t>Unclassified</t>
        </is>
      </c>
      <c r="H708" t="inlineStr">
        <is>
          <t>IGL-ET2-CP-CM18321-Corrigendum_1.pdf</t>
        </is>
      </c>
      <c r="K708" t="inlineStr">
        <is>
          <t>Not found</t>
        </is>
      </c>
      <c r="L708" t="inlineStr">
        <is>
          <t>Unknown</t>
        </is>
      </c>
      <c r="T708" t="inlineStr">
        <is>
          <t>https://tenders.iglonline.net/uploads/tender/IGL-ET2-CP-CM18321-Corrigendum_1.pdf</t>
        </is>
      </c>
      <c r="U708" t="inlineStr">
        <is>
          <t>No</t>
        </is>
      </c>
      <c r="V708" t="inlineStr">
        <is>
          <t>Bot tarafindan tespit edildi (2026-07-01); Bot tespit/zenginlestirme (2026-07-01); meta:score=40;priority=Medium;source_type=html_table;closing_date=;equipment=Unclassified;reasons=document source,quantity signal</t>
        </is>
      </c>
    </row>
    <row r="709">
      <c r="A709" t="inlineStr">
        <is>
          <t>T-0513</t>
        </is>
      </c>
      <c r="B709" t="inlineStr">
        <is>
          <t>Indraprastha Gas (IGL)</t>
        </is>
      </c>
      <c r="C709" t="inlineStr">
        <is>
          <t>Indraprastha Gas (IGL)</t>
        </is>
      </c>
      <c r="F709" t="inlineStr">
        <is>
          <t>New Lead</t>
        </is>
      </c>
      <c r="G709" t="inlineStr">
        <is>
          <t>Unclassified</t>
        </is>
      </c>
      <c r="H709" t="inlineStr">
        <is>
          <t>CM18321-CORRIGENDUM II.pdf</t>
        </is>
      </c>
      <c r="K709" t="inlineStr">
        <is>
          <t>Not found</t>
        </is>
      </c>
      <c r="L709" t="inlineStr">
        <is>
          <t>Unknown</t>
        </is>
      </c>
      <c r="T709" t="inlineStr">
        <is>
          <t>https://tenders.iglonline.net/uploads/tender/CM18321-CORRIGENDUM II.pdf</t>
        </is>
      </c>
      <c r="U709" t="inlineStr">
        <is>
          <t>No</t>
        </is>
      </c>
      <c r="V709" t="inlineStr">
        <is>
          <t>Bot tarafindan tespit edildi (2026-07-01); Bot tespit/zenginlestirme (2026-07-01); meta:score=40;priority=Medium;source_type=html_table;closing_date=;equipment=Unclassified;reasons=document source,quantity signal</t>
        </is>
      </c>
    </row>
    <row r="710">
      <c r="A710" t="inlineStr">
        <is>
          <t>T-0514</t>
        </is>
      </c>
      <c r="B710" t="inlineStr">
        <is>
          <t>Indraprastha Gas (IGL)</t>
        </is>
      </c>
      <c r="C710" t="inlineStr">
        <is>
          <t>Indraprastha Gas (IGL)</t>
        </is>
      </c>
      <c r="F710" t="inlineStr">
        <is>
          <t>New Lead</t>
        </is>
      </c>
      <c r="H710" t="inlineStr">
        <is>
          <t>View Tender</t>
        </is>
      </c>
      <c r="K710" t="inlineStr">
        <is>
          <t>Not found</t>
        </is>
      </c>
      <c r="L710" t="inlineStr">
        <is>
          <t>Unknown</t>
        </is>
      </c>
      <c r="T710" t="inlineStr">
        <is>
          <t>https://tenders.iglonline.net/tenderDetail/382/Active Tenders And Corrigendum-Addendum</t>
        </is>
      </c>
      <c r="U710" t="inlineStr">
        <is>
          <t>No</t>
        </is>
      </c>
      <c r="V710" t="inlineStr">
        <is>
          <t>Bot tarafindan tespit edildi (2026-07-01)</t>
        </is>
      </c>
    </row>
    <row r="711">
      <c r="A711" t="inlineStr">
        <is>
          <t>T-0515</t>
        </is>
      </c>
      <c r="B711" t="inlineStr">
        <is>
          <t>Indraprastha Gas (IGL)</t>
        </is>
      </c>
      <c r="C711" t="inlineStr">
        <is>
          <t>Indraprastha Gas (IGL)</t>
        </is>
      </c>
      <c r="F711" t="inlineStr">
        <is>
          <t>New Lead</t>
        </is>
      </c>
      <c r="H711" t="inlineStr">
        <is>
          <t>Pre_Bid_Replies_CM18332.pdf</t>
        </is>
      </c>
      <c r="K711" t="inlineStr">
        <is>
          <t>Not found</t>
        </is>
      </c>
      <c r="L711" t="inlineStr">
        <is>
          <t>Unknown</t>
        </is>
      </c>
      <c r="T711" t="inlineStr">
        <is>
          <t>https://tenders.iglonline.net/uploads/tender/Pre_Bid_Replies_CM18332.pdf</t>
        </is>
      </c>
      <c r="U711" t="inlineStr">
        <is>
          <t>No</t>
        </is>
      </c>
      <c r="V711" t="inlineStr">
        <is>
          <t>Bot tarafindan tespit edildi (2026-07-01)</t>
        </is>
      </c>
    </row>
    <row r="712">
      <c r="A712" t="inlineStr">
        <is>
          <t>T-0516</t>
        </is>
      </c>
      <c r="B712" t="inlineStr">
        <is>
          <t>Indraprastha Gas (IGL)</t>
        </is>
      </c>
      <c r="C712" t="inlineStr">
        <is>
          <t>Indraprastha Gas (IGL)</t>
        </is>
      </c>
      <c r="F712" t="inlineStr">
        <is>
          <t>New Lead</t>
        </is>
      </c>
      <c r="H712" t="inlineStr">
        <is>
          <t>View Tender</t>
        </is>
      </c>
      <c r="K712" t="inlineStr">
        <is>
          <t>Not found</t>
        </is>
      </c>
      <c r="L712" t="inlineStr">
        <is>
          <t>Unknown</t>
        </is>
      </c>
      <c r="T712" t="inlineStr">
        <is>
          <t>https://tenders.iglonline.net/tenderDetail/381/Active Tenders And Corrigendum-Addendum</t>
        </is>
      </c>
      <c r="U712" t="inlineStr">
        <is>
          <t>No</t>
        </is>
      </c>
      <c r="V712" t="inlineStr">
        <is>
          <t>Bot tarafindan tespit edildi (2026-07-01)</t>
        </is>
      </c>
    </row>
    <row r="713">
      <c r="A713" t="inlineStr">
        <is>
          <t>T-0517</t>
        </is>
      </c>
      <c r="B713" t="inlineStr">
        <is>
          <t>Indraprastha Gas (IGL)</t>
        </is>
      </c>
      <c r="C713" t="inlineStr">
        <is>
          <t>Indraprastha Gas (IGL)</t>
        </is>
      </c>
      <c r="F713" t="inlineStr">
        <is>
          <t>New Lead</t>
        </is>
      </c>
      <c r="H713" t="inlineStr">
        <is>
          <t>Corrigendum_for_Bid_Submission_-_CC18315.pdf</t>
        </is>
      </c>
      <c r="K713" t="inlineStr">
        <is>
          <t>Not found</t>
        </is>
      </c>
      <c r="L713" t="inlineStr">
        <is>
          <t>Unknown</t>
        </is>
      </c>
      <c r="T713" t="inlineStr">
        <is>
          <t>https://tenders.iglonline.net/uploads/tender/Corrigendum_for_Bid_Submission_-_CC18315.pdf</t>
        </is>
      </c>
      <c r="U713" t="inlineStr">
        <is>
          <t>No</t>
        </is>
      </c>
      <c r="V713" t="inlineStr">
        <is>
          <t>Bot tarafindan tespit edildi (2026-07-01)</t>
        </is>
      </c>
    </row>
    <row r="714">
      <c r="A714" t="inlineStr">
        <is>
          <t>T-0518</t>
        </is>
      </c>
      <c r="B714" t="inlineStr">
        <is>
          <t>Indraprastha Gas (IGL)</t>
        </is>
      </c>
      <c r="C714" t="inlineStr">
        <is>
          <t>Indraprastha Gas (IGL)</t>
        </is>
      </c>
      <c r="F714" t="inlineStr">
        <is>
          <t>New Lead</t>
        </is>
      </c>
      <c r="H714" t="inlineStr">
        <is>
          <t>View Tender</t>
        </is>
      </c>
      <c r="K714" t="inlineStr">
        <is>
          <t>Not found</t>
        </is>
      </c>
      <c r="L714" t="inlineStr">
        <is>
          <t>Unknown</t>
        </is>
      </c>
      <c r="T714" t="inlineStr">
        <is>
          <t>https://tenders.iglonline.net/tenderDetail/380/Active Tenders And Corrigendum-Addendum</t>
        </is>
      </c>
      <c r="U714" t="inlineStr">
        <is>
          <t>No</t>
        </is>
      </c>
      <c r="V714" t="inlineStr">
        <is>
          <t>Bot tarafindan tespit edildi (2026-07-01)</t>
        </is>
      </c>
    </row>
    <row r="715">
      <c r="A715" t="inlineStr">
        <is>
          <t>T-0519</t>
        </is>
      </c>
      <c r="B715" t="inlineStr">
        <is>
          <t>Indraprastha Gas (IGL)</t>
        </is>
      </c>
      <c r="C715" t="inlineStr">
        <is>
          <t>Indraprastha Gas (IGL)</t>
        </is>
      </c>
      <c r="F715" t="inlineStr">
        <is>
          <t>New Lead</t>
        </is>
      </c>
      <c r="H715" t="inlineStr">
        <is>
          <t>RTBQ_CP18324.pdf</t>
        </is>
      </c>
      <c r="K715" t="inlineStr">
        <is>
          <t>Not found</t>
        </is>
      </c>
      <c r="L715" t="inlineStr">
        <is>
          <t>Unknown</t>
        </is>
      </c>
      <c r="T715" t="inlineStr">
        <is>
          <t>https://tenders.iglonline.net/uploads/tender/RTBQ_CP18324.pdf</t>
        </is>
      </c>
      <c r="U715" t="inlineStr">
        <is>
          <t>No</t>
        </is>
      </c>
      <c r="V715" t="inlineStr">
        <is>
          <t>Bot tarafindan tespit edildi (2026-07-01)</t>
        </is>
      </c>
    </row>
    <row r="716">
      <c r="A716" t="inlineStr">
        <is>
          <t>T-0520</t>
        </is>
      </c>
      <c r="B716" t="inlineStr">
        <is>
          <t>Indraprastha Gas (IGL)</t>
        </is>
      </c>
      <c r="C716" t="inlineStr">
        <is>
          <t>Indraprastha Gas (IGL)</t>
        </is>
      </c>
      <c r="F716" t="inlineStr">
        <is>
          <t>New Lead</t>
        </is>
      </c>
      <c r="H716" t="inlineStr">
        <is>
          <t>CP18324.pdf</t>
        </is>
      </c>
      <c r="K716" t="inlineStr">
        <is>
          <t>Not found</t>
        </is>
      </c>
      <c r="L716" t="inlineStr">
        <is>
          <t>Unknown</t>
        </is>
      </c>
      <c r="T716" t="inlineStr">
        <is>
          <t>https://tenders.iglonline.net/uploads/tender/CP18324.pdf</t>
        </is>
      </c>
      <c r="U716" t="inlineStr">
        <is>
          <t>No</t>
        </is>
      </c>
      <c r="V716" t="inlineStr">
        <is>
          <t>Bot tarafindan tespit edildi (2026-07-01)</t>
        </is>
      </c>
    </row>
    <row r="717">
      <c r="A717" t="inlineStr">
        <is>
          <t>T-0521</t>
        </is>
      </c>
      <c r="B717" t="inlineStr">
        <is>
          <t>Indraprastha Gas (IGL)</t>
        </is>
      </c>
      <c r="C717" t="inlineStr">
        <is>
          <t>Indraprastha Gas (IGL)</t>
        </is>
      </c>
      <c r="F717" t="inlineStr">
        <is>
          <t>New Lead</t>
        </is>
      </c>
      <c r="H717" t="inlineStr">
        <is>
          <t>View Tender</t>
        </is>
      </c>
      <c r="K717" t="inlineStr">
        <is>
          <t>Not found</t>
        </is>
      </c>
      <c r="L717" t="inlineStr">
        <is>
          <t>Unknown</t>
        </is>
      </c>
      <c r="T717" t="inlineStr">
        <is>
          <t>https://tenders.iglonline.net/tenderDetail/379/Active Tenders And Corrigendum-Addendum</t>
        </is>
      </c>
      <c r="U717" t="inlineStr">
        <is>
          <t>No</t>
        </is>
      </c>
      <c r="V717" t="inlineStr">
        <is>
          <t>Bot tarafindan tespit edildi (2026-07-01)</t>
        </is>
      </c>
    </row>
    <row r="718">
      <c r="A718" t="inlineStr">
        <is>
          <t>T-0522</t>
        </is>
      </c>
      <c r="B718" t="inlineStr">
        <is>
          <t>Indraprastha Gas (IGL)</t>
        </is>
      </c>
      <c r="C718" t="inlineStr">
        <is>
          <t>Indraprastha Gas (IGL)</t>
        </is>
      </c>
      <c r="F718" t="inlineStr">
        <is>
          <t>New Lead</t>
        </is>
      </c>
      <c r="G718" t="inlineStr">
        <is>
          <t>Gas-related / review</t>
        </is>
      </c>
      <c r="H718" t="inlineStr">
        <is>
          <t>RTBQ_CM18286.pdf</t>
        </is>
      </c>
      <c r="K718" t="inlineStr">
        <is>
          <t>Not found</t>
        </is>
      </c>
      <c r="L718" t="inlineStr">
        <is>
          <t>Unknown</t>
        </is>
      </c>
      <c r="T718" t="inlineStr">
        <is>
          <t>https://tenders.iglonline.net/uploads/tender/RTBQ_CM18286.pdf</t>
        </is>
      </c>
      <c r="U718" t="inlineStr">
        <is>
          <t>No</t>
        </is>
      </c>
      <c r="V718" t="inlineStr">
        <is>
          <t>Bot tarafindan tespit edildi (2026-07-01); Bot tespit/zenginlestirme (2026-07-01); meta:score=35;priority=Low;source_type=html_table;closing_date=;equipment=Gas-related / review;reasons=equipment:Gas-related / review,document source</t>
        </is>
      </c>
    </row>
    <row r="719">
      <c r="A719" t="inlineStr">
        <is>
          <t>T-0523</t>
        </is>
      </c>
      <c r="B719" t="inlineStr">
        <is>
          <t>Indraprastha Gas (IGL)</t>
        </is>
      </c>
      <c r="C719" t="inlineStr">
        <is>
          <t>Indraprastha Gas (IGL)</t>
        </is>
      </c>
      <c r="F719" t="inlineStr">
        <is>
          <t>New Lead</t>
        </is>
      </c>
      <c r="H719" t="inlineStr">
        <is>
          <t>View Tender</t>
        </is>
      </c>
      <c r="K719" t="inlineStr">
        <is>
          <t>Not found</t>
        </is>
      </c>
      <c r="L719" t="inlineStr">
        <is>
          <t>Unknown</t>
        </is>
      </c>
      <c r="T719" t="inlineStr">
        <is>
          <t>https://tenders.iglonline.net/tenderDetail/378/Active Tenders And Corrigendum-Addendum</t>
        </is>
      </c>
      <c r="U719" t="inlineStr">
        <is>
          <t>No</t>
        </is>
      </c>
      <c r="V719" t="inlineStr">
        <is>
          <t>Bot tarafindan tespit edildi (2026-07-01)</t>
        </is>
      </c>
    </row>
    <row r="720">
      <c r="A720" t="inlineStr">
        <is>
          <t>T-0524</t>
        </is>
      </c>
      <c r="B720" t="inlineStr">
        <is>
          <t>Indraprastha Gas (IGL)</t>
        </is>
      </c>
      <c r="C720" t="inlineStr">
        <is>
          <t>Indraprastha Gas (IGL)</t>
        </is>
      </c>
      <c r="F720" t="inlineStr">
        <is>
          <t>New Lead</t>
        </is>
      </c>
      <c r="G720" t="inlineStr">
        <is>
          <t>Gas-related / review</t>
        </is>
      </c>
      <c r="H720" t="inlineStr">
        <is>
          <t>Corrigendum_1_CP18304.pdf</t>
        </is>
      </c>
      <c r="K720" t="inlineStr">
        <is>
          <t>Not found</t>
        </is>
      </c>
      <c r="L720" t="inlineStr">
        <is>
          <t>Unknown</t>
        </is>
      </c>
      <c r="T720" t="inlineStr">
        <is>
          <t>https://tenders.iglonline.net/uploads/tender/Corrigendum_1_CP18304.pdf</t>
        </is>
      </c>
      <c r="U720" t="inlineStr">
        <is>
          <t>No</t>
        </is>
      </c>
      <c r="V720" t="inlineStr">
        <is>
          <t>Bot tarafindan tespit edildi (2026-07-01); Bot tespit/zenginlestirme (2026-07-01); meta:score=35;priority=Low;source_type=html_table;closing_date=;equipment=Gas-related / review;reasons=equipment:Gas-related / review,document source</t>
        </is>
      </c>
    </row>
    <row r="721">
      <c r="A721" t="inlineStr">
        <is>
          <t>T-0525</t>
        </is>
      </c>
      <c r="B721" t="inlineStr">
        <is>
          <t>Indraprastha Gas (IGL)</t>
        </is>
      </c>
      <c r="C721" t="inlineStr">
        <is>
          <t>Indraprastha Gas (IGL)</t>
        </is>
      </c>
      <c r="F721" t="inlineStr">
        <is>
          <t>New Lead</t>
        </is>
      </c>
      <c r="G721" t="inlineStr">
        <is>
          <t>Gas-related / review</t>
        </is>
      </c>
      <c r="H721" t="inlineStr">
        <is>
          <t>Corrigendum_2_CP18304.pdf</t>
        </is>
      </c>
      <c r="K721" t="inlineStr">
        <is>
          <t>Not found</t>
        </is>
      </c>
      <c r="L721" t="inlineStr">
        <is>
          <t>Unknown</t>
        </is>
      </c>
      <c r="T721" t="inlineStr">
        <is>
          <t>https://tenders.iglonline.net/uploads/tender/Corrigendum_2_CP18304.pdf</t>
        </is>
      </c>
      <c r="U721" t="inlineStr">
        <is>
          <t>No</t>
        </is>
      </c>
      <c r="V721" t="inlineStr">
        <is>
          <t>Bot tarafindan tespit edildi (2026-07-01); Bot tespit/zenginlestirme (2026-07-01); meta:score=35;priority=Low;source_type=html_table;closing_date=;equipment=Gas-related / review;reasons=equipment:Gas-related / review,document source</t>
        </is>
      </c>
    </row>
    <row r="722">
      <c r="A722" t="inlineStr">
        <is>
          <t>T-0526</t>
        </is>
      </c>
      <c r="B722" t="inlineStr">
        <is>
          <t>Indraprastha Gas (IGL)</t>
        </is>
      </c>
      <c r="C722" t="inlineStr">
        <is>
          <t>Indraprastha Gas (IGL)</t>
        </is>
      </c>
      <c r="F722" t="inlineStr">
        <is>
          <t>New Lead</t>
        </is>
      </c>
      <c r="G722" t="inlineStr">
        <is>
          <t>Gas-related / review</t>
        </is>
      </c>
      <c r="H722" t="inlineStr">
        <is>
          <t>RTBQ_CP18304.pdf</t>
        </is>
      </c>
      <c r="K722" t="inlineStr">
        <is>
          <t>Not found</t>
        </is>
      </c>
      <c r="L722" t="inlineStr">
        <is>
          <t>Unknown</t>
        </is>
      </c>
      <c r="T722" t="inlineStr">
        <is>
          <t>https://tenders.iglonline.net/uploads/tender/RTBQ_CP18304.pdf</t>
        </is>
      </c>
      <c r="U722" t="inlineStr">
        <is>
          <t>No</t>
        </is>
      </c>
      <c r="V722" t="inlineStr">
        <is>
          <t>Bot tarafindan tespit edildi (2026-07-01); Bot tespit/zenginlestirme (2026-07-01); meta:score=35;priority=Low;source_type=html_table;closing_date=;equipment=Gas-related / review;reasons=equipment:Gas-related / review,document source</t>
        </is>
      </c>
    </row>
    <row r="723">
      <c r="A723" t="inlineStr">
        <is>
          <t>T-0527</t>
        </is>
      </c>
      <c r="B723" t="inlineStr">
        <is>
          <t>Indraprastha Gas (IGL)</t>
        </is>
      </c>
      <c r="C723" t="inlineStr">
        <is>
          <t>Indraprastha Gas (IGL)</t>
        </is>
      </c>
      <c r="F723" t="inlineStr">
        <is>
          <t>New Lead</t>
        </is>
      </c>
      <c r="G723" t="inlineStr">
        <is>
          <t>Gas-related / review</t>
        </is>
      </c>
      <c r="H723" t="inlineStr">
        <is>
          <t>Corrigendum_3_CP18304.pdf</t>
        </is>
      </c>
      <c r="K723" t="inlineStr">
        <is>
          <t>Not found</t>
        </is>
      </c>
      <c r="L723" t="inlineStr">
        <is>
          <t>Unknown</t>
        </is>
      </c>
      <c r="T723" t="inlineStr">
        <is>
          <t>https://tenders.iglonline.net/uploads/tender/Corrigendum_3_CP18304.pdf</t>
        </is>
      </c>
      <c r="U723" t="inlineStr">
        <is>
          <t>No</t>
        </is>
      </c>
      <c r="V723" t="inlineStr">
        <is>
          <t>Bot tarafindan tespit edildi (2026-07-01); Bot tespit/zenginlestirme (2026-07-01); meta:score=35;priority=Low;source_type=html_table;closing_date=;equipment=Gas-related / review;reasons=equipment:Gas-related / review,document source</t>
        </is>
      </c>
    </row>
    <row r="724">
      <c r="A724" t="inlineStr">
        <is>
          <t>T-0528</t>
        </is>
      </c>
      <c r="B724" t="inlineStr">
        <is>
          <t>Indraprastha Gas (IGL)</t>
        </is>
      </c>
      <c r="C724" t="inlineStr">
        <is>
          <t>Indraprastha Gas (IGL)</t>
        </is>
      </c>
      <c r="F724" t="inlineStr">
        <is>
          <t>New Lead</t>
        </is>
      </c>
      <c r="H724" t="inlineStr">
        <is>
          <t>View Tender</t>
        </is>
      </c>
      <c r="K724" t="inlineStr">
        <is>
          <t>Not found</t>
        </is>
      </c>
      <c r="L724" t="inlineStr">
        <is>
          <t>Unknown</t>
        </is>
      </c>
      <c r="T724" t="inlineStr">
        <is>
          <t>https://tenders.iglonline.net/tenderDetail/377/Active Tenders And Corrigendum-Addendum</t>
        </is>
      </c>
      <c r="U724" t="inlineStr">
        <is>
          <t>No</t>
        </is>
      </c>
      <c r="V724" t="inlineStr">
        <is>
          <t>Bot tarafindan tespit edildi (2026-07-01)</t>
        </is>
      </c>
    </row>
    <row r="725">
      <c r="A725" t="inlineStr">
        <is>
          <t>T-0529</t>
        </is>
      </c>
      <c r="B725" t="inlineStr">
        <is>
          <t>Indraprastha Gas (IGL)</t>
        </is>
      </c>
      <c r="C725" t="inlineStr">
        <is>
          <t>Indraprastha Gas (IGL)</t>
        </is>
      </c>
      <c r="F725" t="inlineStr">
        <is>
          <t>New Lead</t>
        </is>
      </c>
      <c r="H725" t="inlineStr">
        <is>
          <t>Corrigendum_1_CM18322.pdf</t>
        </is>
      </c>
      <c r="K725" t="inlineStr">
        <is>
          <t>Not found</t>
        </is>
      </c>
      <c r="L725" t="inlineStr">
        <is>
          <t>Unknown</t>
        </is>
      </c>
      <c r="T725" t="inlineStr">
        <is>
          <t>https://tenders.iglonline.net/uploads/tender/Corrigendum_1_CM18322.pdf</t>
        </is>
      </c>
      <c r="U725" t="inlineStr">
        <is>
          <t>No</t>
        </is>
      </c>
      <c r="V725" t="inlineStr">
        <is>
          <t>Bot tarafindan tespit edildi (2026-07-01)</t>
        </is>
      </c>
    </row>
    <row r="726">
      <c r="A726" t="inlineStr">
        <is>
          <t>T-0530</t>
        </is>
      </c>
      <c r="B726" t="inlineStr">
        <is>
          <t>Indraprastha Gas (IGL)</t>
        </is>
      </c>
      <c r="C726" t="inlineStr">
        <is>
          <t>Indraprastha Gas (IGL)</t>
        </is>
      </c>
      <c r="F726" t="inlineStr">
        <is>
          <t>New Lead</t>
        </is>
      </c>
      <c r="H726" t="inlineStr">
        <is>
          <t>Corrigendum_2_(1)3.pdf</t>
        </is>
      </c>
      <c r="K726" t="inlineStr">
        <is>
          <t>Not found</t>
        </is>
      </c>
      <c r="L726" t="inlineStr">
        <is>
          <t>Unknown</t>
        </is>
      </c>
      <c r="T726" t="inlineStr">
        <is>
          <t>https://tenders.iglonline.net/uploads/tender/Corrigendum_2_(1)3.pdf</t>
        </is>
      </c>
      <c r="U726" t="inlineStr">
        <is>
          <t>No</t>
        </is>
      </c>
      <c r="V726" t="inlineStr">
        <is>
          <t>Bot tarafindan tespit edildi (2026-07-01)</t>
        </is>
      </c>
    </row>
    <row r="727">
      <c r="A727" t="inlineStr">
        <is>
          <t>T-0531</t>
        </is>
      </c>
      <c r="B727" t="inlineStr">
        <is>
          <t>Indraprastha Gas (IGL)</t>
        </is>
      </c>
      <c r="C727" t="inlineStr">
        <is>
          <t>Indraprastha Gas (IGL)</t>
        </is>
      </c>
      <c r="F727" t="inlineStr">
        <is>
          <t>New Lead</t>
        </is>
      </c>
      <c r="H727" t="inlineStr">
        <is>
          <t>Corrigendum_3_Amendment_(1).pdf</t>
        </is>
      </c>
      <c r="K727" t="inlineStr">
        <is>
          <t>Not found</t>
        </is>
      </c>
      <c r="L727" t="inlineStr">
        <is>
          <t>Unknown</t>
        </is>
      </c>
      <c r="T727" t="inlineStr">
        <is>
          <t>https://tenders.iglonline.net/uploads/tender/Corrigendum_3_Amendment_(1).pdf</t>
        </is>
      </c>
      <c r="U727" t="inlineStr">
        <is>
          <t>No</t>
        </is>
      </c>
      <c r="V727" t="inlineStr">
        <is>
          <t>Bot tarafindan tespit edildi (2026-07-01)</t>
        </is>
      </c>
    </row>
    <row r="728">
      <c r="A728" t="inlineStr">
        <is>
          <t>T-0532</t>
        </is>
      </c>
      <c r="B728" t="inlineStr">
        <is>
          <t>Indraprastha Gas (IGL)</t>
        </is>
      </c>
      <c r="C728" t="inlineStr">
        <is>
          <t>Indraprastha Gas (IGL)</t>
        </is>
      </c>
      <c r="F728" t="inlineStr">
        <is>
          <t>New Lead</t>
        </is>
      </c>
      <c r="H728" t="inlineStr">
        <is>
          <t>CM18322_Corrigendum_4_Cancellation of tender.pdf</t>
        </is>
      </c>
      <c r="K728" t="inlineStr">
        <is>
          <t>Not found</t>
        </is>
      </c>
      <c r="L728" t="inlineStr">
        <is>
          <t>Unknown</t>
        </is>
      </c>
      <c r="T728" t="inlineStr">
        <is>
          <t>https://tenders.iglonline.net/uploads/tender/CM18322_Corrigendum_4_Cancellation of tender.pdf</t>
        </is>
      </c>
      <c r="U728" t="inlineStr">
        <is>
          <t>No</t>
        </is>
      </c>
      <c r="V728" t="inlineStr">
        <is>
          <t>Bot tarafindan tespit edildi (2026-07-01)</t>
        </is>
      </c>
    </row>
    <row r="729">
      <c r="A729" t="inlineStr">
        <is>
          <t>T-0533</t>
        </is>
      </c>
      <c r="B729" t="inlineStr">
        <is>
          <t>Indraprastha Gas (IGL)</t>
        </is>
      </c>
      <c r="C729" t="inlineStr">
        <is>
          <t>Indraprastha Gas (IGL)</t>
        </is>
      </c>
      <c r="F729" t="inlineStr">
        <is>
          <t>New Lead</t>
        </is>
      </c>
      <c r="H729" t="inlineStr">
        <is>
          <t>View Tender</t>
        </is>
      </c>
      <c r="K729" t="inlineStr">
        <is>
          <t>Not found</t>
        </is>
      </c>
      <c r="L729" t="inlineStr">
        <is>
          <t>Unknown</t>
        </is>
      </c>
      <c r="T729" t="inlineStr">
        <is>
          <t>https://tenders.iglonline.net/tenderDetail/376/Active Tenders And Corrigendum-Addendum</t>
        </is>
      </c>
      <c r="U729" t="inlineStr">
        <is>
          <t>No</t>
        </is>
      </c>
      <c r="V729" t="inlineStr">
        <is>
          <t>Bot tarafindan tespit edildi (2026-07-01)</t>
        </is>
      </c>
    </row>
    <row r="730">
      <c r="A730" t="inlineStr">
        <is>
          <t>T-0534</t>
        </is>
      </c>
      <c r="B730" t="inlineStr">
        <is>
          <t>Indraprastha Gas (IGL)</t>
        </is>
      </c>
      <c r="C730" t="inlineStr">
        <is>
          <t>Indraprastha Gas (IGL)</t>
        </is>
      </c>
      <c r="F730" t="inlineStr">
        <is>
          <t>New Lead</t>
        </is>
      </c>
      <c r="H730" t="inlineStr">
        <is>
          <t>RTBQ_CP18292.pdf</t>
        </is>
      </c>
      <c r="K730" t="inlineStr">
        <is>
          <t>Not found</t>
        </is>
      </c>
      <c r="L730" t="inlineStr">
        <is>
          <t>Unknown</t>
        </is>
      </c>
      <c r="T730" t="inlineStr">
        <is>
          <t>https://tenders.iglonline.net/uploads/tender/RTBQ_CP18292.pdf</t>
        </is>
      </c>
      <c r="U730" t="inlineStr">
        <is>
          <t>No</t>
        </is>
      </c>
      <c r="V730" t="inlineStr">
        <is>
          <t>Bot tarafindan tespit edildi (2026-07-01)</t>
        </is>
      </c>
    </row>
    <row r="731">
      <c r="A731" t="inlineStr">
        <is>
          <t>T-0535</t>
        </is>
      </c>
      <c r="B731" t="inlineStr">
        <is>
          <t>Indraprastha Gas (IGL)</t>
        </is>
      </c>
      <c r="C731" t="inlineStr">
        <is>
          <t>Indraprastha Gas (IGL)</t>
        </is>
      </c>
      <c r="F731" t="inlineStr">
        <is>
          <t>New Lead</t>
        </is>
      </c>
      <c r="H731" t="inlineStr">
        <is>
          <t>View Tender</t>
        </is>
      </c>
      <c r="K731" t="inlineStr">
        <is>
          <t>Not found</t>
        </is>
      </c>
      <c r="L731" t="inlineStr">
        <is>
          <t>Unknown</t>
        </is>
      </c>
      <c r="T731" t="inlineStr">
        <is>
          <t>https://tenders.iglonline.net/tenderDetail/375/Active Tenders And Corrigendum-Addendum</t>
        </is>
      </c>
      <c r="U731" t="inlineStr">
        <is>
          <t>No</t>
        </is>
      </c>
      <c r="V731" t="inlineStr">
        <is>
          <t>Bot tarafindan tespit edildi (2026-07-01)</t>
        </is>
      </c>
    </row>
    <row r="732">
      <c r="A732" t="inlineStr">
        <is>
          <t>T-0536</t>
        </is>
      </c>
      <c r="B732" t="inlineStr">
        <is>
          <t>Indraprastha Gas (IGL)</t>
        </is>
      </c>
      <c r="C732" t="inlineStr">
        <is>
          <t>Indraprastha Gas (IGL)</t>
        </is>
      </c>
      <c r="F732" t="inlineStr">
        <is>
          <t>New Lead</t>
        </is>
      </c>
      <c r="H732" t="inlineStr">
        <is>
          <t>RTBQ_(3).pdf</t>
        </is>
      </c>
      <c r="K732" t="inlineStr">
        <is>
          <t>Not found</t>
        </is>
      </c>
      <c r="L732" t="inlineStr">
        <is>
          <t>Unknown</t>
        </is>
      </c>
      <c r="T732" t="inlineStr">
        <is>
          <t>https://tenders.iglonline.net/uploads/tender/RTBQ_(3).pdf</t>
        </is>
      </c>
      <c r="U732" t="inlineStr">
        <is>
          <t>No</t>
        </is>
      </c>
      <c r="V732" t="inlineStr">
        <is>
          <t>Bot tarafindan tespit edildi (2026-07-01)</t>
        </is>
      </c>
    </row>
    <row r="733">
      <c r="A733" t="inlineStr">
        <is>
          <t>T-0537</t>
        </is>
      </c>
      <c r="B733" t="inlineStr">
        <is>
          <t>Indraprastha Gas (IGL)</t>
        </is>
      </c>
      <c r="C733" t="inlineStr">
        <is>
          <t>Indraprastha Gas (IGL)</t>
        </is>
      </c>
      <c r="F733" t="inlineStr">
        <is>
          <t>New Lead</t>
        </is>
      </c>
      <c r="H733" t="inlineStr">
        <is>
          <t>View Tender</t>
        </is>
      </c>
      <c r="K733" t="inlineStr">
        <is>
          <t>Not found</t>
        </is>
      </c>
      <c r="L733" t="inlineStr">
        <is>
          <t>Unknown</t>
        </is>
      </c>
      <c r="T733" t="inlineStr">
        <is>
          <t>https://tenders.iglonline.net/tenderDetail/374/Active Tenders And Corrigendum-Addendum</t>
        </is>
      </c>
      <c r="U733" t="inlineStr">
        <is>
          <t>No</t>
        </is>
      </c>
      <c r="V733" t="inlineStr">
        <is>
          <t>Bot tarafindan tespit edildi (2026-07-01)</t>
        </is>
      </c>
    </row>
    <row r="734">
      <c r="A734" t="inlineStr">
        <is>
          <t>T-0538</t>
        </is>
      </c>
      <c r="B734" t="inlineStr">
        <is>
          <t>Indraprastha Gas (IGL)</t>
        </is>
      </c>
      <c r="C734" t="inlineStr">
        <is>
          <t>Indraprastha Gas (IGL)</t>
        </is>
      </c>
      <c r="F734" t="inlineStr">
        <is>
          <t>New Lead</t>
        </is>
      </c>
      <c r="H734" t="inlineStr">
        <is>
          <t>View Tender</t>
        </is>
      </c>
      <c r="K734" t="inlineStr">
        <is>
          <t>Not found</t>
        </is>
      </c>
      <c r="L734" t="inlineStr">
        <is>
          <t>Unknown</t>
        </is>
      </c>
      <c r="T734" t="inlineStr">
        <is>
          <t>https://tenders.iglonline.net/tenderDetail/373/Active Tenders And Corrigendum-Addendum</t>
        </is>
      </c>
      <c r="U734" t="inlineStr">
        <is>
          <t>No</t>
        </is>
      </c>
      <c r="V734" t="inlineStr">
        <is>
          <t>Bot tarafindan tespit edildi (2026-07-01)</t>
        </is>
      </c>
    </row>
    <row r="735">
      <c r="A735" t="inlineStr">
        <is>
          <t>T-0539</t>
        </is>
      </c>
      <c r="B735" t="inlineStr">
        <is>
          <t>Indraprastha Gas (IGL)</t>
        </is>
      </c>
      <c r="C735" t="inlineStr">
        <is>
          <t>Indraprastha Gas (IGL)</t>
        </is>
      </c>
      <c r="D735" t="inlineStr">
        <is>
          <t>ORING</t>
        </is>
      </c>
      <c r="F735" t="inlineStr">
        <is>
          <t>New Lead</t>
        </is>
      </c>
      <c r="G735" t="inlineStr">
        <is>
          <t>Unclassified</t>
        </is>
      </c>
      <c r="H735" t="inlineStr">
        <is>
          <t>RTBQ_CP18334.pdf</t>
        </is>
      </c>
      <c r="K735" t="inlineStr">
        <is>
          <t>Not found</t>
        </is>
      </c>
      <c r="L735" t="inlineStr">
        <is>
          <t>Unknown</t>
        </is>
      </c>
      <c r="T735" t="inlineStr">
        <is>
          <t>https://tenders.iglonline.net/uploads/tender/RTBQ_CP18334.pdf</t>
        </is>
      </c>
      <c r="U735" t="inlineStr">
        <is>
          <t>No</t>
        </is>
      </c>
      <c r="V735" t="inlineStr">
        <is>
          <t>Bot tarafindan tespit edildi (2026-07-01); Bot tespit/zenginlestirme (2026-07-01); meta:score=35;priority=Low;source_type=html_table;closing_date=;equipment=Unclassified;reasons=document source,tender reference signal</t>
        </is>
      </c>
    </row>
    <row r="736">
      <c r="A736" t="inlineStr">
        <is>
          <t>T-0540</t>
        </is>
      </c>
      <c r="B736" t="inlineStr">
        <is>
          <t>Indraprastha Gas (IGL)</t>
        </is>
      </c>
      <c r="C736" t="inlineStr">
        <is>
          <t>Indraprastha Gas (IGL)</t>
        </is>
      </c>
      <c r="D736" t="inlineStr">
        <is>
          <t>ORING</t>
        </is>
      </c>
      <c r="F736" t="inlineStr">
        <is>
          <t>New Lead</t>
        </is>
      </c>
      <c r="G736" t="inlineStr">
        <is>
          <t>Unclassified</t>
        </is>
      </c>
      <c r="H736" t="inlineStr">
        <is>
          <t>Corrigendum_1_CP18334.pdf</t>
        </is>
      </c>
      <c r="K736" t="inlineStr">
        <is>
          <t>Not found</t>
        </is>
      </c>
      <c r="L736" t="inlineStr">
        <is>
          <t>Unknown</t>
        </is>
      </c>
      <c r="T736" t="inlineStr">
        <is>
          <t>https://tenders.iglonline.net/uploads/tender/Corrigendum_1_CP18334.pdf</t>
        </is>
      </c>
      <c r="U736" t="inlineStr">
        <is>
          <t>No</t>
        </is>
      </c>
      <c r="V736" t="inlineStr">
        <is>
          <t>Bot tarafindan tespit edildi (2026-07-01); Bot tespit/zenginlestirme (2026-07-01); meta:score=35;priority=Low;source_type=html_table;closing_date=;equipment=Unclassified;reasons=document source,tender reference signal</t>
        </is>
      </c>
    </row>
    <row r="737">
      <c r="A737" t="inlineStr">
        <is>
          <t>T-0541</t>
        </is>
      </c>
      <c r="B737" t="inlineStr">
        <is>
          <t>Indraprastha Gas (IGL)</t>
        </is>
      </c>
      <c r="C737" t="inlineStr">
        <is>
          <t>Indraprastha Gas (IGL)</t>
        </is>
      </c>
      <c r="D737" t="inlineStr">
        <is>
          <t>ORING</t>
        </is>
      </c>
      <c r="F737" t="inlineStr">
        <is>
          <t>New Lead</t>
        </is>
      </c>
      <c r="G737" t="inlineStr">
        <is>
          <t>Unclassified</t>
        </is>
      </c>
      <c r="H737" t="inlineStr">
        <is>
          <t>Corrigendum_2_CP18334.pdf</t>
        </is>
      </c>
      <c r="K737" t="inlineStr">
        <is>
          <t>Not found</t>
        </is>
      </c>
      <c r="L737" t="inlineStr">
        <is>
          <t>Unknown</t>
        </is>
      </c>
      <c r="T737" t="inlineStr">
        <is>
          <t>https://tenders.iglonline.net/uploads/tender/Corrigendum_2_CP18334.pdf</t>
        </is>
      </c>
      <c r="U737" t="inlineStr">
        <is>
          <t>No</t>
        </is>
      </c>
      <c r="V737" t="inlineStr">
        <is>
          <t>Bot tarafindan tespit edildi (2026-07-01); Bot tespit/zenginlestirme (2026-07-01); meta:score=35;priority=Low;source_type=html_table;closing_date=;equipment=Unclassified;reasons=document source,tender reference signal</t>
        </is>
      </c>
    </row>
    <row r="738">
      <c r="A738" t="inlineStr">
        <is>
          <t>T-0542</t>
        </is>
      </c>
      <c r="B738" t="inlineStr">
        <is>
          <t>Indraprastha Gas (IGL)</t>
        </is>
      </c>
      <c r="C738" t="inlineStr">
        <is>
          <t>Indraprastha Gas (IGL)</t>
        </is>
      </c>
      <c r="F738" t="inlineStr">
        <is>
          <t>New Lead</t>
        </is>
      </c>
      <c r="H738" t="inlineStr">
        <is>
          <t>View Tender</t>
        </is>
      </c>
      <c r="K738" t="inlineStr">
        <is>
          <t>Not found</t>
        </is>
      </c>
      <c r="L738" t="inlineStr">
        <is>
          <t>Unknown</t>
        </is>
      </c>
      <c r="T738" t="inlineStr">
        <is>
          <t>https://tenders.iglonline.net/tenderDetail/372/Active Tenders And Corrigendum-Addendum</t>
        </is>
      </c>
      <c r="U738" t="inlineStr">
        <is>
          <t>No</t>
        </is>
      </c>
      <c r="V738" t="inlineStr">
        <is>
          <t>Bot tarafindan tespit edildi (2026-07-01)</t>
        </is>
      </c>
    </row>
    <row r="739">
      <c r="A739" t="inlineStr">
        <is>
          <t>T-0543</t>
        </is>
      </c>
      <c r="B739" t="inlineStr">
        <is>
          <t>Indraprastha Gas (IGL)</t>
        </is>
      </c>
      <c r="C739" t="inlineStr">
        <is>
          <t>Indraprastha Gas (IGL)</t>
        </is>
      </c>
      <c r="F739" t="inlineStr">
        <is>
          <t>New Lead</t>
        </is>
      </c>
      <c r="G739" t="inlineStr">
        <is>
          <t>Gas-related / review</t>
        </is>
      </c>
      <c r="H739" t="inlineStr">
        <is>
          <t>CORRIGENDUM I_CC18267.pdf</t>
        </is>
      </c>
      <c r="K739" t="inlineStr">
        <is>
          <t>Not found</t>
        </is>
      </c>
      <c r="L739" t="inlineStr">
        <is>
          <t>Unknown</t>
        </is>
      </c>
      <c r="T739" t="inlineStr">
        <is>
          <t>https://tenders.iglonline.net/uploads/tender/CORRIGENDUM I_CC18267.pdf</t>
        </is>
      </c>
      <c r="U739" t="inlineStr">
        <is>
          <t>No</t>
        </is>
      </c>
      <c r="V739" t="inlineStr">
        <is>
          <t>Bot tarafindan tespit edildi (2026-07-01); Bot tespit/zenginlestirme (2026-07-01); meta:score=35;priority=Low;source_type=html_table;closing_date=;equipment=Gas-related / review;reasons=equipment:Gas-related / review,document source</t>
        </is>
      </c>
    </row>
    <row r="740">
      <c r="A740" t="inlineStr">
        <is>
          <t>T-0544</t>
        </is>
      </c>
      <c r="B740" t="inlineStr">
        <is>
          <t>Indraprastha Gas (IGL)</t>
        </is>
      </c>
      <c r="C740" t="inlineStr">
        <is>
          <t>Indraprastha Gas (IGL)</t>
        </is>
      </c>
      <c r="F740" t="inlineStr">
        <is>
          <t>New Lead</t>
        </is>
      </c>
      <c r="H740" t="inlineStr">
        <is>
          <t>View Tender</t>
        </is>
      </c>
      <c r="K740" t="inlineStr">
        <is>
          <t>Not found</t>
        </is>
      </c>
      <c r="L740" t="inlineStr">
        <is>
          <t>Unknown</t>
        </is>
      </c>
      <c r="T740" t="inlineStr">
        <is>
          <t>https://tenders.iglonline.net/tenderDetail/371/Active Tenders And Corrigendum-Addendum</t>
        </is>
      </c>
      <c r="U740" t="inlineStr">
        <is>
          <t>No</t>
        </is>
      </c>
      <c r="V740" t="inlineStr">
        <is>
          <t>Bot tarafindan tespit edildi (2026-07-01)</t>
        </is>
      </c>
    </row>
    <row r="741">
      <c r="A741" t="inlineStr">
        <is>
          <t>T-0545</t>
        </is>
      </c>
      <c r="B741" t="inlineStr">
        <is>
          <t>Indraprastha Gas (IGL)</t>
        </is>
      </c>
      <c r="C741" t="inlineStr">
        <is>
          <t>Indraprastha Gas (IGL)</t>
        </is>
      </c>
      <c r="F741" t="inlineStr">
        <is>
          <t>New Lead</t>
        </is>
      </c>
      <c r="G741" t="inlineStr">
        <is>
          <t>Gas-related / review</t>
        </is>
      </c>
      <c r="H741" t="inlineStr">
        <is>
          <t>Water_cooler_pre_bid_replies.pdf</t>
        </is>
      </c>
      <c r="K741" t="inlineStr">
        <is>
          <t>Not found</t>
        </is>
      </c>
      <c r="L741" t="inlineStr">
        <is>
          <t>Unknown</t>
        </is>
      </c>
      <c r="T741" t="inlineStr">
        <is>
          <t>https://tenders.iglonline.net/uploads/tender/Water_cooler_pre_bid_replies.pdf</t>
        </is>
      </c>
      <c r="U741" t="inlineStr">
        <is>
          <t>No</t>
        </is>
      </c>
      <c r="V741" t="inlineStr">
        <is>
          <t>Bot tarafindan tespit edildi (2026-07-01); Bot tespit/zenginlestirme (2026-07-01); meta:score=35;priority=Low;source_type=html_table;closing_date=;equipment=Gas-related / review;reasons=equipment:Gas-related / review,document source</t>
        </is>
      </c>
    </row>
    <row r="742">
      <c r="A742" t="inlineStr">
        <is>
          <t>T-0546</t>
        </is>
      </c>
      <c r="B742" t="inlineStr">
        <is>
          <t>Indraprastha Gas (IGL)</t>
        </is>
      </c>
      <c r="C742" t="inlineStr">
        <is>
          <t>Indraprastha Gas (IGL)</t>
        </is>
      </c>
      <c r="F742" t="inlineStr">
        <is>
          <t>New Lead</t>
        </is>
      </c>
      <c r="G742" t="inlineStr">
        <is>
          <t>Gas-related / review</t>
        </is>
      </c>
      <c r="H742" t="inlineStr">
        <is>
          <t>CORRIGENDUM_II_CC18293.pdf</t>
        </is>
      </c>
      <c r="K742" t="inlineStr">
        <is>
          <t>Not found</t>
        </is>
      </c>
      <c r="L742" t="inlineStr">
        <is>
          <t>Unknown</t>
        </is>
      </c>
      <c r="T742" t="inlineStr">
        <is>
          <t>https://tenders.iglonline.net/uploads/tender/CORRIGENDUM_II_CC18293.pdf</t>
        </is>
      </c>
      <c r="U742" t="inlineStr">
        <is>
          <t>No</t>
        </is>
      </c>
      <c r="V742" t="inlineStr">
        <is>
          <t>Bot tarafindan tespit edildi (2026-07-01); Bot tespit/zenginlestirme (2026-07-01); meta:score=35;priority=Low;source_type=html_table;closing_date=;equipment=Gas-related / review;reasons=equipment:Gas-related / review,document source</t>
        </is>
      </c>
    </row>
    <row r="743">
      <c r="A743" t="inlineStr">
        <is>
          <t>T-0547</t>
        </is>
      </c>
      <c r="B743" t="inlineStr">
        <is>
          <t>Indraprastha Gas (IGL)</t>
        </is>
      </c>
      <c r="C743" t="inlineStr">
        <is>
          <t>Indraprastha Gas (IGL)</t>
        </is>
      </c>
      <c r="F743" t="inlineStr">
        <is>
          <t>New Lead</t>
        </is>
      </c>
      <c r="G743" t="inlineStr">
        <is>
          <t>Gas-related / review</t>
        </is>
      </c>
      <c r="H743" t="inlineStr">
        <is>
          <t>CORRIGENDUM_III_CC18293.pdf</t>
        </is>
      </c>
      <c r="K743" t="inlineStr">
        <is>
          <t>Not found</t>
        </is>
      </c>
      <c r="L743" t="inlineStr">
        <is>
          <t>Unknown</t>
        </is>
      </c>
      <c r="T743" t="inlineStr">
        <is>
          <t>https://tenders.iglonline.net/uploads/tender/CORRIGENDUM_III_CC18293.pdf</t>
        </is>
      </c>
      <c r="U743" t="inlineStr">
        <is>
          <t>No</t>
        </is>
      </c>
      <c r="V743" t="inlineStr">
        <is>
          <t>Bot tarafindan tespit edildi (2026-07-01); Bot tespit/zenginlestirme (2026-07-01); meta:score=35;priority=Low;source_type=html_table;closing_date=;equipment=Gas-related / review;reasons=equipment:Gas-related / review,document source</t>
        </is>
      </c>
    </row>
    <row r="744">
      <c r="A744" t="inlineStr">
        <is>
          <t>T-0548</t>
        </is>
      </c>
      <c r="B744" t="inlineStr">
        <is>
          <t>Indraprastha Gas (IGL)</t>
        </is>
      </c>
      <c r="C744" t="inlineStr">
        <is>
          <t>Indraprastha Gas (IGL)</t>
        </is>
      </c>
      <c r="F744" t="inlineStr">
        <is>
          <t>New Lead</t>
        </is>
      </c>
      <c r="G744" t="inlineStr">
        <is>
          <t>Gas-related / review</t>
        </is>
      </c>
      <c r="H744" t="inlineStr">
        <is>
          <t>CORRIGENDUM IV_CC18293.pdf</t>
        </is>
      </c>
      <c r="K744" t="inlineStr">
        <is>
          <t>Not found</t>
        </is>
      </c>
      <c r="L744" t="inlineStr">
        <is>
          <t>Unknown</t>
        </is>
      </c>
      <c r="T744" t="inlineStr">
        <is>
          <t>https://tenders.iglonline.net/uploads/tender/CORRIGENDUM IV_CC18293.pdf</t>
        </is>
      </c>
      <c r="U744" t="inlineStr">
        <is>
          <t>No</t>
        </is>
      </c>
      <c r="V744" t="inlineStr">
        <is>
          <t>Bot tarafindan tespit edildi (2026-07-01); Bot tespit/zenginlestirme (2026-07-01); meta:score=35;priority=Low;source_type=html_table;closing_date=;equipment=Gas-related / review;reasons=equipment:Gas-related / review,document source</t>
        </is>
      </c>
    </row>
    <row r="745">
      <c r="A745" t="inlineStr">
        <is>
          <t>T-0549</t>
        </is>
      </c>
      <c r="B745" t="inlineStr">
        <is>
          <t>Indraprastha Gas (IGL)</t>
        </is>
      </c>
      <c r="C745" t="inlineStr">
        <is>
          <t>Indraprastha Gas (IGL)</t>
        </is>
      </c>
      <c r="F745" t="inlineStr">
        <is>
          <t>New Lead</t>
        </is>
      </c>
      <c r="H745" t="inlineStr">
        <is>
          <t>View Tender</t>
        </is>
      </c>
      <c r="K745" t="inlineStr">
        <is>
          <t>Not found</t>
        </is>
      </c>
      <c r="L745" t="inlineStr">
        <is>
          <t>Unknown</t>
        </is>
      </c>
      <c r="T745" t="inlineStr">
        <is>
          <t>https://tenders.iglonline.net/tenderDetail/370/Active Tenders And Corrigendum-Addendum</t>
        </is>
      </c>
      <c r="U745" t="inlineStr">
        <is>
          <t>No</t>
        </is>
      </c>
      <c r="V745" t="inlineStr">
        <is>
          <t>Bot tarafindan tespit edildi (2026-07-01)</t>
        </is>
      </c>
    </row>
    <row r="746">
      <c r="A746" t="inlineStr">
        <is>
          <t>T-0550</t>
        </is>
      </c>
      <c r="B746" t="inlineStr">
        <is>
          <t>Indraprastha Gas (IGL)</t>
        </is>
      </c>
      <c r="C746" t="inlineStr">
        <is>
          <t>Indraprastha Gas (IGL)</t>
        </is>
      </c>
      <c r="F746" t="inlineStr">
        <is>
          <t>New Lead</t>
        </is>
      </c>
      <c r="H746" t="inlineStr">
        <is>
          <t>Pre_Bid_Replies_CM18350.pdf</t>
        </is>
      </c>
      <c r="K746" t="inlineStr">
        <is>
          <t>Not found</t>
        </is>
      </c>
      <c r="L746" t="inlineStr">
        <is>
          <t>Unknown</t>
        </is>
      </c>
      <c r="T746" t="inlineStr">
        <is>
          <t>https://tenders.iglonline.net/uploads/tender/Pre_Bid_Replies_CM18350.pdf</t>
        </is>
      </c>
      <c r="U746" t="inlineStr">
        <is>
          <t>No</t>
        </is>
      </c>
      <c r="V746" t="inlineStr">
        <is>
          <t>Bot tarafindan tespit edildi (2026-07-01)</t>
        </is>
      </c>
    </row>
    <row r="747">
      <c r="A747" t="inlineStr">
        <is>
          <t>T-0551</t>
        </is>
      </c>
      <c r="B747" t="inlineStr">
        <is>
          <t>Indraprastha Gas (IGL)</t>
        </is>
      </c>
      <c r="C747" t="inlineStr">
        <is>
          <t>Indraprastha Gas (IGL)</t>
        </is>
      </c>
      <c r="F747" t="inlineStr">
        <is>
          <t>New Lead</t>
        </is>
      </c>
      <c r="H747" t="inlineStr">
        <is>
          <t>CORRIGENDUM_CM18350_(1).pdf</t>
        </is>
      </c>
      <c r="K747" t="inlineStr">
        <is>
          <t>Not found</t>
        </is>
      </c>
      <c r="L747" t="inlineStr">
        <is>
          <t>Unknown</t>
        </is>
      </c>
      <c r="T747" t="inlineStr">
        <is>
          <t>https://tenders.iglonline.net/uploads/tender/CORRIGENDUM_CM18350_(1).pdf</t>
        </is>
      </c>
      <c r="U747" t="inlineStr">
        <is>
          <t>No</t>
        </is>
      </c>
      <c r="V747" t="inlineStr">
        <is>
          <t>Bot tarafindan tespit edildi (2026-07-01)</t>
        </is>
      </c>
    </row>
    <row r="748">
      <c r="A748" t="inlineStr">
        <is>
          <t>T-0552</t>
        </is>
      </c>
      <c r="B748" t="inlineStr">
        <is>
          <t>Indraprastha Gas (IGL)</t>
        </is>
      </c>
      <c r="C748" t="inlineStr">
        <is>
          <t>Indraprastha Gas (IGL)</t>
        </is>
      </c>
      <c r="F748" t="inlineStr">
        <is>
          <t>New Lead</t>
        </is>
      </c>
      <c r="H748" t="inlineStr">
        <is>
          <t>View Tender</t>
        </is>
      </c>
      <c r="K748" t="inlineStr">
        <is>
          <t>Not found</t>
        </is>
      </c>
      <c r="L748" t="inlineStr">
        <is>
          <t>Unknown</t>
        </is>
      </c>
      <c r="T748" t="inlineStr">
        <is>
          <t>https://tenders.iglonline.net/tenderDetail/369/Active Tenders And Corrigendum-Addendum</t>
        </is>
      </c>
      <c r="U748" t="inlineStr">
        <is>
          <t>No</t>
        </is>
      </c>
      <c r="V748" t="inlineStr">
        <is>
          <t>Bot tarafindan tespit edildi (2026-07-01)</t>
        </is>
      </c>
    </row>
    <row r="749">
      <c r="A749" t="inlineStr">
        <is>
          <t>T-0553</t>
        </is>
      </c>
      <c r="B749" t="inlineStr">
        <is>
          <t>Indraprastha Gas (IGL)</t>
        </is>
      </c>
      <c r="C749" t="inlineStr">
        <is>
          <t>Indraprastha Gas (IGL)</t>
        </is>
      </c>
      <c r="F749" t="inlineStr">
        <is>
          <t>New Lead</t>
        </is>
      </c>
      <c r="H749" t="inlineStr">
        <is>
          <t>View Tender</t>
        </is>
      </c>
      <c r="K749" t="inlineStr">
        <is>
          <t>Not found</t>
        </is>
      </c>
      <c r="L749" t="inlineStr">
        <is>
          <t>Unknown</t>
        </is>
      </c>
      <c r="T749" t="inlineStr">
        <is>
          <t>https://tenders.iglonline.net/tenderDetail/368/Active Tenders And Corrigendum-Addendum</t>
        </is>
      </c>
      <c r="U749" t="inlineStr">
        <is>
          <t>No</t>
        </is>
      </c>
      <c r="V749" t="inlineStr">
        <is>
          <t>Bot tarafindan tespit edildi (2026-07-01)</t>
        </is>
      </c>
    </row>
    <row r="750">
      <c r="A750" t="inlineStr">
        <is>
          <t>T-0554</t>
        </is>
      </c>
      <c r="B750" t="inlineStr">
        <is>
          <t>Indraprastha Gas (IGL)</t>
        </is>
      </c>
      <c r="C750" t="inlineStr">
        <is>
          <t>Indraprastha Gas (IGL)</t>
        </is>
      </c>
      <c r="F750" t="inlineStr">
        <is>
          <t>New Lead</t>
        </is>
      </c>
      <c r="H750" t="inlineStr">
        <is>
          <t>Pre_Bid_Replies_CM18331.pdf</t>
        </is>
      </c>
      <c r="K750" t="inlineStr">
        <is>
          <t>Not found</t>
        </is>
      </c>
      <c r="L750" t="inlineStr">
        <is>
          <t>Unknown</t>
        </is>
      </c>
      <c r="T750" t="inlineStr">
        <is>
          <t>https://tenders.iglonline.net/uploads/tender/Pre_Bid_Replies_CM18331.pdf</t>
        </is>
      </c>
      <c r="U750" t="inlineStr">
        <is>
          <t>No</t>
        </is>
      </c>
      <c r="V750" t="inlineStr">
        <is>
          <t>Bot tarafindan tespit edildi (2026-07-01)</t>
        </is>
      </c>
    </row>
    <row r="751">
      <c r="A751" t="inlineStr">
        <is>
          <t>T-0555</t>
        </is>
      </c>
      <c r="B751" t="inlineStr">
        <is>
          <t>Indraprastha Gas (IGL)</t>
        </is>
      </c>
      <c r="C751" t="inlineStr">
        <is>
          <t>Indraprastha Gas (IGL)</t>
        </is>
      </c>
      <c r="F751" t="inlineStr">
        <is>
          <t>New Lead</t>
        </is>
      </c>
      <c r="H751" t="inlineStr">
        <is>
          <t>CORRIGENDUM_CM18331.pdf</t>
        </is>
      </c>
      <c r="K751" t="inlineStr">
        <is>
          <t>Not found</t>
        </is>
      </c>
      <c r="L751" t="inlineStr">
        <is>
          <t>Unknown</t>
        </is>
      </c>
      <c r="T751" t="inlineStr">
        <is>
          <t>https://tenders.iglonline.net/uploads/tender/CORRIGENDUM_CM18331.pdf</t>
        </is>
      </c>
      <c r="U751" t="inlineStr">
        <is>
          <t>No</t>
        </is>
      </c>
      <c r="V751" t="inlineStr">
        <is>
          <t>Bot tarafindan tespit edildi (2026-07-01)</t>
        </is>
      </c>
    </row>
    <row r="752">
      <c r="A752" t="inlineStr">
        <is>
          <t>T-0556</t>
        </is>
      </c>
      <c r="B752" t="inlineStr">
        <is>
          <t>Indraprastha Gas (IGL)</t>
        </is>
      </c>
      <c r="C752" t="inlineStr">
        <is>
          <t>Indraprastha Gas (IGL)</t>
        </is>
      </c>
      <c r="F752" t="inlineStr">
        <is>
          <t>New Lead</t>
        </is>
      </c>
      <c r="H752" t="inlineStr">
        <is>
          <t>View Tender</t>
        </is>
      </c>
      <c r="K752" t="inlineStr">
        <is>
          <t>Not found</t>
        </is>
      </c>
      <c r="L752" t="inlineStr">
        <is>
          <t>Unknown</t>
        </is>
      </c>
      <c r="T752" t="inlineStr">
        <is>
          <t>https://tenders.iglonline.net/tenderDetail/367/Active Tenders And Corrigendum-Addendum</t>
        </is>
      </c>
      <c r="U752" t="inlineStr">
        <is>
          <t>No</t>
        </is>
      </c>
      <c r="V752" t="inlineStr">
        <is>
          <t>Bot tarafindan tespit edildi (2026-07-01)</t>
        </is>
      </c>
    </row>
    <row r="753">
      <c r="A753" t="inlineStr">
        <is>
          <t>T-0557</t>
        </is>
      </c>
      <c r="B753" t="inlineStr">
        <is>
          <t>Indraprastha Gas (IGL)</t>
        </is>
      </c>
      <c r="C753" t="inlineStr">
        <is>
          <t>Indraprastha Gas (IGL)</t>
        </is>
      </c>
      <c r="F753" t="inlineStr">
        <is>
          <t>New Lead</t>
        </is>
      </c>
      <c r="H753" t="inlineStr">
        <is>
          <t>Reply_Pre-bid_Queries.pdf</t>
        </is>
      </c>
      <c r="K753" t="inlineStr">
        <is>
          <t>Not found</t>
        </is>
      </c>
      <c r="L753" t="inlineStr">
        <is>
          <t>Unknown</t>
        </is>
      </c>
      <c r="T753" t="inlineStr">
        <is>
          <t>https://tenders.iglonline.net/uploads/tender/Reply_Pre-bid_Queries.pdf</t>
        </is>
      </c>
      <c r="U753" t="inlineStr">
        <is>
          <t>No</t>
        </is>
      </c>
      <c r="V753" t="inlineStr">
        <is>
          <t>Bot tarafindan tespit edildi (2026-07-01)</t>
        </is>
      </c>
    </row>
    <row r="754">
      <c r="A754" t="inlineStr">
        <is>
          <t>T-0558</t>
        </is>
      </c>
      <c r="B754" t="inlineStr">
        <is>
          <t>Indraprastha Gas (IGL)</t>
        </is>
      </c>
      <c r="C754" t="inlineStr">
        <is>
          <t>Indraprastha Gas (IGL)</t>
        </is>
      </c>
      <c r="F754" t="inlineStr">
        <is>
          <t>New Lead</t>
        </is>
      </c>
      <c r="H754" t="inlineStr">
        <is>
          <t>Corrigendum_-_I2.pdf</t>
        </is>
      </c>
      <c r="K754" t="inlineStr">
        <is>
          <t>Not found</t>
        </is>
      </c>
      <c r="L754" t="inlineStr">
        <is>
          <t>Unknown</t>
        </is>
      </c>
      <c r="T754" t="inlineStr">
        <is>
          <t>https://tenders.iglonline.net/uploads/tender/Corrigendum_-_I2.pdf</t>
        </is>
      </c>
      <c r="U754" t="inlineStr">
        <is>
          <t>No</t>
        </is>
      </c>
      <c r="V754" t="inlineStr">
        <is>
          <t>Bot tarafindan tespit edildi (2026-07-01)</t>
        </is>
      </c>
    </row>
    <row r="755">
      <c r="A755" t="inlineStr">
        <is>
          <t>T-0559</t>
        </is>
      </c>
      <c r="B755" t="inlineStr">
        <is>
          <t>Indraprastha Gas (IGL)</t>
        </is>
      </c>
      <c r="C755" t="inlineStr">
        <is>
          <t>Indraprastha Gas (IGL)</t>
        </is>
      </c>
      <c r="F755" t="inlineStr">
        <is>
          <t>New Lead</t>
        </is>
      </c>
      <c r="H755" t="inlineStr">
        <is>
          <t>View Tender</t>
        </is>
      </c>
      <c r="K755" t="inlineStr">
        <is>
          <t>Not found</t>
        </is>
      </c>
      <c r="L755" t="inlineStr">
        <is>
          <t>Unknown</t>
        </is>
      </c>
      <c r="T755" t="inlineStr">
        <is>
          <t>https://tenders.iglonline.net/tenderDetail/366/Active Tenders And Corrigendum-Addendum</t>
        </is>
      </c>
      <c r="U755" t="inlineStr">
        <is>
          <t>No</t>
        </is>
      </c>
      <c r="V755" t="inlineStr">
        <is>
          <t>Bot tarafindan tespit edildi (2026-07-01)</t>
        </is>
      </c>
    </row>
    <row r="756">
      <c r="A756" t="inlineStr">
        <is>
          <t>T-0560</t>
        </is>
      </c>
      <c r="B756" t="inlineStr">
        <is>
          <t>Indraprastha Gas (IGL)</t>
        </is>
      </c>
      <c r="C756" t="inlineStr">
        <is>
          <t>Indraprastha Gas (IGL)</t>
        </is>
      </c>
      <c r="F756" t="inlineStr">
        <is>
          <t>New Lead</t>
        </is>
      </c>
      <c r="H756" t="inlineStr">
        <is>
          <t>Pre_Bid_Replies_CM18338.pdf</t>
        </is>
      </c>
      <c r="K756" t="inlineStr">
        <is>
          <t>Not found</t>
        </is>
      </c>
      <c r="L756" t="inlineStr">
        <is>
          <t>Unknown</t>
        </is>
      </c>
      <c r="T756" t="inlineStr">
        <is>
          <t>https://tenders.iglonline.net/uploads/tender/Pre_Bid_Replies_CM18338.pdf</t>
        </is>
      </c>
      <c r="U756" t="inlineStr">
        <is>
          <t>No</t>
        </is>
      </c>
      <c r="V756" t="inlineStr">
        <is>
          <t>Bot tarafindan tespit edildi (2026-07-01)</t>
        </is>
      </c>
    </row>
    <row r="757">
      <c r="A757" t="inlineStr">
        <is>
          <t>T-0561</t>
        </is>
      </c>
      <c r="B757" t="inlineStr">
        <is>
          <t>Indraprastha Gas (IGL)</t>
        </is>
      </c>
      <c r="C757" t="inlineStr">
        <is>
          <t>Indraprastha Gas (IGL)</t>
        </is>
      </c>
      <c r="F757" t="inlineStr">
        <is>
          <t>New Lead</t>
        </is>
      </c>
      <c r="H757" t="inlineStr">
        <is>
          <t>View Tender</t>
        </is>
      </c>
      <c r="K757" t="inlineStr">
        <is>
          <t>Not found</t>
        </is>
      </c>
      <c r="L757" t="inlineStr">
        <is>
          <t>Unknown</t>
        </is>
      </c>
      <c r="T757" t="inlineStr">
        <is>
          <t>https://tenders.iglonline.net/tenderDetail/365/Active Tenders And Corrigendum-Addendum</t>
        </is>
      </c>
      <c r="U757" t="inlineStr">
        <is>
          <t>No</t>
        </is>
      </c>
      <c r="V757" t="inlineStr">
        <is>
          <t>Bot tarafindan tespit edildi (2026-07-01)</t>
        </is>
      </c>
    </row>
    <row r="758">
      <c r="A758" t="inlineStr">
        <is>
          <t>T-0562</t>
        </is>
      </c>
      <c r="B758" t="inlineStr">
        <is>
          <t>Indraprastha Gas (IGL)</t>
        </is>
      </c>
      <c r="C758" t="inlineStr">
        <is>
          <t>Indraprastha Gas (IGL)</t>
        </is>
      </c>
      <c r="F758" t="inlineStr">
        <is>
          <t>New Lead</t>
        </is>
      </c>
      <c r="H758" t="inlineStr">
        <is>
          <t>Corrigendum_for_cancellation_CC18297.pdf</t>
        </is>
      </c>
      <c r="K758" t="inlineStr">
        <is>
          <t>Not found</t>
        </is>
      </c>
      <c r="L758" t="inlineStr">
        <is>
          <t>Unknown</t>
        </is>
      </c>
      <c r="T758" t="inlineStr">
        <is>
          <t>https://tenders.iglonline.net/uploads/tender/Corrigendum_for_cancellation_CC18297.pdf</t>
        </is>
      </c>
      <c r="U758" t="inlineStr">
        <is>
          <t>No</t>
        </is>
      </c>
      <c r="V758" t="inlineStr">
        <is>
          <t>Bot tarafindan tespit edildi (2026-07-01)</t>
        </is>
      </c>
    </row>
    <row r="759">
      <c r="A759" t="inlineStr">
        <is>
          <t>T-0563</t>
        </is>
      </c>
      <c r="B759" t="inlineStr">
        <is>
          <t>Indraprastha Gas (IGL)</t>
        </is>
      </c>
      <c r="C759" t="inlineStr">
        <is>
          <t>Indraprastha Gas (IGL)</t>
        </is>
      </c>
      <c r="F759" t="inlineStr">
        <is>
          <t>New Lead</t>
        </is>
      </c>
      <c r="G759" t="inlineStr">
        <is>
          <t>Regulating station</t>
        </is>
      </c>
      <c r="H759" t="inlineStr">
        <is>
          <t>View Tender</t>
        </is>
      </c>
      <c r="K759" t="inlineStr">
        <is>
          <t>Not found</t>
        </is>
      </c>
      <c r="L759" t="inlineStr">
        <is>
          <t>Unknown</t>
        </is>
      </c>
      <c r="T759" t="inlineStr">
        <is>
          <t>https://tenders.iglonline.net/tenderDetail/364/Active Tenders And Corrigendum-Addendum</t>
        </is>
      </c>
      <c r="U759" t="inlineStr">
        <is>
          <t>No</t>
        </is>
      </c>
      <c r="V759" t="inlineStr">
        <is>
          <t>Bot tarafindan tespit edildi (2026-07-01); Bot tespit/zenginlestirme (2026-07-01); meta:score=80;priority=High;source_type=html_table;closing_date=;equipment=Regulating station;reasons=equipment:Regulating station,station/skid keyword,document source; Bot clean extraction (2026-07-01); meta:score=90;priority=High;source_type=html_table;closing_date=;equipment=Regulating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760">
      <c r="A760" t="inlineStr">
        <is>
          <t>T-0564</t>
        </is>
      </c>
      <c r="B760" t="inlineStr">
        <is>
          <t>Indraprastha Gas (IGL)</t>
        </is>
      </c>
      <c r="C760" t="inlineStr">
        <is>
          <t>Indraprastha Gas (IGL)</t>
        </is>
      </c>
      <c r="D760" t="inlineStr">
        <is>
          <t>IGL/ET2/CP/CC18263</t>
        </is>
      </c>
      <c r="F760" t="inlineStr">
        <is>
          <t>Awarded</t>
        </is>
      </c>
      <c r="G760" t="inlineStr">
        <is>
          <t>RMS</t>
        </is>
      </c>
      <c r="H760" t="inlineStr">
        <is>
          <t>CORRIGENDUM_I_CC18232.pdf</t>
        </is>
      </c>
      <c r="K760" t="inlineStr">
        <is>
          <t>Not found</t>
        </is>
      </c>
      <c r="L760" t="inlineStr">
        <is>
          <t>Unknown</t>
        </is>
      </c>
      <c r="T760" t="inlineStr">
        <is>
          <t>https://tenders.iglonline.net/uploads/tender/CORRIGENDUM_I_CC18232.pdf</t>
        </is>
      </c>
      <c r="U760" t="inlineStr">
        <is>
          <t>No</t>
        </is>
      </c>
      <c r="V760"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t>
        </is>
      </c>
    </row>
    <row r="761">
      <c r="A761" t="inlineStr">
        <is>
          <t>T-0565</t>
        </is>
      </c>
      <c r="B761" t="inlineStr">
        <is>
          <t>Indraprastha Gas (IGL)</t>
        </is>
      </c>
      <c r="C761" t="inlineStr">
        <is>
          <t>Indraprastha Gas (IGL)</t>
        </is>
      </c>
      <c r="D761" t="inlineStr">
        <is>
          <t>IGL/ET2/CP/CC18263</t>
        </is>
      </c>
      <c r="F761" t="inlineStr">
        <is>
          <t>Awarded</t>
        </is>
      </c>
      <c r="G761" t="inlineStr">
        <is>
          <t>RMS</t>
        </is>
      </c>
      <c r="H761" t="inlineStr">
        <is>
          <t>CORRIGENDUM_II_CC18232.pdf</t>
        </is>
      </c>
      <c r="K761" t="inlineStr">
        <is>
          <t>Not found</t>
        </is>
      </c>
      <c r="L761" t="inlineStr">
        <is>
          <t>Unknown</t>
        </is>
      </c>
      <c r="T761" t="inlineStr">
        <is>
          <t>https://tenders.iglonline.net/uploads/tender/CORRIGENDUM_II_CC18232.pdf</t>
        </is>
      </c>
      <c r="U761" t="inlineStr">
        <is>
          <t>No</t>
        </is>
      </c>
      <c r="V761"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t>
        </is>
      </c>
    </row>
    <row r="762">
      <c r="A762" t="inlineStr">
        <is>
          <t>T-0566</t>
        </is>
      </c>
      <c r="B762" t="inlineStr">
        <is>
          <t>Indraprastha Gas (IGL)</t>
        </is>
      </c>
      <c r="C762" t="inlineStr">
        <is>
          <t>Indraprastha Gas (IGL)</t>
        </is>
      </c>
      <c r="D762" t="inlineStr">
        <is>
          <t>QUERIES</t>
        </is>
      </c>
      <c r="F762" t="inlineStr">
        <is>
          <t>Awarded</t>
        </is>
      </c>
      <c r="G762" t="inlineStr">
        <is>
          <t>RMS</t>
        </is>
      </c>
      <c r="H762" t="inlineStr">
        <is>
          <t>RPBQ-CC18232.pdf</t>
        </is>
      </c>
      <c r="I762" t="inlineStr">
        <is>
          <t>2</t>
        </is>
      </c>
      <c r="K762" t="inlineStr">
        <is>
          <t>Not found</t>
        </is>
      </c>
      <c r="L762" t="inlineStr">
        <is>
          <t>Unknown</t>
        </is>
      </c>
      <c r="T762" t="inlineStr">
        <is>
          <t>https://tenders.iglonline.net/uploads/tender/RPBQ-CC18232.pdf</t>
        </is>
      </c>
      <c r="U762" t="inlineStr">
        <is>
          <t>No</t>
        </is>
      </c>
      <c r="V762" t="inlineStr">
        <is>
          <t>Bot tarafindan tespit edildi (2026-07-01) | Bot enrich; date=2026-07-01; type=pdf; score=330; pdf_conf=Medium; Bot tespit/zenginlestirme (2026-07-01); meta:score=80;priority=High;source_type=html_table;closing_date=None;equipment=Regulating station;reasons=equipment:Regulating station,station/skid keyword,document source</t>
        </is>
      </c>
    </row>
    <row r="763">
      <c r="A763" t="inlineStr">
        <is>
          <t>T-0567</t>
        </is>
      </c>
      <c r="B763" t="inlineStr">
        <is>
          <t>Indraprastha Gas (IGL)</t>
        </is>
      </c>
      <c r="C763" t="inlineStr">
        <is>
          <t>Indraprastha Gas (IGL)</t>
        </is>
      </c>
      <c r="D763" t="inlineStr">
        <is>
          <t>IGL/ET2/CP/CC18232</t>
        </is>
      </c>
      <c r="F763" t="inlineStr">
        <is>
          <t>Awarded</t>
        </is>
      </c>
      <c r="G763" t="inlineStr">
        <is>
          <t>RMS</t>
        </is>
      </c>
      <c r="H763" t="inlineStr">
        <is>
          <t>CORRIGENDUM_III_CC18232.pdf</t>
        </is>
      </c>
      <c r="K763" t="inlineStr">
        <is>
          <t>Not found</t>
        </is>
      </c>
      <c r="L763" t="inlineStr">
        <is>
          <t>Unknown</t>
        </is>
      </c>
      <c r="T763" t="inlineStr">
        <is>
          <t>https://tenders.iglonline.net/uploads/tender/CORRIGENDUM_III_CC18232.pdf</t>
        </is>
      </c>
      <c r="U763" t="inlineStr">
        <is>
          <t>No</t>
        </is>
      </c>
      <c r="V763"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t>
        </is>
      </c>
    </row>
    <row r="764">
      <c r="A764" t="inlineStr">
        <is>
          <t>T-0568</t>
        </is>
      </c>
      <c r="B764" t="inlineStr">
        <is>
          <t>Indraprastha Gas (IGL)</t>
        </is>
      </c>
      <c r="C764" t="inlineStr">
        <is>
          <t>Indraprastha Gas (IGL)</t>
        </is>
      </c>
      <c r="D764" t="inlineStr">
        <is>
          <t>IGL/ET2/CP/CC18232</t>
        </is>
      </c>
      <c r="F764" t="inlineStr">
        <is>
          <t>Awarded</t>
        </is>
      </c>
      <c r="G764" t="inlineStr">
        <is>
          <t>RMS</t>
        </is>
      </c>
      <c r="H764" t="inlineStr">
        <is>
          <t>CORRIGENDUM IV_CC18232.pdf</t>
        </is>
      </c>
      <c r="K764" t="inlineStr">
        <is>
          <t>Not found</t>
        </is>
      </c>
      <c r="L764" t="inlineStr">
        <is>
          <t>Unknown</t>
        </is>
      </c>
      <c r="T764" t="inlineStr">
        <is>
          <t>https://tenders.iglonline.net/uploads/tender/CORRIGENDUM IV_CC18232.pdf</t>
        </is>
      </c>
      <c r="U764" t="inlineStr">
        <is>
          <t>No</t>
        </is>
      </c>
      <c r="V764"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t>
        </is>
      </c>
    </row>
    <row r="765">
      <c r="A765" t="inlineStr">
        <is>
          <t>T-0569</t>
        </is>
      </c>
      <c r="B765" t="inlineStr">
        <is>
          <t>Indraprastha Gas (IGL)</t>
        </is>
      </c>
      <c r="C765" t="inlineStr">
        <is>
          <t>Indraprastha Gas (IGL)</t>
        </is>
      </c>
      <c r="D765" t="inlineStr">
        <is>
          <t>IGL/ET2/CP/CC18232</t>
        </is>
      </c>
      <c r="F765" t="inlineStr">
        <is>
          <t>Awarded</t>
        </is>
      </c>
      <c r="G765" t="inlineStr">
        <is>
          <t>RMS</t>
        </is>
      </c>
      <c r="H765" t="inlineStr">
        <is>
          <t>CC18232_CORRIGENDUM-V.pdf</t>
        </is>
      </c>
      <c r="K765" t="inlineStr">
        <is>
          <t>Not found</t>
        </is>
      </c>
      <c r="L765" t="inlineStr">
        <is>
          <t>Unknown</t>
        </is>
      </c>
      <c r="T765" t="inlineStr">
        <is>
          <t>https://tenders.iglonline.net/uploads/tender/CC18232_CORRIGENDUM-V.pdf</t>
        </is>
      </c>
      <c r="U765" t="inlineStr">
        <is>
          <t>No</t>
        </is>
      </c>
      <c r="V765"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t>
        </is>
      </c>
    </row>
    <row r="766">
      <c r="A766" t="inlineStr">
        <is>
          <t>T-0570</t>
        </is>
      </c>
      <c r="B766" t="inlineStr">
        <is>
          <t>Indraprastha Gas (IGL)</t>
        </is>
      </c>
      <c r="C766" t="inlineStr">
        <is>
          <t>Indraprastha Gas (IGL)</t>
        </is>
      </c>
      <c r="F766" t="inlineStr">
        <is>
          <t>New Lead</t>
        </is>
      </c>
      <c r="H766" t="inlineStr">
        <is>
          <t>View Tender</t>
        </is>
      </c>
      <c r="K766" t="inlineStr">
        <is>
          <t>Not found</t>
        </is>
      </c>
      <c r="L766" t="inlineStr">
        <is>
          <t>Unknown</t>
        </is>
      </c>
      <c r="T766" t="inlineStr">
        <is>
          <t>https://tenders.iglonline.net/tenderDetail/363/Active Tenders And Corrigendum-Addendum</t>
        </is>
      </c>
      <c r="U766" t="inlineStr">
        <is>
          <t>No</t>
        </is>
      </c>
      <c r="V766" t="inlineStr">
        <is>
          <t>Bot tarafindan tespit edildi (2026-07-01)</t>
        </is>
      </c>
    </row>
    <row r="767">
      <c r="A767" t="inlineStr">
        <is>
          <t>T-0571</t>
        </is>
      </c>
      <c r="B767" t="inlineStr">
        <is>
          <t>Indraprastha Gas (IGL)</t>
        </is>
      </c>
      <c r="C767" t="inlineStr">
        <is>
          <t>Indraprastha Gas (IGL)</t>
        </is>
      </c>
      <c r="F767" t="inlineStr">
        <is>
          <t>New Lead</t>
        </is>
      </c>
      <c r="H767" t="inlineStr">
        <is>
          <t>Corrigendum_-1_(1).pdf</t>
        </is>
      </c>
      <c r="K767" t="inlineStr">
        <is>
          <t>Not found</t>
        </is>
      </c>
      <c r="L767" t="inlineStr">
        <is>
          <t>Unknown</t>
        </is>
      </c>
      <c r="T767" t="inlineStr">
        <is>
          <t>https://tenders.iglonline.net/uploads/tender/Corrigendum_-1_(1).pdf</t>
        </is>
      </c>
      <c r="U767" t="inlineStr">
        <is>
          <t>No</t>
        </is>
      </c>
      <c r="V767" t="inlineStr">
        <is>
          <t>Bot tarafindan tespit edildi (2026-07-01)</t>
        </is>
      </c>
    </row>
    <row r="768">
      <c r="A768" t="inlineStr">
        <is>
          <t>T-0572</t>
        </is>
      </c>
      <c r="B768" t="inlineStr">
        <is>
          <t>Indraprastha Gas (IGL)</t>
        </is>
      </c>
      <c r="C768" t="inlineStr">
        <is>
          <t>Indraprastha Gas (IGL)</t>
        </is>
      </c>
      <c r="F768" t="inlineStr">
        <is>
          <t>New Lead</t>
        </is>
      </c>
      <c r="H768" t="inlineStr">
        <is>
          <t>RTPBQ_(3).pdf</t>
        </is>
      </c>
      <c r="K768" t="inlineStr">
        <is>
          <t>Not found</t>
        </is>
      </c>
      <c r="L768" t="inlineStr">
        <is>
          <t>Unknown</t>
        </is>
      </c>
      <c r="T768" t="inlineStr">
        <is>
          <t>https://tenders.iglonline.net/uploads/tender/RTPBQ_(3).pdf</t>
        </is>
      </c>
      <c r="U768" t="inlineStr">
        <is>
          <t>No</t>
        </is>
      </c>
      <c r="V768" t="inlineStr">
        <is>
          <t>Bot tarafindan tespit edildi (2026-07-01)</t>
        </is>
      </c>
    </row>
    <row r="769">
      <c r="A769" t="inlineStr">
        <is>
          <t>T-0573</t>
        </is>
      </c>
      <c r="B769" t="inlineStr">
        <is>
          <t>Indraprastha Gas (IGL)</t>
        </is>
      </c>
      <c r="C769" t="inlineStr">
        <is>
          <t>Indraprastha Gas (IGL)</t>
        </is>
      </c>
      <c r="F769" t="inlineStr">
        <is>
          <t>New Lead</t>
        </is>
      </c>
      <c r="H769" t="inlineStr">
        <is>
          <t>View Tender</t>
        </is>
      </c>
      <c r="K769" t="inlineStr">
        <is>
          <t>Not found</t>
        </is>
      </c>
      <c r="L769" t="inlineStr">
        <is>
          <t>Unknown</t>
        </is>
      </c>
      <c r="T769" t="inlineStr">
        <is>
          <t>https://tenders.iglonline.net/tenderDetail/362/Active Tenders And Corrigendum-Addendum</t>
        </is>
      </c>
      <c r="U769" t="inlineStr">
        <is>
          <t>No</t>
        </is>
      </c>
      <c r="V769" t="inlineStr">
        <is>
          <t>Bot tarafindan tespit edildi (2026-07-01)</t>
        </is>
      </c>
    </row>
    <row r="770">
      <c r="A770" t="inlineStr">
        <is>
          <t>T-0574</t>
        </is>
      </c>
      <c r="B770" t="inlineStr">
        <is>
          <t>Indraprastha Gas (IGL)</t>
        </is>
      </c>
      <c r="C770" t="inlineStr">
        <is>
          <t>Indraprastha Gas (IGL)</t>
        </is>
      </c>
      <c r="F770" t="inlineStr">
        <is>
          <t>New Lead</t>
        </is>
      </c>
      <c r="H770" t="inlineStr">
        <is>
          <t>View Tender</t>
        </is>
      </c>
      <c r="K770" t="inlineStr">
        <is>
          <t>Not found</t>
        </is>
      </c>
      <c r="L770" t="inlineStr">
        <is>
          <t>Unknown</t>
        </is>
      </c>
      <c r="T770" t="inlineStr">
        <is>
          <t>https://tenders.iglonline.net/tenderDetail/361/Active Tenders And Corrigendum-Addendum</t>
        </is>
      </c>
      <c r="U770" t="inlineStr">
        <is>
          <t>No</t>
        </is>
      </c>
      <c r="V770" t="inlineStr">
        <is>
          <t>Bot tarafindan tespit edildi (2026-07-01)</t>
        </is>
      </c>
    </row>
    <row r="771">
      <c r="A771" t="inlineStr">
        <is>
          <t>T-0575</t>
        </is>
      </c>
      <c r="B771" t="inlineStr">
        <is>
          <t>Indraprastha Gas (IGL)</t>
        </is>
      </c>
      <c r="C771" t="inlineStr">
        <is>
          <t>Indraprastha Gas (IGL)</t>
        </is>
      </c>
      <c r="F771" t="inlineStr">
        <is>
          <t>New Lead</t>
        </is>
      </c>
      <c r="G771" t="inlineStr">
        <is>
          <t>Gas-related / review</t>
        </is>
      </c>
      <c r="H771" t="inlineStr">
        <is>
          <t>Corrigendum_1_CP18157_(1).pdf</t>
        </is>
      </c>
      <c r="K771" t="inlineStr">
        <is>
          <t>Not found</t>
        </is>
      </c>
      <c r="L771" t="inlineStr">
        <is>
          <t>Unknown</t>
        </is>
      </c>
      <c r="T771" t="inlineStr">
        <is>
          <t>https://tenders.iglonline.net/uploads/tender/Corrigendum_1_CP18157_(1).pdf</t>
        </is>
      </c>
      <c r="U771" t="inlineStr">
        <is>
          <t>No</t>
        </is>
      </c>
      <c r="V771" t="inlineStr">
        <is>
          <t>Bot tarafindan tespit edildi (2026-07-01); Bot tespit/zenginlestirme (2026-07-01); meta:score=35;priority=Low;source_type=html_table;closing_date=;equipment=Gas-related / review;reasons=equipment:Gas-related / review,document source</t>
        </is>
      </c>
    </row>
    <row r="772">
      <c r="A772" t="inlineStr">
        <is>
          <t>T-0576</t>
        </is>
      </c>
      <c r="B772" t="inlineStr">
        <is>
          <t>Indraprastha Gas (IGL)</t>
        </is>
      </c>
      <c r="C772" t="inlineStr">
        <is>
          <t>Indraprastha Gas (IGL)</t>
        </is>
      </c>
      <c r="F772" t="inlineStr">
        <is>
          <t>New Lead</t>
        </is>
      </c>
      <c r="G772" t="inlineStr">
        <is>
          <t>Gas-related / review</t>
        </is>
      </c>
      <c r="H772" t="inlineStr">
        <is>
          <t>Corrigendum_2_CP18157.pdf</t>
        </is>
      </c>
      <c r="K772" t="inlineStr">
        <is>
          <t>Not found</t>
        </is>
      </c>
      <c r="L772" t="inlineStr">
        <is>
          <t>Unknown</t>
        </is>
      </c>
      <c r="T772" t="inlineStr">
        <is>
          <t>https://tenders.iglonline.net/uploads/tender/Corrigendum_2_CP18157.pdf</t>
        </is>
      </c>
      <c r="U772" t="inlineStr">
        <is>
          <t>No</t>
        </is>
      </c>
      <c r="V772" t="inlineStr">
        <is>
          <t>Bot tarafindan tespit edildi (2026-07-01); Bot tespit/zenginlestirme (2026-07-01); meta:score=35;priority=Low;source_type=html_table;closing_date=;equipment=Gas-related / review;reasons=equipment:Gas-related / review,document source</t>
        </is>
      </c>
    </row>
    <row r="773">
      <c r="A773" t="inlineStr">
        <is>
          <t>T-0577</t>
        </is>
      </c>
      <c r="B773" t="inlineStr">
        <is>
          <t>Indraprastha Gas (IGL)</t>
        </is>
      </c>
      <c r="C773" t="inlineStr">
        <is>
          <t>Indraprastha Gas (IGL)</t>
        </is>
      </c>
      <c r="F773" t="inlineStr">
        <is>
          <t>New Lead</t>
        </is>
      </c>
      <c r="G773" t="inlineStr">
        <is>
          <t>Gas-related / review</t>
        </is>
      </c>
      <c r="H773" t="inlineStr">
        <is>
          <t>RTBQ_(1).pdf</t>
        </is>
      </c>
      <c r="K773" t="inlineStr">
        <is>
          <t>Not found</t>
        </is>
      </c>
      <c r="L773" t="inlineStr">
        <is>
          <t>Unknown</t>
        </is>
      </c>
      <c r="T773" t="inlineStr">
        <is>
          <t>https://tenders.iglonline.net/uploads/tender/RTBQ_(1).pdf</t>
        </is>
      </c>
      <c r="U773" t="inlineStr">
        <is>
          <t>No</t>
        </is>
      </c>
      <c r="V773" t="inlineStr">
        <is>
          <t>Bot tarafindan tespit edildi (2026-07-01); Bot tespit/zenginlestirme (2026-07-01); meta:score=35;priority=Low;source_type=html_table;closing_date=;equipment=Gas-related / review;reasons=equipment:Gas-related / review,document source</t>
        </is>
      </c>
    </row>
    <row r="774">
      <c r="A774" t="inlineStr">
        <is>
          <t>T-0578</t>
        </is>
      </c>
      <c r="B774" t="inlineStr">
        <is>
          <t>Indraprastha Gas (IGL)</t>
        </is>
      </c>
      <c r="C774" t="inlineStr">
        <is>
          <t>Indraprastha Gas (IGL)</t>
        </is>
      </c>
      <c r="F774" t="inlineStr">
        <is>
          <t>New Lead</t>
        </is>
      </c>
      <c r="H774" t="inlineStr">
        <is>
          <t>View Tender</t>
        </is>
      </c>
      <c r="K774" t="inlineStr">
        <is>
          <t>Not found</t>
        </is>
      </c>
      <c r="L774" t="inlineStr">
        <is>
          <t>Unknown</t>
        </is>
      </c>
      <c r="T774" t="inlineStr">
        <is>
          <t>https://tenders.iglonline.net/tenderDetail/360/Active Tenders And Corrigendum-Addendum</t>
        </is>
      </c>
      <c r="U774" t="inlineStr">
        <is>
          <t>No</t>
        </is>
      </c>
      <c r="V774" t="inlineStr">
        <is>
          <t>Bot tarafindan tespit edildi (2026-07-01)</t>
        </is>
      </c>
    </row>
    <row r="775">
      <c r="A775" t="inlineStr">
        <is>
          <t>T-0579</t>
        </is>
      </c>
      <c r="B775" t="inlineStr">
        <is>
          <t>Indraprastha Gas (IGL)</t>
        </is>
      </c>
      <c r="C775" t="inlineStr">
        <is>
          <t>Indraprastha Gas (IGL)</t>
        </is>
      </c>
      <c r="F775" t="inlineStr">
        <is>
          <t>New Lead</t>
        </is>
      </c>
      <c r="H775" t="inlineStr">
        <is>
          <t>Link_for_Pre_Bid_Meeting.pdf</t>
        </is>
      </c>
      <c r="K775" t="inlineStr">
        <is>
          <t>Not found</t>
        </is>
      </c>
      <c r="L775" t="inlineStr">
        <is>
          <t>Unknown</t>
        </is>
      </c>
      <c r="T775" t="inlineStr">
        <is>
          <t>https://tenders.iglonline.net/uploads/tender/Link_for_Pre_Bid_Meeting.pdf</t>
        </is>
      </c>
      <c r="U775" t="inlineStr">
        <is>
          <t>No</t>
        </is>
      </c>
      <c r="V775" t="inlineStr">
        <is>
          <t>Bot tarafindan tespit edildi (2026-07-01)</t>
        </is>
      </c>
    </row>
    <row r="776">
      <c r="A776" t="inlineStr">
        <is>
          <t>T-0580</t>
        </is>
      </c>
      <c r="B776" t="inlineStr">
        <is>
          <t>Indraprastha Gas (IGL)</t>
        </is>
      </c>
      <c r="C776" t="inlineStr">
        <is>
          <t>Indraprastha Gas (IGL)</t>
        </is>
      </c>
      <c r="F776" t="inlineStr">
        <is>
          <t>New Lead</t>
        </is>
      </c>
      <c r="H776" t="inlineStr">
        <is>
          <t>CORRIGENDUM_I1.pdf</t>
        </is>
      </c>
      <c r="K776" t="inlineStr">
        <is>
          <t>Not found</t>
        </is>
      </c>
      <c r="L776" t="inlineStr">
        <is>
          <t>Unknown</t>
        </is>
      </c>
      <c r="T776" t="inlineStr">
        <is>
          <t>https://tenders.iglonline.net/uploads/tender/CORRIGENDUM_I1.pdf</t>
        </is>
      </c>
      <c r="U776" t="inlineStr">
        <is>
          <t>No</t>
        </is>
      </c>
      <c r="V776" t="inlineStr">
        <is>
          <t>Bot tarafindan tespit edildi (2026-07-01)</t>
        </is>
      </c>
    </row>
    <row r="777">
      <c r="A777" t="inlineStr">
        <is>
          <t>T-0581</t>
        </is>
      </c>
      <c r="B777" t="inlineStr">
        <is>
          <t>Indraprastha Gas (IGL)</t>
        </is>
      </c>
      <c r="C777" t="inlineStr">
        <is>
          <t>Indraprastha Gas (IGL)</t>
        </is>
      </c>
      <c r="F777" t="inlineStr">
        <is>
          <t>New Lead</t>
        </is>
      </c>
      <c r="H777" t="inlineStr">
        <is>
          <t>Pre_Bid_Replies_CM18274.pdf</t>
        </is>
      </c>
      <c r="K777" t="inlineStr">
        <is>
          <t>Not found</t>
        </is>
      </c>
      <c r="L777" t="inlineStr">
        <is>
          <t>Unknown</t>
        </is>
      </c>
      <c r="T777" t="inlineStr">
        <is>
          <t>https://tenders.iglonline.net/uploads/tender/Pre_Bid_Replies_CM18274.pdf</t>
        </is>
      </c>
      <c r="U777" t="inlineStr">
        <is>
          <t>No</t>
        </is>
      </c>
      <c r="V777" t="inlineStr">
        <is>
          <t>Bot tarafindan tespit edildi (2026-07-01)</t>
        </is>
      </c>
    </row>
    <row r="778">
      <c r="A778" t="inlineStr">
        <is>
          <t>T-0582</t>
        </is>
      </c>
      <c r="B778" t="inlineStr">
        <is>
          <t>Indraprastha Gas (IGL)</t>
        </is>
      </c>
      <c r="C778" t="inlineStr">
        <is>
          <t>Indraprastha Gas (IGL)</t>
        </is>
      </c>
      <c r="F778" t="inlineStr">
        <is>
          <t>New Lead</t>
        </is>
      </c>
      <c r="H778" t="inlineStr">
        <is>
          <t>View Tender</t>
        </is>
      </c>
      <c r="K778" t="inlineStr">
        <is>
          <t>Not found</t>
        </is>
      </c>
      <c r="L778" t="inlineStr">
        <is>
          <t>Unknown</t>
        </is>
      </c>
      <c r="T778" t="inlineStr">
        <is>
          <t>https://tenders.iglonline.net/tenderDetail/359/Active Tenders And Corrigendum-Addendum</t>
        </is>
      </c>
      <c r="U778" t="inlineStr">
        <is>
          <t>No</t>
        </is>
      </c>
      <c r="V778" t="inlineStr">
        <is>
          <t>Bot tarafindan tespit edildi (2026-07-01)</t>
        </is>
      </c>
    </row>
    <row r="779">
      <c r="A779" t="inlineStr">
        <is>
          <t>T-0583</t>
        </is>
      </c>
      <c r="B779" t="inlineStr">
        <is>
          <t>Indraprastha Gas (IGL)</t>
        </is>
      </c>
      <c r="C779" t="inlineStr">
        <is>
          <t>Indraprastha Gas (IGL)</t>
        </is>
      </c>
      <c r="F779" t="inlineStr">
        <is>
          <t>New Lead</t>
        </is>
      </c>
      <c r="H779" t="inlineStr">
        <is>
          <t>Corrigendum-I_(1).pdf</t>
        </is>
      </c>
      <c r="K779" t="inlineStr">
        <is>
          <t>Not found</t>
        </is>
      </c>
      <c r="L779" t="inlineStr">
        <is>
          <t>Unknown</t>
        </is>
      </c>
      <c r="T779" t="inlineStr">
        <is>
          <t>https://tenders.iglonline.net/uploads/tender/Corrigendum-I_(1).pdf</t>
        </is>
      </c>
      <c r="U779" t="inlineStr">
        <is>
          <t>No</t>
        </is>
      </c>
      <c r="V779" t="inlineStr">
        <is>
          <t>Bot tarafindan tespit edildi (2026-07-01)</t>
        </is>
      </c>
    </row>
    <row r="780">
      <c r="A780" t="inlineStr">
        <is>
          <t>T-0584</t>
        </is>
      </c>
      <c r="B780" t="inlineStr">
        <is>
          <t>Indraprastha Gas (IGL)</t>
        </is>
      </c>
      <c r="C780" t="inlineStr">
        <is>
          <t>Indraprastha Gas (IGL)</t>
        </is>
      </c>
      <c r="F780" t="inlineStr">
        <is>
          <t>New Lead</t>
        </is>
      </c>
      <c r="H780" t="inlineStr">
        <is>
          <t>RTBQ1.pdf</t>
        </is>
      </c>
      <c r="K780" t="inlineStr">
        <is>
          <t>Not found</t>
        </is>
      </c>
      <c r="L780" t="inlineStr">
        <is>
          <t>Unknown</t>
        </is>
      </c>
      <c r="T780" t="inlineStr">
        <is>
          <t>https://tenders.iglonline.net/uploads/tender/RTBQ1.pdf</t>
        </is>
      </c>
      <c r="U780" t="inlineStr">
        <is>
          <t>No</t>
        </is>
      </c>
      <c r="V780" t="inlineStr">
        <is>
          <t>Bot tarafindan tespit edildi (2026-07-01)</t>
        </is>
      </c>
    </row>
    <row r="781">
      <c r="A781" t="inlineStr">
        <is>
          <t>T-0585</t>
        </is>
      </c>
      <c r="B781" t="inlineStr">
        <is>
          <t>Indraprastha Gas (IGL)</t>
        </is>
      </c>
      <c r="C781" t="inlineStr">
        <is>
          <t>Indraprastha Gas (IGL)</t>
        </is>
      </c>
      <c r="F781" t="inlineStr">
        <is>
          <t>New Lead</t>
        </is>
      </c>
      <c r="H781" t="inlineStr">
        <is>
          <t>Corrigendum-II1.pdf</t>
        </is>
      </c>
      <c r="K781" t="inlineStr">
        <is>
          <t>Not found</t>
        </is>
      </c>
      <c r="L781" t="inlineStr">
        <is>
          <t>Unknown</t>
        </is>
      </c>
      <c r="T781" t="inlineStr">
        <is>
          <t>https://tenders.iglonline.net/uploads/tender/Corrigendum-II1.pdf</t>
        </is>
      </c>
      <c r="U781" t="inlineStr">
        <is>
          <t>No</t>
        </is>
      </c>
      <c r="V781" t="inlineStr">
        <is>
          <t>Bot tarafindan tespit edildi (2026-07-01)</t>
        </is>
      </c>
    </row>
    <row r="782">
      <c r="A782" t="inlineStr">
        <is>
          <t>T-0586</t>
        </is>
      </c>
      <c r="B782" t="inlineStr">
        <is>
          <t>Indraprastha Gas (IGL)</t>
        </is>
      </c>
      <c r="C782" t="inlineStr">
        <is>
          <t>Indraprastha Gas (IGL)</t>
        </is>
      </c>
      <c r="F782" t="inlineStr">
        <is>
          <t>New Lead</t>
        </is>
      </c>
      <c r="G782" t="inlineStr">
        <is>
          <t>Domestic regulator</t>
        </is>
      </c>
      <c r="H782" t="inlineStr">
        <is>
          <t>View Tender</t>
        </is>
      </c>
      <c r="K782" t="inlineStr">
        <is>
          <t>Not found</t>
        </is>
      </c>
      <c r="L782" t="inlineStr">
        <is>
          <t>Unknown</t>
        </is>
      </c>
      <c r="T782" t="inlineStr">
        <is>
          <t>https://tenders.iglonline.net/tenderDetail/358/Active Tenders And Corrigendum-Addendum</t>
        </is>
      </c>
      <c r="U782" t="inlineStr">
        <is>
          <t>No</t>
        </is>
      </c>
      <c r="V782" t="inlineStr">
        <is>
          <t>Bot tarafindan tespit edildi (2026-07-01); Bot tespit/zenginlestirme (2026-07-01); meta:score=85;priority=High;source_type=html_table;closing_date=;equipment=Domestic regulator;reasons=equipment:Domestic regulator,target regulator keyword,document source; Bot clean extraction (2026-07-01); meta:score=90;priority=High;source_type=html_table;closing_date=;equipment=Domestic gas regulator;quality_status=market_target;market_relevance=High;document_type=corrigendum;unit_price_inr=;amount_label=;matched_terms=Domestic gas regulator;reject_reasons=;scope=market_intelligence_only;excluded_scope=no_bid_or_offer_submission_automation</t>
        </is>
      </c>
    </row>
    <row r="783">
      <c r="A783" t="inlineStr">
        <is>
          <t>T-0587</t>
        </is>
      </c>
      <c r="B783" t="inlineStr">
        <is>
          <t>Indraprastha Gas (IGL)</t>
        </is>
      </c>
      <c r="C783" t="inlineStr">
        <is>
          <t>Indraprastha Gas (IGL)</t>
        </is>
      </c>
      <c r="D783" t="inlineStr">
        <is>
          <t>IGL/ET2/CP/CP18278</t>
        </is>
      </c>
      <c r="F783" t="inlineStr">
        <is>
          <t>Awarded</t>
        </is>
      </c>
      <c r="G783" t="inlineStr">
        <is>
          <t>domestic regulator</t>
        </is>
      </c>
      <c r="H783" t="inlineStr">
        <is>
          <t>Corrigendum_1_CP182181.pdf</t>
        </is>
      </c>
      <c r="K783" t="inlineStr">
        <is>
          <t>shall furnish to the Purchaser the Contract Performance Bank Guarantee (CPBG) as below</t>
        </is>
      </c>
      <c r="L783" t="inlineStr">
        <is>
          <t>Unknown</t>
        </is>
      </c>
      <c r="T783" t="inlineStr">
        <is>
          <t>https://tenders.iglonline.net/uploads/tender/Corrigendum_1_CP182181.pdf</t>
        </is>
      </c>
      <c r="U783" t="inlineStr">
        <is>
          <t>No</t>
        </is>
      </c>
      <c r="V783" t="inlineStr">
        <is>
          <t>Bot tarafindan tespit edildi (2026-07-01) | Bot enrich; date=2026-07-01; type=pdf; score=330; pdf_conf=Medium; Bot tespit/zenginlestirme (2026-07-01); meta:score=85;priority=High;source_type=html_table;closing_date=None;equipment=Domestic regulator;reasons=equipment:Domestic regulator,target regulator keyword,document source; Bot clean extraction (2026-07-01); meta:score=90;priority=High;source_type=html_table;closing_date=None;equipment=Domestic gas regulator;quality_status=market_target;market_relevance=High;document_type=award;unit_price_inr=;amount_label=;matched_terms=Domestic gas regulator;reject_reasons=employment/corporate;scope=market_intelligence_only;excluded_scope=no_bid_or_offer_submission_automation</t>
        </is>
      </c>
    </row>
    <row r="784">
      <c r="A784" t="inlineStr">
        <is>
          <t>T-0588</t>
        </is>
      </c>
      <c r="B784" t="inlineStr">
        <is>
          <t>Indraprastha Gas (IGL)</t>
        </is>
      </c>
      <c r="C784" t="inlineStr">
        <is>
          <t>Indraprastha Gas (IGL)</t>
        </is>
      </c>
      <c r="D784" t="inlineStr">
        <is>
          <t>LOA /PO.</t>
        </is>
      </c>
      <c r="F784" t="inlineStr">
        <is>
          <t>Awarded</t>
        </is>
      </c>
      <c r="G784" t="inlineStr">
        <is>
          <t>domestic regulator</t>
        </is>
      </c>
      <c r="H784" t="inlineStr">
        <is>
          <t>Reply_to_Bidder_Queries.pdf</t>
        </is>
      </c>
      <c r="K784" t="inlineStr">
        <is>
          <t>Not found</t>
        </is>
      </c>
      <c r="L784" t="inlineStr">
        <is>
          <t>Unknown</t>
        </is>
      </c>
      <c r="T784" t="inlineStr">
        <is>
          <t>https://tenders.iglonline.net/uploads/tender/Reply_to_Bidder_Queries.pdf</t>
        </is>
      </c>
      <c r="U784" t="inlineStr">
        <is>
          <t>No</t>
        </is>
      </c>
      <c r="V784" t="inlineStr">
        <is>
          <t>Bot tarafindan tespit edildi (2026-07-01) | Bot enrich; date=2026-07-01; type=pdf; score=330; pdf_conf=Low; Bot tespit/zenginlestirme (2026-07-01); meta:score=85;priority=High;source_type=html_table;closing_date=None;equipment=Domestic regulator;reasons=equipment:Domestic regulator,target regulator keyword,document source; Bot clean extraction (2026-07-01); meta:score=90;priority=High;source_type=html_table;closing_date=None;equipment=Domestic gas regulator;quality_status=market_target;market_relevance=High;document_type=loa;unit_price_inr=;amount_label=;matched_terms=Domestic gas regulator,Service / pressure regulator,Industrial / commercial regulator;reject_reasons=;scope=market_intelligence_only;excluded_scope=no_bid_or_offer_submission_automation</t>
        </is>
      </c>
    </row>
    <row r="785">
      <c r="A785" t="inlineStr">
        <is>
          <t>T-0589</t>
        </is>
      </c>
      <c r="B785" t="inlineStr">
        <is>
          <t>Indraprastha Gas (IGL)</t>
        </is>
      </c>
      <c r="C785" t="inlineStr">
        <is>
          <t>Indraprastha Gas (IGL)</t>
        </is>
      </c>
      <c r="D785" t="inlineStr">
        <is>
          <t>IGL/ET2/CP/CP18278</t>
        </is>
      </c>
      <c r="F785" t="inlineStr">
        <is>
          <t>Awarded</t>
        </is>
      </c>
      <c r="G785" t="inlineStr">
        <is>
          <t>domestic regulator</t>
        </is>
      </c>
      <c r="H785" t="inlineStr">
        <is>
          <t>Corrigendum_2_CP18278.pdf</t>
        </is>
      </c>
      <c r="K785" t="inlineStr">
        <is>
          <t>Not found</t>
        </is>
      </c>
      <c r="L785" t="inlineStr">
        <is>
          <t>Unknown</t>
        </is>
      </c>
      <c r="T785" t="inlineStr">
        <is>
          <t>https://tenders.iglonline.net/uploads/tender/Corrigendum_2_CP18278.pdf</t>
        </is>
      </c>
      <c r="U785" t="inlineStr">
        <is>
          <t>No</t>
        </is>
      </c>
      <c r="V785" t="inlineStr">
        <is>
          <t>Bot tarafindan tespit edildi (2026-07-01) | Bot enrich; date=2026-07-01; type=pdf; score=330; pdf_conf=Low; Bot tespit/zenginlestirme (2026-07-01); meta:score=85;priority=High;source_type=html_table;closing_date=None;equipment=Domestic regulator;reasons=equipment:Domestic regulator,target regulator keyword,document source; Bot clean extraction (2026-07-01); meta:score=90;priority=High;source_type=html_table;closing_date=None;equipment=Domestic gas regulator;quality_status=market_target;market_relevance=High;document_type=corrigendum;unit_price_inr=;amount_label=;matched_terms=Domestic gas regulator;reject_reasons=employment/corporate;scope=market_intelligence_only;excluded_scope=no_bid_or_offer_submission_automation</t>
        </is>
      </c>
    </row>
    <row r="786">
      <c r="A786" t="inlineStr">
        <is>
          <t>T-0590</t>
        </is>
      </c>
      <c r="B786" t="inlineStr">
        <is>
          <t>Indraprastha Gas (IGL)</t>
        </is>
      </c>
      <c r="C786" t="inlineStr">
        <is>
          <t>Indraprastha Gas (IGL)</t>
        </is>
      </c>
      <c r="D786" t="inlineStr">
        <is>
          <t>DOCUMENT</t>
        </is>
      </c>
      <c r="F786" t="inlineStr">
        <is>
          <t>Awarded</t>
        </is>
      </c>
      <c r="G786" t="inlineStr">
        <is>
          <t>domestic regulator</t>
        </is>
      </c>
      <c r="H786" t="inlineStr">
        <is>
          <t>CP18278_(B).pdf</t>
        </is>
      </c>
      <c r="K786" t="inlineStr">
        <is>
          <t>Not found</t>
        </is>
      </c>
      <c r="L786" t="inlineStr">
        <is>
          <t>Unknown</t>
        </is>
      </c>
      <c r="T786" t="inlineStr">
        <is>
          <t>https://tenders.iglonline.net/uploads/tender/CP18278_(B).pdf</t>
        </is>
      </c>
      <c r="U786" t="inlineStr">
        <is>
          <t>No</t>
        </is>
      </c>
      <c r="V786" t="inlineStr">
        <is>
          <t>Bot tarafindan tespit edildi (2026-07-01) | Bot enrich; date=2026-07-01; type=pdf; score=330; pdf_conf=Low; Bot tespit/zenginlestirme (2026-07-01); meta:score=85;priority=High;source_type=html_table;closing_date=None;equipment=Domestic regulator;reasons=equipment:Domestic regulator,target regulator keyword,document source; Bot clean extraction (2026-07-01); meta:score=90;priority=High;source_type=html_table;closing_date=None;equipment=Domestic gas regulator;quality_status=market_target;market_relevance=High;document_type=corrigendum;unit_price_inr=;amount_label=;matched_terms=Domestic gas regulator;reject_reasons=;scope=market_intelligence_only;excluded_scope=no_bid_or_offer_submission_automation</t>
        </is>
      </c>
    </row>
    <row r="787">
      <c r="A787" t="inlineStr">
        <is>
          <t>T-0591</t>
        </is>
      </c>
      <c r="B787" t="inlineStr">
        <is>
          <t>Indraprastha Gas (IGL)</t>
        </is>
      </c>
      <c r="C787" t="inlineStr">
        <is>
          <t>Indraprastha Gas (IGL)</t>
        </is>
      </c>
      <c r="D787" t="inlineStr">
        <is>
          <t>clause</t>
        </is>
      </c>
      <c r="F787" t="inlineStr">
        <is>
          <t>Awarded</t>
        </is>
      </c>
      <c r="G787" t="inlineStr">
        <is>
          <t>domestic regulator</t>
        </is>
      </c>
      <c r="H787" t="inlineStr">
        <is>
          <t>CP18278_(A).pdf</t>
        </is>
      </c>
      <c r="K787" t="inlineStr">
        <is>
          <t>Not found</t>
        </is>
      </c>
      <c r="L787" t="inlineStr">
        <is>
          <t>Unknown</t>
        </is>
      </c>
      <c r="T787" t="inlineStr">
        <is>
          <t>https://tenders.iglonline.net/uploads/tender/CP18278_(A).pdf</t>
        </is>
      </c>
      <c r="U787" t="inlineStr">
        <is>
          <t>No</t>
        </is>
      </c>
      <c r="V787" t="inlineStr">
        <is>
          <t>Bot tarafindan tespit edildi (2026-07-01) | Bot enrich; date=2026-07-01; type=pdf; score=330; pdf_conf=Low; Bot tespit/zenginlestirme (2026-07-01); meta:score=85;priority=High;source_type=html_table;closing_date=None;equipment=Domestic regulator;reasons=equipment:Domestic regulator,target regulator keyword,document source; Bot clean extraction (2026-07-01); meta:score=90;priority=High;source_type=html_table;closing_date=None;equipment=Domestic gas regulator;quality_status=market_target;market_relevance=High;document_type=unknown;unit_price_inr=;amount_label=;matched_terms=Domestic gas regulator;reject_reasons=;scope=market_intelligence_only;excluded_scope=no_bid_or_offer_submission_automation</t>
        </is>
      </c>
    </row>
    <row r="788">
      <c r="A788" t="inlineStr">
        <is>
          <t>T-0592</t>
        </is>
      </c>
      <c r="B788" t="inlineStr">
        <is>
          <t>Indraprastha Gas (IGL)</t>
        </is>
      </c>
      <c r="C788" t="inlineStr">
        <is>
          <t>Indraprastha Gas (IGL)</t>
        </is>
      </c>
      <c r="D788" t="inlineStr">
        <is>
          <t>IGL/ET2/CP/CP18278</t>
        </is>
      </c>
      <c r="F788" t="inlineStr">
        <is>
          <t>Awarded</t>
        </is>
      </c>
      <c r="G788" t="inlineStr">
        <is>
          <t>domestic regulator</t>
        </is>
      </c>
      <c r="H788" t="inlineStr">
        <is>
          <t>CP18278_(E).pdf</t>
        </is>
      </c>
      <c r="K788" t="inlineStr">
        <is>
          <t>Not found</t>
        </is>
      </c>
      <c r="L788" t="inlineStr">
        <is>
          <t>Unknown</t>
        </is>
      </c>
      <c r="T788" t="inlineStr">
        <is>
          <t>https://tenders.iglonline.net/uploads/tender/CP18278_(E).pdf</t>
        </is>
      </c>
      <c r="U788" t="inlineStr">
        <is>
          <t>No</t>
        </is>
      </c>
      <c r="V788" t="inlineStr">
        <is>
          <t>Bot tarafindan tespit edildi (2026-07-01) | Bot enrich; date=2026-07-01; type=pdf; score=330; pdf_conf=Low; Bot tespit/zenginlestirme (2026-07-01); meta:score=85;priority=High;source_type=html_table;closing_date=None;equipment=Domestic regulator;reasons=equipment:Domestic regulator,target regulator keyword,document source; Bot clean extraction (2026-07-01); meta:score=90;priority=High;source_type=html_table;closing_date=None;equipment=Domestic gas regulator;quality_status=market_target;market_relevance=High;document_type=corrigendum;unit_price_inr=;amount_label=;matched_terms=Domestic gas regulator;reject_reasons=employment/corporate;scope=market_intelligence_only;excluded_scope=no_bid_or_offer_submission_automation</t>
        </is>
      </c>
    </row>
    <row r="789">
      <c r="A789" t="inlineStr">
        <is>
          <t>T-0593</t>
        </is>
      </c>
      <c r="B789" t="inlineStr">
        <is>
          <t>Indraprastha Gas (IGL)</t>
        </is>
      </c>
      <c r="C789" t="inlineStr">
        <is>
          <t>Indraprastha Gas (IGL)</t>
        </is>
      </c>
      <c r="F789" t="inlineStr">
        <is>
          <t>New Lead</t>
        </is>
      </c>
      <c r="H789" t="inlineStr">
        <is>
          <t>View Tender</t>
        </is>
      </c>
      <c r="K789" t="inlineStr">
        <is>
          <t>Not found</t>
        </is>
      </c>
      <c r="L789" t="inlineStr">
        <is>
          <t>Unknown</t>
        </is>
      </c>
      <c r="T789" t="inlineStr">
        <is>
          <t>https://tenders.iglonline.net/tenderDetail/357/Active Tenders And Corrigendum-Addendum</t>
        </is>
      </c>
      <c r="U789" t="inlineStr">
        <is>
          <t>No</t>
        </is>
      </c>
      <c r="V789" t="inlineStr">
        <is>
          <t>Bot tarafindan tespit edildi (2026-07-01)</t>
        </is>
      </c>
    </row>
    <row r="790">
      <c r="A790" t="inlineStr">
        <is>
          <t>T-0594</t>
        </is>
      </c>
      <c r="B790" t="inlineStr">
        <is>
          <t>Indraprastha Gas (IGL)</t>
        </is>
      </c>
      <c r="C790" t="inlineStr">
        <is>
          <t>Indraprastha Gas (IGL)</t>
        </is>
      </c>
      <c r="F790" t="inlineStr">
        <is>
          <t>New Lead</t>
        </is>
      </c>
      <c r="G790" t="inlineStr">
        <is>
          <t>Gas-related / review</t>
        </is>
      </c>
      <c r="H790" t="inlineStr">
        <is>
          <t>Corrigendum__I_1200_GED_CC18256.pdf</t>
        </is>
      </c>
      <c r="K790" t="inlineStr">
        <is>
          <t>Not found</t>
        </is>
      </c>
      <c r="L790" t="inlineStr">
        <is>
          <t>Unknown</t>
        </is>
      </c>
      <c r="T790" t="inlineStr">
        <is>
          <t>https://tenders.iglonline.net/uploads/tender/Corrigendum__I_1200_GED_CC18256.pdf</t>
        </is>
      </c>
      <c r="U790" t="inlineStr">
        <is>
          <t>No</t>
        </is>
      </c>
      <c r="V790" t="inlineStr">
        <is>
          <t>Bot tarafindan tespit edildi (2026-07-01); Bot tespit/zenginlestirme (2026-07-01); meta:score=35;priority=Low;source_type=html_table;closing_date=;equipment=Gas-related / review;reasons=equipment:Gas-related / review,document source</t>
        </is>
      </c>
    </row>
    <row r="791">
      <c r="A791" t="inlineStr">
        <is>
          <t>T-0595</t>
        </is>
      </c>
      <c r="B791" t="inlineStr">
        <is>
          <t>Indraprastha Gas (IGL)</t>
        </is>
      </c>
      <c r="C791" t="inlineStr">
        <is>
          <t>Indraprastha Gas (IGL)</t>
        </is>
      </c>
      <c r="F791" t="inlineStr">
        <is>
          <t>New Lead</t>
        </is>
      </c>
      <c r="G791" t="inlineStr">
        <is>
          <t>Gas-related / review</t>
        </is>
      </c>
      <c r="H791" t="inlineStr">
        <is>
          <t>RTBQ__1200_GED_CC18256.pdf</t>
        </is>
      </c>
      <c r="K791" t="inlineStr">
        <is>
          <t>Not found</t>
        </is>
      </c>
      <c r="L791" t="inlineStr">
        <is>
          <t>Unknown</t>
        </is>
      </c>
      <c r="T791" t="inlineStr">
        <is>
          <t>https://tenders.iglonline.net/uploads/tender/RTBQ__1200_GED_CC18256.pdf</t>
        </is>
      </c>
      <c r="U791" t="inlineStr">
        <is>
          <t>No</t>
        </is>
      </c>
      <c r="V791" t="inlineStr">
        <is>
          <t>Bot tarafindan tespit edildi (2026-07-01); Bot tespit/zenginlestirme (2026-07-01); meta:score=35;priority=Low;source_type=html_table;closing_date=;equipment=Gas-related / review;reasons=equipment:Gas-related / review,document source</t>
        </is>
      </c>
    </row>
    <row r="792">
      <c r="A792" t="inlineStr">
        <is>
          <t>T-0596</t>
        </is>
      </c>
      <c r="B792" t="inlineStr">
        <is>
          <t>Indraprastha Gas (IGL)</t>
        </is>
      </c>
      <c r="C792" t="inlineStr">
        <is>
          <t>Indraprastha Gas (IGL)</t>
        </is>
      </c>
      <c r="F792" t="inlineStr">
        <is>
          <t>New Lead</t>
        </is>
      </c>
      <c r="G792" t="inlineStr">
        <is>
          <t>Gas-related / review</t>
        </is>
      </c>
      <c r="H792" t="inlineStr">
        <is>
          <t>CORRIGENDUM_II_CC18256.pdf</t>
        </is>
      </c>
      <c r="K792" t="inlineStr">
        <is>
          <t>Not found</t>
        </is>
      </c>
      <c r="L792" t="inlineStr">
        <is>
          <t>Unknown</t>
        </is>
      </c>
      <c r="T792" t="inlineStr">
        <is>
          <t>https://tenders.iglonline.net/uploads/tender/CORRIGENDUM_II_CC18256.pdf</t>
        </is>
      </c>
      <c r="U792" t="inlineStr">
        <is>
          <t>No</t>
        </is>
      </c>
      <c r="V792" t="inlineStr">
        <is>
          <t>Bot tarafindan tespit edildi (2026-07-01); Bot tespit/zenginlestirme (2026-07-01); meta:score=35;priority=Low;source_type=html_table;closing_date=;equipment=Gas-related / review;reasons=equipment:Gas-related / review,document source</t>
        </is>
      </c>
    </row>
    <row r="793">
      <c r="A793" t="inlineStr">
        <is>
          <t>T-0597</t>
        </is>
      </c>
      <c r="B793" t="inlineStr">
        <is>
          <t>Indraprastha Gas (IGL)</t>
        </is>
      </c>
      <c r="C793" t="inlineStr">
        <is>
          <t>Indraprastha Gas (IGL)</t>
        </is>
      </c>
      <c r="F793" t="inlineStr">
        <is>
          <t>New Lead</t>
        </is>
      </c>
      <c r="G793" t="inlineStr">
        <is>
          <t>Gas-related / review</t>
        </is>
      </c>
      <c r="H793" t="inlineStr">
        <is>
          <t>Corrigendum_III_CC18256.pdf</t>
        </is>
      </c>
      <c r="K793" t="inlineStr">
        <is>
          <t>Not found</t>
        </is>
      </c>
      <c r="L793" t="inlineStr">
        <is>
          <t>Unknown</t>
        </is>
      </c>
      <c r="T793" t="inlineStr">
        <is>
          <t>https://tenders.iglonline.net/uploads/tender/Corrigendum_III_CC18256.pdf</t>
        </is>
      </c>
      <c r="U793" t="inlineStr">
        <is>
          <t>No</t>
        </is>
      </c>
      <c r="V793" t="inlineStr">
        <is>
          <t>Bot tarafindan tespit edildi (2026-07-01); Bot tespit/zenginlestirme (2026-07-01); meta:score=35;priority=Low;source_type=html_table;closing_date=;equipment=Gas-related / review;reasons=equipment:Gas-related / review,document source</t>
        </is>
      </c>
    </row>
    <row r="794">
      <c r="A794" t="inlineStr">
        <is>
          <t>T-0598</t>
        </is>
      </c>
      <c r="B794" t="inlineStr">
        <is>
          <t>Indraprastha Gas (IGL)</t>
        </is>
      </c>
      <c r="C794" t="inlineStr">
        <is>
          <t>Indraprastha Gas (IGL)</t>
        </is>
      </c>
      <c r="F794" t="inlineStr">
        <is>
          <t>New Lead</t>
        </is>
      </c>
      <c r="G794" t="inlineStr">
        <is>
          <t>Gas-related / review</t>
        </is>
      </c>
      <c r="H794" t="inlineStr">
        <is>
          <t>Corrigendum_IV_CC18256.pdf</t>
        </is>
      </c>
      <c r="K794" t="inlineStr">
        <is>
          <t>Not found</t>
        </is>
      </c>
      <c r="L794" t="inlineStr">
        <is>
          <t>Unknown</t>
        </is>
      </c>
      <c r="T794" t="inlineStr">
        <is>
          <t>https://tenders.iglonline.net/uploads/tender/Corrigendum_IV_CC18256.pdf</t>
        </is>
      </c>
      <c r="U794" t="inlineStr">
        <is>
          <t>No</t>
        </is>
      </c>
      <c r="V794" t="inlineStr">
        <is>
          <t>Bot tarafindan tespit edildi (2026-07-01); Bot tespit/zenginlestirme (2026-07-01); meta:score=35;priority=Low;source_type=html_table;closing_date=;equipment=Gas-related / review;reasons=equipment:Gas-related / review,document source</t>
        </is>
      </c>
    </row>
    <row r="795">
      <c r="A795" t="inlineStr">
        <is>
          <t>T-0599</t>
        </is>
      </c>
      <c r="B795" t="inlineStr">
        <is>
          <t>Indraprastha Gas (IGL)</t>
        </is>
      </c>
      <c r="C795" t="inlineStr">
        <is>
          <t>Indraprastha Gas (IGL)</t>
        </is>
      </c>
      <c r="F795" t="inlineStr">
        <is>
          <t>New Lead</t>
        </is>
      </c>
      <c r="H795" t="inlineStr">
        <is>
          <t>View Tender</t>
        </is>
      </c>
      <c r="K795" t="inlineStr">
        <is>
          <t>Not found</t>
        </is>
      </c>
      <c r="L795" t="inlineStr">
        <is>
          <t>Unknown</t>
        </is>
      </c>
      <c r="T795" t="inlineStr">
        <is>
          <t>https://tenders.iglonline.net/tenderDetail/356/Active Tenders And Corrigendum-Addendum</t>
        </is>
      </c>
      <c r="U795" t="inlineStr">
        <is>
          <t>No</t>
        </is>
      </c>
      <c r="V795" t="inlineStr">
        <is>
          <t>Bot tarafindan tespit edildi (2026-07-01)</t>
        </is>
      </c>
    </row>
    <row r="796">
      <c r="A796" t="inlineStr">
        <is>
          <t>T-0600</t>
        </is>
      </c>
      <c r="B796" t="inlineStr">
        <is>
          <t>Indraprastha Gas (IGL)</t>
        </is>
      </c>
      <c r="C796" t="inlineStr">
        <is>
          <t>Indraprastha Gas (IGL)</t>
        </is>
      </c>
      <c r="D796" t="inlineStr">
        <is>
          <t>DOCUMENT</t>
        </is>
      </c>
      <c r="E796" t="inlineStr">
        <is>
          <t>2024-12-18</t>
        </is>
      </c>
      <c r="F796" t="inlineStr">
        <is>
          <t>Awarded</t>
        </is>
      </c>
      <c r="G796" t="inlineStr">
        <is>
          <t>Gas-related / review</t>
        </is>
      </c>
      <c r="H796" t="inlineStr">
        <is>
          <t>Corrigendum_I_1200_EMD_CC18263.pdf</t>
        </is>
      </c>
      <c r="K796" t="inlineStr">
        <is>
          <t>Not found</t>
        </is>
      </c>
      <c r="L796" t="inlineStr">
        <is>
          <t>Unknown</t>
        </is>
      </c>
      <c r="T796" t="inlineStr">
        <is>
          <t>https://tenders.iglonline.net/uploads/tender/Corrigendum_I_1200_EMD_CC18263.pdf</t>
        </is>
      </c>
      <c r="U796" t="inlineStr">
        <is>
          <t>No</t>
        </is>
      </c>
      <c r="V796" t="inlineStr">
        <is>
          <t>Bot tarafindan tespit edildi (2026-07-01) | Bot enrich; date=2026-07-01; type=pdf; score=240; pdf_conf=Low; Bot tespit/zenginlestirme (2026-07-01); meta:score=35;priority=Low;source_type=html_table;closing_date=;equipment=Gas-related / review;reasons=equipment:Gas-related / review,document source</t>
        </is>
      </c>
    </row>
    <row r="797">
      <c r="A797" t="inlineStr">
        <is>
          <t>T-0601</t>
        </is>
      </c>
      <c r="B797" t="inlineStr">
        <is>
          <t>Indraprastha Gas (IGL)</t>
        </is>
      </c>
      <c r="C797" t="inlineStr">
        <is>
          <t>Indraprastha Gas (IGL)</t>
        </is>
      </c>
      <c r="D797" t="inlineStr">
        <is>
          <t>loading</t>
        </is>
      </c>
      <c r="E797" t="inlineStr">
        <is>
          <t>2024-12-18</t>
        </is>
      </c>
      <c r="F797" t="inlineStr">
        <is>
          <t>Awarded</t>
        </is>
      </c>
      <c r="G797" t="inlineStr">
        <is>
          <t>Metering skid</t>
        </is>
      </c>
      <c r="H797" t="inlineStr">
        <is>
          <t>RTBQ_1200_EMD_CC18263_(1).pdf</t>
        </is>
      </c>
      <c r="K797" t="inlineStr">
        <is>
          <t>Not found</t>
        </is>
      </c>
      <c r="L797" t="inlineStr">
        <is>
          <t>Unknown</t>
        </is>
      </c>
      <c r="M797" t="n">
        <v>2000000</v>
      </c>
      <c r="T797" t="inlineStr">
        <is>
          <t>https://tenders.iglonline.net/uploads/tender/RTBQ_1200_EMD_CC18263_(1).pdf</t>
        </is>
      </c>
      <c r="U797" t="inlineStr">
        <is>
          <t>No</t>
        </is>
      </c>
      <c r="V797" t="inlineStr">
        <is>
          <t>Bot tarafindan tespit edildi (2026-07-01) | Bot enrich; date=2026-07-01; type=pdf; score=240; pdf_conf=Medium; Bot tespit/zenginlestirme (2026-07-01); meta:score=35;priority=Low;source_type=html_table;closing_date=;equipment=Gas-related / review;reasons=equipment:Gas-related / review,document source</t>
        </is>
      </c>
    </row>
    <row r="798">
      <c r="A798" t="inlineStr">
        <is>
          <t>T-0602</t>
        </is>
      </c>
      <c r="B798" t="inlineStr">
        <is>
          <t>Indraprastha Gas (IGL)</t>
        </is>
      </c>
      <c r="C798" t="inlineStr">
        <is>
          <t>Indraprastha Gas (IGL)</t>
        </is>
      </c>
      <c r="D798" t="inlineStr">
        <is>
          <t>IGL/ET2/CP/CC18263</t>
        </is>
      </c>
      <c r="E798" t="inlineStr">
        <is>
          <t>2024-12-18</t>
        </is>
      </c>
      <c r="F798" t="inlineStr">
        <is>
          <t>Awarded</t>
        </is>
      </c>
      <c r="G798" t="inlineStr">
        <is>
          <t>Metering skid</t>
        </is>
      </c>
      <c r="H798" t="inlineStr">
        <is>
          <t>CORRIGENDUM_II_CC18263.pdf</t>
        </is>
      </c>
      <c r="K798" t="inlineStr">
        <is>
          <t>shall furnish Contract</t>
        </is>
      </c>
      <c r="L798" t="inlineStr">
        <is>
          <t>Unknown</t>
        </is>
      </c>
      <c r="T798" t="inlineStr">
        <is>
          <t>https://tenders.iglonline.net/uploads/tender/CORRIGENDUM_II_CC18263.pdf</t>
        </is>
      </c>
      <c r="U798" t="inlineStr">
        <is>
          <t>No</t>
        </is>
      </c>
      <c r="V798" t="inlineStr">
        <is>
          <t>Bot tarafindan tespit edildi (2026-07-01) | Bot enrich; date=2026-07-01; type=pdf; score=240; pdf_conf=Medium; Bot tespit/zenginlestirme (2026-07-01); meta:score=35;priority=Low;source_type=html_table;closing_date=;equipment=Gas-related / review;reasons=equipment:Gas-related / review,document source</t>
        </is>
      </c>
    </row>
    <row r="799">
      <c r="A799" t="inlineStr">
        <is>
          <t>T-0603</t>
        </is>
      </c>
      <c r="B799" t="inlineStr">
        <is>
          <t>Indraprastha Gas (IGL)</t>
        </is>
      </c>
      <c r="C799" t="inlineStr">
        <is>
          <t>Indraprastha Gas (IGL)</t>
        </is>
      </c>
      <c r="D799" t="inlineStr">
        <is>
          <t>DOCUMENT</t>
        </is>
      </c>
      <c r="E799" t="inlineStr">
        <is>
          <t>2024-12-18</t>
        </is>
      </c>
      <c r="F799" t="inlineStr">
        <is>
          <t>Awarded</t>
        </is>
      </c>
      <c r="G799" t="inlineStr">
        <is>
          <t>Gas-related / review</t>
        </is>
      </c>
      <c r="H799" t="inlineStr">
        <is>
          <t>Corrigendum_III_CC18263.pdf</t>
        </is>
      </c>
      <c r="K799" t="inlineStr">
        <is>
          <t>Not found</t>
        </is>
      </c>
      <c r="L799" t="inlineStr">
        <is>
          <t>Unknown</t>
        </is>
      </c>
      <c r="T799" t="inlineStr">
        <is>
          <t>https://tenders.iglonline.net/uploads/tender/Corrigendum_III_CC18263.pdf</t>
        </is>
      </c>
      <c r="U799" t="inlineStr">
        <is>
          <t>No</t>
        </is>
      </c>
      <c r="V799" t="inlineStr">
        <is>
          <t>Bot tarafindan tespit edildi (2026-07-01) | Bot enrich; date=2026-07-01; type=pdf; score=240; pdf_conf=Low; Bot tespit/zenginlestirme (2026-07-01); meta:score=35;priority=Low;source_type=html_table;closing_date=;equipment=Gas-related / review;reasons=equipment:Gas-related / review,document source</t>
        </is>
      </c>
    </row>
    <row r="800">
      <c r="A800" t="inlineStr">
        <is>
          <t>T-0604</t>
        </is>
      </c>
      <c r="B800" t="inlineStr">
        <is>
          <t>Indraprastha Gas (IGL)</t>
        </is>
      </c>
      <c r="C800" t="inlineStr">
        <is>
          <t>Indraprastha Gas (IGL)</t>
        </is>
      </c>
      <c r="D800" t="inlineStr">
        <is>
          <t>loading</t>
        </is>
      </c>
      <c r="E800" t="inlineStr">
        <is>
          <t>2024-12-18</t>
        </is>
      </c>
      <c r="F800" t="inlineStr">
        <is>
          <t>Awarded</t>
        </is>
      </c>
      <c r="G800" t="inlineStr">
        <is>
          <t>Metering skid</t>
        </is>
      </c>
      <c r="H800" t="inlineStr">
        <is>
          <t>Corrigendum_IV_CC18263.pdf</t>
        </is>
      </c>
      <c r="K800" t="inlineStr">
        <is>
          <t>Not found</t>
        </is>
      </c>
      <c r="L800" t="inlineStr">
        <is>
          <t>Unknown</t>
        </is>
      </c>
      <c r="M800" t="n">
        <v>1200</v>
      </c>
      <c r="T800" t="inlineStr">
        <is>
          <t>https://tenders.iglonline.net/uploads/tender/Corrigendum_IV_CC18263.pdf</t>
        </is>
      </c>
      <c r="U800" t="inlineStr">
        <is>
          <t>No</t>
        </is>
      </c>
      <c r="V800" t="inlineStr">
        <is>
          <t>Bot tarafindan tespit edildi (2026-07-01) | Bot enrich; date=2026-07-01; type=pdf; score=240; pdf_conf=Medium; Bot tespit/zenginlestirme (2026-07-01); meta:score=35;priority=Low;source_type=html_table;closing_date=;equipment=Gas-related / review;reasons=equipment:Gas-related / review,document source</t>
        </is>
      </c>
    </row>
    <row r="801">
      <c r="A801" t="inlineStr">
        <is>
          <t>T-0605</t>
        </is>
      </c>
      <c r="B801" t="inlineStr">
        <is>
          <t>Indraprastha Gas (IGL)</t>
        </is>
      </c>
      <c r="C801" t="inlineStr">
        <is>
          <t>Indraprastha Gas (IGL)</t>
        </is>
      </c>
      <c r="D801" t="inlineStr">
        <is>
          <t>DOCUMENT</t>
        </is>
      </c>
      <c r="E801" t="inlineStr">
        <is>
          <t>2024-12-18</t>
        </is>
      </c>
      <c r="F801" t="inlineStr">
        <is>
          <t>Awarded</t>
        </is>
      </c>
      <c r="G801" t="inlineStr">
        <is>
          <t>Gas-related / review</t>
        </is>
      </c>
      <c r="H801" t="inlineStr">
        <is>
          <t>Corrigendum_V_CC18263.pdf</t>
        </is>
      </c>
      <c r="K801" t="inlineStr">
        <is>
          <t>Not found</t>
        </is>
      </c>
      <c r="L801" t="inlineStr">
        <is>
          <t>Unknown</t>
        </is>
      </c>
      <c r="T801" t="inlineStr">
        <is>
          <t>https://tenders.iglonline.net/uploads/tender/Corrigendum_V_CC18263.pdf</t>
        </is>
      </c>
      <c r="U801" t="inlineStr">
        <is>
          <t>No</t>
        </is>
      </c>
      <c r="V801" t="inlineStr">
        <is>
          <t>Bot tarafindan tespit edildi (2026-07-01) | Bot enrich; date=2026-07-01; type=pdf; score=240; pdf_conf=Low; Bot tespit/zenginlestirme (2026-07-01); meta:score=35;priority=Low;source_type=html_table;closing_date=;equipment=Gas-related / review;reasons=equipment:Gas-related / review,document source</t>
        </is>
      </c>
    </row>
    <row r="802">
      <c r="A802" t="inlineStr">
        <is>
          <t>T-0606</t>
        </is>
      </c>
      <c r="B802" t="inlineStr">
        <is>
          <t>Indraprastha Gas (IGL)</t>
        </is>
      </c>
      <c r="C802" t="inlineStr">
        <is>
          <t>Indraprastha Gas (IGL)</t>
        </is>
      </c>
      <c r="D802" t="inlineStr">
        <is>
          <t>DOCUMENT</t>
        </is>
      </c>
      <c r="E802" t="inlineStr">
        <is>
          <t>2024-12-18</t>
        </is>
      </c>
      <c r="F802" t="inlineStr">
        <is>
          <t>Awarded</t>
        </is>
      </c>
      <c r="G802" t="inlineStr">
        <is>
          <t>Gas-related / review</t>
        </is>
      </c>
      <c r="H802" t="inlineStr">
        <is>
          <t>Corrigendum_VI_CC18263.pdf</t>
        </is>
      </c>
      <c r="K802" t="inlineStr">
        <is>
          <t>Not found</t>
        </is>
      </c>
      <c r="L802" t="inlineStr">
        <is>
          <t>Unknown</t>
        </is>
      </c>
      <c r="T802" t="inlineStr">
        <is>
          <t>https://tenders.iglonline.net/uploads/tender/Corrigendum_VI_CC18263.pdf</t>
        </is>
      </c>
      <c r="U802" t="inlineStr">
        <is>
          <t>No</t>
        </is>
      </c>
      <c r="V802" t="inlineStr">
        <is>
          <t>Bot tarafindan tespit edildi (2026-07-01) | Bot enrich; date=2026-07-01; type=pdf; score=240; pdf_conf=Low; Bot tespit/zenginlestirme (2026-07-01); meta:score=35;priority=Low;source_type=html_table;closing_date=;equipment=Gas-related / review;reasons=equipment:Gas-related / review,document source</t>
        </is>
      </c>
    </row>
    <row r="803">
      <c r="A803" t="inlineStr">
        <is>
          <t>T-0607</t>
        </is>
      </c>
      <c r="B803" t="inlineStr">
        <is>
          <t>Indraprastha Gas (IGL)</t>
        </is>
      </c>
      <c r="C803" t="inlineStr">
        <is>
          <t>Indraprastha Gas (IGL)</t>
        </is>
      </c>
      <c r="D803" t="inlineStr">
        <is>
          <t>IGL/ET2/CP/CC18263</t>
        </is>
      </c>
      <c r="E803" t="inlineStr">
        <is>
          <t>2024-12-18</t>
        </is>
      </c>
      <c r="F803" t="inlineStr">
        <is>
          <t>Awarded</t>
        </is>
      </c>
      <c r="G803" t="inlineStr">
        <is>
          <t>Metering skid</t>
        </is>
      </c>
      <c r="H803" t="inlineStr">
        <is>
          <t>CORRIGENDUM_VII_CC18263.pdf</t>
        </is>
      </c>
      <c r="K803" t="inlineStr">
        <is>
          <t>Not found</t>
        </is>
      </c>
      <c r="L803" t="inlineStr">
        <is>
          <t>Unknown</t>
        </is>
      </c>
      <c r="T803" t="inlineStr">
        <is>
          <t>https://tenders.iglonline.net/uploads/tender/CORRIGENDUM_VII_CC18263.pdf</t>
        </is>
      </c>
      <c r="U803" t="inlineStr">
        <is>
          <t>No</t>
        </is>
      </c>
      <c r="V803" t="inlineStr">
        <is>
          <t>Bot tarafindan tespit edildi (2026-07-01) | Bot enrich; date=2026-07-01; type=pdf; score=240; pdf_conf=Low; Bot tespit/zenginlestirme (2026-07-01); meta:score=35;priority=Low;source_type=html_table;closing_date=;equipment=Gas-related / review;reasons=equipment:Gas-related / review,document source</t>
        </is>
      </c>
    </row>
    <row r="804">
      <c r="A804" t="inlineStr">
        <is>
          <t>T-0608</t>
        </is>
      </c>
      <c r="B804" t="inlineStr">
        <is>
          <t>Indraprastha Gas (IGL)</t>
        </is>
      </c>
      <c r="C804" t="inlineStr">
        <is>
          <t>Indraprastha Gas (IGL)</t>
        </is>
      </c>
      <c r="F804" t="inlineStr">
        <is>
          <t>New Lead</t>
        </is>
      </c>
      <c r="H804" t="inlineStr">
        <is>
          <t>View Tender</t>
        </is>
      </c>
      <c r="K804" t="inlineStr">
        <is>
          <t>Not found</t>
        </is>
      </c>
      <c r="L804" t="inlineStr">
        <is>
          <t>Unknown</t>
        </is>
      </c>
      <c r="T804" t="inlineStr">
        <is>
          <t>https://tenders.iglonline.net/tenderDetail/355/Active Tenders And Corrigendum-Addendum</t>
        </is>
      </c>
      <c r="U804" t="inlineStr">
        <is>
          <t>No</t>
        </is>
      </c>
      <c r="V804" t="inlineStr">
        <is>
          <t>Bot tarafindan tespit edildi (2026-07-01)</t>
        </is>
      </c>
    </row>
    <row r="805">
      <c r="A805" t="inlineStr">
        <is>
          <t>T-0609</t>
        </is>
      </c>
      <c r="B805" t="inlineStr">
        <is>
          <t>Indraprastha Gas (IGL)</t>
        </is>
      </c>
      <c r="C805" t="inlineStr">
        <is>
          <t>Indraprastha Gas (IGL)</t>
        </is>
      </c>
      <c r="F805" t="inlineStr">
        <is>
          <t>New Lead</t>
        </is>
      </c>
      <c r="H805" t="inlineStr">
        <is>
          <t>View Tender</t>
        </is>
      </c>
      <c r="K805" t="inlineStr">
        <is>
          <t>Not found</t>
        </is>
      </c>
      <c r="L805" t="inlineStr">
        <is>
          <t>Unknown</t>
        </is>
      </c>
      <c r="T805" t="inlineStr">
        <is>
          <t>https://tenders.iglonline.net/tenderDetail/354/Active Tenders And Corrigendum-Addendum</t>
        </is>
      </c>
      <c r="U805" t="inlineStr">
        <is>
          <t>No</t>
        </is>
      </c>
      <c r="V805" t="inlineStr">
        <is>
          <t>Bot tarafindan tespit edildi (2026-07-01)</t>
        </is>
      </c>
    </row>
    <row r="806">
      <c r="A806" t="inlineStr">
        <is>
          <t>T-0610</t>
        </is>
      </c>
      <c r="B806" t="inlineStr">
        <is>
          <t>Indraprastha Gas (IGL)</t>
        </is>
      </c>
      <c r="C806" t="inlineStr">
        <is>
          <t>Indraprastha Gas (IGL)</t>
        </is>
      </c>
      <c r="F806" t="inlineStr">
        <is>
          <t>New Lead</t>
        </is>
      </c>
      <c r="G806" t="inlineStr">
        <is>
          <t>Gas-related / review</t>
        </is>
      </c>
      <c r="H806" t="inlineStr">
        <is>
          <t>RTBQ_600_EMD_CC18272.pdf</t>
        </is>
      </c>
      <c r="K806" t="inlineStr">
        <is>
          <t>Not found</t>
        </is>
      </c>
      <c r="L806" t="inlineStr">
        <is>
          <t>Unknown</t>
        </is>
      </c>
      <c r="T806" t="inlineStr">
        <is>
          <t>https://tenders.iglonline.net/uploads/tender/RTBQ_600_EMD_CC18272.pdf</t>
        </is>
      </c>
      <c r="U806" t="inlineStr">
        <is>
          <t>No</t>
        </is>
      </c>
      <c r="V806" t="inlineStr">
        <is>
          <t>Bot tarafindan tespit edildi (2026-07-01); Bot tespit/zenginlestirme (2026-07-01); meta:score=35;priority=Low;source_type=html_table;closing_date=;equipment=Gas-related / review;reasons=equipment:Gas-related / review,document source</t>
        </is>
      </c>
    </row>
    <row r="807">
      <c r="A807" t="inlineStr">
        <is>
          <t>T-0611</t>
        </is>
      </c>
      <c r="B807" t="inlineStr">
        <is>
          <t>Indraprastha Gas (IGL)</t>
        </is>
      </c>
      <c r="C807" t="inlineStr">
        <is>
          <t>Indraprastha Gas (IGL)</t>
        </is>
      </c>
      <c r="F807" t="inlineStr">
        <is>
          <t>New Lead</t>
        </is>
      </c>
      <c r="G807" t="inlineStr">
        <is>
          <t>Gas-related / review</t>
        </is>
      </c>
      <c r="H807" t="inlineStr">
        <is>
          <t>Corrigendum_I_600_EMD_CC18272.pdf</t>
        </is>
      </c>
      <c r="K807" t="inlineStr">
        <is>
          <t>Not found</t>
        </is>
      </c>
      <c r="L807" t="inlineStr">
        <is>
          <t>Unknown</t>
        </is>
      </c>
      <c r="T807" t="inlineStr">
        <is>
          <t>https://tenders.iglonline.net/uploads/tender/Corrigendum_I_600_EMD_CC18272.pdf</t>
        </is>
      </c>
      <c r="U807" t="inlineStr">
        <is>
          <t>No</t>
        </is>
      </c>
      <c r="V807" t="inlineStr">
        <is>
          <t>Bot tarafindan tespit edildi (2026-07-01); Bot tespit/zenginlestirme (2026-07-01); meta:score=35;priority=Low;source_type=html_table;closing_date=;equipment=Gas-related / review;reasons=equipment:Gas-related / review,document source</t>
        </is>
      </c>
    </row>
    <row r="808">
      <c r="A808" t="inlineStr">
        <is>
          <t>T-0612</t>
        </is>
      </c>
      <c r="B808" t="inlineStr">
        <is>
          <t>Indraprastha Gas (IGL)</t>
        </is>
      </c>
      <c r="C808" t="inlineStr">
        <is>
          <t>Indraprastha Gas (IGL)</t>
        </is>
      </c>
      <c r="F808" t="inlineStr">
        <is>
          <t>New Lead</t>
        </is>
      </c>
      <c r="G808" t="inlineStr">
        <is>
          <t>Gas-related / review</t>
        </is>
      </c>
      <c r="H808" t="inlineStr">
        <is>
          <t>CORRIGENDUM_II_CC18272.pdf</t>
        </is>
      </c>
      <c r="K808" t="inlineStr">
        <is>
          <t>Not found</t>
        </is>
      </c>
      <c r="L808" t="inlineStr">
        <is>
          <t>Unknown</t>
        </is>
      </c>
      <c r="T808" t="inlineStr">
        <is>
          <t>https://tenders.iglonline.net/uploads/tender/CORRIGENDUM_II_CC18272.pdf</t>
        </is>
      </c>
      <c r="U808" t="inlineStr">
        <is>
          <t>No</t>
        </is>
      </c>
      <c r="V808" t="inlineStr">
        <is>
          <t>Bot tarafindan tespit edildi (2026-07-01); Bot tespit/zenginlestirme (2026-07-01); meta:score=35;priority=Low;source_type=html_table;closing_date=;equipment=Gas-related / review;reasons=equipment:Gas-related / review,document source</t>
        </is>
      </c>
    </row>
    <row r="809">
      <c r="A809" t="inlineStr">
        <is>
          <t>T-0613</t>
        </is>
      </c>
      <c r="B809" t="inlineStr">
        <is>
          <t>Indraprastha Gas (IGL)</t>
        </is>
      </c>
      <c r="C809" t="inlineStr">
        <is>
          <t>Indraprastha Gas (IGL)</t>
        </is>
      </c>
      <c r="F809" t="inlineStr">
        <is>
          <t>New Lead</t>
        </is>
      </c>
      <c r="G809" t="inlineStr">
        <is>
          <t>Gas-related / review</t>
        </is>
      </c>
      <c r="H809" t="inlineStr">
        <is>
          <t>Corrigendum_III_CC18272.pdf</t>
        </is>
      </c>
      <c r="K809" t="inlineStr">
        <is>
          <t>Not found</t>
        </is>
      </c>
      <c r="L809" t="inlineStr">
        <is>
          <t>Unknown</t>
        </is>
      </c>
      <c r="T809" t="inlineStr">
        <is>
          <t>https://tenders.iglonline.net/uploads/tender/Corrigendum_III_CC18272.pdf</t>
        </is>
      </c>
      <c r="U809" t="inlineStr">
        <is>
          <t>No</t>
        </is>
      </c>
      <c r="V809" t="inlineStr">
        <is>
          <t>Bot tarafindan tespit edildi (2026-07-01); Bot tespit/zenginlestirme (2026-07-01); meta:score=35;priority=Low;source_type=html_table;closing_date=;equipment=Gas-related / review;reasons=equipment:Gas-related / review,document source</t>
        </is>
      </c>
    </row>
    <row r="810">
      <c r="A810" t="inlineStr">
        <is>
          <t>T-0614</t>
        </is>
      </c>
      <c r="B810" t="inlineStr">
        <is>
          <t>Indraprastha Gas (IGL)</t>
        </is>
      </c>
      <c r="C810" t="inlineStr">
        <is>
          <t>Indraprastha Gas (IGL)</t>
        </is>
      </c>
      <c r="F810" t="inlineStr">
        <is>
          <t>New Lead</t>
        </is>
      </c>
      <c r="G810" t="inlineStr">
        <is>
          <t>Gas-related / review</t>
        </is>
      </c>
      <c r="H810" t="inlineStr">
        <is>
          <t>Corrigendum_V_CC18272.pdf</t>
        </is>
      </c>
      <c r="K810" t="inlineStr">
        <is>
          <t>Not found</t>
        </is>
      </c>
      <c r="L810" t="inlineStr">
        <is>
          <t>Unknown</t>
        </is>
      </c>
      <c r="T810" t="inlineStr">
        <is>
          <t>https://tenders.iglonline.net/uploads/tender/Corrigendum_V_CC18272.pdf</t>
        </is>
      </c>
      <c r="U810" t="inlineStr">
        <is>
          <t>No</t>
        </is>
      </c>
      <c r="V810" t="inlineStr">
        <is>
          <t>Bot tarafindan tespit edildi (2026-07-01); Bot tespit/zenginlestirme (2026-07-01); meta:score=35;priority=Low;source_type=html_table;closing_date=;equipment=Gas-related / review;reasons=equipment:Gas-related / review,document source</t>
        </is>
      </c>
    </row>
    <row r="811">
      <c r="A811" t="inlineStr">
        <is>
          <t>T-0615</t>
        </is>
      </c>
      <c r="B811" t="inlineStr">
        <is>
          <t>Indraprastha Gas (IGL)</t>
        </is>
      </c>
      <c r="C811" t="inlineStr">
        <is>
          <t>Indraprastha Gas (IGL)</t>
        </is>
      </c>
      <c r="F811" t="inlineStr">
        <is>
          <t>New Lead</t>
        </is>
      </c>
      <c r="G811" t="inlineStr">
        <is>
          <t>Gas-related / review</t>
        </is>
      </c>
      <c r="H811" t="inlineStr">
        <is>
          <t>Corrigendum_IV_CC18272.pdf</t>
        </is>
      </c>
      <c r="K811" t="inlineStr">
        <is>
          <t>Not found</t>
        </is>
      </c>
      <c r="L811" t="inlineStr">
        <is>
          <t>Unknown</t>
        </is>
      </c>
      <c r="T811" t="inlineStr">
        <is>
          <t>https://tenders.iglonline.net/uploads/tender/Corrigendum_IV_CC18272.pdf</t>
        </is>
      </c>
      <c r="U811" t="inlineStr">
        <is>
          <t>No</t>
        </is>
      </c>
      <c r="V811" t="inlineStr">
        <is>
          <t>Bot tarafindan tespit edildi (2026-07-01); Bot tespit/zenginlestirme (2026-07-01); meta:score=35;priority=Low;source_type=html_table;closing_date=;equipment=Gas-related / review;reasons=equipment:Gas-related / review,document source</t>
        </is>
      </c>
    </row>
    <row r="812">
      <c r="A812" t="inlineStr">
        <is>
          <t>T-0616</t>
        </is>
      </c>
      <c r="B812" t="inlineStr">
        <is>
          <t>Indraprastha Gas (IGL)</t>
        </is>
      </c>
      <c r="C812" t="inlineStr">
        <is>
          <t>Indraprastha Gas (IGL)</t>
        </is>
      </c>
      <c r="F812" t="inlineStr">
        <is>
          <t>New Lead</t>
        </is>
      </c>
      <c r="G812" t="inlineStr">
        <is>
          <t>Gas-related / review</t>
        </is>
      </c>
      <c r="H812" t="inlineStr">
        <is>
          <t>Corrigendum_VI_CC18272.pdf</t>
        </is>
      </c>
      <c r="K812" t="inlineStr">
        <is>
          <t>Not found</t>
        </is>
      </c>
      <c r="L812" t="inlineStr">
        <is>
          <t>Unknown</t>
        </is>
      </c>
      <c r="T812" t="inlineStr">
        <is>
          <t>https://tenders.iglonline.net/uploads/tender/Corrigendum_VI_CC18272.pdf</t>
        </is>
      </c>
      <c r="U812" t="inlineStr">
        <is>
          <t>No</t>
        </is>
      </c>
      <c r="V812" t="inlineStr">
        <is>
          <t>Bot tarafindan tespit edildi (2026-07-01); Bot tespit/zenginlestirme (2026-07-01); meta:score=35;priority=Low;source_type=html_table;closing_date=;equipment=Gas-related / review;reasons=equipment:Gas-related / review,document source</t>
        </is>
      </c>
    </row>
    <row r="813">
      <c r="A813" t="inlineStr">
        <is>
          <t>T-0617</t>
        </is>
      </c>
      <c r="B813" t="inlineStr">
        <is>
          <t>Indraprastha Gas (IGL)</t>
        </is>
      </c>
      <c r="C813" t="inlineStr">
        <is>
          <t>Indraprastha Gas (IGL)</t>
        </is>
      </c>
      <c r="F813" t="inlineStr">
        <is>
          <t>New Lead</t>
        </is>
      </c>
      <c r="H813" t="inlineStr">
        <is>
          <t>View Tender</t>
        </is>
      </c>
      <c r="K813" t="inlineStr">
        <is>
          <t>Not found</t>
        </is>
      </c>
      <c r="L813" t="inlineStr">
        <is>
          <t>Unknown</t>
        </is>
      </c>
      <c r="T813" t="inlineStr">
        <is>
          <t>https://tenders.iglonline.net/tenderDetail/353/Active Tenders And Corrigendum-Addendum</t>
        </is>
      </c>
      <c r="U813" t="inlineStr">
        <is>
          <t>No</t>
        </is>
      </c>
      <c r="V813" t="inlineStr">
        <is>
          <t>Bot tarafindan tespit edildi (2026-07-01)</t>
        </is>
      </c>
    </row>
    <row r="814">
      <c r="A814" t="inlineStr">
        <is>
          <t>T-0618</t>
        </is>
      </c>
      <c r="B814" t="inlineStr">
        <is>
          <t>Indraprastha Gas (IGL)</t>
        </is>
      </c>
      <c r="C814" t="inlineStr">
        <is>
          <t>Indraprastha Gas (IGL)</t>
        </is>
      </c>
      <c r="F814" t="inlineStr">
        <is>
          <t>New Lead</t>
        </is>
      </c>
      <c r="H814" t="inlineStr">
        <is>
          <t>RTBQ_CC18220.pdf</t>
        </is>
      </c>
      <c r="K814" t="inlineStr">
        <is>
          <t>Not found</t>
        </is>
      </c>
      <c r="L814" t="inlineStr">
        <is>
          <t>Unknown</t>
        </is>
      </c>
      <c r="T814" t="inlineStr">
        <is>
          <t>https://tenders.iglonline.net/uploads/tender/RTBQ_CC18220.pdf</t>
        </is>
      </c>
      <c r="U814" t="inlineStr">
        <is>
          <t>No</t>
        </is>
      </c>
      <c r="V814" t="inlineStr">
        <is>
          <t>Bot tarafindan tespit edildi (2026-07-01)</t>
        </is>
      </c>
    </row>
    <row r="815">
      <c r="A815" t="inlineStr">
        <is>
          <t>T-0619</t>
        </is>
      </c>
      <c r="B815" t="inlineStr">
        <is>
          <t>Indraprastha Gas (IGL)</t>
        </is>
      </c>
      <c r="C815" t="inlineStr">
        <is>
          <t>Indraprastha Gas (IGL)</t>
        </is>
      </c>
      <c r="F815" t="inlineStr">
        <is>
          <t>New Lead</t>
        </is>
      </c>
      <c r="H815" t="inlineStr">
        <is>
          <t>View Tender</t>
        </is>
      </c>
      <c r="K815" t="inlineStr">
        <is>
          <t>Not found</t>
        </is>
      </c>
      <c r="L815" t="inlineStr">
        <is>
          <t>Unknown</t>
        </is>
      </c>
      <c r="T815" t="inlineStr">
        <is>
          <t>https://tenders.iglonline.net/tenderDetail/352/Active Tenders And Corrigendum-Addendum</t>
        </is>
      </c>
      <c r="U815" t="inlineStr">
        <is>
          <t>No</t>
        </is>
      </c>
      <c r="V815" t="inlineStr">
        <is>
          <t>Bot tarafindan tespit edildi (2026-07-01)</t>
        </is>
      </c>
    </row>
    <row r="816">
      <c r="A816" t="inlineStr">
        <is>
          <t>T-0620</t>
        </is>
      </c>
      <c r="B816" t="inlineStr">
        <is>
          <t>Indraprastha Gas (IGL)</t>
        </is>
      </c>
      <c r="C816" t="inlineStr">
        <is>
          <t>Indraprastha Gas (IGL)</t>
        </is>
      </c>
      <c r="F816" t="inlineStr">
        <is>
          <t>New Lead</t>
        </is>
      </c>
      <c r="H816" t="inlineStr">
        <is>
          <t>CORRIGENDUM_I_CC18276.pdf</t>
        </is>
      </c>
      <c r="K816" t="inlineStr">
        <is>
          <t>Not found</t>
        </is>
      </c>
      <c r="L816" t="inlineStr">
        <is>
          <t>Unknown</t>
        </is>
      </c>
      <c r="T816" t="inlineStr">
        <is>
          <t>https://tenders.iglonline.net/uploads/tender/CORRIGENDUM_I_CC18276.pdf</t>
        </is>
      </c>
      <c r="U816" t="inlineStr">
        <is>
          <t>No</t>
        </is>
      </c>
      <c r="V816" t="inlineStr">
        <is>
          <t>Bot tarafindan tespit edildi (2026-07-01)</t>
        </is>
      </c>
    </row>
    <row r="817">
      <c r="A817" t="inlineStr">
        <is>
          <t>T-0621</t>
        </is>
      </c>
      <c r="B817" t="inlineStr">
        <is>
          <t>Indraprastha Gas (IGL)</t>
        </is>
      </c>
      <c r="C817" t="inlineStr">
        <is>
          <t>Indraprastha Gas (IGL)</t>
        </is>
      </c>
      <c r="F817" t="inlineStr">
        <is>
          <t>New Lead</t>
        </is>
      </c>
      <c r="H817" t="inlineStr">
        <is>
          <t>View Tender</t>
        </is>
      </c>
      <c r="K817" t="inlineStr">
        <is>
          <t>Not found</t>
        </is>
      </c>
      <c r="L817" t="inlineStr">
        <is>
          <t>Unknown</t>
        </is>
      </c>
      <c r="T817" t="inlineStr">
        <is>
          <t>https://tenders.iglonline.net/tenderDetail/351/Active Tenders And Corrigendum-Addendum</t>
        </is>
      </c>
      <c r="U817" t="inlineStr">
        <is>
          <t>No</t>
        </is>
      </c>
      <c r="V817" t="inlineStr">
        <is>
          <t>Bot tarafindan tespit edildi (2026-07-01)</t>
        </is>
      </c>
    </row>
    <row r="818">
      <c r="A818" t="inlineStr">
        <is>
          <t>T-0622</t>
        </is>
      </c>
      <c r="B818" t="inlineStr">
        <is>
          <t>Indraprastha Gas (IGL)</t>
        </is>
      </c>
      <c r="C818" t="inlineStr">
        <is>
          <t>Indraprastha Gas (IGL)</t>
        </is>
      </c>
      <c r="F818" t="inlineStr">
        <is>
          <t>New Lead</t>
        </is>
      </c>
      <c r="H818" t="inlineStr">
        <is>
          <t>RTPBQ_merged.pdf</t>
        </is>
      </c>
      <c r="K818" t="inlineStr">
        <is>
          <t>Not found</t>
        </is>
      </c>
      <c r="L818" t="inlineStr">
        <is>
          <t>Unknown</t>
        </is>
      </c>
      <c r="T818" t="inlineStr">
        <is>
          <t>https://tenders.iglonline.net/uploads/tender/RTPBQ_merged.pdf</t>
        </is>
      </c>
      <c r="U818" t="inlineStr">
        <is>
          <t>No</t>
        </is>
      </c>
      <c r="V818" t="inlineStr">
        <is>
          <t>Bot tarafindan tespit edildi (2026-07-01)</t>
        </is>
      </c>
    </row>
    <row r="819">
      <c r="A819" t="inlineStr">
        <is>
          <t>T-0623</t>
        </is>
      </c>
      <c r="B819" t="inlineStr">
        <is>
          <t>Indraprastha Gas (IGL)</t>
        </is>
      </c>
      <c r="C819" t="inlineStr">
        <is>
          <t>Indraprastha Gas (IGL)</t>
        </is>
      </c>
      <c r="F819" t="inlineStr">
        <is>
          <t>New Lead</t>
        </is>
      </c>
      <c r="H819" t="inlineStr">
        <is>
          <t>View Tender</t>
        </is>
      </c>
      <c r="K819" t="inlineStr">
        <is>
          <t>Not found</t>
        </is>
      </c>
      <c r="L819" t="inlineStr">
        <is>
          <t>Unknown</t>
        </is>
      </c>
      <c r="T819" t="inlineStr">
        <is>
          <t>https://tenders.iglonline.net/tenderDetail/350/Active Tenders And Corrigendum-Addendum</t>
        </is>
      </c>
      <c r="U819" t="inlineStr">
        <is>
          <t>No</t>
        </is>
      </c>
      <c r="V819" t="inlineStr">
        <is>
          <t>Bot tarafindan tespit edildi (2026-07-01)</t>
        </is>
      </c>
    </row>
    <row r="820">
      <c r="A820" t="inlineStr">
        <is>
          <t>T-0624</t>
        </is>
      </c>
      <c r="B820" t="inlineStr">
        <is>
          <t>Indraprastha Gas (IGL)</t>
        </is>
      </c>
      <c r="C820" t="inlineStr">
        <is>
          <t>Indraprastha Gas (IGL)</t>
        </is>
      </c>
      <c r="F820" t="inlineStr">
        <is>
          <t>New Lead</t>
        </is>
      </c>
      <c r="H820" t="inlineStr">
        <is>
          <t>iglnew.pdf</t>
        </is>
      </c>
      <c r="K820" t="inlineStr">
        <is>
          <t>Not found</t>
        </is>
      </c>
      <c r="L820" t="inlineStr">
        <is>
          <t>Unknown</t>
        </is>
      </c>
      <c r="T820" t="inlineStr">
        <is>
          <t>https://tenders.iglonline.net/uploads/tender/iglnew.pdf</t>
        </is>
      </c>
      <c r="U820" t="inlineStr">
        <is>
          <t>No</t>
        </is>
      </c>
      <c r="V820" t="inlineStr">
        <is>
          <t>Bot tarafindan tespit edildi (2026-07-01)</t>
        </is>
      </c>
    </row>
    <row r="821">
      <c r="A821" t="inlineStr">
        <is>
          <t>T-0625</t>
        </is>
      </c>
      <c r="B821" t="inlineStr">
        <is>
          <t>Indraprastha Gas (IGL)</t>
        </is>
      </c>
      <c r="C821" t="inlineStr">
        <is>
          <t>Indraprastha Gas (IGL)</t>
        </is>
      </c>
      <c r="F821" t="inlineStr">
        <is>
          <t>New Lead</t>
        </is>
      </c>
      <c r="H821" t="inlineStr">
        <is>
          <t>View Tender</t>
        </is>
      </c>
      <c r="K821" t="inlineStr">
        <is>
          <t>Not found</t>
        </is>
      </c>
      <c r="L821" t="inlineStr">
        <is>
          <t>Unknown</t>
        </is>
      </c>
      <c r="T821" t="inlineStr">
        <is>
          <t>https://tenders.iglonline.net/tenderDetail/349/Active Tenders And Corrigendum-Addendum</t>
        </is>
      </c>
      <c r="U821" t="inlineStr">
        <is>
          <t>No</t>
        </is>
      </c>
      <c r="V821" t="inlineStr">
        <is>
          <t>Bot tarafindan tespit edildi (2026-07-01)</t>
        </is>
      </c>
    </row>
    <row r="822">
      <c r="A822" t="inlineStr">
        <is>
          <t>T-0626</t>
        </is>
      </c>
      <c r="B822" t="inlineStr">
        <is>
          <t>Indraprastha Gas (IGL)</t>
        </is>
      </c>
      <c r="C822" t="inlineStr">
        <is>
          <t>Indraprastha Gas (IGL)</t>
        </is>
      </c>
      <c r="F822" t="inlineStr">
        <is>
          <t>New Lead</t>
        </is>
      </c>
      <c r="H822" t="inlineStr">
        <is>
          <t>Replies_to_pre_bid_queries.pdf</t>
        </is>
      </c>
      <c r="K822" t="inlineStr">
        <is>
          <t>Not found</t>
        </is>
      </c>
      <c r="L822" t="inlineStr">
        <is>
          <t>Unknown</t>
        </is>
      </c>
      <c r="T822" t="inlineStr">
        <is>
          <t>https://tenders.iglonline.net/uploads/tender/Replies_to_pre_bid_queries.pdf</t>
        </is>
      </c>
      <c r="U822" t="inlineStr">
        <is>
          <t>No</t>
        </is>
      </c>
      <c r="V822" t="inlineStr">
        <is>
          <t>Bot tarafindan tespit edildi (2026-07-01)</t>
        </is>
      </c>
    </row>
    <row r="823">
      <c r="A823" t="inlineStr">
        <is>
          <t>T-0627</t>
        </is>
      </c>
      <c r="B823" t="inlineStr">
        <is>
          <t>Indraprastha Gas (IGL)</t>
        </is>
      </c>
      <c r="C823" t="inlineStr">
        <is>
          <t>Indraprastha Gas (IGL)</t>
        </is>
      </c>
      <c r="F823" t="inlineStr">
        <is>
          <t>New Lead</t>
        </is>
      </c>
      <c r="H823" t="inlineStr">
        <is>
          <t>View Tender</t>
        </is>
      </c>
      <c r="K823" t="inlineStr">
        <is>
          <t>Not found</t>
        </is>
      </c>
      <c r="L823" t="inlineStr">
        <is>
          <t>Unknown</t>
        </is>
      </c>
      <c r="T823" t="inlineStr">
        <is>
          <t>https://tenders.iglonline.net/tenderDetail/348/Active Tenders And Corrigendum-Addendum</t>
        </is>
      </c>
      <c r="U823" t="inlineStr">
        <is>
          <t>No</t>
        </is>
      </c>
      <c r="V823" t="inlineStr">
        <is>
          <t>Bot tarafindan tespit edildi (2026-07-01)</t>
        </is>
      </c>
    </row>
    <row r="824">
      <c r="A824" t="inlineStr">
        <is>
          <t>T-0628</t>
        </is>
      </c>
      <c r="B824" t="inlineStr">
        <is>
          <t>Indraprastha Gas (IGL)</t>
        </is>
      </c>
      <c r="C824" t="inlineStr">
        <is>
          <t>Indraprastha Gas (IGL)</t>
        </is>
      </c>
      <c r="F824" t="inlineStr">
        <is>
          <t>New Lead</t>
        </is>
      </c>
      <c r="H824" t="inlineStr">
        <is>
          <t>CORRIGENDUM_I_CC18270.pdf</t>
        </is>
      </c>
      <c r="K824" t="inlineStr">
        <is>
          <t>Not found</t>
        </is>
      </c>
      <c r="L824" t="inlineStr">
        <is>
          <t>Unknown</t>
        </is>
      </c>
      <c r="T824" t="inlineStr">
        <is>
          <t>https://tenders.iglonline.net/uploads/tender/CORRIGENDUM_I_CC18270.pdf</t>
        </is>
      </c>
      <c r="U824" t="inlineStr">
        <is>
          <t>No</t>
        </is>
      </c>
      <c r="V824" t="inlineStr">
        <is>
          <t>Bot tarafindan tespit edildi (2026-07-01)</t>
        </is>
      </c>
    </row>
    <row r="825">
      <c r="A825" t="inlineStr">
        <is>
          <t>T-0629</t>
        </is>
      </c>
      <c r="B825" t="inlineStr">
        <is>
          <t>Indraprastha Gas (IGL)</t>
        </is>
      </c>
      <c r="C825" t="inlineStr">
        <is>
          <t>Indraprastha Gas (IGL)</t>
        </is>
      </c>
      <c r="F825" t="inlineStr">
        <is>
          <t>New Lead</t>
        </is>
      </c>
      <c r="H825" t="inlineStr">
        <is>
          <t>View Tender</t>
        </is>
      </c>
      <c r="K825" t="inlineStr">
        <is>
          <t>Not found</t>
        </is>
      </c>
      <c r="L825" t="inlineStr">
        <is>
          <t>Unknown</t>
        </is>
      </c>
      <c r="T825" t="inlineStr">
        <is>
          <t>https://tenders.iglonline.net/tenderDetail/347/Active Tenders And Corrigendum-Addendum</t>
        </is>
      </c>
      <c r="U825" t="inlineStr">
        <is>
          <t>No</t>
        </is>
      </c>
      <c r="V825" t="inlineStr">
        <is>
          <t>Bot tarafindan tespit edildi (2026-07-01)</t>
        </is>
      </c>
    </row>
    <row r="826">
      <c r="A826" t="inlineStr">
        <is>
          <t>T-0630</t>
        </is>
      </c>
      <c r="B826" t="inlineStr">
        <is>
          <t>Indraprastha Gas (IGL)</t>
        </is>
      </c>
      <c r="C826" t="inlineStr">
        <is>
          <t>Indraprastha Gas (IGL)</t>
        </is>
      </c>
      <c r="F826" t="inlineStr">
        <is>
          <t>New Lead</t>
        </is>
      </c>
      <c r="G826" t="inlineStr">
        <is>
          <t>Gas-related / review</t>
        </is>
      </c>
      <c r="H826" t="inlineStr">
        <is>
          <t>RTPBQ_(2).pdf</t>
        </is>
      </c>
      <c r="K826" t="inlineStr">
        <is>
          <t>Not found</t>
        </is>
      </c>
      <c r="L826" t="inlineStr">
        <is>
          <t>Unknown</t>
        </is>
      </c>
      <c r="T826" t="inlineStr">
        <is>
          <t>https://tenders.iglonline.net/uploads/tender/RTPBQ_(2).pdf</t>
        </is>
      </c>
      <c r="U826" t="inlineStr">
        <is>
          <t>No</t>
        </is>
      </c>
      <c r="V826" t="inlineStr">
        <is>
          <t>Bot tarafindan tespit edildi (2026-07-01); Bot tespit/zenginlestirme (2026-07-01); meta:score=35;priority=Low;source_type=html_table;closing_date=;equipment=Gas-related / review;reasons=equipment:Gas-related / review,document source</t>
        </is>
      </c>
    </row>
    <row r="827">
      <c r="A827" t="inlineStr">
        <is>
          <t>T-0631</t>
        </is>
      </c>
      <c r="B827" t="inlineStr">
        <is>
          <t>Indraprastha Gas (IGL)</t>
        </is>
      </c>
      <c r="C827" t="inlineStr">
        <is>
          <t>Indraprastha Gas (IGL)</t>
        </is>
      </c>
      <c r="F827" t="inlineStr">
        <is>
          <t>New Lead</t>
        </is>
      </c>
      <c r="G827" t="inlineStr">
        <is>
          <t>Gas-related / review</t>
        </is>
      </c>
      <c r="H827" t="inlineStr">
        <is>
          <t>Corrigendum_15.pdf</t>
        </is>
      </c>
      <c r="K827" t="inlineStr">
        <is>
          <t>Not found</t>
        </is>
      </c>
      <c r="L827" t="inlineStr">
        <is>
          <t>Unknown</t>
        </is>
      </c>
      <c r="T827" t="inlineStr">
        <is>
          <t>https://tenders.iglonline.net/uploads/tender/Corrigendum_15.pdf</t>
        </is>
      </c>
      <c r="U827" t="inlineStr">
        <is>
          <t>No</t>
        </is>
      </c>
      <c r="V827" t="inlineStr">
        <is>
          <t>Bot tarafindan tespit edildi (2026-07-01); Bot tespit/zenginlestirme (2026-07-01); meta:score=35;priority=Low;source_type=html_table;closing_date=;equipment=Gas-related / review;reasons=equipment:Gas-related / review,document source</t>
        </is>
      </c>
    </row>
    <row r="828">
      <c r="A828" t="inlineStr">
        <is>
          <t>T-0632</t>
        </is>
      </c>
      <c r="B828" t="inlineStr">
        <is>
          <t>Indraprastha Gas (IGL)</t>
        </is>
      </c>
      <c r="C828" t="inlineStr">
        <is>
          <t>Indraprastha Gas (IGL)</t>
        </is>
      </c>
      <c r="F828" t="inlineStr">
        <is>
          <t>New Lead</t>
        </is>
      </c>
      <c r="G828" t="inlineStr">
        <is>
          <t>Gas-related / review</t>
        </is>
      </c>
      <c r="H828" t="inlineStr">
        <is>
          <t>Corrigendum_27.pdf</t>
        </is>
      </c>
      <c r="K828" t="inlineStr">
        <is>
          <t>Not found</t>
        </is>
      </c>
      <c r="L828" t="inlineStr">
        <is>
          <t>Unknown</t>
        </is>
      </c>
      <c r="T828" t="inlineStr">
        <is>
          <t>https://tenders.iglonline.net/uploads/tender/Corrigendum_27.pdf</t>
        </is>
      </c>
      <c r="U828" t="inlineStr">
        <is>
          <t>No</t>
        </is>
      </c>
      <c r="V828" t="inlineStr">
        <is>
          <t>Bot tarafindan tespit edildi (2026-07-01); Bot tespit/zenginlestirme (2026-07-01); meta:score=35;priority=Low;source_type=html_table;closing_date=;equipment=Gas-related / review;reasons=equipment:Gas-related / review,document source</t>
        </is>
      </c>
    </row>
    <row r="829">
      <c r="A829" t="inlineStr">
        <is>
          <t>T-0633</t>
        </is>
      </c>
      <c r="B829" t="inlineStr">
        <is>
          <t>Indraprastha Gas (IGL)</t>
        </is>
      </c>
      <c r="C829" t="inlineStr">
        <is>
          <t>Indraprastha Gas (IGL)</t>
        </is>
      </c>
      <c r="F829" t="inlineStr">
        <is>
          <t>New Lead</t>
        </is>
      </c>
      <c r="G829" t="inlineStr">
        <is>
          <t>Gas-related / review</t>
        </is>
      </c>
      <c r="H829" t="inlineStr">
        <is>
          <t>Corrigendum_3_Amendment.pdf</t>
        </is>
      </c>
      <c r="K829" t="inlineStr">
        <is>
          <t>Not found</t>
        </is>
      </c>
      <c r="L829" t="inlineStr">
        <is>
          <t>Unknown</t>
        </is>
      </c>
      <c r="T829" t="inlineStr">
        <is>
          <t>https://tenders.iglonline.net/uploads/tender/Corrigendum_3_Amendment.pdf</t>
        </is>
      </c>
      <c r="U829" t="inlineStr">
        <is>
          <t>No</t>
        </is>
      </c>
      <c r="V829" t="inlineStr">
        <is>
          <t>Bot tarafindan tespit edildi (2026-07-01); Bot tespit/zenginlestirme (2026-07-01); meta:score=35;priority=Low;source_type=html_table;closing_date=;equipment=Gas-related / review;reasons=equipment:Gas-related / review,document source</t>
        </is>
      </c>
    </row>
    <row r="830">
      <c r="A830" t="inlineStr">
        <is>
          <t>T-0634</t>
        </is>
      </c>
      <c r="B830" t="inlineStr">
        <is>
          <t>Indraprastha Gas (IGL)</t>
        </is>
      </c>
      <c r="C830" t="inlineStr">
        <is>
          <t>Indraprastha Gas (IGL)</t>
        </is>
      </c>
      <c r="F830" t="inlineStr">
        <is>
          <t>New Lead</t>
        </is>
      </c>
      <c r="H830" t="inlineStr">
        <is>
          <t>View Tender</t>
        </is>
      </c>
      <c r="K830" t="inlineStr">
        <is>
          <t>Not found</t>
        </is>
      </c>
      <c r="L830" t="inlineStr">
        <is>
          <t>Unknown</t>
        </is>
      </c>
      <c r="T830" t="inlineStr">
        <is>
          <t>https://tenders.iglonline.net/tenderDetail/346/Active Tenders And Corrigendum-Addendum</t>
        </is>
      </c>
      <c r="U830" t="inlineStr">
        <is>
          <t>No</t>
        </is>
      </c>
      <c r="V830" t="inlineStr">
        <is>
          <t>Bot tarafindan tespit edildi (2026-07-01)</t>
        </is>
      </c>
    </row>
    <row r="831">
      <c r="A831" t="inlineStr">
        <is>
          <t>T-0635</t>
        </is>
      </c>
      <c r="B831" t="inlineStr">
        <is>
          <t>Indraprastha Gas (IGL)</t>
        </is>
      </c>
      <c r="C831" t="inlineStr">
        <is>
          <t>Indraprastha Gas (IGL)</t>
        </is>
      </c>
      <c r="F831" t="inlineStr">
        <is>
          <t>New Lead</t>
        </is>
      </c>
      <c r="H831" t="inlineStr">
        <is>
          <t>CORRIGENDUM_I_CC18261.pdf</t>
        </is>
      </c>
      <c r="K831" t="inlineStr">
        <is>
          <t>Not found</t>
        </is>
      </c>
      <c r="L831" t="inlineStr">
        <is>
          <t>Unknown</t>
        </is>
      </c>
      <c r="T831" t="inlineStr">
        <is>
          <t>https://tenders.iglonline.net/uploads/tender/CORRIGENDUM_I_CC18261.pdf</t>
        </is>
      </c>
      <c r="U831" t="inlineStr">
        <is>
          <t>No</t>
        </is>
      </c>
      <c r="V831" t="inlineStr">
        <is>
          <t>Bot tarafindan tespit edildi (2026-07-01)</t>
        </is>
      </c>
    </row>
    <row r="832">
      <c r="A832" t="inlineStr">
        <is>
          <t>T-0636</t>
        </is>
      </c>
      <c r="B832" t="inlineStr">
        <is>
          <t>Indraprastha Gas (IGL)</t>
        </is>
      </c>
      <c r="C832" t="inlineStr">
        <is>
          <t>Indraprastha Gas (IGL)</t>
        </is>
      </c>
      <c r="F832" t="inlineStr">
        <is>
          <t>New Lead</t>
        </is>
      </c>
      <c r="H832" t="inlineStr">
        <is>
          <t>View Tender</t>
        </is>
      </c>
      <c r="K832" t="inlineStr">
        <is>
          <t>Not found</t>
        </is>
      </c>
      <c r="L832" t="inlineStr">
        <is>
          <t>Unknown</t>
        </is>
      </c>
      <c r="T832" t="inlineStr">
        <is>
          <t>https://tenders.iglonline.net/tenderDetail/345/Active Tenders And Corrigendum-Addendum</t>
        </is>
      </c>
      <c r="U832" t="inlineStr">
        <is>
          <t>No</t>
        </is>
      </c>
      <c r="V832" t="inlineStr">
        <is>
          <t>Bot tarafindan tespit edildi (2026-07-01)</t>
        </is>
      </c>
    </row>
    <row r="833">
      <c r="A833" t="inlineStr">
        <is>
          <t>T-0637</t>
        </is>
      </c>
      <c r="B833" t="inlineStr">
        <is>
          <t>Indraprastha Gas (IGL)</t>
        </is>
      </c>
      <c r="C833" t="inlineStr">
        <is>
          <t>Indraprastha Gas (IGL)</t>
        </is>
      </c>
      <c r="F833" t="inlineStr">
        <is>
          <t>New Lead</t>
        </is>
      </c>
      <c r="G833" t="inlineStr">
        <is>
          <t>Gas-related / review</t>
        </is>
      </c>
      <c r="H833" t="inlineStr">
        <is>
          <t>Corrigendum-I__CC18197.pdf</t>
        </is>
      </c>
      <c r="K833" t="inlineStr">
        <is>
          <t>Not found</t>
        </is>
      </c>
      <c r="L833" t="inlineStr">
        <is>
          <t>Unknown</t>
        </is>
      </c>
      <c r="T833" t="inlineStr">
        <is>
          <t>https://tenders.iglonline.net/uploads/tender/Corrigendum-I__CC18197.pdf</t>
        </is>
      </c>
      <c r="U833" t="inlineStr">
        <is>
          <t>No</t>
        </is>
      </c>
      <c r="V833" t="inlineStr">
        <is>
          <t>Bot tarafindan tespit edildi (2026-07-01); Bot tespit/zenginlestirme (2026-07-01); meta:score=35;priority=Low;source_type=html_table;closing_date=;equipment=Gas-related / review;reasons=equipment:Gas-related / review,document source</t>
        </is>
      </c>
    </row>
    <row r="834">
      <c r="A834" t="inlineStr">
        <is>
          <t>T-0638</t>
        </is>
      </c>
      <c r="B834" t="inlineStr">
        <is>
          <t>Indraprastha Gas (IGL)</t>
        </is>
      </c>
      <c r="C834" t="inlineStr">
        <is>
          <t>Indraprastha Gas (IGL)</t>
        </is>
      </c>
      <c r="F834" t="inlineStr">
        <is>
          <t>New Lead</t>
        </is>
      </c>
      <c r="G834" t="inlineStr">
        <is>
          <t>Gas-related / review</t>
        </is>
      </c>
      <c r="H834" t="inlineStr">
        <is>
          <t>RTBQ_CC18197.pdf</t>
        </is>
      </c>
      <c r="K834" t="inlineStr">
        <is>
          <t>Not found</t>
        </is>
      </c>
      <c r="L834" t="inlineStr">
        <is>
          <t>Unknown</t>
        </is>
      </c>
      <c r="T834" t="inlineStr">
        <is>
          <t>https://tenders.iglonline.net/uploads/tender/RTBQ_CC18197.pdf</t>
        </is>
      </c>
      <c r="U834" t="inlineStr">
        <is>
          <t>No</t>
        </is>
      </c>
      <c r="V834" t="inlineStr">
        <is>
          <t>Bot tarafindan tespit edildi (2026-07-01); Bot tespit/zenginlestirme (2026-07-01); meta:score=35;priority=Low;source_type=html_table;closing_date=;equipment=Gas-related / review;reasons=equipment:Gas-related / review,document source</t>
        </is>
      </c>
    </row>
    <row r="835">
      <c r="A835" t="inlineStr">
        <is>
          <t>T-0639</t>
        </is>
      </c>
      <c r="B835" t="inlineStr">
        <is>
          <t>Indraprastha Gas (IGL)</t>
        </is>
      </c>
      <c r="C835" t="inlineStr">
        <is>
          <t>Indraprastha Gas (IGL)</t>
        </is>
      </c>
      <c r="F835" t="inlineStr">
        <is>
          <t>New Lead</t>
        </is>
      </c>
      <c r="H835" t="inlineStr">
        <is>
          <t>View Tender</t>
        </is>
      </c>
      <c r="K835" t="inlineStr">
        <is>
          <t>Not found</t>
        </is>
      </c>
      <c r="L835" t="inlineStr">
        <is>
          <t>Unknown</t>
        </is>
      </c>
      <c r="T835" t="inlineStr">
        <is>
          <t>https://tenders.iglonline.net/tenderDetail/344/Active Tenders And Corrigendum-Addendum</t>
        </is>
      </c>
      <c r="U835" t="inlineStr">
        <is>
          <t>No</t>
        </is>
      </c>
      <c r="V835" t="inlineStr">
        <is>
          <t>Bot tarafindan tespit edildi (2026-07-01)</t>
        </is>
      </c>
    </row>
    <row r="836">
      <c r="A836" t="inlineStr">
        <is>
          <t>T-0640</t>
        </is>
      </c>
      <c r="B836" t="inlineStr">
        <is>
          <t>Indraprastha Gas (IGL)</t>
        </is>
      </c>
      <c r="C836" t="inlineStr">
        <is>
          <t>Indraprastha Gas (IGL)</t>
        </is>
      </c>
      <c r="F836" t="inlineStr">
        <is>
          <t>New Lead</t>
        </is>
      </c>
      <c r="H836" t="inlineStr">
        <is>
          <t>CORRIGENDUM__CC18259.pdf</t>
        </is>
      </c>
      <c r="K836" t="inlineStr">
        <is>
          <t>Not found</t>
        </is>
      </c>
      <c r="L836" t="inlineStr">
        <is>
          <t>Unknown</t>
        </is>
      </c>
      <c r="T836" t="inlineStr">
        <is>
          <t>https://tenders.iglonline.net/uploads/tender/CORRIGENDUM__CC18259.pdf</t>
        </is>
      </c>
      <c r="U836" t="inlineStr">
        <is>
          <t>No</t>
        </is>
      </c>
      <c r="V836" t="inlineStr">
        <is>
          <t>Bot tarafindan tespit edildi (2026-07-01)</t>
        </is>
      </c>
    </row>
    <row r="837">
      <c r="A837" t="inlineStr">
        <is>
          <t>T-0641</t>
        </is>
      </c>
      <c r="B837" t="inlineStr">
        <is>
          <t>Indraprastha Gas (IGL)</t>
        </is>
      </c>
      <c r="C837" t="inlineStr">
        <is>
          <t>Indraprastha Gas (IGL)</t>
        </is>
      </c>
      <c r="F837" t="inlineStr">
        <is>
          <t>New Lead</t>
        </is>
      </c>
      <c r="H837" t="inlineStr">
        <is>
          <t>View Tender</t>
        </is>
      </c>
      <c r="K837" t="inlineStr">
        <is>
          <t>Not found</t>
        </is>
      </c>
      <c r="L837" t="inlineStr">
        <is>
          <t>Unknown</t>
        </is>
      </c>
      <c r="T837" t="inlineStr">
        <is>
          <t>https://tenders.iglonline.net/tenderDetail/343/Active Tenders And Corrigendum-Addendum</t>
        </is>
      </c>
      <c r="U837" t="inlineStr">
        <is>
          <t>No</t>
        </is>
      </c>
      <c r="V837" t="inlineStr">
        <is>
          <t>Bot tarafindan tespit edildi (2026-07-01)</t>
        </is>
      </c>
    </row>
    <row r="838">
      <c r="A838" t="inlineStr">
        <is>
          <t>T-0642</t>
        </is>
      </c>
      <c r="B838" t="inlineStr">
        <is>
          <t>Indraprastha Gas (IGL)</t>
        </is>
      </c>
      <c r="C838" t="inlineStr">
        <is>
          <t>Indraprastha Gas (IGL)</t>
        </is>
      </c>
      <c r="F838" t="inlineStr">
        <is>
          <t>New Lead</t>
        </is>
      </c>
      <c r="H838" t="inlineStr">
        <is>
          <t>Corrigendum_1_CP18208.pdf</t>
        </is>
      </c>
      <c r="K838" t="inlineStr">
        <is>
          <t>Not found</t>
        </is>
      </c>
      <c r="L838" t="inlineStr">
        <is>
          <t>Unknown</t>
        </is>
      </c>
      <c r="T838" t="inlineStr">
        <is>
          <t>https://tenders.iglonline.net/uploads/tender/Corrigendum_1_CP18208.pdf</t>
        </is>
      </c>
      <c r="U838" t="inlineStr">
        <is>
          <t>No</t>
        </is>
      </c>
      <c r="V838" t="inlineStr">
        <is>
          <t>Bot tarafindan tespit edildi (2026-07-01)</t>
        </is>
      </c>
    </row>
    <row r="839">
      <c r="A839" t="inlineStr">
        <is>
          <t>T-0643</t>
        </is>
      </c>
      <c r="B839" t="inlineStr">
        <is>
          <t>Indraprastha Gas (IGL)</t>
        </is>
      </c>
      <c r="C839" t="inlineStr">
        <is>
          <t>Indraprastha Gas (IGL)</t>
        </is>
      </c>
      <c r="F839" t="inlineStr">
        <is>
          <t>New Lead</t>
        </is>
      </c>
      <c r="H839" t="inlineStr">
        <is>
          <t>RTBQ_CP18208.pdf</t>
        </is>
      </c>
      <c r="K839" t="inlineStr">
        <is>
          <t>Not found</t>
        </is>
      </c>
      <c r="L839" t="inlineStr">
        <is>
          <t>Unknown</t>
        </is>
      </c>
      <c r="T839" t="inlineStr">
        <is>
          <t>https://tenders.iglonline.net/uploads/tender/RTBQ_CP18208.pdf</t>
        </is>
      </c>
      <c r="U839" t="inlineStr">
        <is>
          <t>No</t>
        </is>
      </c>
      <c r="V839" t="inlineStr">
        <is>
          <t>Bot tarafindan tespit edildi (2026-07-01)</t>
        </is>
      </c>
    </row>
    <row r="840">
      <c r="A840" t="inlineStr">
        <is>
          <t>T-0644</t>
        </is>
      </c>
      <c r="B840" t="inlineStr">
        <is>
          <t>Indraprastha Gas (IGL)</t>
        </is>
      </c>
      <c r="C840" t="inlineStr">
        <is>
          <t>Indraprastha Gas (IGL)</t>
        </is>
      </c>
      <c r="F840" t="inlineStr">
        <is>
          <t>New Lead</t>
        </is>
      </c>
      <c r="H840" t="inlineStr">
        <is>
          <t>View Tender</t>
        </is>
      </c>
      <c r="K840" t="inlineStr">
        <is>
          <t>Not found</t>
        </is>
      </c>
      <c r="L840" t="inlineStr">
        <is>
          <t>Unknown</t>
        </is>
      </c>
      <c r="T840" t="inlineStr">
        <is>
          <t>https://tenders.iglonline.net/tenderDetail/342/Active Tenders And Corrigendum-Addendum</t>
        </is>
      </c>
      <c r="U840" t="inlineStr">
        <is>
          <t>No</t>
        </is>
      </c>
      <c r="V840" t="inlineStr">
        <is>
          <t>Bot tarafindan tespit edildi (2026-07-01)</t>
        </is>
      </c>
    </row>
    <row r="841">
      <c r="A841" t="inlineStr">
        <is>
          <t>T-0645</t>
        </is>
      </c>
      <c r="B841" t="inlineStr">
        <is>
          <t>Indraprastha Gas (IGL)</t>
        </is>
      </c>
      <c r="C841" t="inlineStr">
        <is>
          <t>Indraprastha Gas (IGL)</t>
        </is>
      </c>
      <c r="F841" t="inlineStr">
        <is>
          <t>New Lead</t>
        </is>
      </c>
      <c r="H841" t="inlineStr">
        <is>
          <t>Corrigendum-I__CC18196.pdf</t>
        </is>
      </c>
      <c r="K841" t="inlineStr">
        <is>
          <t>Not found</t>
        </is>
      </c>
      <c r="L841" t="inlineStr">
        <is>
          <t>Unknown</t>
        </is>
      </c>
      <c r="T841" t="inlineStr">
        <is>
          <t>https://tenders.iglonline.net/uploads/tender/Corrigendum-I__CC18196.pdf</t>
        </is>
      </c>
      <c r="U841" t="inlineStr">
        <is>
          <t>No</t>
        </is>
      </c>
      <c r="V841" t="inlineStr">
        <is>
          <t>Bot tarafindan tespit edildi (2026-07-01)</t>
        </is>
      </c>
    </row>
    <row r="842">
      <c r="A842" t="inlineStr">
        <is>
          <t>T-0646</t>
        </is>
      </c>
      <c r="B842" t="inlineStr">
        <is>
          <t>Indraprastha Gas (IGL)</t>
        </is>
      </c>
      <c r="C842" t="inlineStr">
        <is>
          <t>Indraprastha Gas (IGL)</t>
        </is>
      </c>
      <c r="F842" t="inlineStr">
        <is>
          <t>New Lead</t>
        </is>
      </c>
      <c r="H842" t="inlineStr">
        <is>
          <t>View Tender</t>
        </is>
      </c>
      <c r="K842" t="inlineStr">
        <is>
          <t>Not found</t>
        </is>
      </c>
      <c r="L842" t="inlineStr">
        <is>
          <t>Unknown</t>
        </is>
      </c>
      <c r="T842" t="inlineStr">
        <is>
          <t>https://tenders.iglonline.net/tenderDetail/341/Active Tenders And Corrigendum-Addendum</t>
        </is>
      </c>
      <c r="U842" t="inlineStr">
        <is>
          <t>No</t>
        </is>
      </c>
      <c r="V842" t="inlineStr">
        <is>
          <t>Bot tarafindan tespit edildi (2026-07-01)</t>
        </is>
      </c>
    </row>
    <row r="843">
      <c r="A843" t="inlineStr">
        <is>
          <t>T-0647</t>
        </is>
      </c>
      <c r="B843" t="inlineStr">
        <is>
          <t>Indraprastha Gas (IGL)</t>
        </is>
      </c>
      <c r="C843" t="inlineStr">
        <is>
          <t>Indraprastha Gas (IGL)</t>
        </is>
      </c>
      <c r="F843" t="inlineStr">
        <is>
          <t>New Lead</t>
        </is>
      </c>
      <c r="H843" t="inlineStr">
        <is>
          <t>Reply_to_bidders_query_-_CM18228.pdf</t>
        </is>
      </c>
      <c r="K843" t="inlineStr">
        <is>
          <t>Not found</t>
        </is>
      </c>
      <c r="L843" t="inlineStr">
        <is>
          <t>Unknown</t>
        </is>
      </c>
      <c r="T843" t="inlineStr">
        <is>
          <t>https://tenders.iglonline.net/uploads/tender/Reply_to_bidders_query_-_CM18228.pdf</t>
        </is>
      </c>
      <c r="U843" t="inlineStr">
        <is>
          <t>No</t>
        </is>
      </c>
      <c r="V843" t="inlineStr">
        <is>
          <t>Bot tarafindan tespit edildi (2026-07-01)</t>
        </is>
      </c>
    </row>
    <row r="844">
      <c r="A844" t="inlineStr">
        <is>
          <t>T-0648</t>
        </is>
      </c>
      <c r="B844" t="inlineStr">
        <is>
          <t>Indraprastha Gas (IGL)</t>
        </is>
      </c>
      <c r="C844" t="inlineStr">
        <is>
          <t>Indraprastha Gas (IGL)</t>
        </is>
      </c>
      <c r="F844" t="inlineStr">
        <is>
          <t>New Lead</t>
        </is>
      </c>
      <c r="G844" t="inlineStr">
        <is>
          <t>Service regulator</t>
        </is>
      </c>
      <c r="H844" t="inlineStr">
        <is>
          <t>View Tender</t>
        </is>
      </c>
      <c r="K844" t="inlineStr">
        <is>
          <t>Not found</t>
        </is>
      </c>
      <c r="L844" t="inlineStr">
        <is>
          <t>Unknown</t>
        </is>
      </c>
      <c r="T844" t="inlineStr">
        <is>
          <t>https://tenders.iglonline.net/tenderDetail/340/Active Tenders And Corrigendum-Addendum</t>
        </is>
      </c>
      <c r="U844" t="inlineStr">
        <is>
          <t>No</t>
        </is>
      </c>
      <c r="V844" t="inlineStr">
        <is>
          <t>Bot tarafindan tespit edildi (2026-07-01); Bot tespit/zenginlestirme (2026-07-01); meta:score=85;priority=High;source_type=html_table;closing_date=;equipment=Service regulator;reasons=equipment:Service regulator,target regulator keyword,document source; Bot clean extraction (2026-07-01); meta:score=90;priority=High;source_type=html_table;closing_date=;equipment=Service / pressure regulator;quality_status=market_target;market_relevance=High;document_type=corrigendum;unit_price_inr=;amount_label=;matched_terms=Service / pressure regulator;reject_reasons=;scope=market_intelligence_only;excluded_scope=no_bid_or_offer_submission_automation</t>
        </is>
      </c>
    </row>
    <row r="845">
      <c r="A845" t="inlineStr">
        <is>
          <t>T-0649</t>
        </is>
      </c>
      <c r="B845" t="inlineStr">
        <is>
          <t>Indraprastha Gas (IGL)</t>
        </is>
      </c>
      <c r="C845" t="inlineStr">
        <is>
          <t>Indraprastha Gas (IGL)</t>
        </is>
      </c>
      <c r="D845" t="inlineStr">
        <is>
          <t>IGL/ET2/CP/CP18218</t>
        </is>
      </c>
      <c r="F845" t="inlineStr">
        <is>
          <t>Awarded</t>
        </is>
      </c>
      <c r="G845" t="inlineStr">
        <is>
          <t>service regulator</t>
        </is>
      </c>
      <c r="H845" t="inlineStr">
        <is>
          <t>RTBQ_CP18218.pdf</t>
        </is>
      </c>
      <c r="K845" t="inlineStr">
        <is>
          <t>Not found</t>
        </is>
      </c>
      <c r="L845" t="inlineStr">
        <is>
          <t>Unknown</t>
        </is>
      </c>
      <c r="T845" t="inlineStr">
        <is>
          <t>https://tenders.iglonline.net/uploads/tender/RTBQ_CP18218.pdf</t>
        </is>
      </c>
      <c r="U845" t="inlineStr">
        <is>
          <t>No</t>
        </is>
      </c>
      <c r="V845" t="inlineStr">
        <is>
          <t>Bot tarafindan tespit edildi (2026-07-01) | Bot enrich; date=2026-07-01; type=pdf; score=330; pdf_conf=Low; Bot tespit/zenginlestirme (2026-07-01); meta:score=85;priority=High;source_type=html_table;closing_date=None;equipment=Service regulator;reasons=equipment:Service regulator,target regulator keyword,document source; Bot clean extraction (2026-07-01); meta:score=90;priority=High;source_type=html_table;closing_date=None;equipment=Service / pressure regulator;quality_status=market_target;market_relevance=High;document_type=corrigendum;unit_price_inr=;amount_label=;matched_terms=Service / pressure regulator;reject_reasons=;scope=market_intelligence_only;excluded_scope=no_bid_or_offer_submission_automation</t>
        </is>
      </c>
    </row>
    <row r="846">
      <c r="A846" t="inlineStr">
        <is>
          <t>T-0650</t>
        </is>
      </c>
      <c r="B846" t="inlineStr">
        <is>
          <t>Indraprastha Gas (IGL)</t>
        </is>
      </c>
      <c r="C846" t="inlineStr">
        <is>
          <t>Indraprastha Gas (IGL)</t>
        </is>
      </c>
      <c r="D846" t="inlineStr">
        <is>
          <t>IGL/ET2/CP/CP18218</t>
        </is>
      </c>
      <c r="F846" t="inlineStr">
        <is>
          <t>Awarded</t>
        </is>
      </c>
      <c r="G846" t="inlineStr">
        <is>
          <t>service regulator</t>
        </is>
      </c>
      <c r="H846" t="inlineStr">
        <is>
          <t>Corrigendum_1_CP18218.pdf</t>
        </is>
      </c>
      <c r="K846" t="inlineStr">
        <is>
          <t>has to carry out 100</t>
        </is>
      </c>
      <c r="L846" t="inlineStr">
        <is>
          <t>Unknown</t>
        </is>
      </c>
      <c r="T846" t="inlineStr">
        <is>
          <t>https://tenders.iglonline.net/uploads/tender/Corrigendum_1_CP18218.pdf</t>
        </is>
      </c>
      <c r="U846" t="inlineStr">
        <is>
          <t>No</t>
        </is>
      </c>
      <c r="V846" t="inlineStr">
        <is>
          <t>Bot tarafindan tespit edildi (2026-07-01) | Bot enrich; date=2026-07-01; type=pdf; score=330; pdf_conf=Low; Bot tespit/zenginlestirme (2026-07-01); meta:score=85;priority=High;source_type=html_table;closing_date=None;equipment=Service regulator;reasons=equipment:Service regulator,target regulator keyword,document source; Bot clean extraction (2026-07-01); meta:score=90;priority=High;source_type=html_table;closing_date=None;equipment=Service / pressure regulator;quality_status=market_target;market_relevance=High;document_type=corrigendum;unit_price_inr=;amount_label=;matched_terms=Service / pressure regulator;reject_reasons=employment/corporate;scope=market_intelligence_only;excluded_scope=no_bid_or_offer_submission_automation</t>
        </is>
      </c>
    </row>
    <row r="847">
      <c r="A847" t="inlineStr">
        <is>
          <t>T-0651</t>
        </is>
      </c>
      <c r="B847" t="inlineStr">
        <is>
          <t>Indraprastha Gas (IGL)</t>
        </is>
      </c>
      <c r="C847" t="inlineStr">
        <is>
          <t>Indraprastha Gas (IGL)</t>
        </is>
      </c>
      <c r="F847" t="inlineStr">
        <is>
          <t>New Lead</t>
        </is>
      </c>
      <c r="H847" t="inlineStr">
        <is>
          <t>View Tender</t>
        </is>
      </c>
      <c r="K847" t="inlineStr">
        <is>
          <t>Not found</t>
        </is>
      </c>
      <c r="L847" t="inlineStr">
        <is>
          <t>Unknown</t>
        </is>
      </c>
      <c r="T847" t="inlineStr">
        <is>
          <t>https://tenders.iglonline.net/tenderDetail/339/Active Tenders And Corrigendum-Addendum</t>
        </is>
      </c>
      <c r="U847" t="inlineStr">
        <is>
          <t>No</t>
        </is>
      </c>
      <c r="V847" t="inlineStr">
        <is>
          <t>Bot tarafindan tespit edildi (2026-07-01)</t>
        </is>
      </c>
    </row>
    <row r="848">
      <c r="A848" t="inlineStr">
        <is>
          <t>T-0652</t>
        </is>
      </c>
      <c r="B848" t="inlineStr">
        <is>
          <t>Indraprastha Gas (IGL)</t>
        </is>
      </c>
      <c r="C848" t="inlineStr">
        <is>
          <t>Indraprastha Gas (IGL)</t>
        </is>
      </c>
      <c r="F848" t="inlineStr">
        <is>
          <t>New Lead</t>
        </is>
      </c>
      <c r="G848" t="inlineStr">
        <is>
          <t>Unclassified</t>
        </is>
      </c>
      <c r="H848" t="inlineStr">
        <is>
          <t>Reply_to_Bid_Queries.pdf</t>
        </is>
      </c>
      <c r="K848" t="inlineStr">
        <is>
          <t>Not found</t>
        </is>
      </c>
      <c r="L848" t="inlineStr">
        <is>
          <t>Unknown</t>
        </is>
      </c>
      <c r="T848" t="inlineStr">
        <is>
          <t>https://tenders.iglonline.net/uploads/tender/Reply_to_Bid_Queries.pdf</t>
        </is>
      </c>
      <c r="U848" t="inlineStr">
        <is>
          <t>No</t>
        </is>
      </c>
      <c r="V848" t="inlineStr">
        <is>
          <t>Bot tarafindan tespit edildi (2026-07-01); Bot tespit/zenginlestirme (2026-07-01); meta:score=40;priority=Medium;source_type=html_table;closing_date=;equipment=Unclassified;reasons=document source,quantity signal</t>
        </is>
      </c>
    </row>
    <row r="849">
      <c r="A849" t="inlineStr">
        <is>
          <t>T-0653</t>
        </is>
      </c>
      <c r="B849" t="inlineStr">
        <is>
          <t>Indraprastha Gas (IGL)</t>
        </is>
      </c>
      <c r="C849" t="inlineStr">
        <is>
          <t>Indraprastha Gas (IGL)</t>
        </is>
      </c>
      <c r="F849" t="inlineStr">
        <is>
          <t>New Lead</t>
        </is>
      </c>
      <c r="H849" t="inlineStr">
        <is>
          <t>View Tender</t>
        </is>
      </c>
      <c r="K849" t="inlineStr">
        <is>
          <t>Not found</t>
        </is>
      </c>
      <c r="L849" t="inlineStr">
        <is>
          <t>Unknown</t>
        </is>
      </c>
      <c r="T849" t="inlineStr">
        <is>
          <t>https://tenders.iglonline.net/tenderDetail/338/Active Tenders And Corrigendum-Addendum</t>
        </is>
      </c>
      <c r="U849" t="inlineStr">
        <is>
          <t>No</t>
        </is>
      </c>
      <c r="V849" t="inlineStr">
        <is>
          <t>Bot tarafindan tespit edildi (2026-07-01)</t>
        </is>
      </c>
    </row>
    <row r="850">
      <c r="A850" t="inlineStr">
        <is>
          <t>T-0654</t>
        </is>
      </c>
      <c r="B850" t="inlineStr">
        <is>
          <t>Indraprastha Gas (IGL)</t>
        </is>
      </c>
      <c r="C850" t="inlineStr">
        <is>
          <t>Indraprastha Gas (IGL)</t>
        </is>
      </c>
      <c r="F850" t="inlineStr">
        <is>
          <t>New Lead</t>
        </is>
      </c>
      <c r="H850" t="inlineStr">
        <is>
          <t>RTPBQ_(1)1.pdf</t>
        </is>
      </c>
      <c r="K850" t="inlineStr">
        <is>
          <t>Not found</t>
        </is>
      </c>
      <c r="L850" t="inlineStr">
        <is>
          <t>Unknown</t>
        </is>
      </c>
      <c r="T850" t="inlineStr">
        <is>
          <t>https://tenders.iglonline.net/uploads/tender/RTPBQ_(1)1.pdf</t>
        </is>
      </c>
      <c r="U850" t="inlineStr">
        <is>
          <t>No</t>
        </is>
      </c>
      <c r="V850" t="inlineStr">
        <is>
          <t>Bot tarafindan tespit edildi (2026-07-01)</t>
        </is>
      </c>
    </row>
    <row r="851">
      <c r="A851" t="inlineStr">
        <is>
          <t>T-0655</t>
        </is>
      </c>
      <c r="B851" t="inlineStr">
        <is>
          <t>Indraprastha Gas (IGL)</t>
        </is>
      </c>
      <c r="C851" t="inlineStr">
        <is>
          <t>Indraprastha Gas (IGL)</t>
        </is>
      </c>
      <c r="F851" t="inlineStr">
        <is>
          <t>New Lead</t>
        </is>
      </c>
      <c r="H851" t="inlineStr">
        <is>
          <t>View Tender</t>
        </is>
      </c>
      <c r="K851" t="inlineStr">
        <is>
          <t>Not found</t>
        </is>
      </c>
      <c r="L851" t="inlineStr">
        <is>
          <t>Unknown</t>
        </is>
      </c>
      <c r="T851" t="inlineStr">
        <is>
          <t>https://tenders.iglonline.net/tenderDetail/337/Active Tenders And Corrigendum-Addendum</t>
        </is>
      </c>
      <c r="U851" t="inlineStr">
        <is>
          <t>No</t>
        </is>
      </c>
      <c r="V851" t="inlineStr">
        <is>
          <t>Bot tarafindan tespit edildi (2026-07-01)</t>
        </is>
      </c>
    </row>
    <row r="852">
      <c r="A852" t="inlineStr">
        <is>
          <t>T-0656</t>
        </is>
      </c>
      <c r="B852" t="inlineStr">
        <is>
          <t>Indraprastha Gas (IGL)</t>
        </is>
      </c>
      <c r="C852" t="inlineStr">
        <is>
          <t>Indraprastha Gas (IGL)</t>
        </is>
      </c>
      <c r="F852" t="inlineStr">
        <is>
          <t>New Lead</t>
        </is>
      </c>
      <c r="H852" t="inlineStr">
        <is>
          <t>RTBQ_1_CP18174.pdf</t>
        </is>
      </c>
      <c r="K852" t="inlineStr">
        <is>
          <t>Not found</t>
        </is>
      </c>
      <c r="L852" t="inlineStr">
        <is>
          <t>Unknown</t>
        </is>
      </c>
      <c r="T852" t="inlineStr">
        <is>
          <t>https://tenders.iglonline.net/uploads/tender/RTBQ_1_CP18174.pdf</t>
        </is>
      </c>
      <c r="U852" t="inlineStr">
        <is>
          <t>No</t>
        </is>
      </c>
      <c r="V852" t="inlineStr">
        <is>
          <t>Bot tarafindan tespit edildi (2026-07-01)</t>
        </is>
      </c>
    </row>
    <row r="853">
      <c r="A853" t="inlineStr">
        <is>
          <t>T-0657</t>
        </is>
      </c>
      <c r="B853" t="inlineStr">
        <is>
          <t>Indraprastha Gas (IGL)</t>
        </is>
      </c>
      <c r="C853" t="inlineStr">
        <is>
          <t>Indraprastha Gas (IGL)</t>
        </is>
      </c>
      <c r="F853" t="inlineStr">
        <is>
          <t>New Lead</t>
        </is>
      </c>
      <c r="H853" t="inlineStr">
        <is>
          <t>View Tender</t>
        </is>
      </c>
      <c r="K853" t="inlineStr">
        <is>
          <t>Not found</t>
        </is>
      </c>
      <c r="L853" t="inlineStr">
        <is>
          <t>Unknown</t>
        </is>
      </c>
      <c r="T853" t="inlineStr">
        <is>
          <t>https://tenders.iglonline.net/tenderDetail/336/Active Tenders And Corrigendum-Addendum</t>
        </is>
      </c>
      <c r="U853" t="inlineStr">
        <is>
          <t>No</t>
        </is>
      </c>
      <c r="V853" t="inlineStr">
        <is>
          <t>Bot tarafindan tespit edildi (2026-07-01)</t>
        </is>
      </c>
    </row>
    <row r="854">
      <c r="A854" t="inlineStr">
        <is>
          <t>T-0658</t>
        </is>
      </c>
      <c r="B854" t="inlineStr">
        <is>
          <t>Indraprastha Gas (IGL)</t>
        </is>
      </c>
      <c r="C854" t="inlineStr">
        <is>
          <t>Indraprastha Gas (IGL)</t>
        </is>
      </c>
      <c r="F854" t="inlineStr">
        <is>
          <t>New Lead</t>
        </is>
      </c>
      <c r="H854" t="inlineStr">
        <is>
          <t>RTPBQ2.pdf</t>
        </is>
      </c>
      <c r="K854" t="inlineStr">
        <is>
          <t>Not found</t>
        </is>
      </c>
      <c r="L854" t="inlineStr">
        <is>
          <t>Unknown</t>
        </is>
      </c>
      <c r="T854" t="inlineStr">
        <is>
          <t>https://tenders.iglonline.net/uploads/tender/RTPBQ2.pdf</t>
        </is>
      </c>
      <c r="U854" t="inlineStr">
        <is>
          <t>No</t>
        </is>
      </c>
      <c r="V854" t="inlineStr">
        <is>
          <t>Bot tarafindan tespit edildi (2026-07-01)</t>
        </is>
      </c>
    </row>
    <row r="855">
      <c r="A855" t="inlineStr">
        <is>
          <t>T-0659</t>
        </is>
      </c>
      <c r="B855" t="inlineStr">
        <is>
          <t>Indraprastha Gas (IGL)</t>
        </is>
      </c>
      <c r="C855" t="inlineStr">
        <is>
          <t>Indraprastha Gas (IGL)</t>
        </is>
      </c>
      <c r="F855" t="inlineStr">
        <is>
          <t>New Lead</t>
        </is>
      </c>
      <c r="H855" t="inlineStr">
        <is>
          <t>View Tender</t>
        </is>
      </c>
      <c r="K855" t="inlineStr">
        <is>
          <t>Not found</t>
        </is>
      </c>
      <c r="L855" t="inlineStr">
        <is>
          <t>Unknown</t>
        </is>
      </c>
      <c r="T855" t="inlineStr">
        <is>
          <t>https://tenders.iglonline.net/tenderDetail/335/Active Tenders And Corrigendum-Addendum</t>
        </is>
      </c>
      <c r="U855" t="inlineStr">
        <is>
          <t>No</t>
        </is>
      </c>
      <c r="V855" t="inlineStr">
        <is>
          <t>Bot tarafindan tespit edildi (2026-07-01)</t>
        </is>
      </c>
    </row>
    <row r="856">
      <c r="A856" t="inlineStr">
        <is>
          <t>T-0660</t>
        </is>
      </c>
      <c r="B856" t="inlineStr">
        <is>
          <t>Indraprastha Gas (IGL)</t>
        </is>
      </c>
      <c r="C856" t="inlineStr">
        <is>
          <t>Indraprastha Gas (IGL)</t>
        </is>
      </c>
      <c r="F856" t="inlineStr">
        <is>
          <t>New Lead</t>
        </is>
      </c>
      <c r="H856" t="inlineStr">
        <is>
          <t>CORRIGENDUM_I.pdf</t>
        </is>
      </c>
      <c r="K856" t="inlineStr">
        <is>
          <t>Not found</t>
        </is>
      </c>
      <c r="L856" t="inlineStr">
        <is>
          <t>Unknown</t>
        </is>
      </c>
      <c r="T856" t="inlineStr">
        <is>
          <t>https://tenders.iglonline.net/uploads/tender/CORRIGENDUM_I.pdf</t>
        </is>
      </c>
      <c r="U856" t="inlineStr">
        <is>
          <t>No</t>
        </is>
      </c>
      <c r="V856" t="inlineStr">
        <is>
          <t>Bot tarafindan tespit edildi (2026-07-01)</t>
        </is>
      </c>
    </row>
    <row r="857">
      <c r="A857" t="inlineStr">
        <is>
          <t>T-0661</t>
        </is>
      </c>
      <c r="B857" t="inlineStr">
        <is>
          <t>Indraprastha Gas (IGL)</t>
        </is>
      </c>
      <c r="C857" t="inlineStr">
        <is>
          <t>Indraprastha Gas (IGL)</t>
        </is>
      </c>
      <c r="F857" t="inlineStr">
        <is>
          <t>New Lead</t>
        </is>
      </c>
      <c r="H857" t="inlineStr">
        <is>
          <t>Pre_Bid_Replies_CM18217_.pdf</t>
        </is>
      </c>
      <c r="K857" t="inlineStr">
        <is>
          <t>Not found</t>
        </is>
      </c>
      <c r="L857" t="inlineStr">
        <is>
          <t>Unknown</t>
        </is>
      </c>
      <c r="T857" t="inlineStr">
        <is>
          <t>https://tenders.iglonline.net/uploads/tender/Pre_Bid_Replies_CM18217_.pdf</t>
        </is>
      </c>
      <c r="U857" t="inlineStr">
        <is>
          <t>No</t>
        </is>
      </c>
      <c r="V857" t="inlineStr">
        <is>
          <t>Bot tarafindan tespit edildi (2026-07-01)</t>
        </is>
      </c>
    </row>
    <row r="858">
      <c r="A858" t="inlineStr">
        <is>
          <t>T-0662</t>
        </is>
      </c>
      <c r="B858" t="inlineStr">
        <is>
          <t>Indraprastha Gas (IGL)</t>
        </is>
      </c>
      <c r="C858" t="inlineStr">
        <is>
          <t>Indraprastha Gas (IGL)</t>
        </is>
      </c>
      <c r="F858" t="inlineStr">
        <is>
          <t>New Lead</t>
        </is>
      </c>
      <c r="H858" t="inlineStr">
        <is>
          <t>CORRIGENDUM_II_CM18217.pdf</t>
        </is>
      </c>
      <c r="K858" t="inlineStr">
        <is>
          <t>Not found</t>
        </is>
      </c>
      <c r="L858" t="inlineStr">
        <is>
          <t>Unknown</t>
        </is>
      </c>
      <c r="T858" t="inlineStr">
        <is>
          <t>https://tenders.iglonline.net/uploads/tender/CORRIGENDUM_II_CM18217.pdf</t>
        </is>
      </c>
      <c r="U858" t="inlineStr">
        <is>
          <t>No</t>
        </is>
      </c>
      <c r="V858" t="inlineStr">
        <is>
          <t>Bot tarafindan tespit edildi (2026-07-01)</t>
        </is>
      </c>
    </row>
    <row r="859">
      <c r="A859" t="inlineStr">
        <is>
          <t>T-0663</t>
        </is>
      </c>
      <c r="B859" t="inlineStr">
        <is>
          <t>Indraprastha Gas (IGL)</t>
        </is>
      </c>
      <c r="C859" t="inlineStr">
        <is>
          <t>Indraprastha Gas (IGL)</t>
        </is>
      </c>
      <c r="F859" t="inlineStr">
        <is>
          <t>New Lead</t>
        </is>
      </c>
      <c r="H859" t="inlineStr">
        <is>
          <t>View Tender</t>
        </is>
      </c>
      <c r="K859" t="inlineStr">
        <is>
          <t>Not found</t>
        </is>
      </c>
      <c r="L859" t="inlineStr">
        <is>
          <t>Unknown</t>
        </is>
      </c>
      <c r="T859" t="inlineStr">
        <is>
          <t>https://tenders.iglonline.net/tenderDetail/334/Active Tenders And Corrigendum-Addendum</t>
        </is>
      </c>
      <c r="U859" t="inlineStr">
        <is>
          <t>No</t>
        </is>
      </c>
      <c r="V859" t="inlineStr">
        <is>
          <t>Bot tarafindan tespit edildi (2026-07-01)</t>
        </is>
      </c>
    </row>
    <row r="860">
      <c r="A860" t="inlineStr">
        <is>
          <t>T-0664</t>
        </is>
      </c>
      <c r="B860" t="inlineStr">
        <is>
          <t>Indraprastha Gas (IGL)</t>
        </is>
      </c>
      <c r="C860" t="inlineStr">
        <is>
          <t>Indraprastha Gas (IGL)</t>
        </is>
      </c>
      <c r="F860" t="inlineStr">
        <is>
          <t>New Lead</t>
        </is>
      </c>
      <c r="H860" t="inlineStr">
        <is>
          <t>View Tender</t>
        </is>
      </c>
      <c r="K860" t="inlineStr">
        <is>
          <t>Not found</t>
        </is>
      </c>
      <c r="L860" t="inlineStr">
        <is>
          <t>Unknown</t>
        </is>
      </c>
      <c r="T860" t="inlineStr">
        <is>
          <t>https://tenders.iglonline.net/tenderDetail/333/Active Tenders And Corrigendum-Addendum</t>
        </is>
      </c>
      <c r="U860" t="inlineStr">
        <is>
          <t>No</t>
        </is>
      </c>
      <c r="V860" t="inlineStr">
        <is>
          <t>Bot tarafindan tespit edildi (2026-07-01)</t>
        </is>
      </c>
    </row>
    <row r="861">
      <c r="A861" t="inlineStr">
        <is>
          <t>T-0665</t>
        </is>
      </c>
      <c r="B861" t="inlineStr">
        <is>
          <t>Indraprastha Gas (IGL)</t>
        </is>
      </c>
      <c r="C861" t="inlineStr">
        <is>
          <t>Indraprastha Gas (IGL)</t>
        </is>
      </c>
      <c r="F861" t="inlineStr">
        <is>
          <t>New Lead</t>
        </is>
      </c>
      <c r="H861" t="inlineStr">
        <is>
          <t>View Tender</t>
        </is>
      </c>
      <c r="K861" t="inlineStr">
        <is>
          <t>Not found</t>
        </is>
      </c>
      <c r="L861" t="inlineStr">
        <is>
          <t>Unknown</t>
        </is>
      </c>
      <c r="T861" t="inlineStr">
        <is>
          <t>https://tenders.iglonline.net/tenderDetail/332/Active Tenders And Corrigendum-Addendum</t>
        </is>
      </c>
      <c r="U861" t="inlineStr">
        <is>
          <t>No</t>
        </is>
      </c>
      <c r="V861" t="inlineStr">
        <is>
          <t>Bot tarafindan tespit edildi (2026-07-01)</t>
        </is>
      </c>
    </row>
    <row r="862">
      <c r="A862" t="inlineStr">
        <is>
          <t>T-0666</t>
        </is>
      </c>
      <c r="B862" t="inlineStr">
        <is>
          <t>Indraprastha Gas (IGL)</t>
        </is>
      </c>
      <c r="C862" t="inlineStr">
        <is>
          <t>Indraprastha Gas (IGL)</t>
        </is>
      </c>
      <c r="F862" t="inlineStr">
        <is>
          <t>New Lead</t>
        </is>
      </c>
      <c r="H862" t="inlineStr">
        <is>
          <t>Corrigendum_2_Cancellation_of_tender_(1).pdf</t>
        </is>
      </c>
      <c r="K862" t="inlineStr">
        <is>
          <t>Not found</t>
        </is>
      </c>
      <c r="L862" t="inlineStr">
        <is>
          <t>Unknown</t>
        </is>
      </c>
      <c r="T862" t="inlineStr">
        <is>
          <t>https://tenders.iglonline.net/uploads/tender/Corrigendum_2_Cancellation_of_tender_(1).pdf</t>
        </is>
      </c>
      <c r="U862" t="inlineStr">
        <is>
          <t>No</t>
        </is>
      </c>
      <c r="V862" t="inlineStr">
        <is>
          <t>Bot tarafindan tespit edildi (2026-07-01)</t>
        </is>
      </c>
    </row>
    <row r="863">
      <c r="A863" t="inlineStr">
        <is>
          <t>T-0667</t>
        </is>
      </c>
      <c r="B863" t="inlineStr">
        <is>
          <t>Indraprastha Gas (IGL)</t>
        </is>
      </c>
      <c r="C863" t="inlineStr">
        <is>
          <t>Indraprastha Gas (IGL)</t>
        </is>
      </c>
      <c r="F863" t="inlineStr">
        <is>
          <t>New Lead</t>
        </is>
      </c>
      <c r="H863" t="inlineStr">
        <is>
          <t>View Tender</t>
        </is>
      </c>
      <c r="K863" t="inlineStr">
        <is>
          <t>Not found</t>
        </is>
      </c>
      <c r="L863" t="inlineStr">
        <is>
          <t>Unknown</t>
        </is>
      </c>
      <c r="T863" t="inlineStr">
        <is>
          <t>https://tenders.iglonline.net/tenderDetail/331/Active Tenders And Corrigendum-Addendum</t>
        </is>
      </c>
      <c r="U863" t="inlineStr">
        <is>
          <t>No</t>
        </is>
      </c>
      <c r="V863" t="inlineStr">
        <is>
          <t>Bot tarafindan tespit edildi (2026-07-01)</t>
        </is>
      </c>
    </row>
    <row r="864">
      <c r="A864" t="inlineStr">
        <is>
          <t>T-0668</t>
        </is>
      </c>
      <c r="B864" t="inlineStr">
        <is>
          <t>Indraprastha Gas (IGL)</t>
        </is>
      </c>
      <c r="C864" t="inlineStr">
        <is>
          <t>Indraprastha Gas (IGL)</t>
        </is>
      </c>
      <c r="F864" t="inlineStr">
        <is>
          <t>New Lead</t>
        </is>
      </c>
      <c r="H864" t="inlineStr">
        <is>
          <t>Pre_bid_replies_CM18173.pdf</t>
        </is>
      </c>
      <c r="K864" t="inlineStr">
        <is>
          <t>Not found</t>
        </is>
      </c>
      <c r="L864" t="inlineStr">
        <is>
          <t>Unknown</t>
        </is>
      </c>
      <c r="T864" t="inlineStr">
        <is>
          <t>https://tenders.iglonline.net/uploads/tender/Pre_bid_replies_CM18173.pdf</t>
        </is>
      </c>
      <c r="U864" t="inlineStr">
        <is>
          <t>No</t>
        </is>
      </c>
      <c r="V864" t="inlineStr">
        <is>
          <t>Bot tarafindan tespit edildi (2026-07-01)</t>
        </is>
      </c>
    </row>
    <row r="865">
      <c r="A865" t="inlineStr">
        <is>
          <t>T-0669</t>
        </is>
      </c>
      <c r="B865" t="inlineStr">
        <is>
          <t>Indraprastha Gas (IGL)</t>
        </is>
      </c>
      <c r="C865" t="inlineStr">
        <is>
          <t>Indraprastha Gas (IGL)</t>
        </is>
      </c>
      <c r="F865" t="inlineStr">
        <is>
          <t>New Lead</t>
        </is>
      </c>
      <c r="H865" t="inlineStr">
        <is>
          <t>CORRIGENDUM_I_CM18173.pdf</t>
        </is>
      </c>
      <c r="K865" t="inlineStr">
        <is>
          <t>Not found</t>
        </is>
      </c>
      <c r="L865" t="inlineStr">
        <is>
          <t>Unknown</t>
        </is>
      </c>
      <c r="T865" t="inlineStr">
        <is>
          <t>https://tenders.iglonline.net/uploads/tender/CORRIGENDUM_I_CM18173.pdf</t>
        </is>
      </c>
      <c r="U865" t="inlineStr">
        <is>
          <t>No</t>
        </is>
      </c>
      <c r="V865" t="inlineStr">
        <is>
          <t>Bot tarafindan tespit edildi (2026-07-01)</t>
        </is>
      </c>
    </row>
    <row r="866">
      <c r="A866" t="inlineStr">
        <is>
          <t>T-0670</t>
        </is>
      </c>
      <c r="B866" t="inlineStr">
        <is>
          <t>Indraprastha Gas (IGL)</t>
        </is>
      </c>
      <c r="C866" t="inlineStr">
        <is>
          <t>Indraprastha Gas (IGL)</t>
        </is>
      </c>
      <c r="F866" t="inlineStr">
        <is>
          <t>New Lead</t>
        </is>
      </c>
      <c r="H866" t="inlineStr">
        <is>
          <t>View Tender</t>
        </is>
      </c>
      <c r="K866" t="inlineStr">
        <is>
          <t>Not found</t>
        </is>
      </c>
      <c r="L866" t="inlineStr">
        <is>
          <t>Unknown</t>
        </is>
      </c>
      <c r="T866" t="inlineStr">
        <is>
          <t>https://tenders.iglonline.net/tenderDetail/330/Active Tenders And Corrigendum-Addendum</t>
        </is>
      </c>
      <c r="U866" t="inlineStr">
        <is>
          <t>No</t>
        </is>
      </c>
      <c r="V866" t="inlineStr">
        <is>
          <t>Bot tarafindan tespit edildi (2026-07-01)</t>
        </is>
      </c>
    </row>
    <row r="867">
      <c r="A867" t="inlineStr">
        <is>
          <t>T-0671</t>
        </is>
      </c>
      <c r="B867" t="inlineStr">
        <is>
          <t>Indraprastha Gas (IGL)</t>
        </is>
      </c>
      <c r="C867" t="inlineStr">
        <is>
          <t>Indraprastha Gas (IGL)</t>
        </is>
      </c>
      <c r="F867" t="inlineStr">
        <is>
          <t>New Lead</t>
        </is>
      </c>
      <c r="G867" t="inlineStr">
        <is>
          <t>Gas-related / review</t>
        </is>
      </c>
      <c r="H867" t="inlineStr">
        <is>
          <t>RTPBQ_(1).pdf</t>
        </is>
      </c>
      <c r="K867" t="inlineStr">
        <is>
          <t>Not found</t>
        </is>
      </c>
      <c r="L867" t="inlineStr">
        <is>
          <t>Unknown</t>
        </is>
      </c>
      <c r="T867" t="inlineStr">
        <is>
          <t>https://tenders.iglonline.net/uploads/tender/RTPBQ_(1).pdf</t>
        </is>
      </c>
      <c r="U867" t="inlineStr">
        <is>
          <t>No</t>
        </is>
      </c>
      <c r="V867" t="inlineStr">
        <is>
          <t>Bot tarafindan tespit edildi (2026-07-01); Bot tespit/zenginlestirme (2026-07-01); meta:score=35;priority=Low;source_type=html_table;closing_date=;equipment=Gas-related / review;reasons=equipment:Gas-related / review,document source</t>
        </is>
      </c>
    </row>
    <row r="868">
      <c r="A868" t="inlineStr">
        <is>
          <t>T-0672</t>
        </is>
      </c>
      <c r="B868" t="inlineStr">
        <is>
          <t>Indraprastha Gas (IGL)</t>
        </is>
      </c>
      <c r="C868" t="inlineStr">
        <is>
          <t>Indraprastha Gas (IGL)</t>
        </is>
      </c>
      <c r="F868" t="inlineStr">
        <is>
          <t>New Lead</t>
        </is>
      </c>
      <c r="H868" t="inlineStr">
        <is>
          <t>View Tender</t>
        </is>
      </c>
      <c r="K868" t="inlineStr">
        <is>
          <t>Not found</t>
        </is>
      </c>
      <c r="L868" t="inlineStr">
        <is>
          <t>Unknown</t>
        </is>
      </c>
      <c r="T868" t="inlineStr">
        <is>
          <t>https://tenders.iglonline.net/tenderDetail/329/Active Tenders And Corrigendum-Addendum</t>
        </is>
      </c>
      <c r="U868" t="inlineStr">
        <is>
          <t>No</t>
        </is>
      </c>
      <c r="V868" t="inlineStr">
        <is>
          <t>Bot tarafindan tespit edildi (2026-07-01)</t>
        </is>
      </c>
    </row>
    <row r="869">
      <c r="A869" t="inlineStr">
        <is>
          <t>T-0673</t>
        </is>
      </c>
      <c r="B869" t="inlineStr">
        <is>
          <t>Indraprastha Gas (IGL)</t>
        </is>
      </c>
      <c r="C869" t="inlineStr">
        <is>
          <t>Indraprastha Gas (IGL)</t>
        </is>
      </c>
      <c r="F869" t="inlineStr">
        <is>
          <t>New Lead</t>
        </is>
      </c>
      <c r="H869" t="inlineStr">
        <is>
          <t>Pre_Bid_Replies_CM18198.pdf</t>
        </is>
      </c>
      <c r="K869" t="inlineStr">
        <is>
          <t>Not found</t>
        </is>
      </c>
      <c r="L869" t="inlineStr">
        <is>
          <t>Unknown</t>
        </is>
      </c>
      <c r="T869" t="inlineStr">
        <is>
          <t>https://tenders.iglonline.net/uploads/tender/Pre_Bid_Replies_CM18198.pdf</t>
        </is>
      </c>
      <c r="U869" t="inlineStr">
        <is>
          <t>No</t>
        </is>
      </c>
      <c r="V869" t="inlineStr">
        <is>
          <t>Bot tarafindan tespit edildi (2026-07-01)</t>
        </is>
      </c>
    </row>
    <row r="870">
      <c r="A870" t="inlineStr">
        <is>
          <t>T-0674</t>
        </is>
      </c>
      <c r="B870" t="inlineStr">
        <is>
          <t>Indraprastha Gas (IGL)</t>
        </is>
      </c>
      <c r="C870" t="inlineStr">
        <is>
          <t>Indraprastha Gas (IGL)</t>
        </is>
      </c>
      <c r="F870" t="inlineStr">
        <is>
          <t>New Lead</t>
        </is>
      </c>
      <c r="H870" t="inlineStr">
        <is>
          <t>CORRIGENDUM_I_CM18198.pdf</t>
        </is>
      </c>
      <c r="K870" t="inlineStr">
        <is>
          <t>Not found</t>
        </is>
      </c>
      <c r="L870" t="inlineStr">
        <is>
          <t>Unknown</t>
        </is>
      </c>
      <c r="T870" t="inlineStr">
        <is>
          <t>https://tenders.iglonline.net/uploads/tender/CORRIGENDUM_I_CM18198.pdf</t>
        </is>
      </c>
      <c r="U870" t="inlineStr">
        <is>
          <t>No</t>
        </is>
      </c>
      <c r="V870" t="inlineStr">
        <is>
          <t>Bot tarafindan tespit edildi (2026-07-01)</t>
        </is>
      </c>
    </row>
    <row r="871">
      <c r="A871" t="inlineStr">
        <is>
          <t>T-0675</t>
        </is>
      </c>
      <c r="B871" t="inlineStr">
        <is>
          <t>Indraprastha Gas (IGL)</t>
        </is>
      </c>
      <c r="C871" t="inlineStr">
        <is>
          <t>Indraprastha Gas (IGL)</t>
        </is>
      </c>
      <c r="F871" t="inlineStr">
        <is>
          <t>New Lead</t>
        </is>
      </c>
      <c r="H871" t="inlineStr">
        <is>
          <t>CORRIGENDUM_II_CM18198.pdf</t>
        </is>
      </c>
      <c r="K871" t="inlineStr">
        <is>
          <t>Not found</t>
        </is>
      </c>
      <c r="L871" t="inlineStr">
        <is>
          <t>Unknown</t>
        </is>
      </c>
      <c r="T871" t="inlineStr">
        <is>
          <t>https://tenders.iglonline.net/uploads/tender/CORRIGENDUM_II_CM18198.pdf</t>
        </is>
      </c>
      <c r="U871" t="inlineStr">
        <is>
          <t>No</t>
        </is>
      </c>
      <c r="V871" t="inlineStr">
        <is>
          <t>Bot tarafindan tespit edildi (2026-07-01)</t>
        </is>
      </c>
    </row>
    <row r="872">
      <c r="A872" t="inlineStr">
        <is>
          <t>T-0676</t>
        </is>
      </c>
      <c r="B872" t="inlineStr">
        <is>
          <t>Indraprastha Gas (IGL)</t>
        </is>
      </c>
      <c r="C872" t="inlineStr">
        <is>
          <t>Indraprastha Gas (IGL)</t>
        </is>
      </c>
      <c r="F872" t="inlineStr">
        <is>
          <t>New Lead</t>
        </is>
      </c>
      <c r="H872" t="inlineStr">
        <is>
          <t>View Tender</t>
        </is>
      </c>
      <c r="K872" t="inlineStr">
        <is>
          <t>Not found</t>
        </is>
      </c>
      <c r="L872" t="inlineStr">
        <is>
          <t>Unknown</t>
        </is>
      </c>
      <c r="T872" t="inlineStr">
        <is>
          <t>https://tenders.iglonline.net/tenderDetail/328/Active Tenders And Corrigendum-Addendum</t>
        </is>
      </c>
      <c r="U872" t="inlineStr">
        <is>
          <t>No</t>
        </is>
      </c>
      <c r="V872" t="inlineStr">
        <is>
          <t>Bot tarafindan tespit edildi (2026-07-01)</t>
        </is>
      </c>
    </row>
    <row r="873">
      <c r="A873" t="inlineStr">
        <is>
          <t>T-0677</t>
        </is>
      </c>
      <c r="B873" t="inlineStr">
        <is>
          <t>Indraprastha Gas (IGL)</t>
        </is>
      </c>
      <c r="C873" t="inlineStr">
        <is>
          <t>Indraprastha Gas (IGL)</t>
        </is>
      </c>
      <c r="F873" t="inlineStr">
        <is>
          <t>New Lead</t>
        </is>
      </c>
      <c r="H873" t="inlineStr">
        <is>
          <t>Pre_Bid_Replies_CM18195.pdf</t>
        </is>
      </c>
      <c r="K873" t="inlineStr">
        <is>
          <t>Not found</t>
        </is>
      </c>
      <c r="L873" t="inlineStr">
        <is>
          <t>Unknown</t>
        </is>
      </c>
      <c r="T873" t="inlineStr">
        <is>
          <t>https://tenders.iglonline.net/uploads/tender/Pre_Bid_Replies_CM18195.pdf</t>
        </is>
      </c>
      <c r="U873" t="inlineStr">
        <is>
          <t>No</t>
        </is>
      </c>
      <c r="V873" t="inlineStr">
        <is>
          <t>Bot tarafindan tespit edildi (2026-07-01)</t>
        </is>
      </c>
    </row>
    <row r="874">
      <c r="A874" t="inlineStr">
        <is>
          <t>T-0678</t>
        </is>
      </c>
      <c r="B874" t="inlineStr">
        <is>
          <t>Indraprastha Gas (IGL)</t>
        </is>
      </c>
      <c r="C874" t="inlineStr">
        <is>
          <t>Indraprastha Gas (IGL)</t>
        </is>
      </c>
      <c r="F874" t="inlineStr">
        <is>
          <t>New Lead</t>
        </is>
      </c>
      <c r="H874" t="inlineStr">
        <is>
          <t>CORRIGENDUM_I_CM18195.pdf</t>
        </is>
      </c>
      <c r="K874" t="inlineStr">
        <is>
          <t>Not found</t>
        </is>
      </c>
      <c r="L874" t="inlineStr">
        <is>
          <t>Unknown</t>
        </is>
      </c>
      <c r="T874" t="inlineStr">
        <is>
          <t>https://tenders.iglonline.net/uploads/tender/CORRIGENDUM_I_CM18195.pdf</t>
        </is>
      </c>
      <c r="U874" t="inlineStr">
        <is>
          <t>No</t>
        </is>
      </c>
      <c r="V874" t="inlineStr">
        <is>
          <t>Bot tarafindan tespit edildi (2026-07-01)</t>
        </is>
      </c>
    </row>
    <row r="875">
      <c r="A875" t="inlineStr">
        <is>
          <t>T-0679</t>
        </is>
      </c>
      <c r="B875" t="inlineStr">
        <is>
          <t>Indraprastha Gas (IGL)</t>
        </is>
      </c>
      <c r="C875" t="inlineStr">
        <is>
          <t>Indraprastha Gas (IGL)</t>
        </is>
      </c>
      <c r="F875" t="inlineStr">
        <is>
          <t>New Lead</t>
        </is>
      </c>
      <c r="H875" t="inlineStr">
        <is>
          <t>View Tender</t>
        </is>
      </c>
      <c r="K875" t="inlineStr">
        <is>
          <t>Not found</t>
        </is>
      </c>
      <c r="L875" t="inlineStr">
        <is>
          <t>Unknown</t>
        </is>
      </c>
      <c r="T875" t="inlineStr">
        <is>
          <t>https://tenders.iglonline.net/tenderDetail/327/Active Tenders And Corrigendum-Addendum</t>
        </is>
      </c>
      <c r="U875" t="inlineStr">
        <is>
          <t>No</t>
        </is>
      </c>
      <c r="V875" t="inlineStr">
        <is>
          <t>Bot tarafindan tespit edildi (2026-07-01)</t>
        </is>
      </c>
    </row>
    <row r="876">
      <c r="A876" t="inlineStr">
        <is>
          <t>T-0680</t>
        </is>
      </c>
      <c r="B876" t="inlineStr">
        <is>
          <t>Indraprastha Gas (IGL)</t>
        </is>
      </c>
      <c r="C876" t="inlineStr">
        <is>
          <t>Indraprastha Gas (IGL)</t>
        </is>
      </c>
      <c r="F876" t="inlineStr">
        <is>
          <t>New Lead</t>
        </is>
      </c>
      <c r="H876" t="inlineStr">
        <is>
          <t>Corrigendum_I_CC18199.pdf</t>
        </is>
      </c>
      <c r="K876" t="inlineStr">
        <is>
          <t>Not found</t>
        </is>
      </c>
      <c r="L876" t="inlineStr">
        <is>
          <t>Unknown</t>
        </is>
      </c>
      <c r="T876" t="inlineStr">
        <is>
          <t>https://tenders.iglonline.net/uploads/tender/Corrigendum_I_CC18199.pdf</t>
        </is>
      </c>
      <c r="U876" t="inlineStr">
        <is>
          <t>No</t>
        </is>
      </c>
      <c r="V876" t="inlineStr">
        <is>
          <t>Bot tarafindan tespit edildi (2026-07-01)</t>
        </is>
      </c>
    </row>
    <row r="877">
      <c r="A877" t="inlineStr">
        <is>
          <t>T-0681</t>
        </is>
      </c>
      <c r="B877" t="inlineStr">
        <is>
          <t>Indraprastha Gas (IGL)</t>
        </is>
      </c>
      <c r="C877" t="inlineStr">
        <is>
          <t>Indraprastha Gas (IGL)</t>
        </is>
      </c>
      <c r="F877" t="inlineStr">
        <is>
          <t>New Lead</t>
        </is>
      </c>
      <c r="H877" t="inlineStr">
        <is>
          <t>CORRIGENDUM_II_18199.pdf</t>
        </is>
      </c>
      <c r="K877" t="inlineStr">
        <is>
          <t>Not found</t>
        </is>
      </c>
      <c r="L877" t="inlineStr">
        <is>
          <t>Unknown</t>
        </is>
      </c>
      <c r="T877" t="inlineStr">
        <is>
          <t>https://tenders.iglonline.net/uploads/tender/CORRIGENDUM_II_18199.pdf</t>
        </is>
      </c>
      <c r="U877" t="inlineStr">
        <is>
          <t>No</t>
        </is>
      </c>
      <c r="V877" t="inlineStr">
        <is>
          <t>Bot tarafindan tespit edildi (2026-07-01)</t>
        </is>
      </c>
    </row>
    <row r="878">
      <c r="A878" t="inlineStr">
        <is>
          <t>T-0682</t>
        </is>
      </c>
      <c r="B878" t="inlineStr">
        <is>
          <t>Indraprastha Gas (IGL)</t>
        </is>
      </c>
      <c r="C878" t="inlineStr">
        <is>
          <t>Indraprastha Gas (IGL)</t>
        </is>
      </c>
      <c r="F878" t="inlineStr">
        <is>
          <t>New Lead</t>
        </is>
      </c>
      <c r="H878" t="inlineStr">
        <is>
          <t>Corrigendum_III_CC18199.pdf</t>
        </is>
      </c>
      <c r="K878" t="inlineStr">
        <is>
          <t>Not found</t>
        </is>
      </c>
      <c r="L878" t="inlineStr">
        <is>
          <t>Unknown</t>
        </is>
      </c>
      <c r="T878" t="inlineStr">
        <is>
          <t>https://tenders.iglonline.net/uploads/tender/Corrigendum_III_CC18199.pdf</t>
        </is>
      </c>
      <c r="U878" t="inlineStr">
        <is>
          <t>No</t>
        </is>
      </c>
      <c r="V878" t="inlineStr">
        <is>
          <t>Bot tarafindan tespit edildi (2026-07-01)</t>
        </is>
      </c>
    </row>
    <row r="879">
      <c r="A879" t="inlineStr">
        <is>
          <t>T-0683</t>
        </is>
      </c>
      <c r="B879" t="inlineStr">
        <is>
          <t>Indraprastha Gas (IGL)</t>
        </is>
      </c>
      <c r="C879" t="inlineStr">
        <is>
          <t>Indraprastha Gas (IGL)</t>
        </is>
      </c>
      <c r="F879" t="inlineStr">
        <is>
          <t>New Lead</t>
        </is>
      </c>
      <c r="H879" t="inlineStr">
        <is>
          <t>View Tender</t>
        </is>
      </c>
      <c r="K879" t="inlineStr">
        <is>
          <t>Not found</t>
        </is>
      </c>
      <c r="L879" t="inlineStr">
        <is>
          <t>Unknown</t>
        </is>
      </c>
      <c r="T879" t="inlineStr">
        <is>
          <t>https://tenders.iglonline.net/tenderDetail/326/Active Tenders And Corrigendum-Addendum</t>
        </is>
      </c>
      <c r="U879" t="inlineStr">
        <is>
          <t>No</t>
        </is>
      </c>
      <c r="V879" t="inlineStr">
        <is>
          <t>Bot tarafindan tespit edildi (2026-07-01)</t>
        </is>
      </c>
    </row>
    <row r="880">
      <c r="A880" t="inlineStr">
        <is>
          <t>T-0684</t>
        </is>
      </c>
      <c r="B880" t="inlineStr">
        <is>
          <t>Indraprastha Gas (IGL)</t>
        </is>
      </c>
      <c r="C880" t="inlineStr">
        <is>
          <t>Indraprastha Gas (IGL)</t>
        </is>
      </c>
      <c r="F880" t="inlineStr">
        <is>
          <t>New Lead</t>
        </is>
      </c>
      <c r="H880" t="inlineStr">
        <is>
          <t>Corrigendum-I_CC18038.pdf</t>
        </is>
      </c>
      <c r="K880" t="inlineStr">
        <is>
          <t>Not found</t>
        </is>
      </c>
      <c r="L880" t="inlineStr">
        <is>
          <t>Unknown</t>
        </is>
      </c>
      <c r="T880" t="inlineStr">
        <is>
          <t>https://tenders.iglonline.net/uploads/tender/Corrigendum-I_CC18038.pdf</t>
        </is>
      </c>
      <c r="U880" t="inlineStr">
        <is>
          <t>No</t>
        </is>
      </c>
      <c r="V880" t="inlineStr">
        <is>
          <t>Bot tarafindan tespit edildi (2026-07-01)</t>
        </is>
      </c>
    </row>
    <row r="881">
      <c r="A881" t="inlineStr">
        <is>
          <t>T-0685</t>
        </is>
      </c>
      <c r="B881" t="inlineStr">
        <is>
          <t>Indraprastha Gas (IGL)</t>
        </is>
      </c>
      <c r="C881" t="inlineStr">
        <is>
          <t>Indraprastha Gas (IGL)</t>
        </is>
      </c>
      <c r="F881" t="inlineStr">
        <is>
          <t>New Lead</t>
        </is>
      </c>
      <c r="H881" t="inlineStr">
        <is>
          <t>RTBQ_CC18038.pdf</t>
        </is>
      </c>
      <c r="K881" t="inlineStr">
        <is>
          <t>Not found</t>
        </is>
      </c>
      <c r="L881" t="inlineStr">
        <is>
          <t>Unknown</t>
        </is>
      </c>
      <c r="T881" t="inlineStr">
        <is>
          <t>https://tenders.iglonline.net/uploads/tender/RTBQ_CC18038.pdf</t>
        </is>
      </c>
      <c r="U881" t="inlineStr">
        <is>
          <t>No</t>
        </is>
      </c>
      <c r="V881" t="inlineStr">
        <is>
          <t>Bot tarafindan tespit edildi (2026-07-01)</t>
        </is>
      </c>
    </row>
    <row r="882">
      <c r="A882" t="inlineStr">
        <is>
          <t>T-0686</t>
        </is>
      </c>
      <c r="B882" t="inlineStr">
        <is>
          <t>Indraprastha Gas (IGL)</t>
        </is>
      </c>
      <c r="C882" t="inlineStr">
        <is>
          <t>Indraprastha Gas (IGL)</t>
        </is>
      </c>
      <c r="F882" t="inlineStr">
        <is>
          <t>New Lead</t>
        </is>
      </c>
      <c r="H882" t="inlineStr">
        <is>
          <t>View Tender</t>
        </is>
      </c>
      <c r="K882" t="inlineStr">
        <is>
          <t>Not found</t>
        </is>
      </c>
      <c r="L882" t="inlineStr">
        <is>
          <t>Unknown</t>
        </is>
      </c>
      <c r="T882" t="inlineStr">
        <is>
          <t>https://tenders.iglonline.net/tenderDetail/325/Active Tenders And Corrigendum-Addendum</t>
        </is>
      </c>
      <c r="U882" t="inlineStr">
        <is>
          <t>No</t>
        </is>
      </c>
      <c r="V882" t="inlineStr">
        <is>
          <t>Bot tarafindan tespit edildi (2026-07-01)</t>
        </is>
      </c>
    </row>
    <row r="883">
      <c r="A883" t="inlineStr">
        <is>
          <t>T-0687</t>
        </is>
      </c>
      <c r="B883" t="inlineStr">
        <is>
          <t>Indraprastha Gas (IGL)</t>
        </is>
      </c>
      <c r="C883" t="inlineStr">
        <is>
          <t>Indraprastha Gas (IGL)</t>
        </is>
      </c>
      <c r="F883" t="inlineStr">
        <is>
          <t>New Lead</t>
        </is>
      </c>
      <c r="H883" t="inlineStr">
        <is>
          <t>Corrigendum_-11.pdf</t>
        </is>
      </c>
      <c r="K883" t="inlineStr">
        <is>
          <t>Not found</t>
        </is>
      </c>
      <c r="L883" t="inlineStr">
        <is>
          <t>Unknown</t>
        </is>
      </c>
      <c r="T883" t="inlineStr">
        <is>
          <t>https://tenders.iglonline.net/uploads/tender/Corrigendum_-11.pdf</t>
        </is>
      </c>
      <c r="U883" t="inlineStr">
        <is>
          <t>No</t>
        </is>
      </c>
      <c r="V883" t="inlineStr">
        <is>
          <t>Bot tarafindan tespit edildi (2026-07-01)</t>
        </is>
      </c>
    </row>
    <row r="884">
      <c r="A884" t="inlineStr">
        <is>
          <t>T-0688</t>
        </is>
      </c>
      <c r="B884" t="inlineStr">
        <is>
          <t>Indraprastha Gas (IGL)</t>
        </is>
      </c>
      <c r="C884" t="inlineStr">
        <is>
          <t>Indraprastha Gas (IGL)</t>
        </is>
      </c>
      <c r="F884" t="inlineStr">
        <is>
          <t>New Lead</t>
        </is>
      </c>
      <c r="H884" t="inlineStr">
        <is>
          <t>CORRIGENDUM_II1.pdf</t>
        </is>
      </c>
      <c r="K884" t="inlineStr">
        <is>
          <t>Not found</t>
        </is>
      </c>
      <c r="L884" t="inlineStr">
        <is>
          <t>Unknown</t>
        </is>
      </c>
      <c r="T884" t="inlineStr">
        <is>
          <t>https://tenders.iglonline.net/uploads/tender/CORRIGENDUM_II1.pdf</t>
        </is>
      </c>
      <c r="U884" t="inlineStr">
        <is>
          <t>No</t>
        </is>
      </c>
      <c r="V884" t="inlineStr">
        <is>
          <t>Bot tarafindan tespit edildi (2026-07-01)</t>
        </is>
      </c>
    </row>
    <row r="885">
      <c r="A885" t="inlineStr">
        <is>
          <t>T-0689</t>
        </is>
      </c>
      <c r="B885" t="inlineStr">
        <is>
          <t>Indraprastha Gas (IGL)</t>
        </is>
      </c>
      <c r="C885" t="inlineStr">
        <is>
          <t>Indraprastha Gas (IGL)</t>
        </is>
      </c>
      <c r="F885" t="inlineStr">
        <is>
          <t>New Lead</t>
        </is>
      </c>
      <c r="H885" t="inlineStr">
        <is>
          <t>Reply_to_Bidders_CM18040.pdf</t>
        </is>
      </c>
      <c r="K885" t="inlineStr">
        <is>
          <t>Not found</t>
        </is>
      </c>
      <c r="L885" t="inlineStr">
        <is>
          <t>Unknown</t>
        </is>
      </c>
      <c r="T885" t="inlineStr">
        <is>
          <t>https://tenders.iglonline.net/uploads/tender/Reply_to_Bidders_CM18040.pdf</t>
        </is>
      </c>
      <c r="U885" t="inlineStr">
        <is>
          <t>No</t>
        </is>
      </c>
      <c r="V885" t="inlineStr">
        <is>
          <t>Bot tarafindan tespit edildi (2026-07-01)</t>
        </is>
      </c>
    </row>
    <row r="886">
      <c r="A886" t="inlineStr">
        <is>
          <t>T-0690</t>
        </is>
      </c>
      <c r="B886" t="inlineStr">
        <is>
          <t>Indraprastha Gas (IGL)</t>
        </is>
      </c>
      <c r="C886" t="inlineStr">
        <is>
          <t>Indraprastha Gas (IGL)</t>
        </is>
      </c>
      <c r="F886" t="inlineStr">
        <is>
          <t>New Lead</t>
        </is>
      </c>
      <c r="H886" t="inlineStr">
        <is>
          <t>CORRIGENDUM_III_CM18040.pdf</t>
        </is>
      </c>
      <c r="K886" t="inlineStr">
        <is>
          <t>Not found</t>
        </is>
      </c>
      <c r="L886" t="inlineStr">
        <is>
          <t>Unknown</t>
        </is>
      </c>
      <c r="T886" t="inlineStr">
        <is>
          <t>https://tenders.iglonline.net/uploads/tender/CORRIGENDUM_III_CM18040.pdf</t>
        </is>
      </c>
      <c r="U886" t="inlineStr">
        <is>
          <t>No</t>
        </is>
      </c>
      <c r="V886" t="inlineStr">
        <is>
          <t>Bot tarafindan tespit edildi (2026-07-01)</t>
        </is>
      </c>
    </row>
    <row r="887">
      <c r="A887" t="inlineStr">
        <is>
          <t>T-0691</t>
        </is>
      </c>
      <c r="B887" t="inlineStr">
        <is>
          <t>Indraprastha Gas (IGL)</t>
        </is>
      </c>
      <c r="C887" t="inlineStr">
        <is>
          <t>Indraprastha Gas (IGL)</t>
        </is>
      </c>
      <c r="F887" t="inlineStr">
        <is>
          <t>New Lead</t>
        </is>
      </c>
      <c r="H887" t="inlineStr">
        <is>
          <t>Annexure_-_IV_Security_Checklist_v13.pdf</t>
        </is>
      </c>
      <c r="K887" t="inlineStr">
        <is>
          <t>Not found</t>
        </is>
      </c>
      <c r="L887" t="inlineStr">
        <is>
          <t>Unknown</t>
        </is>
      </c>
      <c r="T887" t="inlineStr">
        <is>
          <t>https://tenders.iglonline.net/uploads/tender/Annexure_-_IV_Security_Checklist_v13.pdf</t>
        </is>
      </c>
      <c r="U887" t="inlineStr">
        <is>
          <t>No</t>
        </is>
      </c>
      <c r="V887" t="inlineStr">
        <is>
          <t>Bot tarafindan tespit edildi (2026-07-01)</t>
        </is>
      </c>
    </row>
    <row r="888">
      <c r="A888" t="inlineStr">
        <is>
          <t>T-0692</t>
        </is>
      </c>
      <c r="B888" t="inlineStr">
        <is>
          <t>Indraprastha Gas (IGL)</t>
        </is>
      </c>
      <c r="C888" t="inlineStr">
        <is>
          <t>Indraprastha Gas (IGL)</t>
        </is>
      </c>
      <c r="F888" t="inlineStr">
        <is>
          <t>New Lead</t>
        </is>
      </c>
      <c r="H888" t="inlineStr">
        <is>
          <t>Corrigendum_IV_CM18040.pdf</t>
        </is>
      </c>
      <c r="K888" t="inlineStr">
        <is>
          <t>Not found</t>
        </is>
      </c>
      <c r="L888" t="inlineStr">
        <is>
          <t>Unknown</t>
        </is>
      </c>
      <c r="T888" t="inlineStr">
        <is>
          <t>https://tenders.iglonline.net/uploads/tender/Corrigendum_IV_CM18040.pdf</t>
        </is>
      </c>
      <c r="U888" t="inlineStr">
        <is>
          <t>No</t>
        </is>
      </c>
      <c r="V888" t="inlineStr">
        <is>
          <t>Bot tarafindan tespit edildi (2026-07-01)</t>
        </is>
      </c>
    </row>
    <row r="889">
      <c r="A889" t="inlineStr">
        <is>
          <t>T-0693</t>
        </is>
      </c>
      <c r="B889" t="inlineStr">
        <is>
          <t>Indraprastha Gas (IGL)</t>
        </is>
      </c>
      <c r="C889" t="inlineStr">
        <is>
          <t>Indraprastha Gas (IGL)</t>
        </is>
      </c>
      <c r="F889" t="inlineStr">
        <is>
          <t>New Lead</t>
        </is>
      </c>
      <c r="H889" t="inlineStr">
        <is>
          <t>CORRIGENDUM_V1.pdf</t>
        </is>
      </c>
      <c r="K889" t="inlineStr">
        <is>
          <t>Not found</t>
        </is>
      </c>
      <c r="L889" t="inlineStr">
        <is>
          <t>Unknown</t>
        </is>
      </c>
      <c r="T889" t="inlineStr">
        <is>
          <t>https://tenders.iglonline.net/uploads/tender/CORRIGENDUM_V1.pdf</t>
        </is>
      </c>
      <c r="U889" t="inlineStr">
        <is>
          <t>No</t>
        </is>
      </c>
      <c r="V889" t="inlineStr">
        <is>
          <t>Bot tarafindan tespit edildi (2026-07-01)</t>
        </is>
      </c>
    </row>
    <row r="890">
      <c r="A890" t="inlineStr">
        <is>
          <t>T-0694</t>
        </is>
      </c>
      <c r="B890" t="inlineStr">
        <is>
          <t>Indraprastha Gas (IGL)</t>
        </is>
      </c>
      <c r="C890" t="inlineStr">
        <is>
          <t>Indraprastha Gas (IGL)</t>
        </is>
      </c>
      <c r="F890" t="inlineStr">
        <is>
          <t>New Lead</t>
        </is>
      </c>
      <c r="H890" t="inlineStr">
        <is>
          <t>CORRIGENDUM_VI.pdf</t>
        </is>
      </c>
      <c r="K890" t="inlineStr">
        <is>
          <t>Not found</t>
        </is>
      </c>
      <c r="L890" t="inlineStr">
        <is>
          <t>Unknown</t>
        </is>
      </c>
      <c r="T890" t="inlineStr">
        <is>
          <t>https://tenders.iglonline.net/uploads/tender/CORRIGENDUM_VI.pdf</t>
        </is>
      </c>
      <c r="U890" t="inlineStr">
        <is>
          <t>No</t>
        </is>
      </c>
      <c r="V890" t="inlineStr">
        <is>
          <t>Bot tarafindan tespit edildi (2026-07-01)</t>
        </is>
      </c>
    </row>
    <row r="891">
      <c r="A891" t="inlineStr">
        <is>
          <t>T-0695</t>
        </is>
      </c>
      <c r="B891" t="inlineStr">
        <is>
          <t>Indraprastha Gas (IGL)</t>
        </is>
      </c>
      <c r="C891" t="inlineStr">
        <is>
          <t>Indraprastha Gas (IGL)</t>
        </is>
      </c>
      <c r="F891" t="inlineStr">
        <is>
          <t>New Lead</t>
        </is>
      </c>
      <c r="H891" t="inlineStr">
        <is>
          <t>CORRIGENDUM_VII.pdf</t>
        </is>
      </c>
      <c r="K891" t="inlineStr">
        <is>
          <t>Not found</t>
        </is>
      </c>
      <c r="L891" t="inlineStr">
        <is>
          <t>Unknown</t>
        </is>
      </c>
      <c r="T891" t="inlineStr">
        <is>
          <t>https://tenders.iglonline.net/uploads/tender/CORRIGENDUM_VII.pdf</t>
        </is>
      </c>
      <c r="U891" t="inlineStr">
        <is>
          <t>No</t>
        </is>
      </c>
      <c r="V891" t="inlineStr">
        <is>
          <t>Bot tarafindan tespit edildi (2026-07-01)</t>
        </is>
      </c>
    </row>
    <row r="892">
      <c r="A892" t="inlineStr">
        <is>
          <t>T-0696</t>
        </is>
      </c>
      <c r="B892" t="inlineStr">
        <is>
          <t>Indraprastha Gas (IGL)</t>
        </is>
      </c>
      <c r="C892" t="inlineStr">
        <is>
          <t>Indraprastha Gas (IGL)</t>
        </is>
      </c>
      <c r="F892" t="inlineStr">
        <is>
          <t>New Lead</t>
        </is>
      </c>
      <c r="H892" t="inlineStr">
        <is>
          <t>View Tender</t>
        </is>
      </c>
      <c r="K892" t="inlineStr">
        <is>
          <t>Not found</t>
        </is>
      </c>
      <c r="L892" t="inlineStr">
        <is>
          <t>Unknown</t>
        </is>
      </c>
      <c r="T892" t="inlineStr">
        <is>
          <t>https://tenders.iglonline.net/tenderDetail/324/Active Tenders And Corrigendum-Addendum</t>
        </is>
      </c>
      <c r="U892" t="inlineStr">
        <is>
          <t>No</t>
        </is>
      </c>
      <c r="V892" t="inlineStr">
        <is>
          <t>Bot tarafindan tespit edildi (2026-07-01)</t>
        </is>
      </c>
    </row>
    <row r="893">
      <c r="A893" t="inlineStr">
        <is>
          <t>T-0697</t>
        </is>
      </c>
      <c r="B893" t="inlineStr">
        <is>
          <t>Indraprastha Gas (IGL)</t>
        </is>
      </c>
      <c r="C893" t="inlineStr">
        <is>
          <t>Indraprastha Gas (IGL)</t>
        </is>
      </c>
      <c r="F893" t="inlineStr">
        <is>
          <t>New Lead</t>
        </is>
      </c>
      <c r="H893" t="inlineStr">
        <is>
          <t>View Tender</t>
        </is>
      </c>
      <c r="K893" t="inlineStr">
        <is>
          <t>Not found</t>
        </is>
      </c>
      <c r="L893" t="inlineStr">
        <is>
          <t>Unknown</t>
        </is>
      </c>
      <c r="T893" t="inlineStr">
        <is>
          <t>https://tenders.iglonline.net/tenderDetail/323/Active Tenders And Corrigendum-Addendum</t>
        </is>
      </c>
      <c r="U893" t="inlineStr">
        <is>
          <t>No</t>
        </is>
      </c>
      <c r="V893" t="inlineStr">
        <is>
          <t>Bot tarafindan tespit edildi (2026-07-01)</t>
        </is>
      </c>
    </row>
    <row r="894">
      <c r="A894" t="inlineStr">
        <is>
          <t>T-0698</t>
        </is>
      </c>
      <c r="B894" t="inlineStr">
        <is>
          <t>Indraprastha Gas (IGL)</t>
        </is>
      </c>
      <c r="C894" t="inlineStr">
        <is>
          <t>Indraprastha Gas (IGL)</t>
        </is>
      </c>
      <c r="F894" t="inlineStr">
        <is>
          <t>New Lead</t>
        </is>
      </c>
      <c r="H894" t="inlineStr">
        <is>
          <t>RTPBQ_CM18202.pdf</t>
        </is>
      </c>
      <c r="K894" t="inlineStr">
        <is>
          <t>Not found</t>
        </is>
      </c>
      <c r="L894" t="inlineStr">
        <is>
          <t>Unknown</t>
        </is>
      </c>
      <c r="T894" t="inlineStr">
        <is>
          <t>https://tenders.iglonline.net/uploads/tender/RTPBQ_CM18202.pdf</t>
        </is>
      </c>
      <c r="U894" t="inlineStr">
        <is>
          <t>No</t>
        </is>
      </c>
      <c r="V894" t="inlineStr">
        <is>
          <t>Bot tarafindan tespit edildi (2026-07-01)</t>
        </is>
      </c>
    </row>
    <row r="895">
      <c r="A895" t="inlineStr">
        <is>
          <t>T-0699</t>
        </is>
      </c>
      <c r="B895" t="inlineStr">
        <is>
          <t>Indraprastha Gas (IGL)</t>
        </is>
      </c>
      <c r="C895" t="inlineStr">
        <is>
          <t>Indraprastha Gas (IGL)</t>
        </is>
      </c>
      <c r="F895" t="inlineStr">
        <is>
          <t>New Lead</t>
        </is>
      </c>
      <c r="G895" t="inlineStr">
        <is>
          <t>Regulating station</t>
        </is>
      </c>
      <c r="H895" t="inlineStr">
        <is>
          <t>View Tender</t>
        </is>
      </c>
      <c r="K895" t="inlineStr">
        <is>
          <t>Not found</t>
        </is>
      </c>
      <c r="L895" t="inlineStr">
        <is>
          <t>Unknown</t>
        </is>
      </c>
      <c r="T895" t="inlineStr">
        <is>
          <t>https://tenders.iglonline.net/tenderDetail/322/Active Tenders And Corrigendum-Addendum</t>
        </is>
      </c>
      <c r="U895" t="inlineStr">
        <is>
          <t>No</t>
        </is>
      </c>
      <c r="V895" t="inlineStr">
        <is>
          <t>Bot tarafindan tespit edildi (2026-07-01); Bot tespit/zenginlestirme (2026-07-01); meta:score=100;priority=High;source_type=html_table;closing_date=;equipment=Regulating station;reasons=equipment:Regulating station,station/skid keyword,document source,commercial/price signal; Bot clean extraction (2026-07-01); meta:score=100;priority=High;source_type=html_table;closing_date=;equipment=Regulating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896">
      <c r="A896" t="inlineStr">
        <is>
          <t>T-0700</t>
        </is>
      </c>
      <c r="B896" t="inlineStr">
        <is>
          <t>Indraprastha Gas (IGL)</t>
        </is>
      </c>
      <c r="C896" t="inlineStr">
        <is>
          <t>Indraprastha Gas (IGL)</t>
        </is>
      </c>
      <c r="D896" t="inlineStr">
        <is>
          <t>DOCUMENT</t>
        </is>
      </c>
      <c r="F896" t="inlineStr">
        <is>
          <t>Awarded</t>
        </is>
      </c>
      <c r="G896" t="inlineStr">
        <is>
          <t>DRS</t>
        </is>
      </c>
      <c r="H896" t="inlineStr">
        <is>
          <t>RTPBQ1.pdf</t>
        </is>
      </c>
      <c r="I896" t="inlineStr">
        <is>
          <t>100</t>
        </is>
      </c>
      <c r="K896" t="inlineStr">
        <is>
          <t>representative as well as the inspection surveyor. But it is not clear that in to</t>
        </is>
      </c>
      <c r="L896" t="inlineStr">
        <is>
          <t>Unknown</t>
        </is>
      </c>
      <c r="M896" t="n">
        <v>75</v>
      </c>
      <c r="T896" t="inlineStr">
        <is>
          <t>https://tenders.iglonline.net/uploads/tender/RTPBQ1.pdf</t>
        </is>
      </c>
      <c r="U896" t="inlineStr">
        <is>
          <t>No</t>
        </is>
      </c>
      <c r="V896" t="inlineStr">
        <is>
          <t>Bot tarafindan tespit edildi (2026-07-01) | Bot enrich; date=2026-07-01; type=pdf; score=320; pdf_conf=Medium; Bot tespit/zenginlestirme (2026-07-01); meta:score=100;priority=High;source_type=html_table;closing_date=None;equipment=Regulating station;reasons=equipment:Regulating station,station/skid keyword,document source,commercial/price signal</t>
        </is>
      </c>
    </row>
    <row r="897">
      <c r="A897" t="inlineStr">
        <is>
          <t>T-0701</t>
        </is>
      </c>
      <c r="B897" t="inlineStr">
        <is>
          <t>Indraprastha Gas (IGL)</t>
        </is>
      </c>
      <c r="C897" t="inlineStr">
        <is>
          <t>Indraprastha Gas (IGL)</t>
        </is>
      </c>
      <c r="F897" t="inlineStr">
        <is>
          <t>New Lead</t>
        </is>
      </c>
      <c r="H897" t="inlineStr">
        <is>
          <t>View Tender</t>
        </is>
      </c>
      <c r="K897" t="inlineStr">
        <is>
          <t>Not found</t>
        </is>
      </c>
      <c r="L897" t="inlineStr">
        <is>
          <t>Unknown</t>
        </is>
      </c>
      <c r="T897" t="inlineStr">
        <is>
          <t>https://tenders.iglonline.net/tenderDetail/321/Active Tenders And Corrigendum-Addendum</t>
        </is>
      </c>
      <c r="U897" t="inlineStr">
        <is>
          <t>No</t>
        </is>
      </c>
      <c r="V897" t="inlineStr">
        <is>
          <t>Bot tarafindan tespit edildi (2026-07-01)</t>
        </is>
      </c>
    </row>
    <row r="898">
      <c r="A898" t="inlineStr">
        <is>
          <t>T-0702</t>
        </is>
      </c>
      <c r="B898" t="inlineStr">
        <is>
          <t>Indraprastha Gas (IGL)</t>
        </is>
      </c>
      <c r="C898" t="inlineStr">
        <is>
          <t>Indraprastha Gas (IGL)</t>
        </is>
      </c>
      <c r="F898" t="inlineStr">
        <is>
          <t>New Lead</t>
        </is>
      </c>
      <c r="H898" t="inlineStr">
        <is>
          <t>RTBQ_CC18165.pdf</t>
        </is>
      </c>
      <c r="K898" t="inlineStr">
        <is>
          <t>Not found</t>
        </is>
      </c>
      <c r="L898" t="inlineStr">
        <is>
          <t>Unknown</t>
        </is>
      </c>
      <c r="T898" t="inlineStr">
        <is>
          <t>https://tenders.iglonline.net/uploads/tender/RTBQ_CC18165.pdf</t>
        </is>
      </c>
      <c r="U898" t="inlineStr">
        <is>
          <t>No</t>
        </is>
      </c>
      <c r="V898" t="inlineStr">
        <is>
          <t>Bot tarafindan tespit edildi (2026-07-01)</t>
        </is>
      </c>
    </row>
    <row r="899">
      <c r="A899" t="inlineStr">
        <is>
          <t>T-0703</t>
        </is>
      </c>
      <c r="B899" t="inlineStr">
        <is>
          <t>Indraprastha Gas (IGL)</t>
        </is>
      </c>
      <c r="C899" t="inlineStr">
        <is>
          <t>Indraprastha Gas (IGL)</t>
        </is>
      </c>
      <c r="F899" t="inlineStr">
        <is>
          <t>New Lead</t>
        </is>
      </c>
      <c r="H899" t="inlineStr">
        <is>
          <t>Corrigendum_I_with_SOR_CC18165.pdf</t>
        </is>
      </c>
      <c r="K899" t="inlineStr">
        <is>
          <t>Not found</t>
        </is>
      </c>
      <c r="L899" t="inlineStr">
        <is>
          <t>Unknown</t>
        </is>
      </c>
      <c r="T899" t="inlineStr">
        <is>
          <t>https://tenders.iglonline.net/uploads/tender/Corrigendum_I_with_SOR_CC18165.pdf</t>
        </is>
      </c>
      <c r="U899" t="inlineStr">
        <is>
          <t>No</t>
        </is>
      </c>
      <c r="V899" t="inlineStr">
        <is>
          <t>Bot tarafindan tespit edildi (2026-07-01)</t>
        </is>
      </c>
    </row>
    <row r="900">
      <c r="A900" t="inlineStr">
        <is>
          <t>T-0704</t>
        </is>
      </c>
      <c r="B900" t="inlineStr">
        <is>
          <t>Indraprastha Gas (IGL)</t>
        </is>
      </c>
      <c r="C900" t="inlineStr">
        <is>
          <t>Indraprastha Gas (IGL)</t>
        </is>
      </c>
      <c r="F900" t="inlineStr">
        <is>
          <t>New Lead</t>
        </is>
      </c>
      <c r="H900" t="inlineStr">
        <is>
          <t>CORRIGENDUM_II_CC18165.pdf</t>
        </is>
      </c>
      <c r="K900" t="inlineStr">
        <is>
          <t>Not found</t>
        </is>
      </c>
      <c r="L900" t="inlineStr">
        <is>
          <t>Unknown</t>
        </is>
      </c>
      <c r="T900" t="inlineStr">
        <is>
          <t>https://tenders.iglonline.net/uploads/tender/CORRIGENDUM_II_CC18165.pdf</t>
        </is>
      </c>
      <c r="U900" t="inlineStr">
        <is>
          <t>No</t>
        </is>
      </c>
      <c r="V900" t="inlineStr">
        <is>
          <t>Bot tarafindan tespit edildi (2026-07-01)</t>
        </is>
      </c>
    </row>
    <row r="901">
      <c r="A901" t="inlineStr">
        <is>
          <t>T-0705</t>
        </is>
      </c>
      <c r="B901" t="inlineStr">
        <is>
          <t>Indraprastha Gas (IGL)</t>
        </is>
      </c>
      <c r="C901" t="inlineStr">
        <is>
          <t>Indraprastha Gas (IGL)</t>
        </is>
      </c>
      <c r="F901" t="inlineStr">
        <is>
          <t>New Lead</t>
        </is>
      </c>
      <c r="H901" t="inlineStr">
        <is>
          <t>View Tender</t>
        </is>
      </c>
      <c r="K901" t="inlineStr">
        <is>
          <t>Not found</t>
        </is>
      </c>
      <c r="L901" t="inlineStr">
        <is>
          <t>Unknown</t>
        </is>
      </c>
      <c r="T901" t="inlineStr">
        <is>
          <t>https://tenders.iglonline.net/tenderDetail/320/Active Tenders And Corrigendum-Addendum</t>
        </is>
      </c>
      <c r="U901" t="inlineStr">
        <is>
          <t>No</t>
        </is>
      </c>
      <c r="V901" t="inlineStr">
        <is>
          <t>Bot tarafindan tespit edildi (2026-07-01)</t>
        </is>
      </c>
    </row>
    <row r="902">
      <c r="A902" t="inlineStr">
        <is>
          <t>T-0706</t>
        </is>
      </c>
      <c r="B902" t="inlineStr">
        <is>
          <t>Indraprastha Gas (IGL)</t>
        </is>
      </c>
      <c r="C902" t="inlineStr">
        <is>
          <t>Indraprastha Gas (IGL)</t>
        </is>
      </c>
      <c r="F902" t="inlineStr">
        <is>
          <t>New Lead</t>
        </is>
      </c>
      <c r="H902" t="inlineStr">
        <is>
          <t>View Tender</t>
        </is>
      </c>
      <c r="K902" t="inlineStr">
        <is>
          <t>Not found</t>
        </is>
      </c>
      <c r="L902" t="inlineStr">
        <is>
          <t>Unknown</t>
        </is>
      </c>
      <c r="T902" t="inlineStr">
        <is>
          <t>https://tenders.iglonline.net/tenderDetail/319/Active Tenders And Corrigendum-Addendum</t>
        </is>
      </c>
      <c r="U902" t="inlineStr">
        <is>
          <t>No</t>
        </is>
      </c>
      <c r="V902" t="inlineStr">
        <is>
          <t>Bot tarafindan tespit edildi (2026-07-01)</t>
        </is>
      </c>
    </row>
    <row r="903">
      <c r="A903" t="inlineStr">
        <is>
          <t>T-0707</t>
        </is>
      </c>
      <c r="B903" t="inlineStr">
        <is>
          <t>Indraprastha Gas (IGL)</t>
        </is>
      </c>
      <c r="C903" t="inlineStr">
        <is>
          <t>Indraprastha Gas (IGL)</t>
        </is>
      </c>
      <c r="F903" t="inlineStr">
        <is>
          <t>New Lead</t>
        </is>
      </c>
      <c r="H903" t="inlineStr">
        <is>
          <t>View Tender</t>
        </is>
      </c>
      <c r="K903" t="inlineStr">
        <is>
          <t>Not found</t>
        </is>
      </c>
      <c r="L903" t="inlineStr">
        <is>
          <t>Unknown</t>
        </is>
      </c>
      <c r="T903" t="inlineStr">
        <is>
          <t>https://tenders.iglonline.net/tenderDetail/318/Active Tenders And Corrigendum-Addendum</t>
        </is>
      </c>
      <c r="U903" t="inlineStr">
        <is>
          <t>No</t>
        </is>
      </c>
      <c r="V903" t="inlineStr">
        <is>
          <t>Bot tarafindan tespit edildi (2026-07-01)</t>
        </is>
      </c>
    </row>
    <row r="904">
      <c r="A904" t="inlineStr">
        <is>
          <t>T-0708</t>
        </is>
      </c>
      <c r="B904" t="inlineStr">
        <is>
          <t>Indraprastha Gas (IGL)</t>
        </is>
      </c>
      <c r="C904" t="inlineStr">
        <is>
          <t>Indraprastha Gas (IGL)</t>
        </is>
      </c>
      <c r="F904" t="inlineStr">
        <is>
          <t>New Lead</t>
        </is>
      </c>
      <c r="G904" t="inlineStr">
        <is>
          <t>Gas-related / review</t>
        </is>
      </c>
      <c r="H904" t="inlineStr">
        <is>
          <t>Corrigendum_I_CC18114.pdf</t>
        </is>
      </c>
      <c r="K904" t="inlineStr">
        <is>
          <t>Not found</t>
        </is>
      </c>
      <c r="L904" t="inlineStr">
        <is>
          <t>Unknown</t>
        </is>
      </c>
      <c r="T904" t="inlineStr">
        <is>
          <t>https://tenders.iglonline.net/uploads/tender/Corrigendum_I_CC18114.pdf</t>
        </is>
      </c>
      <c r="U904" t="inlineStr">
        <is>
          <t>No</t>
        </is>
      </c>
      <c r="V904" t="inlineStr">
        <is>
          <t>Bot tarafindan tespit edildi (2026-07-01); Bot tespit/zenginlestirme (2026-07-01); meta:score=35;priority=Low;source_type=html_table;closing_date=;equipment=Gas-related / review;reasons=equipment:Gas-related / review,document source</t>
        </is>
      </c>
    </row>
    <row r="905">
      <c r="A905" t="inlineStr">
        <is>
          <t>T-0709</t>
        </is>
      </c>
      <c r="B905" t="inlineStr">
        <is>
          <t>Indraprastha Gas (IGL)</t>
        </is>
      </c>
      <c r="C905" t="inlineStr">
        <is>
          <t>Indraprastha Gas (IGL)</t>
        </is>
      </c>
      <c r="F905" t="inlineStr">
        <is>
          <t>New Lead</t>
        </is>
      </c>
      <c r="G905" t="inlineStr">
        <is>
          <t>Gas-related / review</t>
        </is>
      </c>
      <c r="H905" t="inlineStr">
        <is>
          <t>RTBQ_CC18114.pdf</t>
        </is>
      </c>
      <c r="K905" t="inlineStr">
        <is>
          <t>Not found</t>
        </is>
      </c>
      <c r="L905" t="inlineStr">
        <is>
          <t>Unknown</t>
        </is>
      </c>
      <c r="T905" t="inlineStr">
        <is>
          <t>https://tenders.iglonline.net/uploads/tender/RTBQ_CC18114.pdf</t>
        </is>
      </c>
      <c r="U905" t="inlineStr">
        <is>
          <t>No</t>
        </is>
      </c>
      <c r="V905" t="inlineStr">
        <is>
          <t>Bot tarafindan tespit edildi (2026-07-01); Bot tespit/zenginlestirme (2026-07-01); meta:score=35;priority=Low;source_type=html_table;closing_date=;equipment=Gas-related / review;reasons=equipment:Gas-related / review,document source</t>
        </is>
      </c>
    </row>
    <row r="906">
      <c r="A906" t="inlineStr">
        <is>
          <t>T-0710</t>
        </is>
      </c>
      <c r="B906" t="inlineStr">
        <is>
          <t>Indraprastha Gas (IGL)</t>
        </is>
      </c>
      <c r="C906" t="inlineStr">
        <is>
          <t>Indraprastha Gas (IGL)</t>
        </is>
      </c>
      <c r="F906" t="inlineStr">
        <is>
          <t>New Lead</t>
        </is>
      </c>
      <c r="G906" t="inlineStr">
        <is>
          <t>Gas-related / review</t>
        </is>
      </c>
      <c r="H906" t="inlineStr">
        <is>
          <t>CORRIGENDUM__2_CC18114.pdf</t>
        </is>
      </c>
      <c r="K906" t="inlineStr">
        <is>
          <t>Not found</t>
        </is>
      </c>
      <c r="L906" t="inlineStr">
        <is>
          <t>Unknown</t>
        </is>
      </c>
      <c r="T906" t="inlineStr">
        <is>
          <t>https://tenders.iglonline.net/uploads/tender/CORRIGENDUM__2_CC18114.pdf</t>
        </is>
      </c>
      <c r="U906" t="inlineStr">
        <is>
          <t>No</t>
        </is>
      </c>
      <c r="V906" t="inlineStr">
        <is>
          <t>Bot tarafindan tespit edildi (2026-07-01); Bot tespit/zenginlestirme (2026-07-01); meta:score=35;priority=Low;source_type=html_table;closing_date=;equipment=Gas-related / review;reasons=equipment:Gas-related / review,document source</t>
        </is>
      </c>
    </row>
    <row r="907">
      <c r="A907" t="inlineStr">
        <is>
          <t>T-0711</t>
        </is>
      </c>
      <c r="B907" t="inlineStr">
        <is>
          <t>Indraprastha Gas (IGL)</t>
        </is>
      </c>
      <c r="C907" t="inlineStr">
        <is>
          <t>Indraprastha Gas (IGL)</t>
        </is>
      </c>
      <c r="F907" t="inlineStr">
        <is>
          <t>New Lead</t>
        </is>
      </c>
      <c r="H907" t="inlineStr">
        <is>
          <t>View Tender</t>
        </is>
      </c>
      <c r="K907" t="inlineStr">
        <is>
          <t>Not found</t>
        </is>
      </c>
      <c r="L907" t="inlineStr">
        <is>
          <t>Unknown</t>
        </is>
      </c>
      <c r="T907" t="inlineStr">
        <is>
          <t>https://tenders.iglonline.net/tenderDetail/317/Active Tenders And Corrigendum-Addendum</t>
        </is>
      </c>
      <c r="U907" t="inlineStr">
        <is>
          <t>No</t>
        </is>
      </c>
      <c r="V907" t="inlineStr">
        <is>
          <t>Bot tarafindan tespit edildi (2026-07-01)</t>
        </is>
      </c>
    </row>
    <row r="908">
      <c r="A908" t="inlineStr">
        <is>
          <t>T-0712</t>
        </is>
      </c>
      <c r="B908" t="inlineStr">
        <is>
          <t>Indraprastha Gas (IGL)</t>
        </is>
      </c>
      <c r="C908" t="inlineStr">
        <is>
          <t>Indraprastha Gas (IGL)</t>
        </is>
      </c>
      <c r="D908" t="inlineStr">
        <is>
          <t>IGL/ET2/CP/CC18059</t>
        </is>
      </c>
      <c r="F908" t="inlineStr">
        <is>
          <t>New Lead</t>
        </is>
      </c>
      <c r="G908" t="inlineStr">
        <is>
          <t>Gas-related / review</t>
        </is>
      </c>
      <c r="H908" t="inlineStr">
        <is>
          <t>RTBQ_CC18059.pdf</t>
        </is>
      </c>
      <c r="K908" t="inlineStr">
        <is>
          <t>fails to provide the required CONTRACT FOR services attributed to him, then penal</t>
        </is>
      </c>
      <c r="L908" t="inlineStr">
        <is>
          <t>Unknown</t>
        </is>
      </c>
      <c r="T908" t="inlineStr">
        <is>
          <t>https://tenders.iglonline.net/uploads/tender/RTBQ_CC18059.pdf</t>
        </is>
      </c>
      <c r="U908" t="inlineStr">
        <is>
          <t>No</t>
        </is>
      </c>
      <c r="V908" t="inlineStr">
        <is>
          <t>Bot tarafindan tespit edildi (2026-07-01); Bot tespit/zenginlestirme (2026-07-01); meta:score=55;priority=Medium;source_type=html_table;closing_date=;equipment=Gas-related / review;reasons=equipment:Gas-related / review,document source,quantity signal</t>
        </is>
      </c>
    </row>
    <row r="909">
      <c r="A909" t="inlineStr">
        <is>
          <t>T-0713</t>
        </is>
      </c>
      <c r="B909" t="inlineStr">
        <is>
          <t>Indraprastha Gas (IGL)</t>
        </is>
      </c>
      <c r="C909" t="inlineStr">
        <is>
          <t>Indraprastha Gas (IGL)</t>
        </is>
      </c>
      <c r="F909" t="inlineStr">
        <is>
          <t>New Lead</t>
        </is>
      </c>
      <c r="G909" t="inlineStr">
        <is>
          <t>Gas-related / review</t>
        </is>
      </c>
      <c r="H909" t="inlineStr">
        <is>
          <t>Corrigendum_II_CC18059_(1).pdf</t>
        </is>
      </c>
      <c r="K909" t="inlineStr">
        <is>
          <t>Not found</t>
        </is>
      </c>
      <c r="L909" t="inlineStr">
        <is>
          <t>Unknown</t>
        </is>
      </c>
      <c r="T909" t="inlineStr">
        <is>
          <t>https://tenders.iglonline.net/uploads/tender/Corrigendum_II_CC18059_(1).pdf</t>
        </is>
      </c>
      <c r="U909" t="inlineStr">
        <is>
          <t>No</t>
        </is>
      </c>
      <c r="V909" t="inlineStr">
        <is>
          <t>Bot tarafindan tespit edildi (2026-07-01); Bot tespit/zenginlestirme (2026-07-01); meta:score=55;priority=Medium;source_type=html_table;closing_date=;equipment=Gas-related / review;reasons=equipment:Gas-related / review,document source,quantity signal</t>
        </is>
      </c>
    </row>
    <row r="910">
      <c r="A910" t="inlineStr">
        <is>
          <t>T-0714</t>
        </is>
      </c>
      <c r="B910" t="inlineStr">
        <is>
          <t>Indraprastha Gas (IGL)</t>
        </is>
      </c>
      <c r="C910" t="inlineStr">
        <is>
          <t>Indraprastha Gas (IGL)</t>
        </is>
      </c>
      <c r="F910" t="inlineStr">
        <is>
          <t>New Lead</t>
        </is>
      </c>
      <c r="G910" t="inlineStr">
        <is>
          <t>Gas-related / review</t>
        </is>
      </c>
      <c r="H910" t="inlineStr">
        <is>
          <t>Corrigendum_I_CC18059_(1).pdf</t>
        </is>
      </c>
      <c r="K910" t="inlineStr">
        <is>
          <t>Not found</t>
        </is>
      </c>
      <c r="L910" t="inlineStr">
        <is>
          <t>Unknown</t>
        </is>
      </c>
      <c r="T910" t="inlineStr">
        <is>
          <t>https://tenders.iglonline.net/uploads/tender/Corrigendum_I_CC18059_(1).pdf</t>
        </is>
      </c>
      <c r="U910" t="inlineStr">
        <is>
          <t>No</t>
        </is>
      </c>
      <c r="V910" t="inlineStr">
        <is>
          <t>Bot tarafindan tespit edildi (2026-07-01); Bot tespit/zenginlestirme (2026-07-01); meta:score=55;priority=Medium;source_type=html_table;closing_date=;equipment=Gas-related / review;reasons=equipment:Gas-related / review,document source,quantity signal</t>
        </is>
      </c>
    </row>
    <row r="911">
      <c r="A911" t="inlineStr">
        <is>
          <t>T-0715</t>
        </is>
      </c>
      <c r="B911" t="inlineStr">
        <is>
          <t>Indraprastha Gas (IGL)</t>
        </is>
      </c>
      <c r="C911" t="inlineStr">
        <is>
          <t>Indraprastha Gas (IGL)</t>
        </is>
      </c>
      <c r="F911" t="inlineStr">
        <is>
          <t>New Lead</t>
        </is>
      </c>
      <c r="G911" t="inlineStr">
        <is>
          <t>Gas-related / review</t>
        </is>
      </c>
      <c r="H911" t="inlineStr">
        <is>
          <t>Corrigendum_III_CC18059.pdf</t>
        </is>
      </c>
      <c r="K911" t="inlineStr">
        <is>
          <t>Not found</t>
        </is>
      </c>
      <c r="L911" t="inlineStr">
        <is>
          <t>Unknown</t>
        </is>
      </c>
      <c r="T911" t="inlineStr">
        <is>
          <t>https://tenders.iglonline.net/uploads/tender/Corrigendum_III_CC18059.pdf</t>
        </is>
      </c>
      <c r="U911" t="inlineStr">
        <is>
          <t>No</t>
        </is>
      </c>
      <c r="V911" t="inlineStr">
        <is>
          <t>Bot tarafindan tespit edildi (2026-07-01); Bot tespit/zenginlestirme (2026-07-01); meta:score=55;priority=Medium;source_type=html_table;closing_date=;equipment=Gas-related / review;reasons=equipment:Gas-related / review,document source,quantity signal</t>
        </is>
      </c>
    </row>
    <row r="912">
      <c r="A912" t="inlineStr">
        <is>
          <t>T-0716</t>
        </is>
      </c>
      <c r="B912" t="inlineStr">
        <is>
          <t>Indraprastha Gas (IGL)</t>
        </is>
      </c>
      <c r="C912" t="inlineStr">
        <is>
          <t>Indraprastha Gas (IGL)</t>
        </is>
      </c>
      <c r="F912" t="inlineStr">
        <is>
          <t>New Lead</t>
        </is>
      </c>
      <c r="G912" t="inlineStr">
        <is>
          <t>Gas-related / review</t>
        </is>
      </c>
      <c r="H912" t="inlineStr">
        <is>
          <t>Corrigendum_IV_CC18059.pdf</t>
        </is>
      </c>
      <c r="K912" t="inlineStr">
        <is>
          <t>Not found</t>
        </is>
      </c>
      <c r="L912" t="inlineStr">
        <is>
          <t>Unknown</t>
        </is>
      </c>
      <c r="T912" t="inlineStr">
        <is>
          <t>https://tenders.iglonline.net/uploads/tender/Corrigendum_IV_CC18059.pdf</t>
        </is>
      </c>
      <c r="U912" t="inlineStr">
        <is>
          <t>No</t>
        </is>
      </c>
      <c r="V912" t="inlineStr">
        <is>
          <t>Bot tarafindan tespit edildi (2026-07-01); Bot tespit/zenginlestirme (2026-07-01); meta:score=55;priority=Medium;source_type=html_table;closing_date=;equipment=Gas-related / review;reasons=equipment:Gas-related / review,document source,quantity signal</t>
        </is>
      </c>
    </row>
    <row r="913">
      <c r="A913" t="inlineStr">
        <is>
          <t>T-0717</t>
        </is>
      </c>
      <c r="B913" t="inlineStr">
        <is>
          <t>Indraprastha Gas (IGL)</t>
        </is>
      </c>
      <c r="C913" t="inlineStr">
        <is>
          <t>Indraprastha Gas (IGL)</t>
        </is>
      </c>
      <c r="F913" t="inlineStr">
        <is>
          <t>New Lead</t>
        </is>
      </c>
      <c r="H913" t="inlineStr">
        <is>
          <t>View Tender</t>
        </is>
      </c>
      <c r="K913" t="inlineStr">
        <is>
          <t>Not found</t>
        </is>
      </c>
      <c r="L913" t="inlineStr">
        <is>
          <t>Unknown</t>
        </is>
      </c>
      <c r="T913" t="inlineStr">
        <is>
          <t>https://tenders.iglonline.net/tenderDetail/316/Active Tenders And Corrigendum-Addendum</t>
        </is>
      </c>
      <c r="U913" t="inlineStr">
        <is>
          <t>No</t>
        </is>
      </c>
      <c r="V913" t="inlineStr">
        <is>
          <t>Bot tarafindan tespit edildi (2026-07-01)</t>
        </is>
      </c>
    </row>
    <row r="914">
      <c r="A914" t="inlineStr">
        <is>
          <t>T-0718</t>
        </is>
      </c>
      <c r="B914" t="inlineStr">
        <is>
          <t>Indraprastha Gas (IGL)</t>
        </is>
      </c>
      <c r="C914" t="inlineStr">
        <is>
          <t>Indraprastha Gas (IGL)</t>
        </is>
      </c>
      <c r="F914" t="inlineStr">
        <is>
          <t>New Lead</t>
        </is>
      </c>
      <c r="H914" t="inlineStr">
        <is>
          <t>Corrigendum_1_CP18143.pdf</t>
        </is>
      </c>
      <c r="K914" t="inlineStr">
        <is>
          <t>Not found</t>
        </is>
      </c>
      <c r="L914" t="inlineStr">
        <is>
          <t>Unknown</t>
        </is>
      </c>
      <c r="T914" t="inlineStr">
        <is>
          <t>https://tenders.iglonline.net/uploads/tender/Corrigendum_1_CP18143.pdf</t>
        </is>
      </c>
      <c r="U914" t="inlineStr">
        <is>
          <t>No</t>
        </is>
      </c>
      <c r="V914" t="inlineStr">
        <is>
          <t>Bot tarafindan tespit edildi (2026-07-01)</t>
        </is>
      </c>
    </row>
    <row r="915">
      <c r="A915" t="inlineStr">
        <is>
          <t>T-0719</t>
        </is>
      </c>
      <c r="B915" t="inlineStr">
        <is>
          <t>Indraprastha Gas (IGL)</t>
        </is>
      </c>
      <c r="C915" t="inlineStr">
        <is>
          <t>Indraprastha Gas (IGL)</t>
        </is>
      </c>
      <c r="F915" t="inlineStr">
        <is>
          <t>New Lead</t>
        </is>
      </c>
      <c r="H915" t="inlineStr">
        <is>
          <t>RTBQ_1_CP18143.pdf</t>
        </is>
      </c>
      <c r="K915" t="inlineStr">
        <is>
          <t>Not found</t>
        </is>
      </c>
      <c r="L915" t="inlineStr">
        <is>
          <t>Unknown</t>
        </is>
      </c>
      <c r="T915" t="inlineStr">
        <is>
          <t>https://tenders.iglonline.net/uploads/tender/RTBQ_1_CP18143.pdf</t>
        </is>
      </c>
      <c r="U915" t="inlineStr">
        <is>
          <t>No</t>
        </is>
      </c>
      <c r="V915" t="inlineStr">
        <is>
          <t>Bot tarafindan tespit edildi (2026-07-01)</t>
        </is>
      </c>
    </row>
    <row r="916">
      <c r="A916" t="inlineStr">
        <is>
          <t>T-0720</t>
        </is>
      </c>
      <c r="B916" t="inlineStr">
        <is>
          <t>Indraprastha Gas (IGL)</t>
        </is>
      </c>
      <c r="C916" t="inlineStr">
        <is>
          <t>Indraprastha Gas (IGL)</t>
        </is>
      </c>
      <c r="F916" t="inlineStr">
        <is>
          <t>New Lead</t>
        </is>
      </c>
      <c r="H916" t="inlineStr">
        <is>
          <t>RTBQ_2_CP18143.pdf</t>
        </is>
      </c>
      <c r="K916" t="inlineStr">
        <is>
          <t>Not found</t>
        </is>
      </c>
      <c r="L916" t="inlineStr">
        <is>
          <t>Unknown</t>
        </is>
      </c>
      <c r="T916" t="inlineStr">
        <is>
          <t>https://tenders.iglonline.net/uploads/tender/RTBQ_2_CP18143.pdf</t>
        </is>
      </c>
      <c r="U916" t="inlineStr">
        <is>
          <t>No</t>
        </is>
      </c>
      <c r="V916" t="inlineStr">
        <is>
          <t>Bot tarafindan tespit edildi (2026-07-01)</t>
        </is>
      </c>
    </row>
    <row r="917">
      <c r="A917" t="inlineStr">
        <is>
          <t>T-0721</t>
        </is>
      </c>
      <c r="B917" t="inlineStr">
        <is>
          <t>Indraprastha Gas (IGL)</t>
        </is>
      </c>
      <c r="C917" t="inlineStr">
        <is>
          <t>Indraprastha Gas (IGL)</t>
        </is>
      </c>
      <c r="F917" t="inlineStr">
        <is>
          <t>New Lead</t>
        </is>
      </c>
      <c r="H917" t="inlineStr">
        <is>
          <t>Corrigendum_2_CP18143.pdf</t>
        </is>
      </c>
      <c r="K917" t="inlineStr">
        <is>
          <t>Not found</t>
        </is>
      </c>
      <c r="L917" t="inlineStr">
        <is>
          <t>Unknown</t>
        </is>
      </c>
      <c r="T917" t="inlineStr">
        <is>
          <t>https://tenders.iglonline.net/uploads/tender/Corrigendum_2_CP18143.pdf</t>
        </is>
      </c>
      <c r="U917" t="inlineStr">
        <is>
          <t>No</t>
        </is>
      </c>
      <c r="V917" t="inlineStr">
        <is>
          <t>Bot tarafindan tespit edildi (2026-07-01)</t>
        </is>
      </c>
    </row>
    <row r="918">
      <c r="A918" t="inlineStr">
        <is>
          <t>T-0722</t>
        </is>
      </c>
      <c r="B918" t="inlineStr">
        <is>
          <t>Indraprastha Gas (IGL)</t>
        </is>
      </c>
      <c r="C918" t="inlineStr">
        <is>
          <t>Indraprastha Gas (IGL)</t>
        </is>
      </c>
      <c r="F918" t="inlineStr">
        <is>
          <t>New Lead</t>
        </is>
      </c>
      <c r="H918" t="inlineStr">
        <is>
          <t>View Tender</t>
        </is>
      </c>
      <c r="K918" t="inlineStr">
        <is>
          <t>Not found</t>
        </is>
      </c>
      <c r="L918" t="inlineStr">
        <is>
          <t>Unknown</t>
        </is>
      </c>
      <c r="T918" t="inlineStr">
        <is>
          <t>https://tenders.iglonline.net/tenderDetail/315/Active Tenders And Corrigendum-Addendum</t>
        </is>
      </c>
      <c r="U918" t="inlineStr">
        <is>
          <t>No</t>
        </is>
      </c>
      <c r="V918" t="inlineStr">
        <is>
          <t>Bot tarafindan tespit edildi (2026-07-01)</t>
        </is>
      </c>
    </row>
    <row r="919">
      <c r="A919" t="inlineStr">
        <is>
          <t>T-0723</t>
        </is>
      </c>
      <c r="B919" t="inlineStr">
        <is>
          <t>Indraprastha Gas (IGL)</t>
        </is>
      </c>
      <c r="C919" t="inlineStr">
        <is>
          <t>Indraprastha Gas (IGL)</t>
        </is>
      </c>
      <c r="F919" t="inlineStr">
        <is>
          <t>New Lead</t>
        </is>
      </c>
      <c r="H919" t="inlineStr">
        <is>
          <t>View Tender</t>
        </is>
      </c>
      <c r="K919" t="inlineStr">
        <is>
          <t>Not found</t>
        </is>
      </c>
      <c r="L919" t="inlineStr">
        <is>
          <t>Unknown</t>
        </is>
      </c>
      <c r="T919" t="inlineStr">
        <is>
          <t>https://tenders.iglonline.net/tenderDetail/314/Active Tenders And Corrigendum-Addendum</t>
        </is>
      </c>
      <c r="U919" t="inlineStr">
        <is>
          <t>No</t>
        </is>
      </c>
      <c r="V919" t="inlineStr">
        <is>
          <t>Bot tarafindan tespit edildi (2026-07-01)</t>
        </is>
      </c>
    </row>
    <row r="920">
      <c r="A920" t="inlineStr">
        <is>
          <t>T-0724</t>
        </is>
      </c>
      <c r="B920" t="inlineStr">
        <is>
          <t>Indraprastha Gas (IGL)</t>
        </is>
      </c>
      <c r="C920" t="inlineStr">
        <is>
          <t>Indraprastha Gas (IGL)</t>
        </is>
      </c>
      <c r="F920" t="inlineStr">
        <is>
          <t>New Lead</t>
        </is>
      </c>
      <c r="H920" t="inlineStr">
        <is>
          <t>CORRIGENDUM_I_CM18032.pdf</t>
        </is>
      </c>
      <c r="K920" t="inlineStr">
        <is>
          <t>Not found</t>
        </is>
      </c>
      <c r="L920" t="inlineStr">
        <is>
          <t>Unknown</t>
        </is>
      </c>
      <c r="T920" t="inlineStr">
        <is>
          <t>https://tenders.iglonline.net/uploads/tender/CORRIGENDUM_I_CM18032.pdf</t>
        </is>
      </c>
      <c r="U920" t="inlineStr">
        <is>
          <t>No</t>
        </is>
      </c>
      <c r="V920" t="inlineStr">
        <is>
          <t>Bot tarafindan tespit edildi (2026-07-01)</t>
        </is>
      </c>
    </row>
    <row r="921">
      <c r="A921" t="inlineStr">
        <is>
          <t>T-0725</t>
        </is>
      </c>
      <c r="B921" t="inlineStr">
        <is>
          <t>Indraprastha Gas (IGL)</t>
        </is>
      </c>
      <c r="C921" t="inlineStr">
        <is>
          <t>Indraprastha Gas (IGL)</t>
        </is>
      </c>
      <c r="F921" t="inlineStr">
        <is>
          <t>New Lead</t>
        </is>
      </c>
      <c r="G921" t="inlineStr">
        <is>
          <t>Gas filter station / filter equipment</t>
        </is>
      </c>
      <c r="H921" t="inlineStr">
        <is>
          <t>View Tender</t>
        </is>
      </c>
      <c r="K921" t="inlineStr">
        <is>
          <t>Not found</t>
        </is>
      </c>
      <c r="L921" t="inlineStr">
        <is>
          <t>Unknown</t>
        </is>
      </c>
      <c r="T921" t="inlineStr">
        <is>
          <t>https://tenders.iglonline.net/tenderDetail/313/Active Tenders And Corrigendum-Addendum</t>
        </is>
      </c>
      <c r="U921" t="inlineStr">
        <is>
          <t>No</t>
        </is>
      </c>
      <c r="V921" t="inlineStr">
        <is>
          <t>Bot tarafindan tespit edildi (2026-07-01); Bot clean extraction (2026-07-01); meta:score=25;priority=Low;source_type=html_table;closing_date=;equipment=Gas filter station / filter equipment;quality_status=market_target;market_relevance=High;document_type=corrigendum;unit_price_inr=;amount_label=;matched_terms=Gas filter station / filter equipment;reject_reasons=;scope=market_intelligence_only;excluded_scope=no_bid_or_offer_submission_automation</t>
        </is>
      </c>
    </row>
    <row r="922">
      <c r="A922" t="inlineStr">
        <is>
          <t>T-0726</t>
        </is>
      </c>
      <c r="B922" t="inlineStr">
        <is>
          <t>Indraprastha Gas (IGL)</t>
        </is>
      </c>
      <c r="C922" t="inlineStr">
        <is>
          <t>Indraprastha Gas (IGL)</t>
        </is>
      </c>
      <c r="D922" t="inlineStr">
        <is>
          <t>IGL/ET2/CP/CC17954</t>
        </is>
      </c>
      <c r="F922" t="inlineStr">
        <is>
          <t>New Lead</t>
        </is>
      </c>
      <c r="G922" t="inlineStr">
        <is>
          <t>Gas-related / review</t>
        </is>
      </c>
      <c r="H922" t="inlineStr">
        <is>
          <t>Corrigendum-I_CC17954.pdf</t>
        </is>
      </c>
      <c r="K922" t="inlineStr">
        <is>
          <t>fails to 11.3 Price Reduction will be applicable</t>
        </is>
      </c>
      <c r="L922" t="inlineStr">
        <is>
          <t>Unknown</t>
        </is>
      </c>
      <c r="T922" t="inlineStr">
        <is>
          <t>https://tenders.iglonline.net/uploads/tender/Corrigendum-I_CC17954.pdf</t>
        </is>
      </c>
      <c r="U922" t="inlineStr">
        <is>
          <t>No</t>
        </is>
      </c>
      <c r="V922" t="inlineStr">
        <is>
          <t>Bot tarafindan tespit edildi (2026-07-01); Bot tespit/zenginlestirme (2026-07-01); meta:score=35;priority=Low;source_type=html_table;closing_date=;equipment=Gas-related / review;reasons=equipment:Gas-related / review,document source; Bot clean extraction (2026-07-01); meta:score=25;priority=Low;source_type=html_table;closing_date=;equipment=Gas filter station / filter equipment;quality_status=market_target;market_relevance=High;document_type=corrigendum;unit_price_inr=;amount_label=;matched_terms=Gas filter station / filter equipment;reject_reasons=;scope=market_intelligence_only;excluded_scope=no_bid_or_offer_submission_automation</t>
        </is>
      </c>
    </row>
    <row r="923">
      <c r="A923" t="inlineStr">
        <is>
          <t>T-0727</t>
        </is>
      </c>
      <c r="B923" t="inlineStr">
        <is>
          <t>Indraprastha Gas (IGL)</t>
        </is>
      </c>
      <c r="C923" t="inlineStr">
        <is>
          <t>Indraprastha Gas (IGL)</t>
        </is>
      </c>
      <c r="D923" t="inlineStr">
        <is>
          <t>IGL/ET2/CP/CC17954</t>
        </is>
      </c>
      <c r="F923" t="inlineStr">
        <is>
          <t>New Lead</t>
        </is>
      </c>
      <c r="G923" t="inlineStr">
        <is>
          <t>Gas-related / review</t>
        </is>
      </c>
      <c r="H923" t="inlineStr">
        <is>
          <t>Corrigendum-II__CC17954.pdf</t>
        </is>
      </c>
      <c r="K923" t="inlineStr">
        <is>
          <t>Not found</t>
        </is>
      </c>
      <c r="L923" t="inlineStr">
        <is>
          <t>Unknown</t>
        </is>
      </c>
      <c r="T923" t="inlineStr">
        <is>
          <t>https://tenders.iglonline.net/uploads/tender/Corrigendum-II__CC17954.pdf</t>
        </is>
      </c>
      <c r="U923" t="inlineStr">
        <is>
          <t>No</t>
        </is>
      </c>
      <c r="V923" t="inlineStr">
        <is>
          <t>Bot tarafindan tespit edildi (2026-07-01); Bot tespit/zenginlestirme (2026-07-01); meta:score=35;priority=Low;source_type=html_table;closing_date=;equipment=Gas-related / review;reasons=equipment:Gas-related / review,document source; Bot clean extraction (2026-07-01); meta:score=25;priority=Low;source_type=html_table;closing_date=;equipment=Gas filter station / filter equipment;quality_status=market_target;market_relevance=High;document_type=corrigendum;unit_price_inr=;amount_label=;matched_terms=Gas filter station / filter equipment;reject_reasons=;scope=market_intelligence_only;excluded_scope=no_bid_or_offer_submission_automation</t>
        </is>
      </c>
    </row>
    <row r="924">
      <c r="A924" t="inlineStr">
        <is>
          <t>T-0728</t>
        </is>
      </c>
      <c r="B924" t="inlineStr">
        <is>
          <t>Indraprastha Gas (IGL)</t>
        </is>
      </c>
      <c r="C924" t="inlineStr">
        <is>
          <t>Indraprastha Gas (IGL)</t>
        </is>
      </c>
      <c r="F924" t="inlineStr">
        <is>
          <t>New Lead</t>
        </is>
      </c>
      <c r="G924" t="inlineStr">
        <is>
          <t>Gas-related / review</t>
        </is>
      </c>
      <c r="H924" t="inlineStr">
        <is>
          <t>RTBQ_CC17954_I.pdf</t>
        </is>
      </c>
      <c r="K924" t="inlineStr">
        <is>
          <t>Not found</t>
        </is>
      </c>
      <c r="L924" t="inlineStr">
        <is>
          <t>Unknown</t>
        </is>
      </c>
      <c r="T924" t="inlineStr">
        <is>
          <t>https://tenders.iglonline.net/uploads/tender/RTBQ_CC17954_I.pdf</t>
        </is>
      </c>
      <c r="U924" t="inlineStr">
        <is>
          <t>No</t>
        </is>
      </c>
      <c r="V924" t="inlineStr">
        <is>
          <t>Bot tarafindan tespit edildi (2026-07-01); Bot tespit/zenginlestirme (2026-07-01); meta:score=35;priority=Low;source_type=html_table;closing_date=;equipment=Gas-related / review;reasons=equipment:Gas-related / review,document source; Bot clean extraction (2026-07-01); meta:score=25;priority=Low;source_type=html_table;closing_date=;equipment=Gas filter station / filter equipment;quality_status=market_target;market_relevance=High;document_type=corrigendum;unit_price_inr=;amount_label=;matched_terms=Gas filter station / filter equipment;reject_reasons=;scope=market_intelligence_only;excluded_scope=no_bid_or_offer_submission_automation</t>
        </is>
      </c>
    </row>
    <row r="925">
      <c r="A925" t="inlineStr">
        <is>
          <t>T-0729</t>
        </is>
      </c>
      <c r="B925" t="inlineStr">
        <is>
          <t>Indraprastha Gas (IGL)</t>
        </is>
      </c>
      <c r="C925" t="inlineStr">
        <is>
          <t>Indraprastha Gas (IGL)</t>
        </is>
      </c>
      <c r="F925" t="inlineStr">
        <is>
          <t>New Lead</t>
        </is>
      </c>
      <c r="H925" t="inlineStr">
        <is>
          <t>View Tender</t>
        </is>
      </c>
      <c r="K925" t="inlineStr">
        <is>
          <t>Not found</t>
        </is>
      </c>
      <c r="L925" t="inlineStr">
        <is>
          <t>Unknown</t>
        </is>
      </c>
      <c r="T925" t="inlineStr">
        <is>
          <t>https://tenders.iglonline.net/tenderDetail/312/Active Tenders And Corrigendum-Addendum</t>
        </is>
      </c>
      <c r="U925" t="inlineStr">
        <is>
          <t>No</t>
        </is>
      </c>
      <c r="V925" t="inlineStr">
        <is>
          <t>Bot tarafindan tespit edildi (2026-07-01)</t>
        </is>
      </c>
    </row>
    <row r="926">
      <c r="A926" t="inlineStr">
        <is>
          <t>T-0730</t>
        </is>
      </c>
      <c r="B926" t="inlineStr">
        <is>
          <t>Indraprastha Gas (IGL)</t>
        </is>
      </c>
      <c r="C926" t="inlineStr">
        <is>
          <t>Indraprastha Gas (IGL)</t>
        </is>
      </c>
      <c r="F926" t="inlineStr">
        <is>
          <t>New Lead</t>
        </is>
      </c>
      <c r="H926" t="inlineStr">
        <is>
          <t>Reply_to_Pre_Bid_Queries_CC18103.pdf</t>
        </is>
      </c>
      <c r="K926" t="inlineStr">
        <is>
          <t>Not found</t>
        </is>
      </c>
      <c r="L926" t="inlineStr">
        <is>
          <t>Unknown</t>
        </is>
      </c>
      <c r="T926" t="inlineStr">
        <is>
          <t>https://tenders.iglonline.net/uploads/tender/Reply_to_Pre_Bid_Queries_CC18103.pdf</t>
        </is>
      </c>
      <c r="U926" t="inlineStr">
        <is>
          <t>No</t>
        </is>
      </c>
      <c r="V926" t="inlineStr">
        <is>
          <t>Bot tarafindan tespit edildi (2026-07-01)</t>
        </is>
      </c>
    </row>
    <row r="927">
      <c r="A927" t="inlineStr">
        <is>
          <t>T-0731</t>
        </is>
      </c>
      <c r="B927" t="inlineStr">
        <is>
          <t>Indraprastha Gas (IGL)</t>
        </is>
      </c>
      <c r="C927" t="inlineStr">
        <is>
          <t>Indraprastha Gas (IGL)</t>
        </is>
      </c>
      <c r="F927" t="inlineStr">
        <is>
          <t>New Lead</t>
        </is>
      </c>
      <c r="H927" t="inlineStr">
        <is>
          <t>Corrigendum_I_CC18103.pdf</t>
        </is>
      </c>
      <c r="K927" t="inlineStr">
        <is>
          <t>Not found</t>
        </is>
      </c>
      <c r="L927" t="inlineStr">
        <is>
          <t>Unknown</t>
        </is>
      </c>
      <c r="T927" t="inlineStr">
        <is>
          <t>https://tenders.iglonline.net/uploads/tender/Corrigendum_I_CC18103.pdf</t>
        </is>
      </c>
      <c r="U927" t="inlineStr">
        <is>
          <t>No</t>
        </is>
      </c>
      <c r="V927" t="inlineStr">
        <is>
          <t>Bot tarafindan tespit edildi (2026-07-01)</t>
        </is>
      </c>
    </row>
    <row r="928">
      <c r="A928" t="inlineStr">
        <is>
          <t>T-0732</t>
        </is>
      </c>
      <c r="B928" t="inlineStr">
        <is>
          <t>Indraprastha Gas (IGL)</t>
        </is>
      </c>
      <c r="C928" t="inlineStr">
        <is>
          <t>Indraprastha Gas (IGL)</t>
        </is>
      </c>
      <c r="F928" t="inlineStr">
        <is>
          <t>New Lead</t>
        </is>
      </c>
      <c r="H928" t="inlineStr">
        <is>
          <t>CORRIGENDUM_II_18103.pdf</t>
        </is>
      </c>
      <c r="K928" t="inlineStr">
        <is>
          <t>Not found</t>
        </is>
      </c>
      <c r="L928" t="inlineStr">
        <is>
          <t>Unknown</t>
        </is>
      </c>
      <c r="T928" t="inlineStr">
        <is>
          <t>https://tenders.iglonline.net/uploads/tender/CORRIGENDUM_II_18103.pdf</t>
        </is>
      </c>
      <c r="U928" t="inlineStr">
        <is>
          <t>No</t>
        </is>
      </c>
      <c r="V928" t="inlineStr">
        <is>
          <t>Bot tarafindan tespit edildi (2026-07-01)</t>
        </is>
      </c>
    </row>
    <row r="929">
      <c r="A929" t="inlineStr">
        <is>
          <t>T-0733</t>
        </is>
      </c>
      <c r="B929" t="inlineStr">
        <is>
          <t>Indraprastha Gas (IGL)</t>
        </is>
      </c>
      <c r="C929" t="inlineStr">
        <is>
          <t>Indraprastha Gas (IGL)</t>
        </is>
      </c>
      <c r="F929" t="inlineStr">
        <is>
          <t>New Lead</t>
        </is>
      </c>
      <c r="H929" t="inlineStr">
        <is>
          <t>View Tender</t>
        </is>
      </c>
      <c r="K929" t="inlineStr">
        <is>
          <t>Not found</t>
        </is>
      </c>
      <c r="L929" t="inlineStr">
        <is>
          <t>Unknown</t>
        </is>
      </c>
      <c r="T929" t="inlineStr">
        <is>
          <t>https://tenders.iglonline.net/tenderDetail/311/Active Tenders And Corrigendum-Addendum</t>
        </is>
      </c>
      <c r="U929" t="inlineStr">
        <is>
          <t>No</t>
        </is>
      </c>
      <c r="V929" t="inlineStr">
        <is>
          <t>Bot tarafindan tespit edildi (2026-07-01)</t>
        </is>
      </c>
    </row>
    <row r="930">
      <c r="A930" t="inlineStr">
        <is>
          <t>T-0734</t>
        </is>
      </c>
      <c r="B930" t="inlineStr">
        <is>
          <t>Indraprastha Gas (IGL)</t>
        </is>
      </c>
      <c r="C930" t="inlineStr">
        <is>
          <t>Indraprastha Gas (IGL)</t>
        </is>
      </c>
      <c r="F930" t="inlineStr">
        <is>
          <t>New Lead</t>
        </is>
      </c>
      <c r="H930" t="inlineStr">
        <is>
          <t>Corrigendum_-1.pdf</t>
        </is>
      </c>
      <c r="K930" t="inlineStr">
        <is>
          <t>Not found</t>
        </is>
      </c>
      <c r="L930" t="inlineStr">
        <is>
          <t>Unknown</t>
        </is>
      </c>
      <c r="T930" t="inlineStr">
        <is>
          <t>https://tenders.iglonline.net/uploads/tender/Corrigendum_-1.pdf</t>
        </is>
      </c>
      <c r="U930" t="inlineStr">
        <is>
          <t>No</t>
        </is>
      </c>
      <c r="V930" t="inlineStr">
        <is>
          <t>Bot tarafindan tespit edildi (2026-07-01)</t>
        </is>
      </c>
    </row>
    <row r="931">
      <c r="A931" t="inlineStr">
        <is>
          <t>T-0735</t>
        </is>
      </c>
      <c r="B931" t="inlineStr">
        <is>
          <t>Indraprastha Gas (IGL)</t>
        </is>
      </c>
      <c r="C931" t="inlineStr">
        <is>
          <t>Indraprastha Gas (IGL)</t>
        </is>
      </c>
      <c r="F931" t="inlineStr">
        <is>
          <t>New Lead</t>
        </is>
      </c>
      <c r="H931" t="inlineStr">
        <is>
          <t>Corrigendum-2.pdf</t>
        </is>
      </c>
      <c r="K931" t="inlineStr">
        <is>
          <t>Not found</t>
        </is>
      </c>
      <c r="L931" t="inlineStr">
        <is>
          <t>Unknown</t>
        </is>
      </c>
      <c r="T931" t="inlineStr">
        <is>
          <t>https://tenders.iglonline.net/uploads/tender/Corrigendum-2.pdf</t>
        </is>
      </c>
      <c r="U931" t="inlineStr">
        <is>
          <t>No</t>
        </is>
      </c>
      <c r="V931" t="inlineStr">
        <is>
          <t>Bot tarafindan tespit edildi (2026-07-01)</t>
        </is>
      </c>
    </row>
    <row r="932">
      <c r="A932" t="inlineStr">
        <is>
          <t>T-0736</t>
        </is>
      </c>
      <c r="B932" t="inlineStr">
        <is>
          <t>Indraprastha Gas (IGL)</t>
        </is>
      </c>
      <c r="C932" t="inlineStr">
        <is>
          <t>Indraprastha Gas (IGL)</t>
        </is>
      </c>
      <c r="F932" t="inlineStr">
        <is>
          <t>New Lead</t>
        </is>
      </c>
      <c r="H932" t="inlineStr">
        <is>
          <t>Corrigendum_37.pdf</t>
        </is>
      </c>
      <c r="K932" t="inlineStr">
        <is>
          <t>Not found</t>
        </is>
      </c>
      <c r="L932" t="inlineStr">
        <is>
          <t>Unknown</t>
        </is>
      </c>
      <c r="T932" t="inlineStr">
        <is>
          <t>https://tenders.iglonline.net/uploads/tender/Corrigendum_37.pdf</t>
        </is>
      </c>
      <c r="U932" t="inlineStr">
        <is>
          <t>No</t>
        </is>
      </c>
      <c r="V932" t="inlineStr">
        <is>
          <t>Bot tarafindan tespit edildi (2026-07-01)</t>
        </is>
      </c>
    </row>
    <row r="933">
      <c r="A933" t="inlineStr">
        <is>
          <t>T-0737</t>
        </is>
      </c>
      <c r="B933" t="inlineStr">
        <is>
          <t>Indraprastha Gas (IGL)</t>
        </is>
      </c>
      <c r="C933" t="inlineStr">
        <is>
          <t>Indraprastha Gas (IGL)</t>
        </is>
      </c>
      <c r="F933" t="inlineStr">
        <is>
          <t>New Lead</t>
        </is>
      </c>
      <c r="H933" t="inlineStr">
        <is>
          <t>View Tender</t>
        </is>
      </c>
      <c r="K933" t="inlineStr">
        <is>
          <t>Not found</t>
        </is>
      </c>
      <c r="L933" t="inlineStr">
        <is>
          <t>Unknown</t>
        </is>
      </c>
      <c r="T933" t="inlineStr">
        <is>
          <t>https://tenders.iglonline.net/tenderDetail/310/Active Tenders And Corrigendum-Addendum</t>
        </is>
      </c>
      <c r="U933" t="inlineStr">
        <is>
          <t>No</t>
        </is>
      </c>
      <c r="V933" t="inlineStr">
        <is>
          <t>Bot tarafindan tespit edildi (2026-07-01)</t>
        </is>
      </c>
    </row>
    <row r="934">
      <c r="A934" t="inlineStr">
        <is>
          <t>T-0738</t>
        </is>
      </c>
      <c r="B934" t="inlineStr">
        <is>
          <t>Indraprastha Gas (IGL)</t>
        </is>
      </c>
      <c r="C934" t="inlineStr">
        <is>
          <t>Indraprastha Gas (IGL)</t>
        </is>
      </c>
      <c r="F934" t="inlineStr">
        <is>
          <t>New Lead</t>
        </is>
      </c>
      <c r="H934" t="inlineStr">
        <is>
          <t>RTPBQ_CM18147.pdf</t>
        </is>
      </c>
      <c r="K934" t="inlineStr">
        <is>
          <t>Not found</t>
        </is>
      </c>
      <c r="L934" t="inlineStr">
        <is>
          <t>Unknown</t>
        </is>
      </c>
      <c r="T934" t="inlineStr">
        <is>
          <t>https://tenders.iglonline.net/uploads/tender/RTPBQ_CM18147.pdf</t>
        </is>
      </c>
      <c r="U934" t="inlineStr">
        <is>
          <t>No</t>
        </is>
      </c>
      <c r="V934" t="inlineStr">
        <is>
          <t>Bot tarafindan tespit edildi (2026-07-01)</t>
        </is>
      </c>
    </row>
    <row r="935">
      <c r="A935" t="inlineStr">
        <is>
          <t>T-0739</t>
        </is>
      </c>
      <c r="B935" t="inlineStr">
        <is>
          <t>Indraprastha Gas (IGL)</t>
        </is>
      </c>
      <c r="C935" t="inlineStr">
        <is>
          <t>Indraprastha Gas (IGL)</t>
        </is>
      </c>
      <c r="F935" t="inlineStr">
        <is>
          <t>New Lead</t>
        </is>
      </c>
      <c r="H935" t="inlineStr">
        <is>
          <t>Corrigendum_1_Amendment.pdf</t>
        </is>
      </c>
      <c r="K935" t="inlineStr">
        <is>
          <t>Not found</t>
        </is>
      </c>
      <c r="L935" t="inlineStr">
        <is>
          <t>Unknown</t>
        </is>
      </c>
      <c r="T935" t="inlineStr">
        <is>
          <t>https://tenders.iglonline.net/uploads/tender/Corrigendum_1_Amendment.pdf</t>
        </is>
      </c>
      <c r="U935" t="inlineStr">
        <is>
          <t>No</t>
        </is>
      </c>
      <c r="V935" t="inlineStr">
        <is>
          <t>Bot tarafindan tespit edildi (2026-07-01)</t>
        </is>
      </c>
    </row>
    <row r="936">
      <c r="A936" t="inlineStr">
        <is>
          <t>T-0740</t>
        </is>
      </c>
      <c r="B936" t="inlineStr">
        <is>
          <t>Indraprastha Gas (IGL)</t>
        </is>
      </c>
      <c r="C936" t="inlineStr">
        <is>
          <t>Indraprastha Gas (IGL)</t>
        </is>
      </c>
      <c r="F936" t="inlineStr">
        <is>
          <t>New Lead</t>
        </is>
      </c>
      <c r="H936" t="inlineStr">
        <is>
          <t>Corrigendum_26.pdf</t>
        </is>
      </c>
      <c r="K936" t="inlineStr">
        <is>
          <t>Not found</t>
        </is>
      </c>
      <c r="L936" t="inlineStr">
        <is>
          <t>Unknown</t>
        </is>
      </c>
      <c r="T936" t="inlineStr">
        <is>
          <t>https://tenders.iglonline.net/uploads/tender/Corrigendum_26.pdf</t>
        </is>
      </c>
      <c r="U936" t="inlineStr">
        <is>
          <t>No</t>
        </is>
      </c>
      <c r="V936" t="inlineStr">
        <is>
          <t>Bot tarafindan tespit edildi (2026-07-01)</t>
        </is>
      </c>
    </row>
    <row r="937">
      <c r="A937" t="inlineStr">
        <is>
          <t>T-0741</t>
        </is>
      </c>
      <c r="B937" t="inlineStr">
        <is>
          <t>Indraprastha Gas (IGL)</t>
        </is>
      </c>
      <c r="C937" t="inlineStr">
        <is>
          <t>Indraprastha Gas (IGL)</t>
        </is>
      </c>
      <c r="F937" t="inlineStr">
        <is>
          <t>New Lead</t>
        </is>
      </c>
      <c r="H937" t="inlineStr">
        <is>
          <t>View Tender</t>
        </is>
      </c>
      <c r="K937" t="inlineStr">
        <is>
          <t>Not found</t>
        </is>
      </c>
      <c r="L937" t="inlineStr">
        <is>
          <t>Unknown</t>
        </is>
      </c>
      <c r="T937" t="inlineStr">
        <is>
          <t>https://tenders.iglonline.net/tenderDetail/309/Active Tenders And Corrigendum-Addendum</t>
        </is>
      </c>
      <c r="U937" t="inlineStr">
        <is>
          <t>No</t>
        </is>
      </c>
      <c r="V937" t="inlineStr">
        <is>
          <t>Bot tarafindan tespit edildi (2026-07-01)</t>
        </is>
      </c>
    </row>
    <row r="938">
      <c r="A938" t="inlineStr">
        <is>
          <t>T-0742</t>
        </is>
      </c>
      <c r="B938" t="inlineStr">
        <is>
          <t>Indraprastha Gas (IGL)</t>
        </is>
      </c>
      <c r="C938" t="inlineStr">
        <is>
          <t>Indraprastha Gas (IGL)</t>
        </is>
      </c>
      <c r="F938" t="inlineStr">
        <is>
          <t>New Lead</t>
        </is>
      </c>
      <c r="H938" t="inlineStr">
        <is>
          <t>View Tender</t>
        </is>
      </c>
      <c r="K938" t="inlineStr">
        <is>
          <t>Not found</t>
        </is>
      </c>
      <c r="L938" t="inlineStr">
        <is>
          <t>Unknown</t>
        </is>
      </c>
      <c r="T938" t="inlineStr">
        <is>
          <t>https://tenders.iglonline.net/tenderDetail/308/Active Tenders And Corrigendum-Addendum</t>
        </is>
      </c>
      <c r="U938" t="inlineStr">
        <is>
          <t>No</t>
        </is>
      </c>
      <c r="V938" t="inlineStr">
        <is>
          <t>Bot tarafindan tespit edildi (2026-07-01)</t>
        </is>
      </c>
    </row>
    <row r="939">
      <c r="A939" t="inlineStr">
        <is>
          <t>T-0743</t>
        </is>
      </c>
      <c r="B939" t="inlineStr">
        <is>
          <t>Indraprastha Gas (IGL)</t>
        </is>
      </c>
      <c r="C939" t="inlineStr">
        <is>
          <t>Indraprastha Gas (IGL)</t>
        </is>
      </c>
      <c r="F939" t="inlineStr">
        <is>
          <t>New Lead</t>
        </is>
      </c>
      <c r="H939" t="inlineStr">
        <is>
          <t>Corrigendum-I_CC18009.pdf</t>
        </is>
      </c>
      <c r="K939" t="inlineStr">
        <is>
          <t>Not found</t>
        </is>
      </c>
      <c r="L939" t="inlineStr">
        <is>
          <t>Unknown</t>
        </is>
      </c>
      <c r="T939" t="inlineStr">
        <is>
          <t>https://tenders.iglonline.net/uploads/tender/Corrigendum-I_CC18009.pdf</t>
        </is>
      </c>
      <c r="U939" t="inlineStr">
        <is>
          <t>No</t>
        </is>
      </c>
      <c r="V939" t="inlineStr">
        <is>
          <t>Bot tarafindan tespit edildi (2026-07-01)</t>
        </is>
      </c>
    </row>
    <row r="940">
      <c r="A940" t="inlineStr">
        <is>
          <t>T-0744</t>
        </is>
      </c>
      <c r="B940" t="inlineStr">
        <is>
          <t>Indraprastha Gas (IGL)</t>
        </is>
      </c>
      <c r="C940" t="inlineStr">
        <is>
          <t>Indraprastha Gas (IGL)</t>
        </is>
      </c>
      <c r="F940" t="inlineStr">
        <is>
          <t>New Lead</t>
        </is>
      </c>
      <c r="H940" t="inlineStr">
        <is>
          <t>Corrigendum-II__CC18009.pdf</t>
        </is>
      </c>
      <c r="K940" t="inlineStr">
        <is>
          <t>Not found</t>
        </is>
      </c>
      <c r="L940" t="inlineStr">
        <is>
          <t>Unknown</t>
        </is>
      </c>
      <c r="T940" t="inlineStr">
        <is>
          <t>https://tenders.iglonline.net/uploads/tender/Corrigendum-II__CC18009.pdf</t>
        </is>
      </c>
      <c r="U940" t="inlineStr">
        <is>
          <t>No</t>
        </is>
      </c>
      <c r="V940" t="inlineStr">
        <is>
          <t>Bot tarafindan tespit edildi (2026-07-01)</t>
        </is>
      </c>
    </row>
    <row r="941">
      <c r="A941" t="inlineStr">
        <is>
          <t>T-0745</t>
        </is>
      </c>
      <c r="B941" t="inlineStr">
        <is>
          <t>Indraprastha Gas (IGL)</t>
        </is>
      </c>
      <c r="C941" t="inlineStr">
        <is>
          <t>Indraprastha Gas (IGL)</t>
        </is>
      </c>
      <c r="F941" t="inlineStr">
        <is>
          <t>New Lead</t>
        </is>
      </c>
      <c r="H941" t="inlineStr">
        <is>
          <t>Corrigendum_for_Cancellation_CC18009.pdf</t>
        </is>
      </c>
      <c r="K941" t="inlineStr">
        <is>
          <t>Not found</t>
        </is>
      </c>
      <c r="L941" t="inlineStr">
        <is>
          <t>Unknown</t>
        </is>
      </c>
      <c r="T941" t="inlineStr">
        <is>
          <t>https://tenders.iglonline.net/uploads/tender/Corrigendum_for_Cancellation_CC18009.pdf</t>
        </is>
      </c>
      <c r="U941" t="inlineStr">
        <is>
          <t>No</t>
        </is>
      </c>
      <c r="V941" t="inlineStr">
        <is>
          <t>Bot tarafindan tespit edildi (2026-07-01)</t>
        </is>
      </c>
    </row>
    <row r="942">
      <c r="A942" t="inlineStr">
        <is>
          <t>T-0746</t>
        </is>
      </c>
      <c r="B942" t="inlineStr">
        <is>
          <t>Indraprastha Gas (IGL)</t>
        </is>
      </c>
      <c r="C942" t="inlineStr">
        <is>
          <t>Indraprastha Gas (IGL)</t>
        </is>
      </c>
      <c r="F942" t="inlineStr">
        <is>
          <t>New Lead</t>
        </is>
      </c>
      <c r="H942" t="inlineStr">
        <is>
          <t>View Tender</t>
        </is>
      </c>
      <c r="K942" t="inlineStr">
        <is>
          <t>Not found</t>
        </is>
      </c>
      <c r="L942" t="inlineStr">
        <is>
          <t>Unknown</t>
        </is>
      </c>
      <c r="T942" t="inlineStr">
        <is>
          <t>https://tenders.iglonline.net/tenderDetail/307/Active Tenders And Corrigendum-Addendum</t>
        </is>
      </c>
      <c r="U942" t="inlineStr">
        <is>
          <t>No</t>
        </is>
      </c>
      <c r="V942" t="inlineStr">
        <is>
          <t>Bot tarafindan tespit edildi (2026-07-01)</t>
        </is>
      </c>
    </row>
    <row r="943">
      <c r="A943" t="inlineStr">
        <is>
          <t>T-0747</t>
        </is>
      </c>
      <c r="B943" t="inlineStr">
        <is>
          <t>Indraprastha Gas (IGL)</t>
        </is>
      </c>
      <c r="C943" t="inlineStr">
        <is>
          <t>Indraprastha Gas (IGL)</t>
        </is>
      </c>
      <c r="F943" t="inlineStr">
        <is>
          <t>New Lead</t>
        </is>
      </c>
      <c r="H943" t="inlineStr">
        <is>
          <t>Corrigendum-I_CC18063.pdf</t>
        </is>
      </c>
      <c r="K943" t="inlineStr">
        <is>
          <t>Not found</t>
        </is>
      </c>
      <c r="L943" t="inlineStr">
        <is>
          <t>Unknown</t>
        </is>
      </c>
      <c r="T943" t="inlineStr">
        <is>
          <t>https://tenders.iglonline.net/uploads/tender/Corrigendum-I_CC18063.pdf</t>
        </is>
      </c>
      <c r="U943" t="inlineStr">
        <is>
          <t>No</t>
        </is>
      </c>
      <c r="V943" t="inlineStr">
        <is>
          <t>Bot tarafindan tespit edildi (2026-07-01)</t>
        </is>
      </c>
    </row>
    <row r="944">
      <c r="A944" t="inlineStr">
        <is>
          <t>T-0748</t>
        </is>
      </c>
      <c r="B944" t="inlineStr">
        <is>
          <t>Indraprastha Gas (IGL)</t>
        </is>
      </c>
      <c r="C944" t="inlineStr">
        <is>
          <t>Indraprastha Gas (IGL)</t>
        </is>
      </c>
      <c r="F944" t="inlineStr">
        <is>
          <t>New Lead</t>
        </is>
      </c>
      <c r="H944" t="inlineStr">
        <is>
          <t>Corrigendum-II__CC18063.pdf</t>
        </is>
      </c>
      <c r="K944" t="inlineStr">
        <is>
          <t>Not found</t>
        </is>
      </c>
      <c r="L944" t="inlineStr">
        <is>
          <t>Unknown</t>
        </is>
      </c>
      <c r="T944" t="inlineStr">
        <is>
          <t>https://tenders.iglonline.net/uploads/tender/Corrigendum-II__CC18063.pdf</t>
        </is>
      </c>
      <c r="U944" t="inlineStr">
        <is>
          <t>No</t>
        </is>
      </c>
      <c r="V944" t="inlineStr">
        <is>
          <t>Bot tarafindan tespit edildi (2026-07-01)</t>
        </is>
      </c>
    </row>
    <row r="945">
      <c r="A945" t="inlineStr">
        <is>
          <t>T-0749</t>
        </is>
      </c>
      <c r="B945" t="inlineStr">
        <is>
          <t>Indraprastha Gas (IGL)</t>
        </is>
      </c>
      <c r="C945" t="inlineStr">
        <is>
          <t>Indraprastha Gas (IGL)</t>
        </is>
      </c>
      <c r="F945" t="inlineStr">
        <is>
          <t>New Lead</t>
        </is>
      </c>
      <c r="H945" t="inlineStr">
        <is>
          <t>View Tender</t>
        </is>
      </c>
      <c r="K945" t="inlineStr">
        <is>
          <t>Not found</t>
        </is>
      </c>
      <c r="L945" t="inlineStr">
        <is>
          <t>Unknown</t>
        </is>
      </c>
      <c r="T945" t="inlineStr">
        <is>
          <t>https://tenders.iglonline.net/tenderDetail/306/Active Tenders And Corrigendum-Addendum</t>
        </is>
      </c>
      <c r="U945" t="inlineStr">
        <is>
          <t>No</t>
        </is>
      </c>
      <c r="V945" t="inlineStr">
        <is>
          <t>Bot tarafindan tespit edildi (2026-07-01)</t>
        </is>
      </c>
    </row>
    <row r="946">
      <c r="A946" t="inlineStr">
        <is>
          <t>T-0750</t>
        </is>
      </c>
      <c r="B946" t="inlineStr">
        <is>
          <t>Indraprastha Gas (IGL)</t>
        </is>
      </c>
      <c r="C946" t="inlineStr">
        <is>
          <t>Indraprastha Gas (IGL)</t>
        </is>
      </c>
      <c r="D946" t="inlineStr">
        <is>
          <t>oring</t>
        </is>
      </c>
      <c r="F946" t="inlineStr">
        <is>
          <t>New Lead</t>
        </is>
      </c>
      <c r="G946" t="inlineStr">
        <is>
          <t>Unclassified</t>
        </is>
      </c>
      <c r="H946" t="inlineStr">
        <is>
          <t>CORRIGENDUM_1_CC18091.pdf</t>
        </is>
      </c>
      <c r="K946" t="inlineStr">
        <is>
          <t>Not found</t>
        </is>
      </c>
      <c r="L946" t="inlineStr">
        <is>
          <t>Unknown</t>
        </is>
      </c>
      <c r="T946" t="inlineStr">
        <is>
          <t>https://tenders.iglonline.net/uploads/tender/CORRIGENDUM_1_CC18091.pdf</t>
        </is>
      </c>
      <c r="U946" t="inlineStr">
        <is>
          <t>No</t>
        </is>
      </c>
      <c r="V946" t="inlineStr">
        <is>
          <t>Bot tarafindan tespit edildi (2026-07-01); Bot tespit/zenginlestirme (2026-07-01); meta:score=35;priority=Low;source_type=html_table;closing_date=;equipment=Unclassified;reasons=document source,tender reference signal</t>
        </is>
      </c>
    </row>
    <row r="947">
      <c r="A947" t="inlineStr">
        <is>
          <t>T-0751</t>
        </is>
      </c>
      <c r="B947" t="inlineStr">
        <is>
          <t>Indraprastha Gas (IGL)</t>
        </is>
      </c>
      <c r="C947" t="inlineStr">
        <is>
          <t>Indraprastha Gas (IGL)</t>
        </is>
      </c>
      <c r="F947" t="inlineStr">
        <is>
          <t>New Lead</t>
        </is>
      </c>
      <c r="H947" t="inlineStr">
        <is>
          <t>View Tender</t>
        </is>
      </c>
      <c r="K947" t="inlineStr">
        <is>
          <t>Not found</t>
        </is>
      </c>
      <c r="L947" t="inlineStr">
        <is>
          <t>Unknown</t>
        </is>
      </c>
      <c r="T947" t="inlineStr">
        <is>
          <t>https://tenders.iglonline.net/tenderDetail/305/Active Tenders And Corrigendum-Addendum</t>
        </is>
      </c>
      <c r="U947" t="inlineStr">
        <is>
          <t>No</t>
        </is>
      </c>
      <c r="V947" t="inlineStr">
        <is>
          <t>Bot tarafindan tespit edildi (2026-07-01)</t>
        </is>
      </c>
    </row>
    <row r="948">
      <c r="A948" t="inlineStr">
        <is>
          <t>T-0752</t>
        </is>
      </c>
      <c r="B948" t="inlineStr">
        <is>
          <t>Indraprastha Gas (IGL)</t>
        </is>
      </c>
      <c r="C948" t="inlineStr">
        <is>
          <t>Indraprastha Gas (IGL)</t>
        </is>
      </c>
      <c r="F948" t="inlineStr">
        <is>
          <t>New Lead</t>
        </is>
      </c>
      <c r="G948" t="inlineStr">
        <is>
          <t>Gas-related / review</t>
        </is>
      </c>
      <c r="H948" t="inlineStr">
        <is>
          <t>CP18074_RTBQ_1.pdf</t>
        </is>
      </c>
      <c r="K948" t="inlineStr">
        <is>
          <t>Not found</t>
        </is>
      </c>
      <c r="L948" t="inlineStr">
        <is>
          <t>Unknown</t>
        </is>
      </c>
      <c r="T948" t="inlineStr">
        <is>
          <t>https://tenders.iglonline.net/uploads/tender/CP18074_RTBQ_1.pdf</t>
        </is>
      </c>
      <c r="U948" t="inlineStr">
        <is>
          <t>No</t>
        </is>
      </c>
      <c r="V948" t="inlineStr">
        <is>
          <t>Bot tarafindan tespit edildi (2026-07-01); Bot tespit/zenginlestirme (2026-07-01); meta:score=35;priority=Low;source_type=html_table;closing_date=;equipment=Gas-related / review;reasons=equipment:Gas-related / review,document source</t>
        </is>
      </c>
    </row>
    <row r="949">
      <c r="A949" t="inlineStr">
        <is>
          <t>T-0753</t>
        </is>
      </c>
      <c r="B949" t="inlineStr">
        <is>
          <t>Indraprastha Gas (IGL)</t>
        </is>
      </c>
      <c r="C949" t="inlineStr">
        <is>
          <t>Indraprastha Gas (IGL)</t>
        </is>
      </c>
      <c r="F949" t="inlineStr">
        <is>
          <t>New Lead</t>
        </is>
      </c>
      <c r="G949" t="inlineStr">
        <is>
          <t>Gas-related / review</t>
        </is>
      </c>
      <c r="H949" t="inlineStr">
        <is>
          <t>CP18074_RTBQ_2.pdf</t>
        </is>
      </c>
      <c r="K949" t="inlineStr">
        <is>
          <t>Not found</t>
        </is>
      </c>
      <c r="L949" t="inlineStr">
        <is>
          <t>Unknown</t>
        </is>
      </c>
      <c r="T949" t="inlineStr">
        <is>
          <t>https://tenders.iglonline.net/uploads/tender/CP18074_RTBQ_2.pdf</t>
        </is>
      </c>
      <c r="U949" t="inlineStr">
        <is>
          <t>No</t>
        </is>
      </c>
      <c r="V949" t="inlineStr">
        <is>
          <t>Bot tarafindan tespit edildi (2026-07-01); Bot tespit/zenginlestirme (2026-07-01); meta:score=35;priority=Low;source_type=html_table;closing_date=;equipment=Gas-related / review;reasons=equipment:Gas-related / review,document source</t>
        </is>
      </c>
    </row>
    <row r="950">
      <c r="A950" t="inlineStr">
        <is>
          <t>T-0754</t>
        </is>
      </c>
      <c r="B950" t="inlineStr">
        <is>
          <t>Indraprastha Gas (IGL)</t>
        </is>
      </c>
      <c r="C950" t="inlineStr">
        <is>
          <t>Indraprastha Gas (IGL)</t>
        </is>
      </c>
      <c r="F950" t="inlineStr">
        <is>
          <t>New Lead</t>
        </is>
      </c>
      <c r="G950" t="inlineStr">
        <is>
          <t>Gas-related / review</t>
        </is>
      </c>
      <c r="H950" t="inlineStr">
        <is>
          <t>Corrigendum_1_CP18074.pdf</t>
        </is>
      </c>
      <c r="K950" t="inlineStr">
        <is>
          <t>Not found</t>
        </is>
      </c>
      <c r="L950" t="inlineStr">
        <is>
          <t>Unknown</t>
        </is>
      </c>
      <c r="T950" t="inlineStr">
        <is>
          <t>https://tenders.iglonline.net/uploads/tender/Corrigendum_1_CP18074.pdf</t>
        </is>
      </c>
      <c r="U950" t="inlineStr">
        <is>
          <t>No</t>
        </is>
      </c>
      <c r="V950" t="inlineStr">
        <is>
          <t>Bot tarafindan tespit edildi (2026-07-01); Bot tespit/zenginlestirme (2026-07-01); meta:score=35;priority=Low;source_type=html_table;closing_date=;equipment=Gas-related / review;reasons=equipment:Gas-related / review,document source</t>
        </is>
      </c>
    </row>
    <row r="951">
      <c r="A951" t="inlineStr">
        <is>
          <t>T-0755</t>
        </is>
      </c>
      <c r="B951" t="inlineStr">
        <is>
          <t>Indraprastha Gas (IGL)</t>
        </is>
      </c>
      <c r="C951" t="inlineStr">
        <is>
          <t>Indraprastha Gas (IGL)</t>
        </is>
      </c>
      <c r="F951" t="inlineStr">
        <is>
          <t>New Lead</t>
        </is>
      </c>
      <c r="H951" t="inlineStr">
        <is>
          <t>View Tender</t>
        </is>
      </c>
      <c r="K951" t="inlineStr">
        <is>
          <t>Not found</t>
        </is>
      </c>
      <c r="L951" t="inlineStr">
        <is>
          <t>Unknown</t>
        </is>
      </c>
      <c r="T951" t="inlineStr">
        <is>
          <t>https://tenders.iglonline.net/tenderDetail/304/Active Tenders And Corrigendum-Addendum</t>
        </is>
      </c>
      <c r="U951" t="inlineStr">
        <is>
          <t>No</t>
        </is>
      </c>
      <c r="V951" t="inlineStr">
        <is>
          <t>Bot tarafindan tespit edildi (2026-07-01)</t>
        </is>
      </c>
    </row>
    <row r="952">
      <c r="A952" t="inlineStr">
        <is>
          <t>T-0756</t>
        </is>
      </c>
      <c r="B952" t="inlineStr">
        <is>
          <t>Indraprastha Gas (IGL)</t>
        </is>
      </c>
      <c r="C952" t="inlineStr">
        <is>
          <t>Indraprastha Gas (IGL)</t>
        </is>
      </c>
      <c r="F952" t="inlineStr">
        <is>
          <t>New Lead</t>
        </is>
      </c>
      <c r="H952" t="inlineStr">
        <is>
          <t>View Tender</t>
        </is>
      </c>
      <c r="K952" t="inlineStr">
        <is>
          <t>Not found</t>
        </is>
      </c>
      <c r="L952" t="inlineStr">
        <is>
          <t>Unknown</t>
        </is>
      </c>
      <c r="T952" t="inlineStr">
        <is>
          <t>https://tenders.iglonline.net/tenderDetail/303/Active Tenders And Corrigendum-Addendum</t>
        </is>
      </c>
      <c r="U952" t="inlineStr">
        <is>
          <t>No</t>
        </is>
      </c>
      <c r="V952" t="inlineStr">
        <is>
          <t>Bot tarafindan tespit edildi (2026-07-01)</t>
        </is>
      </c>
    </row>
    <row r="953">
      <c r="A953" t="inlineStr">
        <is>
          <t>T-0757</t>
        </is>
      </c>
      <c r="B953" t="inlineStr">
        <is>
          <t>Indraprastha Gas (IGL)</t>
        </is>
      </c>
      <c r="C953" t="inlineStr">
        <is>
          <t>Indraprastha Gas (IGL)</t>
        </is>
      </c>
      <c r="F953" t="inlineStr">
        <is>
          <t>New Lead</t>
        </is>
      </c>
      <c r="H953" t="inlineStr">
        <is>
          <t>View Tender</t>
        </is>
      </c>
      <c r="K953" t="inlineStr">
        <is>
          <t>Not found</t>
        </is>
      </c>
      <c r="L953" t="inlineStr">
        <is>
          <t>Unknown</t>
        </is>
      </c>
      <c r="T953" t="inlineStr">
        <is>
          <t>https://tenders.iglonline.net/tenderDetail/302/Active Tenders And Corrigendum-Addendum</t>
        </is>
      </c>
      <c r="U953" t="inlineStr">
        <is>
          <t>No</t>
        </is>
      </c>
      <c r="V953" t="inlineStr">
        <is>
          <t>Bot tarafindan tespit edildi (2026-07-01)</t>
        </is>
      </c>
    </row>
    <row r="954">
      <c r="A954" t="inlineStr">
        <is>
          <t>T-0758</t>
        </is>
      </c>
      <c r="B954" t="inlineStr">
        <is>
          <t>Indraprastha Gas (IGL)</t>
        </is>
      </c>
      <c r="C954" t="inlineStr">
        <is>
          <t>Indraprastha Gas (IGL)</t>
        </is>
      </c>
      <c r="F954" t="inlineStr">
        <is>
          <t>New Lead</t>
        </is>
      </c>
      <c r="G954" t="inlineStr">
        <is>
          <t>Gas-related / review</t>
        </is>
      </c>
      <c r="H954" t="inlineStr">
        <is>
          <t>Corrigendum_1_CP18120.pdf</t>
        </is>
      </c>
      <c r="K954" t="inlineStr">
        <is>
          <t>Not found</t>
        </is>
      </c>
      <c r="L954" t="inlineStr">
        <is>
          <t>Unknown</t>
        </is>
      </c>
      <c r="T954" t="inlineStr">
        <is>
          <t>https://tenders.iglonline.net/uploads/tender/Corrigendum_1_CP18120.pdf</t>
        </is>
      </c>
      <c r="U954" t="inlineStr">
        <is>
          <t>No</t>
        </is>
      </c>
      <c r="V954" t="inlineStr">
        <is>
          <t>Bot tarafindan tespit edildi (2026-07-01); Bot tespit/zenginlestirme (2026-07-01); meta:score=35;priority=Low;source_type=html_table;closing_date=;equipment=Gas-related / review;reasons=equipment:Gas-related / review,document source</t>
        </is>
      </c>
    </row>
    <row r="955">
      <c r="A955" t="inlineStr">
        <is>
          <t>T-0759</t>
        </is>
      </c>
      <c r="B955" t="inlineStr">
        <is>
          <t>Indraprastha Gas (IGL)</t>
        </is>
      </c>
      <c r="C955" t="inlineStr">
        <is>
          <t>Indraprastha Gas (IGL)</t>
        </is>
      </c>
      <c r="F955" t="inlineStr">
        <is>
          <t>New Lead</t>
        </is>
      </c>
      <c r="G955" t="inlineStr">
        <is>
          <t>Gas-related / review</t>
        </is>
      </c>
      <c r="H955" t="inlineStr">
        <is>
          <t>RTBQ_1_CP18120.pdf</t>
        </is>
      </c>
      <c r="K955" t="inlineStr">
        <is>
          <t>Not found</t>
        </is>
      </c>
      <c r="L955" t="inlineStr">
        <is>
          <t>Unknown</t>
        </is>
      </c>
      <c r="T955" t="inlineStr">
        <is>
          <t>https://tenders.iglonline.net/uploads/tender/RTBQ_1_CP18120.pdf</t>
        </is>
      </c>
      <c r="U955" t="inlineStr">
        <is>
          <t>No</t>
        </is>
      </c>
      <c r="V955" t="inlineStr">
        <is>
          <t>Bot tarafindan tespit edildi (2026-07-01); Bot tespit/zenginlestirme (2026-07-01); meta:score=35;priority=Low;source_type=html_table;closing_date=;equipment=Gas-related / review;reasons=equipment:Gas-related / review,document source</t>
        </is>
      </c>
    </row>
    <row r="956">
      <c r="A956" t="inlineStr">
        <is>
          <t>T-0760</t>
        </is>
      </c>
      <c r="B956" t="inlineStr">
        <is>
          <t>Indraprastha Gas (IGL)</t>
        </is>
      </c>
      <c r="C956" t="inlineStr">
        <is>
          <t>Indraprastha Gas (IGL)</t>
        </is>
      </c>
      <c r="F956" t="inlineStr">
        <is>
          <t>New Lead</t>
        </is>
      </c>
      <c r="G956" t="inlineStr">
        <is>
          <t>Gas-related / review</t>
        </is>
      </c>
      <c r="H956" t="inlineStr">
        <is>
          <t>RTBQ_2_CP18120.pdf</t>
        </is>
      </c>
      <c r="K956" t="inlineStr">
        <is>
          <t>Not found</t>
        </is>
      </c>
      <c r="L956" t="inlineStr">
        <is>
          <t>Unknown</t>
        </is>
      </c>
      <c r="T956" t="inlineStr">
        <is>
          <t>https://tenders.iglonline.net/uploads/tender/RTBQ_2_CP18120.pdf</t>
        </is>
      </c>
      <c r="U956" t="inlineStr">
        <is>
          <t>No</t>
        </is>
      </c>
      <c r="V956" t="inlineStr">
        <is>
          <t>Bot tarafindan tespit edildi (2026-07-01); Bot tespit/zenginlestirme (2026-07-01); meta:score=35;priority=Low;source_type=html_table;closing_date=;equipment=Gas-related / review;reasons=equipment:Gas-related / review,document source</t>
        </is>
      </c>
    </row>
    <row r="957">
      <c r="A957" t="inlineStr">
        <is>
          <t>T-0761</t>
        </is>
      </c>
      <c r="B957" t="inlineStr">
        <is>
          <t>Indraprastha Gas (IGL)</t>
        </is>
      </c>
      <c r="C957" t="inlineStr">
        <is>
          <t>Indraprastha Gas (IGL)</t>
        </is>
      </c>
      <c r="F957" t="inlineStr">
        <is>
          <t>New Lead</t>
        </is>
      </c>
      <c r="G957" t="inlineStr">
        <is>
          <t>Gas-related / review</t>
        </is>
      </c>
      <c r="H957" t="inlineStr">
        <is>
          <t>Corrigendum_2_CP18120.pdf</t>
        </is>
      </c>
      <c r="K957" t="inlineStr">
        <is>
          <t>Not found</t>
        </is>
      </c>
      <c r="L957" t="inlineStr">
        <is>
          <t>Unknown</t>
        </is>
      </c>
      <c r="T957" t="inlineStr">
        <is>
          <t>https://tenders.iglonline.net/uploads/tender/Corrigendum_2_CP18120.pdf</t>
        </is>
      </c>
      <c r="U957" t="inlineStr">
        <is>
          <t>No</t>
        </is>
      </c>
      <c r="V957" t="inlineStr">
        <is>
          <t>Bot tarafindan tespit edildi (2026-07-01); Bot tespit/zenginlestirme (2026-07-01); meta:score=35;priority=Low;source_type=html_table;closing_date=;equipment=Gas-related / review;reasons=equipment:Gas-related / review,document source</t>
        </is>
      </c>
    </row>
    <row r="958">
      <c r="A958" t="inlineStr">
        <is>
          <t>T-0762</t>
        </is>
      </c>
      <c r="B958" t="inlineStr">
        <is>
          <t>Indraprastha Gas (IGL)</t>
        </is>
      </c>
      <c r="C958" t="inlineStr">
        <is>
          <t>Indraprastha Gas (IGL)</t>
        </is>
      </c>
      <c r="F958" t="inlineStr">
        <is>
          <t>New Lead</t>
        </is>
      </c>
      <c r="H958" t="inlineStr">
        <is>
          <t>View Tender</t>
        </is>
      </c>
      <c r="K958" t="inlineStr">
        <is>
          <t>Not found</t>
        </is>
      </c>
      <c r="L958" t="inlineStr">
        <is>
          <t>Unknown</t>
        </is>
      </c>
      <c r="T958" t="inlineStr">
        <is>
          <t>https://tenders.iglonline.net/tenderDetail/301/Active Tenders And Corrigendum-Addendum</t>
        </is>
      </c>
      <c r="U958" t="inlineStr">
        <is>
          <t>No</t>
        </is>
      </c>
      <c r="V958" t="inlineStr">
        <is>
          <t>Bot tarafindan tespit edildi (2026-07-01)</t>
        </is>
      </c>
    </row>
    <row r="959">
      <c r="A959" t="inlineStr">
        <is>
          <t>T-0763</t>
        </is>
      </c>
      <c r="B959" t="inlineStr">
        <is>
          <t>Indraprastha Gas (IGL)</t>
        </is>
      </c>
      <c r="C959" t="inlineStr">
        <is>
          <t>Indraprastha Gas (IGL)</t>
        </is>
      </c>
      <c r="F959" t="inlineStr">
        <is>
          <t>New Lead</t>
        </is>
      </c>
      <c r="H959" t="inlineStr">
        <is>
          <t>RTBQ_CP18113.pdf</t>
        </is>
      </c>
      <c r="K959" t="inlineStr">
        <is>
          <t>Not found</t>
        </is>
      </c>
      <c r="L959" t="inlineStr">
        <is>
          <t>Unknown</t>
        </is>
      </c>
      <c r="T959" t="inlineStr">
        <is>
          <t>https://tenders.iglonline.net/uploads/tender/RTBQ_CP18113.pdf</t>
        </is>
      </c>
      <c r="U959" t="inlineStr">
        <is>
          <t>No</t>
        </is>
      </c>
      <c r="V959" t="inlineStr">
        <is>
          <t>Bot tarafindan tespit edildi (2026-07-01)</t>
        </is>
      </c>
    </row>
    <row r="960">
      <c r="A960" t="inlineStr">
        <is>
          <t>T-0764</t>
        </is>
      </c>
      <c r="B960" t="inlineStr">
        <is>
          <t>Indraprastha Gas (IGL)</t>
        </is>
      </c>
      <c r="C960" t="inlineStr">
        <is>
          <t>Indraprastha Gas (IGL)</t>
        </is>
      </c>
      <c r="F960" t="inlineStr">
        <is>
          <t>New Lead</t>
        </is>
      </c>
      <c r="H960" t="inlineStr">
        <is>
          <t>View Tender</t>
        </is>
      </c>
      <c r="K960" t="inlineStr">
        <is>
          <t>Not found</t>
        </is>
      </c>
      <c r="L960" t="inlineStr">
        <is>
          <t>Unknown</t>
        </is>
      </c>
      <c r="T960" t="inlineStr">
        <is>
          <t>https://tenders.iglonline.net/tenderDetail/300/Active Tenders And Corrigendum-Addendum</t>
        </is>
      </c>
      <c r="U960" t="inlineStr">
        <is>
          <t>No</t>
        </is>
      </c>
      <c r="V960" t="inlineStr">
        <is>
          <t>Bot tarafindan tespit edildi (2026-07-01)</t>
        </is>
      </c>
    </row>
    <row r="961">
      <c r="A961" t="inlineStr">
        <is>
          <t>T-0765</t>
        </is>
      </c>
      <c r="B961" t="inlineStr">
        <is>
          <t>Indraprastha Gas (IGL)</t>
        </is>
      </c>
      <c r="C961" t="inlineStr">
        <is>
          <t>Indraprastha Gas (IGL)</t>
        </is>
      </c>
      <c r="F961" t="inlineStr">
        <is>
          <t>New Lead</t>
        </is>
      </c>
      <c r="H961" t="inlineStr">
        <is>
          <t>Corrigendum-I__CC18109.pdf</t>
        </is>
      </c>
      <c r="K961" t="inlineStr">
        <is>
          <t>Not found</t>
        </is>
      </c>
      <c r="L961" t="inlineStr">
        <is>
          <t>Unknown</t>
        </is>
      </c>
      <c r="T961" t="inlineStr">
        <is>
          <t>https://tenders.iglonline.net/uploads/tender/Corrigendum-I__CC18109.pdf</t>
        </is>
      </c>
      <c r="U961" t="inlineStr">
        <is>
          <t>No</t>
        </is>
      </c>
      <c r="V961" t="inlineStr">
        <is>
          <t>Bot tarafindan tespit edildi (2026-07-01)</t>
        </is>
      </c>
    </row>
    <row r="962">
      <c r="A962" t="inlineStr">
        <is>
          <t>T-0766</t>
        </is>
      </c>
      <c r="B962" t="inlineStr">
        <is>
          <t>Indraprastha Gas (IGL)</t>
        </is>
      </c>
      <c r="C962" t="inlineStr">
        <is>
          <t>Indraprastha Gas (IGL)</t>
        </is>
      </c>
      <c r="F962" t="inlineStr">
        <is>
          <t>New Lead</t>
        </is>
      </c>
      <c r="H962" t="inlineStr">
        <is>
          <t>Corrigendum-II_CC18109.pdf</t>
        </is>
      </c>
      <c r="K962" t="inlineStr">
        <is>
          <t>Not found</t>
        </is>
      </c>
      <c r="L962" t="inlineStr">
        <is>
          <t>Unknown</t>
        </is>
      </c>
      <c r="T962" t="inlineStr">
        <is>
          <t>https://tenders.iglonline.net/uploads/tender/Corrigendum-II_CC18109.pdf</t>
        </is>
      </c>
      <c r="U962" t="inlineStr">
        <is>
          <t>No</t>
        </is>
      </c>
      <c r="V962" t="inlineStr">
        <is>
          <t>Bot tarafindan tespit edildi (2026-07-01)</t>
        </is>
      </c>
    </row>
    <row r="963">
      <c r="A963" t="inlineStr">
        <is>
          <t>T-0767</t>
        </is>
      </c>
      <c r="B963" t="inlineStr">
        <is>
          <t>Indraprastha Gas (IGL)</t>
        </is>
      </c>
      <c r="C963" t="inlineStr">
        <is>
          <t>Indraprastha Gas (IGL)</t>
        </is>
      </c>
      <c r="F963" t="inlineStr">
        <is>
          <t>New Lead</t>
        </is>
      </c>
      <c r="H963" t="inlineStr">
        <is>
          <t>RTBQ_CC18109_merged_Annexures.pdf</t>
        </is>
      </c>
      <c r="K963" t="inlineStr">
        <is>
          <t>Not found</t>
        </is>
      </c>
      <c r="L963" t="inlineStr">
        <is>
          <t>Unknown</t>
        </is>
      </c>
      <c r="T963" t="inlineStr">
        <is>
          <t>https://tenders.iglonline.net/uploads/tender/RTBQ_CC18109_merged_Annexures.pdf</t>
        </is>
      </c>
      <c r="U963" t="inlineStr">
        <is>
          <t>No</t>
        </is>
      </c>
      <c r="V963" t="inlineStr">
        <is>
          <t>Bot tarafindan tespit edildi (2026-07-01)</t>
        </is>
      </c>
    </row>
    <row r="964">
      <c r="A964" t="inlineStr">
        <is>
          <t>T-0768</t>
        </is>
      </c>
      <c r="B964" t="inlineStr">
        <is>
          <t>Indraprastha Gas (IGL)</t>
        </is>
      </c>
      <c r="C964" t="inlineStr">
        <is>
          <t>Indraprastha Gas (IGL)</t>
        </is>
      </c>
      <c r="F964" t="inlineStr">
        <is>
          <t>New Lead</t>
        </is>
      </c>
      <c r="H964" t="inlineStr">
        <is>
          <t>RTBQ_CC18109_II.pdf</t>
        </is>
      </c>
      <c r="K964" t="inlineStr">
        <is>
          <t>Not found</t>
        </is>
      </c>
      <c r="L964" t="inlineStr">
        <is>
          <t>Unknown</t>
        </is>
      </c>
      <c r="T964" t="inlineStr">
        <is>
          <t>https://tenders.iglonline.net/uploads/tender/RTBQ_CC18109_II.pdf</t>
        </is>
      </c>
      <c r="U964" t="inlineStr">
        <is>
          <t>No</t>
        </is>
      </c>
      <c r="V964" t="inlineStr">
        <is>
          <t>Bot tarafindan tespit edildi (2026-07-01)</t>
        </is>
      </c>
    </row>
    <row r="965">
      <c r="A965" t="inlineStr">
        <is>
          <t>T-0769</t>
        </is>
      </c>
      <c r="B965" t="inlineStr">
        <is>
          <t>Indraprastha Gas (IGL)</t>
        </is>
      </c>
      <c r="C965" t="inlineStr">
        <is>
          <t>Indraprastha Gas (IGL)</t>
        </is>
      </c>
      <c r="F965" t="inlineStr">
        <is>
          <t>New Lead</t>
        </is>
      </c>
      <c r="H965" t="inlineStr">
        <is>
          <t>Corrigendum-III_CC18109.pdf</t>
        </is>
      </c>
      <c r="K965" t="inlineStr">
        <is>
          <t>Not found</t>
        </is>
      </c>
      <c r="L965" t="inlineStr">
        <is>
          <t>Unknown</t>
        </is>
      </c>
      <c r="T965" t="inlineStr">
        <is>
          <t>https://tenders.iglonline.net/uploads/tender/Corrigendum-III_CC18109.pdf</t>
        </is>
      </c>
      <c r="U965" t="inlineStr">
        <is>
          <t>No</t>
        </is>
      </c>
      <c r="V965" t="inlineStr">
        <is>
          <t>Bot tarafindan tespit edildi (2026-07-01)</t>
        </is>
      </c>
    </row>
    <row r="966">
      <c r="A966" t="inlineStr">
        <is>
          <t>T-0770</t>
        </is>
      </c>
      <c r="B966" t="inlineStr">
        <is>
          <t>Indraprastha Gas (IGL)</t>
        </is>
      </c>
      <c r="C966" t="inlineStr">
        <is>
          <t>Indraprastha Gas (IGL)</t>
        </is>
      </c>
      <c r="F966" t="inlineStr">
        <is>
          <t>New Lead</t>
        </is>
      </c>
      <c r="H966" t="inlineStr">
        <is>
          <t>Corrigendum-IV__CC18109.pdf</t>
        </is>
      </c>
      <c r="K966" t="inlineStr">
        <is>
          <t>Not found</t>
        </is>
      </c>
      <c r="L966" t="inlineStr">
        <is>
          <t>Unknown</t>
        </is>
      </c>
      <c r="T966" t="inlineStr">
        <is>
          <t>https://tenders.iglonline.net/uploads/tender/Corrigendum-IV__CC18109.pdf</t>
        </is>
      </c>
      <c r="U966" t="inlineStr">
        <is>
          <t>No</t>
        </is>
      </c>
      <c r="V966" t="inlineStr">
        <is>
          <t>Bot tarafindan tespit edildi (2026-07-01)</t>
        </is>
      </c>
    </row>
    <row r="967">
      <c r="A967" t="inlineStr">
        <is>
          <t>T-0771</t>
        </is>
      </c>
      <c r="B967" t="inlineStr">
        <is>
          <t>Indraprastha Gas (IGL)</t>
        </is>
      </c>
      <c r="C967" t="inlineStr">
        <is>
          <t>Indraprastha Gas (IGL)</t>
        </is>
      </c>
      <c r="F967" t="inlineStr">
        <is>
          <t>New Lead</t>
        </is>
      </c>
      <c r="H967" t="inlineStr">
        <is>
          <t>RTBQ_CC18109_III.pdf</t>
        </is>
      </c>
      <c r="K967" t="inlineStr">
        <is>
          <t>Not found</t>
        </is>
      </c>
      <c r="L967" t="inlineStr">
        <is>
          <t>Unknown</t>
        </is>
      </c>
      <c r="T967" t="inlineStr">
        <is>
          <t>https://tenders.iglonline.net/uploads/tender/RTBQ_CC18109_III.pdf</t>
        </is>
      </c>
      <c r="U967" t="inlineStr">
        <is>
          <t>No</t>
        </is>
      </c>
      <c r="V967" t="inlineStr">
        <is>
          <t>Bot tarafindan tespit edildi (2026-07-01)</t>
        </is>
      </c>
    </row>
    <row r="968">
      <c r="A968" t="inlineStr">
        <is>
          <t>T-0772</t>
        </is>
      </c>
      <c r="B968" t="inlineStr">
        <is>
          <t>Indraprastha Gas (IGL)</t>
        </is>
      </c>
      <c r="C968" t="inlineStr">
        <is>
          <t>Indraprastha Gas (IGL)</t>
        </is>
      </c>
      <c r="F968" t="inlineStr">
        <is>
          <t>New Lead</t>
        </is>
      </c>
      <c r="H968" t="inlineStr">
        <is>
          <t>View Tender</t>
        </is>
      </c>
      <c r="K968" t="inlineStr">
        <is>
          <t>Not found</t>
        </is>
      </c>
      <c r="L968" t="inlineStr">
        <is>
          <t>Unknown</t>
        </is>
      </c>
      <c r="T968" t="inlineStr">
        <is>
          <t>https://tenders.iglonline.net/tenderDetail/299/Active Tenders And Corrigendum-Addendum</t>
        </is>
      </c>
      <c r="U968" t="inlineStr">
        <is>
          <t>No</t>
        </is>
      </c>
      <c r="V968" t="inlineStr">
        <is>
          <t>Bot tarafindan tespit edildi (2026-07-01)</t>
        </is>
      </c>
    </row>
    <row r="969">
      <c r="A969" t="inlineStr">
        <is>
          <t>T-0773</t>
        </is>
      </c>
      <c r="B969" t="inlineStr">
        <is>
          <t>Indraprastha Gas (IGL)</t>
        </is>
      </c>
      <c r="C969" t="inlineStr">
        <is>
          <t>Indraprastha Gas (IGL)</t>
        </is>
      </c>
      <c r="F969" t="inlineStr">
        <is>
          <t>New Lead</t>
        </is>
      </c>
      <c r="H969" t="inlineStr">
        <is>
          <t>RTBQ_CP18119.pdf</t>
        </is>
      </c>
      <c r="K969" t="inlineStr">
        <is>
          <t>Not found</t>
        </is>
      </c>
      <c r="L969" t="inlineStr">
        <is>
          <t>Unknown</t>
        </is>
      </c>
      <c r="T969" t="inlineStr">
        <is>
          <t>https://tenders.iglonline.net/uploads/tender/RTBQ_CP18119.pdf</t>
        </is>
      </c>
      <c r="U969" t="inlineStr">
        <is>
          <t>No</t>
        </is>
      </c>
      <c r="V969" t="inlineStr">
        <is>
          <t>Bot tarafindan tespit edildi (2026-07-01)</t>
        </is>
      </c>
    </row>
    <row r="970">
      <c r="A970" t="inlineStr">
        <is>
          <t>T-0774</t>
        </is>
      </c>
      <c r="B970" t="inlineStr">
        <is>
          <t>Indraprastha Gas (IGL)</t>
        </is>
      </c>
      <c r="C970" t="inlineStr">
        <is>
          <t>Indraprastha Gas (IGL)</t>
        </is>
      </c>
      <c r="F970" t="inlineStr">
        <is>
          <t>New Lead</t>
        </is>
      </c>
      <c r="H970" t="inlineStr">
        <is>
          <t>View Tender</t>
        </is>
      </c>
      <c r="K970" t="inlineStr">
        <is>
          <t>Not found</t>
        </is>
      </c>
      <c r="L970" t="inlineStr">
        <is>
          <t>Unknown</t>
        </is>
      </c>
      <c r="T970" t="inlineStr">
        <is>
          <t>https://tenders.iglonline.net/tenderDetail/298/Active Tenders And Corrigendum-Addendum</t>
        </is>
      </c>
      <c r="U970" t="inlineStr">
        <is>
          <t>No</t>
        </is>
      </c>
      <c r="V970" t="inlineStr">
        <is>
          <t>Bot tarafindan tespit edildi (2026-07-01)</t>
        </is>
      </c>
    </row>
    <row r="971">
      <c r="A971" t="inlineStr">
        <is>
          <t>T-0775</t>
        </is>
      </c>
      <c r="B971" t="inlineStr">
        <is>
          <t>Indraprastha Gas (IGL)</t>
        </is>
      </c>
      <c r="C971" t="inlineStr">
        <is>
          <t>Indraprastha Gas (IGL)</t>
        </is>
      </c>
      <c r="F971" t="inlineStr">
        <is>
          <t>New Lead</t>
        </is>
      </c>
      <c r="H971" t="inlineStr">
        <is>
          <t>View Tender</t>
        </is>
      </c>
      <c r="K971" t="inlineStr">
        <is>
          <t>Not found</t>
        </is>
      </c>
      <c r="L971" t="inlineStr">
        <is>
          <t>Unknown</t>
        </is>
      </c>
      <c r="T971" t="inlineStr">
        <is>
          <t>https://tenders.iglonline.net/tenderDetail/297/Active Tenders And Corrigendum-Addendum</t>
        </is>
      </c>
      <c r="U971" t="inlineStr">
        <is>
          <t>No</t>
        </is>
      </c>
      <c r="V971" t="inlineStr">
        <is>
          <t>Bot tarafindan tespit edildi (2026-07-01)</t>
        </is>
      </c>
    </row>
    <row r="972">
      <c r="A972" t="inlineStr">
        <is>
          <t>T-0776</t>
        </is>
      </c>
      <c r="B972" t="inlineStr">
        <is>
          <t>Indraprastha Gas (IGL)</t>
        </is>
      </c>
      <c r="C972" t="inlineStr">
        <is>
          <t>Indraprastha Gas (IGL)</t>
        </is>
      </c>
      <c r="F972" t="inlineStr">
        <is>
          <t>New Lead</t>
        </is>
      </c>
      <c r="G972" t="inlineStr">
        <is>
          <t>Gas-related / review</t>
        </is>
      </c>
      <c r="H972" t="inlineStr">
        <is>
          <t>CORRIGENDUM_1_CC18092.pdf</t>
        </is>
      </c>
      <c r="K972" t="inlineStr">
        <is>
          <t>Not found</t>
        </is>
      </c>
      <c r="L972" t="inlineStr">
        <is>
          <t>Unknown</t>
        </is>
      </c>
      <c r="T972" t="inlineStr">
        <is>
          <t>https://tenders.iglonline.net/uploads/tender/CORRIGENDUM_1_CC18092.pdf</t>
        </is>
      </c>
      <c r="U972" t="inlineStr">
        <is>
          <t>No</t>
        </is>
      </c>
      <c r="V972" t="inlineStr">
        <is>
          <t>Bot tarafindan tespit edildi (2026-07-01); Bot tespit/zenginlestirme (2026-07-01); meta:score=35;priority=Low;source_type=html_table;closing_date=;equipment=Gas-related / review;reasons=equipment:Gas-related / review,document source</t>
        </is>
      </c>
    </row>
    <row r="973">
      <c r="A973" t="inlineStr">
        <is>
          <t>T-0777</t>
        </is>
      </c>
      <c r="B973" t="inlineStr">
        <is>
          <t>Indraprastha Gas (IGL)</t>
        </is>
      </c>
      <c r="C973" t="inlineStr">
        <is>
          <t>Indraprastha Gas (IGL)</t>
        </is>
      </c>
      <c r="F973" t="inlineStr">
        <is>
          <t>New Lead</t>
        </is>
      </c>
      <c r="G973" t="inlineStr">
        <is>
          <t>Gas-related / review</t>
        </is>
      </c>
      <c r="H973" t="inlineStr">
        <is>
          <t>Corrigendum_II_CC18092.pdf</t>
        </is>
      </c>
      <c r="K973" t="inlineStr">
        <is>
          <t>Not found</t>
        </is>
      </c>
      <c r="L973" t="inlineStr">
        <is>
          <t>Unknown</t>
        </is>
      </c>
      <c r="T973" t="inlineStr">
        <is>
          <t>https://tenders.iglonline.net/uploads/tender/Corrigendum_II_CC18092.pdf</t>
        </is>
      </c>
      <c r="U973" t="inlineStr">
        <is>
          <t>No</t>
        </is>
      </c>
      <c r="V973" t="inlineStr">
        <is>
          <t>Bot tarafindan tespit edildi (2026-07-01); Bot tespit/zenginlestirme (2026-07-01); meta:score=35;priority=Low;source_type=html_table;closing_date=;equipment=Gas-related / review;reasons=equipment:Gas-related / review,document source</t>
        </is>
      </c>
    </row>
    <row r="974">
      <c r="A974" t="inlineStr">
        <is>
          <t>T-0778</t>
        </is>
      </c>
      <c r="B974" t="inlineStr">
        <is>
          <t>Indraprastha Gas (IGL)</t>
        </is>
      </c>
      <c r="C974" t="inlineStr">
        <is>
          <t>Indraprastha Gas (IGL)</t>
        </is>
      </c>
      <c r="F974" t="inlineStr">
        <is>
          <t>New Lead</t>
        </is>
      </c>
      <c r="G974" t="inlineStr">
        <is>
          <t>Gas-related / review</t>
        </is>
      </c>
      <c r="H974" t="inlineStr">
        <is>
          <t>Corrigendum_III_CC18092.pdf</t>
        </is>
      </c>
      <c r="K974" t="inlineStr">
        <is>
          <t>Not found</t>
        </is>
      </c>
      <c r="L974" t="inlineStr">
        <is>
          <t>Unknown</t>
        </is>
      </c>
      <c r="T974" t="inlineStr">
        <is>
          <t>https://tenders.iglonline.net/uploads/tender/Corrigendum_III_CC18092.pdf</t>
        </is>
      </c>
      <c r="U974" t="inlineStr">
        <is>
          <t>No</t>
        </is>
      </c>
      <c r="V974" t="inlineStr">
        <is>
          <t>Bot tarafindan tespit edildi (2026-07-01); Bot tespit/zenginlestirme (2026-07-01); meta:score=35;priority=Low;source_type=html_table;closing_date=;equipment=Gas-related / review;reasons=equipment:Gas-related / review,document source</t>
        </is>
      </c>
    </row>
    <row r="975">
      <c r="A975" t="inlineStr">
        <is>
          <t>T-0779</t>
        </is>
      </c>
      <c r="B975" t="inlineStr">
        <is>
          <t>Indraprastha Gas (IGL)</t>
        </is>
      </c>
      <c r="C975" t="inlineStr">
        <is>
          <t>Indraprastha Gas (IGL)</t>
        </is>
      </c>
      <c r="F975" t="inlineStr">
        <is>
          <t>New Lead</t>
        </is>
      </c>
      <c r="H975" t="inlineStr">
        <is>
          <t>View Tender</t>
        </is>
      </c>
      <c r="K975" t="inlineStr">
        <is>
          <t>Not found</t>
        </is>
      </c>
      <c r="L975" t="inlineStr">
        <is>
          <t>Unknown</t>
        </is>
      </c>
      <c r="T975" t="inlineStr">
        <is>
          <t>https://tenders.iglonline.net/tenderDetail/296/Active Tenders And Corrigendum-Addendum</t>
        </is>
      </c>
      <c r="U975" t="inlineStr">
        <is>
          <t>No</t>
        </is>
      </c>
      <c r="V975" t="inlineStr">
        <is>
          <t>Bot tarafindan tespit edildi (2026-07-01)</t>
        </is>
      </c>
    </row>
    <row r="976">
      <c r="A976" t="inlineStr">
        <is>
          <t>T-0780</t>
        </is>
      </c>
      <c r="B976" t="inlineStr">
        <is>
          <t>Indraprastha Gas (IGL)</t>
        </is>
      </c>
      <c r="C976" t="inlineStr">
        <is>
          <t>Indraprastha Gas (IGL)</t>
        </is>
      </c>
      <c r="F976" t="inlineStr">
        <is>
          <t>New Lead</t>
        </is>
      </c>
      <c r="H976" t="inlineStr">
        <is>
          <t>Pre-bid_queries_CM18064.pdf</t>
        </is>
      </c>
      <c r="K976" t="inlineStr">
        <is>
          <t>Not found</t>
        </is>
      </c>
      <c r="L976" t="inlineStr">
        <is>
          <t>Unknown</t>
        </is>
      </c>
      <c r="T976" t="inlineStr">
        <is>
          <t>https://tenders.iglonline.net/uploads/tender/Pre-bid_queries_CM18064.pdf</t>
        </is>
      </c>
      <c r="U976" t="inlineStr">
        <is>
          <t>No</t>
        </is>
      </c>
      <c r="V976" t="inlineStr">
        <is>
          <t>Bot tarafindan tespit edildi (2026-07-01)</t>
        </is>
      </c>
    </row>
    <row r="977">
      <c r="A977" t="inlineStr">
        <is>
          <t>T-0781</t>
        </is>
      </c>
      <c r="B977" t="inlineStr">
        <is>
          <t>Indraprastha Gas (IGL)</t>
        </is>
      </c>
      <c r="C977" t="inlineStr">
        <is>
          <t>Indraprastha Gas (IGL)</t>
        </is>
      </c>
      <c r="F977" t="inlineStr">
        <is>
          <t>New Lead</t>
        </is>
      </c>
      <c r="H977" t="inlineStr">
        <is>
          <t>CORRIGENDUM_I_CM18064.pdf</t>
        </is>
      </c>
      <c r="K977" t="inlineStr">
        <is>
          <t>Not found</t>
        </is>
      </c>
      <c r="L977" t="inlineStr">
        <is>
          <t>Unknown</t>
        </is>
      </c>
      <c r="T977" t="inlineStr">
        <is>
          <t>https://tenders.iglonline.net/uploads/tender/CORRIGENDUM_I_CM18064.pdf</t>
        </is>
      </c>
      <c r="U977" t="inlineStr">
        <is>
          <t>No</t>
        </is>
      </c>
      <c r="V977" t="inlineStr">
        <is>
          <t>Bot tarafindan tespit edildi (2026-07-01)</t>
        </is>
      </c>
    </row>
    <row r="978">
      <c r="A978" t="inlineStr">
        <is>
          <t>T-0782</t>
        </is>
      </c>
      <c r="B978" t="inlineStr">
        <is>
          <t>Indraprastha Gas (IGL)</t>
        </is>
      </c>
      <c r="C978" t="inlineStr">
        <is>
          <t>Indraprastha Gas (IGL)</t>
        </is>
      </c>
      <c r="F978" t="inlineStr">
        <is>
          <t>New Lead</t>
        </is>
      </c>
      <c r="H978" t="inlineStr">
        <is>
          <t>CORRIGENDUM_II_CM18064.pdf</t>
        </is>
      </c>
      <c r="K978" t="inlineStr">
        <is>
          <t>Not found</t>
        </is>
      </c>
      <c r="L978" t="inlineStr">
        <is>
          <t>Unknown</t>
        </is>
      </c>
      <c r="T978" t="inlineStr">
        <is>
          <t>https://tenders.iglonline.net/uploads/tender/CORRIGENDUM_II_CM18064.pdf</t>
        </is>
      </c>
      <c r="U978" t="inlineStr">
        <is>
          <t>No</t>
        </is>
      </c>
      <c r="V978" t="inlineStr">
        <is>
          <t>Bot tarafindan tespit edildi (2026-07-01)</t>
        </is>
      </c>
    </row>
    <row r="979">
      <c r="A979" t="inlineStr">
        <is>
          <t>T-0783</t>
        </is>
      </c>
      <c r="B979" t="inlineStr">
        <is>
          <t>Indraprastha Gas (IGL)</t>
        </is>
      </c>
      <c r="C979" t="inlineStr">
        <is>
          <t>Indraprastha Gas (IGL)</t>
        </is>
      </c>
      <c r="F979" t="inlineStr">
        <is>
          <t>New Lead</t>
        </is>
      </c>
      <c r="G979" t="inlineStr">
        <is>
          <t>Skid / gas train</t>
        </is>
      </c>
      <c r="H979" t="inlineStr">
        <is>
          <t>View Tender</t>
        </is>
      </c>
      <c r="K979" t="inlineStr">
        <is>
          <t>Not found</t>
        </is>
      </c>
      <c r="L979" t="inlineStr">
        <is>
          <t>Unknown</t>
        </is>
      </c>
      <c r="T979" t="inlineStr">
        <is>
          <t>https://tenders.iglonline.net/tenderDetail/295/Active Tenders And Corrigendum-Addendum</t>
        </is>
      </c>
      <c r="U979" t="inlineStr">
        <is>
          <t>No</t>
        </is>
      </c>
      <c r="V979" t="inlineStr">
        <is>
          <t>Bot tarafindan tespit edildi (2026-07-01); Bot tespit/zenginlestirme (2026-07-01); meta:score=80;priority=High;source_type=html_table;closing_date=;equipment=Skid / gas train;reasons=equipment:Skid / gas train,station/skid keyword,document source; Bot clean extraction (2026-07-01); meta:score=50;priority=Medium;source_type=html_table;closing_date=;equipment=Skid / gas train;quality_status=market_target;market_relevance=High;document_type=corrigendum;unit_price_inr=;amount_label=;matched_terms=Skid / gas train;reject_reasons=retail/cng station noise;scope=market_intelligence_only;excluded_scope=no_bid_or_offer_submission_automation</t>
        </is>
      </c>
    </row>
    <row r="980">
      <c r="A980" t="inlineStr">
        <is>
          <t>T-0784</t>
        </is>
      </c>
      <c r="B980" t="inlineStr">
        <is>
          <t>Indraprastha Gas (IGL)</t>
        </is>
      </c>
      <c r="C980" t="inlineStr">
        <is>
          <t>Indraprastha Gas (IGL)</t>
        </is>
      </c>
      <c r="D980" t="inlineStr">
        <is>
          <t>IGL/ET2/CP/CC17990</t>
        </is>
      </c>
      <c r="F980" t="inlineStr">
        <is>
          <t>Awarded</t>
        </is>
      </c>
      <c r="G980" t="inlineStr">
        <is>
          <t>metering skid</t>
        </is>
      </c>
      <c r="H980" t="inlineStr">
        <is>
          <t>Corrigendum-I__CC17990.pdf</t>
        </is>
      </c>
      <c r="K980" t="inlineStr">
        <is>
          <t>Not found</t>
        </is>
      </c>
      <c r="L980" t="inlineStr">
        <is>
          <t>Unknown</t>
        </is>
      </c>
      <c r="T980" t="inlineStr">
        <is>
          <t>https://tenders.iglonline.net/uploads/tender/Corrigendum-I__CC17990.pdf</t>
        </is>
      </c>
      <c r="U980" t="inlineStr">
        <is>
          <t>No</t>
        </is>
      </c>
      <c r="V980" t="inlineStr">
        <is>
          <t>Bot tarafindan tespit edildi (2026-07-01) | Bot enrich; date=2026-07-01; type=pdf; score=330; pdf_conf=Low; Bot tespit/zenginlestirme (2026-07-01); meta:score=80;priority=High;source_type=html_table;closing_date=None;equipment=Skid / gas train;reasons=equipment:Skid / gas train,station/skid keyword,document source; Bot clean extraction (2026-07-01); meta:score=50;priority=Medium;source_type=html_table;closing_date=None;equipment=Skid / gas train;quality_status=market_target;market_relevance=High;document_type=corrigendum;unit_price_inr=;amount_label=;matched_terms=Skid / gas train;reject_reasons=retail/cng station noise;scope=market_intelligence_only;excluded_scope=no_bid_or_offer_submission_automation</t>
        </is>
      </c>
    </row>
    <row r="981">
      <c r="A981" t="inlineStr">
        <is>
          <t>T-0785</t>
        </is>
      </c>
      <c r="B981" t="inlineStr">
        <is>
          <t>Indraprastha Gas (IGL)</t>
        </is>
      </c>
      <c r="C981" t="inlineStr">
        <is>
          <t>Indraprastha Gas (IGL)</t>
        </is>
      </c>
      <c r="D981" t="inlineStr">
        <is>
          <t>IGL/ET2/CP/CC17990</t>
        </is>
      </c>
      <c r="F981" t="inlineStr">
        <is>
          <t>Awarded</t>
        </is>
      </c>
      <c r="G981" t="inlineStr">
        <is>
          <t>metering skid</t>
        </is>
      </c>
      <c r="H981" t="inlineStr">
        <is>
          <t>Corrigendum-II__CC17990.pdf</t>
        </is>
      </c>
      <c r="K981" t="inlineStr">
        <is>
          <t>Not found</t>
        </is>
      </c>
      <c r="L981" t="inlineStr">
        <is>
          <t>Unknown</t>
        </is>
      </c>
      <c r="T981" t="inlineStr">
        <is>
          <t>https://tenders.iglonline.net/uploads/tender/Corrigendum-II__CC17990.pdf</t>
        </is>
      </c>
      <c r="U981" t="inlineStr">
        <is>
          <t>No</t>
        </is>
      </c>
      <c r="V981" t="inlineStr">
        <is>
          <t>Bot tarafindan tespit edildi (2026-07-01) | Bot enrich; date=2026-07-01; type=pdf; score=330; pdf_conf=Low; Bot tespit/zenginlestirme (2026-07-01); meta:score=80;priority=High;source_type=html_table;closing_date=None;equipment=Skid / gas train;reasons=equipment:Skid / gas train,station/skid keyword,document source; Bot clean extraction (2026-07-01); meta:score=50;priority=Medium;source_type=html_table;closing_date=None;equipment=Skid / gas train;quality_status=market_target;market_relevance=High;document_type=corrigendum;unit_price_inr=;amount_label=;matched_terms=Skid / gas train;reject_reasons=retail/cng station noise;scope=market_intelligence_only;excluded_scope=no_bid_or_offer_submission_automation</t>
        </is>
      </c>
    </row>
    <row r="982">
      <c r="A982" t="inlineStr">
        <is>
          <t>T-0786</t>
        </is>
      </c>
      <c r="B982" t="inlineStr">
        <is>
          <t>Indraprastha Gas (IGL)</t>
        </is>
      </c>
      <c r="C982" t="inlineStr">
        <is>
          <t>Indraprastha Gas (IGL)</t>
        </is>
      </c>
      <c r="D982" t="inlineStr">
        <is>
          <t>IGL/ET2/CP/CC17990</t>
        </is>
      </c>
      <c r="F982" t="inlineStr">
        <is>
          <t>Awarded</t>
        </is>
      </c>
      <c r="G982" t="inlineStr">
        <is>
          <t>metering skid</t>
        </is>
      </c>
      <c r="H982" t="inlineStr">
        <is>
          <t>Corrigendum-III_CC17990.pdf</t>
        </is>
      </c>
      <c r="K982" t="inlineStr">
        <is>
          <t>Not found</t>
        </is>
      </c>
      <c r="L982" t="inlineStr">
        <is>
          <t>Unknown</t>
        </is>
      </c>
      <c r="T982" t="inlineStr">
        <is>
          <t>https://tenders.iglonline.net/uploads/tender/Corrigendum-III_CC17990.pdf</t>
        </is>
      </c>
      <c r="U982" t="inlineStr">
        <is>
          <t>No</t>
        </is>
      </c>
      <c r="V982" t="inlineStr">
        <is>
          <t>Bot tarafindan tespit edildi (2026-07-01) | Bot enrich; date=2026-07-01; type=pdf; score=330; pdf_conf=Low; Bot tespit/zenginlestirme (2026-07-01); meta:score=80;priority=High;source_type=html_table;closing_date=None;equipment=Skid / gas train;reasons=equipment:Skid / gas train,station/skid keyword,document source; Bot clean extraction (2026-07-01); meta:score=50;priority=Medium;source_type=html_table;closing_date=None;equipment=Skid / gas train;quality_status=market_target;market_relevance=High;document_type=corrigendum;unit_price_inr=;amount_label=;matched_terms=Skid / gas train;reject_reasons=retail/cng station noise;scope=market_intelligence_only;excluded_scope=no_bid_or_offer_submission_automation</t>
        </is>
      </c>
    </row>
    <row r="983">
      <c r="A983" t="inlineStr">
        <is>
          <t>T-0787</t>
        </is>
      </c>
      <c r="B983" t="inlineStr">
        <is>
          <t>Indraprastha Gas (IGL)</t>
        </is>
      </c>
      <c r="C983" t="inlineStr">
        <is>
          <t>Indraprastha Gas (IGL)</t>
        </is>
      </c>
      <c r="D983" t="inlineStr">
        <is>
          <t>DOCUMENT</t>
        </is>
      </c>
      <c r="F983" t="inlineStr">
        <is>
          <t>Awarded</t>
        </is>
      </c>
      <c r="G983" t="inlineStr">
        <is>
          <t>metering skid</t>
        </is>
      </c>
      <c r="H983" t="inlineStr">
        <is>
          <t>RTBQ_CC17990.pdf</t>
        </is>
      </c>
      <c r="K983" t="inlineStr">
        <is>
          <t>Not found</t>
        </is>
      </c>
      <c r="L983" t="inlineStr">
        <is>
          <t>Unknown</t>
        </is>
      </c>
      <c r="T983" t="inlineStr">
        <is>
          <t>https://tenders.iglonline.net/uploads/tender/RTBQ_CC17990.pdf</t>
        </is>
      </c>
      <c r="U983" t="inlineStr">
        <is>
          <t>No</t>
        </is>
      </c>
      <c r="V983" t="inlineStr">
        <is>
          <t>Bot tarafindan tespit edildi (2026-07-01) | Bot enrich; date=2026-07-01; type=pdf; score=330; pdf_conf=Low; Bot tespit/zenginlestirme (2026-07-01); meta:score=80;priority=High;source_type=html_table;closing_date=None;equipment=Skid / gas train;reasons=equipment:Skid / gas train,station/skid keyword,document source; Bot clean extraction (2026-07-01); meta:score=50;priority=Medium;source_type=html_table;closing_date=None;equipment=Skid / gas train;quality_status=market_target;market_relevance=High;document_type=boq;unit_price_inr=;amount_label=;matched_terms=Skid / gas train;reject_reasons=employment/corporate,retail/cng station noise;scope=market_intelligence_only;excluded_scope=no_bid_or_offer_submission_automation</t>
        </is>
      </c>
    </row>
    <row r="984">
      <c r="A984" t="inlineStr">
        <is>
          <t>T-0788</t>
        </is>
      </c>
      <c r="B984" t="inlineStr">
        <is>
          <t>Indraprastha Gas (IGL)</t>
        </is>
      </c>
      <c r="C984" t="inlineStr">
        <is>
          <t>Indraprastha Gas (IGL)</t>
        </is>
      </c>
      <c r="D984" t="inlineStr">
        <is>
          <t>IGL/ET2/CP/CC17990</t>
        </is>
      </c>
      <c r="F984" t="inlineStr">
        <is>
          <t>Awarded</t>
        </is>
      </c>
      <c r="G984" t="inlineStr">
        <is>
          <t>metering skid</t>
        </is>
      </c>
      <c r="H984" t="inlineStr">
        <is>
          <t>Corrigendum-IV__CC17990.pdf</t>
        </is>
      </c>
      <c r="K984" t="inlineStr">
        <is>
          <t>Not found</t>
        </is>
      </c>
      <c r="L984" t="inlineStr">
        <is>
          <t>Unknown</t>
        </is>
      </c>
      <c r="T984" t="inlineStr">
        <is>
          <t>https://tenders.iglonline.net/uploads/tender/Corrigendum-IV__CC17990.pdf</t>
        </is>
      </c>
      <c r="U984" t="inlineStr">
        <is>
          <t>No</t>
        </is>
      </c>
      <c r="V984" t="inlineStr">
        <is>
          <t>Bot tarafindan tespit edildi (2026-07-01) | Bot enrich; date=2026-07-01; type=pdf; score=330; pdf_conf=Low; Bot tespit/zenginlestirme (2026-07-01); meta:score=80;priority=High;source_type=html_table;closing_date=None;equipment=Skid / gas train;reasons=equipment:Skid / gas train,station/skid keyword,document source; Bot clean extraction (2026-07-01); meta:score=50;priority=Medium;source_type=html_table;closing_date=None;equipment=Skid / gas train;quality_status=market_target;market_relevance=High;document_type=corrigendum;unit_price_inr=;amount_label=;matched_terms=Skid / gas train;reject_reasons=retail/cng station noise;scope=market_intelligence_only;excluded_scope=no_bid_or_offer_submission_automation</t>
        </is>
      </c>
    </row>
    <row r="985">
      <c r="A985" t="inlineStr">
        <is>
          <t>T-0789</t>
        </is>
      </c>
      <c r="B985" t="inlineStr">
        <is>
          <t>Indraprastha Gas (IGL)</t>
        </is>
      </c>
      <c r="C985" t="inlineStr">
        <is>
          <t>Indraprastha Gas (IGL)</t>
        </is>
      </c>
      <c r="D985" t="inlineStr">
        <is>
          <t>IGL/ET2/CP/CC17990</t>
        </is>
      </c>
      <c r="F985" t="inlineStr">
        <is>
          <t>Awarded</t>
        </is>
      </c>
      <c r="G985" t="inlineStr">
        <is>
          <t>metering skid</t>
        </is>
      </c>
      <c r="H985" t="inlineStr">
        <is>
          <t>Corrigendum-V_CC17990.pdf</t>
        </is>
      </c>
      <c r="K985" t="inlineStr">
        <is>
          <t>fails to 12.3 Price Reduction will be applicable</t>
        </is>
      </c>
      <c r="L985" t="inlineStr">
        <is>
          <t>Unknown</t>
        </is>
      </c>
      <c r="T985" t="inlineStr">
        <is>
          <t>https://tenders.iglonline.net/uploads/tender/Corrigendum-V_CC17990.pdf</t>
        </is>
      </c>
      <c r="U985" t="inlineStr">
        <is>
          <t>No</t>
        </is>
      </c>
      <c r="V985" t="inlineStr">
        <is>
          <t>Bot tarafindan tespit edildi (2026-07-01) | Bot enrich; date=2026-07-01; type=pdf; score=330; pdf_conf=Low; Bot tespit/zenginlestirme (2026-07-01); meta:score=80;priority=High;source_type=html_table;closing_date=None;equipment=Skid / gas train;reasons=equipment:Skid / gas train,station/skid keyword,document source; Bot clean extraction (2026-07-01); meta:score=50;priority=Medium;source_type=html_table;closing_date=None;equipment=Regulating / metering station;quality_status=market_target;market_relevance=High;document_type=corrigendum;unit_price_inr=;amount_label=;matched_terms=Regulating / metering station,Skid / gas train;reject_reasons=retail/cng station noise;scope=market_intelligence_only;excluded_scope=no_bid_or_offer_submission_automation</t>
        </is>
      </c>
    </row>
    <row r="986">
      <c r="A986" t="inlineStr">
        <is>
          <t>T-0790</t>
        </is>
      </c>
      <c r="B986" t="inlineStr">
        <is>
          <t>Indraprastha Gas (IGL)</t>
        </is>
      </c>
      <c r="C986" t="inlineStr">
        <is>
          <t>Indraprastha Gas (IGL)</t>
        </is>
      </c>
      <c r="D986" t="inlineStr">
        <is>
          <t>IGL/ET2/CP/CC17990</t>
        </is>
      </c>
      <c r="F986" t="inlineStr">
        <is>
          <t>Awarded</t>
        </is>
      </c>
      <c r="G986" t="inlineStr">
        <is>
          <t>metering skid</t>
        </is>
      </c>
      <c r="H986" t="inlineStr">
        <is>
          <t>Corrigendum_for_cancellation_CC17990.pdf</t>
        </is>
      </c>
      <c r="K986" t="inlineStr">
        <is>
          <t>Not found</t>
        </is>
      </c>
      <c r="L986" t="inlineStr">
        <is>
          <t>Unknown</t>
        </is>
      </c>
      <c r="T986" t="inlineStr">
        <is>
          <t>https://tenders.iglonline.net/uploads/tender/Corrigendum_for_cancellation_CC17990.pdf</t>
        </is>
      </c>
      <c r="U986" t="inlineStr">
        <is>
          <t>No</t>
        </is>
      </c>
      <c r="V986" t="inlineStr">
        <is>
          <t>Bot tarafindan tespit edildi (2026-07-01) | Bot enrich; date=2026-07-01; type=pdf; score=330; pdf_conf=Low; Bot tespit/zenginlestirme (2026-07-01); meta:score=80;priority=High;source_type=html_table;closing_date=None;equipment=Skid / gas train;reasons=equipment:Skid / gas train,station/skid keyword,document source; Bot clean extraction (2026-07-01); meta:score=50;priority=Medium;source_type=html_table;closing_date=None;equipment=Skid / gas train;quality_status=market_target;market_relevance=High;document_type=corrigendum;unit_price_inr=;amount_label=;matched_terms=Skid / gas train;reject_reasons=retail/cng station noise;scope=market_intelligence_only;excluded_scope=no_bid_or_offer_submission_automation</t>
        </is>
      </c>
    </row>
    <row r="987">
      <c r="A987" t="inlineStr">
        <is>
          <t>T-0791</t>
        </is>
      </c>
      <c r="B987" t="inlineStr">
        <is>
          <t>Indraprastha Gas (IGL)</t>
        </is>
      </c>
      <c r="C987" t="inlineStr">
        <is>
          <t>Indraprastha Gas (IGL)</t>
        </is>
      </c>
      <c r="F987" t="inlineStr">
        <is>
          <t>New Lead</t>
        </is>
      </c>
      <c r="H987" t="inlineStr">
        <is>
          <t>View Tender</t>
        </is>
      </c>
      <c r="K987" t="inlineStr">
        <is>
          <t>Not found</t>
        </is>
      </c>
      <c r="L987" t="inlineStr">
        <is>
          <t>Unknown</t>
        </is>
      </c>
      <c r="T987" t="inlineStr">
        <is>
          <t>https://tenders.iglonline.net/tenderDetail/294/Active Tenders And Corrigendum-Addendum</t>
        </is>
      </c>
      <c r="U987" t="inlineStr">
        <is>
          <t>No</t>
        </is>
      </c>
      <c r="V987" t="inlineStr">
        <is>
          <t>Bot tarafindan tespit edildi (2026-07-01)</t>
        </is>
      </c>
    </row>
    <row r="988">
      <c r="A988" t="inlineStr">
        <is>
          <t>T-0792</t>
        </is>
      </c>
      <c r="B988" t="inlineStr">
        <is>
          <t>Indraprastha Gas (IGL)</t>
        </is>
      </c>
      <c r="C988" t="inlineStr">
        <is>
          <t>Indraprastha Gas (IGL)</t>
        </is>
      </c>
      <c r="F988" t="inlineStr">
        <is>
          <t>New Lead</t>
        </is>
      </c>
      <c r="H988" t="inlineStr">
        <is>
          <t>RTPBQ.pdf</t>
        </is>
      </c>
      <c r="K988" t="inlineStr">
        <is>
          <t>Not found</t>
        </is>
      </c>
      <c r="L988" t="inlineStr">
        <is>
          <t>Unknown</t>
        </is>
      </c>
      <c r="T988" t="inlineStr">
        <is>
          <t>https://tenders.iglonline.net/uploads/tender/RTPBQ.pdf</t>
        </is>
      </c>
      <c r="U988" t="inlineStr">
        <is>
          <t>No</t>
        </is>
      </c>
      <c r="V988" t="inlineStr">
        <is>
          <t>Bot tarafindan tespit edildi (2026-07-01)</t>
        </is>
      </c>
    </row>
    <row r="989">
      <c r="A989" t="inlineStr">
        <is>
          <t>T-0793</t>
        </is>
      </c>
      <c r="B989" t="inlineStr">
        <is>
          <t>Indraprastha Gas (IGL)</t>
        </is>
      </c>
      <c r="C989" t="inlineStr">
        <is>
          <t>Indraprastha Gas (IGL)</t>
        </is>
      </c>
      <c r="F989" t="inlineStr">
        <is>
          <t>New Lead</t>
        </is>
      </c>
      <c r="H989" t="inlineStr">
        <is>
          <t>Corrigendum_1_(1)1.pdf</t>
        </is>
      </c>
      <c r="K989" t="inlineStr">
        <is>
          <t>Not found</t>
        </is>
      </c>
      <c r="L989" t="inlineStr">
        <is>
          <t>Unknown</t>
        </is>
      </c>
      <c r="T989" t="inlineStr">
        <is>
          <t>https://tenders.iglonline.net/uploads/tender/Corrigendum_1_(1)1.pdf</t>
        </is>
      </c>
      <c r="U989" t="inlineStr">
        <is>
          <t>No</t>
        </is>
      </c>
      <c r="V989" t="inlineStr">
        <is>
          <t>Bot tarafindan tespit edildi (2026-07-01)</t>
        </is>
      </c>
    </row>
    <row r="990">
      <c r="A990" t="inlineStr">
        <is>
          <t>T-0794</t>
        </is>
      </c>
      <c r="B990" t="inlineStr">
        <is>
          <t>Indraprastha Gas (IGL)</t>
        </is>
      </c>
      <c r="C990" t="inlineStr">
        <is>
          <t>Indraprastha Gas (IGL)</t>
        </is>
      </c>
      <c r="F990" t="inlineStr">
        <is>
          <t>New Lead</t>
        </is>
      </c>
      <c r="H990" t="inlineStr">
        <is>
          <t>Reply_to_Bidders_2.pdf</t>
        </is>
      </c>
      <c r="K990" t="inlineStr">
        <is>
          <t>Not found</t>
        </is>
      </c>
      <c r="L990" t="inlineStr">
        <is>
          <t>Unknown</t>
        </is>
      </c>
      <c r="T990" t="inlineStr">
        <is>
          <t>https://tenders.iglonline.net/uploads/tender/Reply_to_Bidders_2.pdf</t>
        </is>
      </c>
      <c r="U990" t="inlineStr">
        <is>
          <t>No</t>
        </is>
      </c>
      <c r="V990" t="inlineStr">
        <is>
          <t>Bot tarafindan tespit edildi (2026-07-01)</t>
        </is>
      </c>
    </row>
    <row r="991">
      <c r="A991" t="inlineStr">
        <is>
          <t>T-0795</t>
        </is>
      </c>
      <c r="B991" t="inlineStr">
        <is>
          <t>Indraprastha Gas (IGL)</t>
        </is>
      </c>
      <c r="C991" t="inlineStr">
        <is>
          <t>Indraprastha Gas (IGL)</t>
        </is>
      </c>
      <c r="F991" t="inlineStr">
        <is>
          <t>New Lead</t>
        </is>
      </c>
      <c r="H991" t="inlineStr">
        <is>
          <t>Corrigendum_2_Cancellation_of_tender.pdf</t>
        </is>
      </c>
      <c r="K991" t="inlineStr">
        <is>
          <t>Not found</t>
        </is>
      </c>
      <c r="L991" t="inlineStr">
        <is>
          <t>Unknown</t>
        </is>
      </c>
      <c r="T991" t="inlineStr">
        <is>
          <t>https://tenders.iglonline.net/uploads/tender/Corrigendum_2_Cancellation_of_tender.pdf</t>
        </is>
      </c>
      <c r="U991" t="inlineStr">
        <is>
          <t>No</t>
        </is>
      </c>
      <c r="V991" t="inlineStr">
        <is>
          <t>Bot tarafindan tespit edildi (2026-07-01)</t>
        </is>
      </c>
    </row>
    <row r="992">
      <c r="A992" t="inlineStr">
        <is>
          <t>T-0796</t>
        </is>
      </c>
      <c r="B992" t="inlineStr">
        <is>
          <t>Indraprastha Gas (IGL)</t>
        </is>
      </c>
      <c r="C992" t="inlineStr">
        <is>
          <t>Indraprastha Gas (IGL)</t>
        </is>
      </c>
      <c r="F992" t="inlineStr">
        <is>
          <t>New Lead</t>
        </is>
      </c>
      <c r="H992" t="inlineStr">
        <is>
          <t>View Tender</t>
        </is>
      </c>
      <c r="K992" t="inlineStr">
        <is>
          <t>Not found</t>
        </is>
      </c>
      <c r="L992" t="inlineStr">
        <is>
          <t>Unknown</t>
        </is>
      </c>
      <c r="T992" t="inlineStr">
        <is>
          <t>https://tenders.iglonline.net/tenderDetail/293/Active Tenders And Corrigendum-Addendum</t>
        </is>
      </c>
      <c r="U992" t="inlineStr">
        <is>
          <t>No</t>
        </is>
      </c>
      <c r="V992" t="inlineStr">
        <is>
          <t>Bot tarafindan tespit edildi (2026-07-01)</t>
        </is>
      </c>
    </row>
    <row r="993">
      <c r="A993" t="inlineStr">
        <is>
          <t>T-0797</t>
        </is>
      </c>
      <c r="B993" t="inlineStr">
        <is>
          <t>Indraprastha Gas (IGL)</t>
        </is>
      </c>
      <c r="C993" t="inlineStr">
        <is>
          <t>Indraprastha Gas (IGL)</t>
        </is>
      </c>
      <c r="F993" t="inlineStr">
        <is>
          <t>New Lead</t>
        </is>
      </c>
      <c r="H993" t="inlineStr">
        <is>
          <t>Replies_to_bidders_queries5.pdf</t>
        </is>
      </c>
      <c r="K993" t="inlineStr">
        <is>
          <t>Not found</t>
        </is>
      </c>
      <c r="L993" t="inlineStr">
        <is>
          <t>Unknown</t>
        </is>
      </c>
      <c r="T993" t="inlineStr">
        <is>
          <t>https://tenders.iglonline.net/uploads/tender/Replies_to_bidders_queries5.pdf</t>
        </is>
      </c>
      <c r="U993" t="inlineStr">
        <is>
          <t>No</t>
        </is>
      </c>
      <c r="V993" t="inlineStr">
        <is>
          <t>Bot tarafindan tespit edildi (2026-07-01)</t>
        </is>
      </c>
    </row>
    <row r="994">
      <c r="A994" t="inlineStr">
        <is>
          <t>T-0798</t>
        </is>
      </c>
      <c r="B994" t="inlineStr">
        <is>
          <t>Indraprastha Gas (IGL)</t>
        </is>
      </c>
      <c r="C994" t="inlineStr">
        <is>
          <t>Indraprastha Gas (IGL)</t>
        </is>
      </c>
      <c r="F994" t="inlineStr">
        <is>
          <t>New Lead</t>
        </is>
      </c>
      <c r="H994" t="inlineStr">
        <is>
          <t>Corrigendum_1_CP18070.pdf</t>
        </is>
      </c>
      <c r="K994" t="inlineStr">
        <is>
          <t>Not found</t>
        </is>
      </c>
      <c r="L994" t="inlineStr">
        <is>
          <t>Unknown</t>
        </is>
      </c>
      <c r="T994" t="inlineStr">
        <is>
          <t>https://tenders.iglonline.net/uploads/tender/Corrigendum_1_CP18070.pdf</t>
        </is>
      </c>
      <c r="U994" t="inlineStr">
        <is>
          <t>No</t>
        </is>
      </c>
      <c r="V994" t="inlineStr">
        <is>
          <t>Bot tarafindan tespit edildi (2026-07-01)</t>
        </is>
      </c>
    </row>
    <row r="995">
      <c r="A995" t="inlineStr">
        <is>
          <t>T-0799</t>
        </is>
      </c>
      <c r="B995" t="inlineStr">
        <is>
          <t>Indraprastha Gas (IGL)</t>
        </is>
      </c>
      <c r="C995" t="inlineStr">
        <is>
          <t>Indraprastha Gas (IGL)</t>
        </is>
      </c>
      <c r="F995" t="inlineStr">
        <is>
          <t>New Lead</t>
        </is>
      </c>
      <c r="H995" t="inlineStr">
        <is>
          <t>View Tender</t>
        </is>
      </c>
      <c r="K995" t="inlineStr">
        <is>
          <t>Not found</t>
        </is>
      </c>
      <c r="L995" t="inlineStr">
        <is>
          <t>Unknown</t>
        </is>
      </c>
      <c r="T995" t="inlineStr">
        <is>
          <t>https://tenders.iglonline.net/tenderDetail/292/Active Tenders And Corrigendum-Addendum</t>
        </is>
      </c>
      <c r="U995" t="inlineStr">
        <is>
          <t>No</t>
        </is>
      </c>
      <c r="V995" t="inlineStr">
        <is>
          <t>Bot tarafindan tespit edildi (2026-07-01)</t>
        </is>
      </c>
    </row>
    <row r="996">
      <c r="A996" t="inlineStr">
        <is>
          <t>T-0800</t>
        </is>
      </c>
      <c r="B996" t="inlineStr">
        <is>
          <t>Indraprastha Gas (IGL)</t>
        </is>
      </c>
      <c r="C996" t="inlineStr">
        <is>
          <t>Indraprastha Gas (IGL)</t>
        </is>
      </c>
      <c r="F996" t="inlineStr">
        <is>
          <t>New Lead</t>
        </is>
      </c>
      <c r="G996" t="inlineStr">
        <is>
          <t>Gas-related / review</t>
        </is>
      </c>
      <c r="H996" t="inlineStr">
        <is>
          <t>Corrigendum_1_CP18003.pdf</t>
        </is>
      </c>
      <c r="K996" t="inlineStr">
        <is>
          <t>Not found</t>
        </is>
      </c>
      <c r="L996" t="inlineStr">
        <is>
          <t>Unknown</t>
        </is>
      </c>
      <c r="T996" t="inlineStr">
        <is>
          <t>https://tenders.iglonline.net/uploads/tender/Corrigendum_1_CP18003.pdf</t>
        </is>
      </c>
      <c r="U996" t="inlineStr">
        <is>
          <t>No</t>
        </is>
      </c>
      <c r="V996" t="inlineStr">
        <is>
          <t>Bot tarafindan tespit edildi (2026-07-01); Bot tespit/zenginlestirme (2026-07-01); meta:score=35;priority=Low;source_type=html_table;closing_date=;equipment=Gas-related / review;reasons=equipment:Gas-related / review,document source</t>
        </is>
      </c>
    </row>
    <row r="997">
      <c r="A997" t="inlineStr">
        <is>
          <t>T-0801</t>
        </is>
      </c>
      <c r="B997" t="inlineStr">
        <is>
          <t>Indraprastha Gas (IGL)</t>
        </is>
      </c>
      <c r="C997" t="inlineStr">
        <is>
          <t>Indraprastha Gas (IGL)</t>
        </is>
      </c>
      <c r="F997" t="inlineStr">
        <is>
          <t>New Lead</t>
        </is>
      </c>
      <c r="G997" t="inlineStr">
        <is>
          <t>Gas-related / review</t>
        </is>
      </c>
      <c r="H997" t="inlineStr">
        <is>
          <t>RTBQ_CP18003.pdf</t>
        </is>
      </c>
      <c r="K997" t="inlineStr">
        <is>
          <t>Not found</t>
        </is>
      </c>
      <c r="L997" t="inlineStr">
        <is>
          <t>Unknown</t>
        </is>
      </c>
      <c r="T997" t="inlineStr">
        <is>
          <t>https://tenders.iglonline.net/uploads/tender/RTBQ_CP18003.pdf</t>
        </is>
      </c>
      <c r="U997" t="inlineStr">
        <is>
          <t>No</t>
        </is>
      </c>
      <c r="V997" t="inlineStr">
        <is>
          <t>Bot tarafindan tespit edildi (2026-07-01); Bot tespit/zenginlestirme (2026-07-01); meta:score=35;priority=Low;source_type=html_table;closing_date=;equipment=Gas-related / review;reasons=equipment:Gas-related / review,document source</t>
        </is>
      </c>
    </row>
    <row r="998">
      <c r="A998" t="inlineStr">
        <is>
          <t>T-0802</t>
        </is>
      </c>
      <c r="B998" t="inlineStr">
        <is>
          <t>Indraprastha Gas (IGL)</t>
        </is>
      </c>
      <c r="C998" t="inlineStr">
        <is>
          <t>Indraprastha Gas (IGL)</t>
        </is>
      </c>
      <c r="F998" t="inlineStr">
        <is>
          <t>New Lead</t>
        </is>
      </c>
      <c r="H998" t="inlineStr">
        <is>
          <t>View Tender</t>
        </is>
      </c>
      <c r="K998" t="inlineStr">
        <is>
          <t>Not found</t>
        </is>
      </c>
      <c r="L998" t="inlineStr">
        <is>
          <t>Unknown</t>
        </is>
      </c>
      <c r="T998" t="inlineStr">
        <is>
          <t>https://tenders.iglonline.net/tenderDetail/291/Active Tenders And Corrigendum-Addendum</t>
        </is>
      </c>
      <c r="U998" t="inlineStr">
        <is>
          <t>No</t>
        </is>
      </c>
      <c r="V998" t="inlineStr">
        <is>
          <t>Bot tarafindan tespit edildi (2026-07-01)</t>
        </is>
      </c>
    </row>
    <row r="999">
      <c r="A999" t="inlineStr">
        <is>
          <t>T-0803</t>
        </is>
      </c>
      <c r="B999" t="inlineStr">
        <is>
          <t>Indraprastha Gas (IGL)</t>
        </is>
      </c>
      <c r="C999" t="inlineStr">
        <is>
          <t>Indraprastha Gas (IGL)</t>
        </is>
      </c>
      <c r="D999" t="inlineStr">
        <is>
          <t>IGL/ET2/CP/CC18008</t>
        </is>
      </c>
      <c r="F999" t="inlineStr">
        <is>
          <t>New Lead</t>
        </is>
      </c>
      <c r="G999" t="inlineStr">
        <is>
          <t>Gas-related / review</t>
        </is>
      </c>
      <c r="H999" t="inlineStr">
        <is>
          <t>REPLIES_TO_PBQ_LNG__CC18008.pdf</t>
        </is>
      </c>
      <c r="K999" t="inlineStr">
        <is>
          <t>to EIC (Engineer-in-charge) subject project so that we may submit the necessary e</t>
        </is>
      </c>
      <c r="L999" t="inlineStr">
        <is>
          <t>Unknown</t>
        </is>
      </c>
      <c r="T999" t="inlineStr">
        <is>
          <t>https://tenders.iglonline.net/uploads/tender/REPLIES_TO_PBQ_LNG__CC18008.pdf</t>
        </is>
      </c>
      <c r="U999" t="inlineStr">
        <is>
          <t>No</t>
        </is>
      </c>
      <c r="V999" t="inlineStr">
        <is>
          <t>Bot tarafindan tespit edildi (2026-07-01); Bot tespit/zenginlestirme (2026-07-01); meta:score=55;priority=Medium;source_type=html_table;closing_date=;equipment=Gas-related / review;reasons=equipment:Gas-related / review,document source,quantity signal</t>
        </is>
      </c>
    </row>
    <row r="1000">
      <c r="A1000" t="inlineStr">
        <is>
          <t>T-0804</t>
        </is>
      </c>
      <c r="B1000" t="inlineStr">
        <is>
          <t>Indraprastha Gas (IGL)</t>
        </is>
      </c>
      <c r="C1000" t="inlineStr">
        <is>
          <t>Indraprastha Gas (IGL)</t>
        </is>
      </c>
      <c r="F1000" t="inlineStr">
        <is>
          <t>New Lead</t>
        </is>
      </c>
      <c r="G1000" t="inlineStr">
        <is>
          <t>Gas-related / review</t>
        </is>
      </c>
      <c r="H1000" t="inlineStr">
        <is>
          <t>Corrigendum_I_CC18008.pdf</t>
        </is>
      </c>
      <c r="K1000" t="inlineStr">
        <is>
          <t>Not found</t>
        </is>
      </c>
      <c r="L1000" t="inlineStr">
        <is>
          <t>Unknown</t>
        </is>
      </c>
      <c r="T1000" t="inlineStr">
        <is>
          <t>https://tenders.iglonline.net/uploads/tender/Corrigendum_I_CC18008.pdf</t>
        </is>
      </c>
      <c r="U1000" t="inlineStr">
        <is>
          <t>No</t>
        </is>
      </c>
      <c r="V1000" t="inlineStr">
        <is>
          <t>Bot tarafindan tespit edildi (2026-07-01); Bot tespit/zenginlestirme (2026-07-01); meta:score=55;priority=Medium;source_type=html_table;closing_date=;equipment=Gas-related / review;reasons=equipment:Gas-related / review,document source,quantity signal</t>
        </is>
      </c>
    </row>
    <row r="1001">
      <c r="A1001" t="inlineStr">
        <is>
          <t>T-0805</t>
        </is>
      </c>
      <c r="B1001" t="inlineStr">
        <is>
          <t>Indraprastha Gas (IGL)</t>
        </is>
      </c>
      <c r="C1001" t="inlineStr">
        <is>
          <t>Indraprastha Gas (IGL)</t>
        </is>
      </c>
      <c r="F1001" t="inlineStr">
        <is>
          <t>New Lead</t>
        </is>
      </c>
      <c r="G1001" t="inlineStr">
        <is>
          <t>Gas-related / review</t>
        </is>
      </c>
      <c r="H1001" t="inlineStr">
        <is>
          <t>Corrigendum_II_CC18008.pdf</t>
        </is>
      </c>
      <c r="K1001" t="inlineStr">
        <is>
          <t>Not found</t>
        </is>
      </c>
      <c r="L1001" t="inlineStr">
        <is>
          <t>Unknown</t>
        </is>
      </c>
      <c r="T1001" t="inlineStr">
        <is>
          <t>https://tenders.iglonline.net/uploads/tender/Corrigendum_II_CC18008.pdf</t>
        </is>
      </c>
      <c r="U1001" t="inlineStr">
        <is>
          <t>No</t>
        </is>
      </c>
      <c r="V1001" t="inlineStr">
        <is>
          <t>Bot tarafindan tespit edildi (2026-07-01); Bot tespit/zenginlestirme (2026-07-01); meta:score=55;priority=Medium;source_type=html_table;closing_date=;equipment=Gas-related / review;reasons=equipment:Gas-related / review,document source,quantity signal</t>
        </is>
      </c>
    </row>
    <row r="1002">
      <c r="A1002" t="inlineStr">
        <is>
          <t>T-0806</t>
        </is>
      </c>
      <c r="B1002" t="inlineStr">
        <is>
          <t>Indraprastha Gas (IGL)</t>
        </is>
      </c>
      <c r="C1002" t="inlineStr">
        <is>
          <t>Indraprastha Gas (IGL)</t>
        </is>
      </c>
      <c r="D1002" t="inlineStr">
        <is>
          <t>IGL/ET2/CP/CC18008</t>
        </is>
      </c>
      <c r="F1002" t="inlineStr">
        <is>
          <t>New Lead</t>
        </is>
      </c>
      <c r="G1002" t="inlineStr">
        <is>
          <t>Gas-related / review</t>
        </is>
      </c>
      <c r="H1002" t="inlineStr">
        <is>
          <t>Corrigendum_IV_CC18008.pdf</t>
        </is>
      </c>
      <c r="K1002" t="inlineStr">
        <is>
          <t>Not found</t>
        </is>
      </c>
      <c r="L1002" t="inlineStr">
        <is>
          <t>Unknown</t>
        </is>
      </c>
      <c r="T1002" t="inlineStr">
        <is>
          <t>https://tenders.iglonline.net/uploads/tender/Corrigendum_IV_CC18008.pdf</t>
        </is>
      </c>
      <c r="U1002" t="inlineStr">
        <is>
          <t>No</t>
        </is>
      </c>
      <c r="V1002" t="inlineStr">
        <is>
          <t>Bot tarafindan tespit edildi (2026-07-01); Bot tespit/zenginlestirme (2026-07-01); meta:score=55;priority=Medium;source_type=html_table;closing_date=;equipment=Gas-related / review;reasons=equipment:Gas-related / review,document source,quantity signal</t>
        </is>
      </c>
    </row>
    <row r="1003">
      <c r="A1003" t="inlineStr">
        <is>
          <t>T-0807</t>
        </is>
      </c>
      <c r="B1003" t="inlineStr">
        <is>
          <t>Indraprastha Gas (IGL)</t>
        </is>
      </c>
      <c r="C1003" t="inlineStr">
        <is>
          <t>Indraprastha Gas (IGL)</t>
        </is>
      </c>
      <c r="F1003" t="inlineStr">
        <is>
          <t>New Lead</t>
        </is>
      </c>
      <c r="H1003" t="inlineStr">
        <is>
          <t>View Tender</t>
        </is>
      </c>
      <c r="K1003" t="inlineStr">
        <is>
          <t>Not found</t>
        </is>
      </c>
      <c r="L1003" t="inlineStr">
        <is>
          <t>Unknown</t>
        </is>
      </c>
      <c r="T1003" t="inlineStr">
        <is>
          <t>https://tenders.iglonline.net/tenderDetail/290/Active Tenders And Corrigendum-Addendum</t>
        </is>
      </c>
      <c r="U1003" t="inlineStr">
        <is>
          <t>No</t>
        </is>
      </c>
      <c r="V1003" t="inlineStr">
        <is>
          <t>Bot tarafindan tespit edildi (2026-07-01)</t>
        </is>
      </c>
    </row>
    <row r="1004">
      <c r="A1004" t="inlineStr">
        <is>
          <t>T-0808</t>
        </is>
      </c>
      <c r="B1004" t="inlineStr">
        <is>
          <t>Indraprastha Gas (IGL)</t>
        </is>
      </c>
      <c r="C1004" t="inlineStr">
        <is>
          <t>Indraprastha Gas (IGL)</t>
        </is>
      </c>
      <c r="D1004" t="inlineStr">
        <is>
          <t>document</t>
        </is>
      </c>
      <c r="F1004" t="inlineStr">
        <is>
          <t>Awarded</t>
        </is>
      </c>
      <c r="G1004" t="inlineStr">
        <is>
          <t>FRS</t>
        </is>
      </c>
      <c r="H1004" t="inlineStr">
        <is>
          <t>Corrigendum_I4.pdf</t>
        </is>
      </c>
      <c r="K1004" t="inlineStr">
        <is>
          <t>Not found</t>
        </is>
      </c>
      <c r="L1004" t="inlineStr">
        <is>
          <t>Unknown</t>
        </is>
      </c>
      <c r="T1004" t="inlineStr">
        <is>
          <t>https://tenders.iglonline.net/uploads/tender/Corrigendum_I4.pdf</t>
        </is>
      </c>
      <c r="U1004" t="inlineStr">
        <is>
          <t>No</t>
        </is>
      </c>
      <c r="V1004" t="inlineStr">
        <is>
          <t>Bot tarafindan tespit edildi (2026-07-01) | Bot enrich; date=2026-07-01; type=pdf; score=330; pdf_conf=Low; Bot tespit/zenginlestirme (2026-07-01); meta:score=35;priority=Low;source_type=html_table;closing_date=;equipment=Gas-related / review;reasons=equipment:Gas-related / review,document source</t>
        </is>
      </c>
    </row>
    <row r="1005">
      <c r="A1005" t="inlineStr">
        <is>
          <t>T-0809</t>
        </is>
      </c>
      <c r="B1005" t="inlineStr">
        <is>
          <t>Indraprastha Gas (IGL)</t>
        </is>
      </c>
      <c r="C1005" t="inlineStr">
        <is>
          <t>Indraprastha Gas (IGL)</t>
        </is>
      </c>
      <c r="D1005" t="inlineStr">
        <is>
          <t>DOCUMENT</t>
        </is>
      </c>
      <c r="F1005" t="inlineStr">
        <is>
          <t>Awarded</t>
        </is>
      </c>
      <c r="G1005" t="inlineStr">
        <is>
          <t>FRS</t>
        </is>
      </c>
      <c r="H1005" t="inlineStr">
        <is>
          <t>RTPBQ_CM18044.pdf</t>
        </is>
      </c>
      <c r="K1005" t="inlineStr">
        <is>
          <t>Not found</t>
        </is>
      </c>
      <c r="L1005" t="inlineStr">
        <is>
          <t>Unknown</t>
        </is>
      </c>
      <c r="T1005" t="inlineStr">
        <is>
          <t>https://tenders.iglonline.net/uploads/tender/RTPBQ_CM18044.pdf</t>
        </is>
      </c>
      <c r="U1005" t="inlineStr">
        <is>
          <t>No</t>
        </is>
      </c>
      <c r="V1005" t="inlineStr">
        <is>
          <t>Bot tarafindan tespit edildi (2026-07-01) | Bot enrich; date=2026-07-01; type=pdf; score=330; pdf_conf=Low; Bot tespit/zenginlestirme (2026-07-01); meta:score=35;priority=Low;source_type=html_table;closing_date=;equipment=Gas-related / review;reasons=equipment:Gas-related / review,document source</t>
        </is>
      </c>
    </row>
    <row r="1006">
      <c r="A1006" t="inlineStr">
        <is>
          <t>T-0810</t>
        </is>
      </c>
      <c r="B1006" t="inlineStr">
        <is>
          <t>Indraprastha Gas (IGL)</t>
        </is>
      </c>
      <c r="C1006" t="inlineStr">
        <is>
          <t>Indraprastha Gas (IGL)</t>
        </is>
      </c>
      <c r="D1006" t="inlineStr">
        <is>
          <t>DOCUMENT</t>
        </is>
      </c>
      <c r="F1006" t="inlineStr">
        <is>
          <t>Awarded</t>
        </is>
      </c>
      <c r="G1006" t="inlineStr">
        <is>
          <t>FRS</t>
        </is>
      </c>
      <c r="H1006" t="inlineStr">
        <is>
          <t>RTPBQ_CM18044_-2.pdf</t>
        </is>
      </c>
      <c r="K1006" t="inlineStr">
        <is>
          <t>Not found</t>
        </is>
      </c>
      <c r="L1006" t="inlineStr">
        <is>
          <t>Unknown</t>
        </is>
      </c>
      <c r="T1006" t="inlineStr">
        <is>
          <t>https://tenders.iglonline.net/uploads/tender/RTPBQ_CM18044_-2.pdf</t>
        </is>
      </c>
      <c r="U1006" t="inlineStr">
        <is>
          <t>No</t>
        </is>
      </c>
      <c r="V1006" t="inlineStr">
        <is>
          <t>Bot tarafindan tespit edildi (2026-07-01) | Bot enrich; date=2026-07-01; type=pdf; score=330; pdf_conf=Low; Bot tespit/zenginlestirme (2026-07-01); meta:score=35;priority=Low;source_type=html_table;closing_date=;equipment=Gas-related / review;reasons=equipment:Gas-related / review,document source</t>
        </is>
      </c>
    </row>
    <row r="1007">
      <c r="A1007" t="inlineStr">
        <is>
          <t>T-0811</t>
        </is>
      </c>
      <c r="B1007" t="inlineStr">
        <is>
          <t>Indraprastha Gas (IGL)</t>
        </is>
      </c>
      <c r="C1007" t="inlineStr">
        <is>
          <t>Indraprastha Gas (IGL)</t>
        </is>
      </c>
      <c r="F1007" t="inlineStr">
        <is>
          <t>New Lead</t>
        </is>
      </c>
      <c r="H1007" t="inlineStr">
        <is>
          <t>View Tender</t>
        </is>
      </c>
      <c r="K1007" t="inlineStr">
        <is>
          <t>Not found</t>
        </is>
      </c>
      <c r="L1007" t="inlineStr">
        <is>
          <t>Unknown</t>
        </is>
      </c>
      <c r="T1007" t="inlineStr">
        <is>
          <t>https://tenders.iglonline.net/tenderDetail/289/Active Tenders And Corrigendum-Addendum</t>
        </is>
      </c>
      <c r="U1007" t="inlineStr">
        <is>
          <t>No</t>
        </is>
      </c>
      <c r="V1007" t="inlineStr">
        <is>
          <t>Bot tarafindan tespit edildi (2026-07-01)</t>
        </is>
      </c>
    </row>
    <row r="1008">
      <c r="A1008" t="inlineStr">
        <is>
          <t>T-0812</t>
        </is>
      </c>
      <c r="B1008" t="inlineStr">
        <is>
          <t>Indraprastha Gas (IGL)</t>
        </is>
      </c>
      <c r="C1008" t="inlineStr">
        <is>
          <t>Indraprastha Gas (IGL)</t>
        </is>
      </c>
      <c r="F1008" t="inlineStr">
        <is>
          <t>New Lead</t>
        </is>
      </c>
      <c r="G1008" t="inlineStr">
        <is>
          <t>Gas-related / review</t>
        </is>
      </c>
      <c r="H1008" t="inlineStr">
        <is>
          <t>RTPBQ_CM18056.pdf</t>
        </is>
      </c>
      <c r="K1008" t="inlineStr">
        <is>
          <t>Not found</t>
        </is>
      </c>
      <c r="L1008" t="inlineStr">
        <is>
          <t>Unknown</t>
        </is>
      </c>
      <c r="T1008" t="inlineStr">
        <is>
          <t>https://tenders.iglonline.net/uploads/tender/RTPBQ_CM18056.pdf</t>
        </is>
      </c>
      <c r="U1008" t="inlineStr">
        <is>
          <t>No</t>
        </is>
      </c>
      <c r="V1008" t="inlineStr">
        <is>
          <t>Bot tarafindan tespit edildi (2026-07-01); Bot tespit/zenginlestirme (2026-07-01); meta:score=35;priority=Low;source_type=html_table;closing_date=;equipment=Gas-related / review;reasons=equipment:Gas-related / review,document source</t>
        </is>
      </c>
    </row>
    <row r="1009">
      <c r="A1009" t="inlineStr">
        <is>
          <t>T-0813</t>
        </is>
      </c>
      <c r="B1009" t="inlineStr">
        <is>
          <t>Indraprastha Gas (IGL)</t>
        </is>
      </c>
      <c r="C1009" t="inlineStr">
        <is>
          <t>Indraprastha Gas (IGL)</t>
        </is>
      </c>
      <c r="F1009" t="inlineStr">
        <is>
          <t>New Lead</t>
        </is>
      </c>
      <c r="G1009" t="inlineStr">
        <is>
          <t>Gas-related / review</t>
        </is>
      </c>
      <c r="H1009" t="inlineStr">
        <is>
          <t>Corrigendum_14.pdf</t>
        </is>
      </c>
      <c r="K1009" t="inlineStr">
        <is>
          <t>Not found</t>
        </is>
      </c>
      <c r="L1009" t="inlineStr">
        <is>
          <t>Unknown</t>
        </is>
      </c>
      <c r="T1009" t="inlineStr">
        <is>
          <t>https://tenders.iglonline.net/uploads/tender/Corrigendum_14.pdf</t>
        </is>
      </c>
      <c r="U1009" t="inlineStr">
        <is>
          <t>No</t>
        </is>
      </c>
      <c r="V1009" t="inlineStr">
        <is>
          <t>Bot tarafindan tespit edildi (2026-07-01); Bot tespit/zenginlestirme (2026-07-01); meta:score=35;priority=Low;source_type=html_table;closing_date=;equipment=Gas-related / review;reasons=equipment:Gas-related / review,document source</t>
        </is>
      </c>
    </row>
    <row r="1010">
      <c r="A1010" t="inlineStr">
        <is>
          <t>T-0814</t>
        </is>
      </c>
      <c r="B1010" t="inlineStr">
        <is>
          <t>Indraprastha Gas (IGL)</t>
        </is>
      </c>
      <c r="C1010" t="inlineStr">
        <is>
          <t>Indraprastha Gas (IGL)</t>
        </is>
      </c>
      <c r="F1010" t="inlineStr">
        <is>
          <t>New Lead</t>
        </is>
      </c>
      <c r="G1010" t="inlineStr">
        <is>
          <t>Gas-related / review</t>
        </is>
      </c>
      <c r="H1010" t="inlineStr">
        <is>
          <t>Corrigendum_II_Cancellation_of_tender.pdf</t>
        </is>
      </c>
      <c r="K1010" t="inlineStr">
        <is>
          <t>Not found</t>
        </is>
      </c>
      <c r="L1010" t="inlineStr">
        <is>
          <t>Unknown</t>
        </is>
      </c>
      <c r="T1010" t="inlineStr">
        <is>
          <t>https://tenders.iglonline.net/uploads/tender/Corrigendum_II_Cancellation_of_tender.pdf</t>
        </is>
      </c>
      <c r="U1010" t="inlineStr">
        <is>
          <t>No</t>
        </is>
      </c>
      <c r="V1010" t="inlineStr">
        <is>
          <t>Bot tarafindan tespit edildi (2026-07-01); Bot tespit/zenginlestirme (2026-07-01); meta:score=35;priority=Low;source_type=html_table;closing_date=;equipment=Gas-related / review;reasons=equipment:Gas-related / review,document source</t>
        </is>
      </c>
    </row>
    <row r="1011">
      <c r="A1011" t="inlineStr">
        <is>
          <t>T-0815</t>
        </is>
      </c>
      <c r="B1011" t="inlineStr">
        <is>
          <t>Indraprastha Gas (IGL)</t>
        </is>
      </c>
      <c r="C1011" t="inlineStr">
        <is>
          <t>Indraprastha Gas (IGL)</t>
        </is>
      </c>
      <c r="F1011" t="inlineStr">
        <is>
          <t>New Lead</t>
        </is>
      </c>
      <c r="H1011" t="inlineStr">
        <is>
          <t>View Tender</t>
        </is>
      </c>
      <c r="K1011" t="inlineStr">
        <is>
          <t>Not found</t>
        </is>
      </c>
      <c r="L1011" t="inlineStr">
        <is>
          <t>Unknown</t>
        </is>
      </c>
      <c r="T1011" t="inlineStr">
        <is>
          <t>https://tenders.iglonline.net/tenderDetail/288/Active Tenders And Corrigendum-Addendum</t>
        </is>
      </c>
      <c r="U1011" t="inlineStr">
        <is>
          <t>No</t>
        </is>
      </c>
      <c r="V1011" t="inlineStr">
        <is>
          <t>Bot tarafindan tespit edildi (2026-07-01)</t>
        </is>
      </c>
    </row>
    <row r="1012">
      <c r="A1012" t="inlineStr">
        <is>
          <t>T-0816</t>
        </is>
      </c>
      <c r="B1012" t="inlineStr">
        <is>
          <t>Indraprastha Gas (IGL)</t>
        </is>
      </c>
      <c r="C1012" t="inlineStr">
        <is>
          <t>Indraprastha Gas (IGL)</t>
        </is>
      </c>
      <c r="F1012" t="inlineStr">
        <is>
          <t>New Lead</t>
        </is>
      </c>
      <c r="G1012" t="inlineStr">
        <is>
          <t>Gas-related / review</t>
        </is>
      </c>
      <c r="H1012" t="inlineStr">
        <is>
          <t>Corrigendum_I_CC17994.pdf</t>
        </is>
      </c>
      <c r="K1012" t="inlineStr">
        <is>
          <t>Not found</t>
        </is>
      </c>
      <c r="L1012" t="inlineStr">
        <is>
          <t>Unknown</t>
        </is>
      </c>
      <c r="T1012" t="inlineStr">
        <is>
          <t>https://tenders.iglonline.net/uploads/tender/Corrigendum_I_CC17994.pdf</t>
        </is>
      </c>
      <c r="U1012" t="inlineStr">
        <is>
          <t>No</t>
        </is>
      </c>
      <c r="V1012" t="inlineStr">
        <is>
          <t>Bot tarafindan tespit edildi (2026-07-01); Bot tespit/zenginlestirme (2026-07-01); meta:score=50;priority=Medium;source_type=html_table;closing_date=;equipment=Gas-related / review;reasons=equipment:Gas-related / review,document source,tender reference signal</t>
        </is>
      </c>
    </row>
    <row r="1013">
      <c r="A1013" t="inlineStr">
        <is>
          <t>T-0817</t>
        </is>
      </c>
      <c r="B1013" t="inlineStr">
        <is>
          <t>Indraprastha Gas (IGL)</t>
        </is>
      </c>
      <c r="C1013" t="inlineStr">
        <is>
          <t>Indraprastha Gas (IGL)</t>
        </is>
      </c>
      <c r="D1013" t="inlineStr">
        <is>
          <t>IGL/ET2/CP/CC17994</t>
        </is>
      </c>
      <c r="F1013" t="inlineStr">
        <is>
          <t>New Lead</t>
        </is>
      </c>
      <c r="G1013" t="inlineStr">
        <is>
          <t>Gas-related / review</t>
        </is>
      </c>
      <c r="H1013" t="inlineStr">
        <is>
          <t>Corrigendum_II_CC17994.pdf</t>
        </is>
      </c>
      <c r="K1013" t="inlineStr">
        <is>
          <t>Not found</t>
        </is>
      </c>
      <c r="L1013" t="inlineStr">
        <is>
          <t>Unknown</t>
        </is>
      </c>
      <c r="T1013" t="inlineStr">
        <is>
          <t>https://tenders.iglonline.net/uploads/tender/Corrigendum_II_CC17994.pdf</t>
        </is>
      </c>
      <c r="U1013" t="inlineStr">
        <is>
          <t>No</t>
        </is>
      </c>
      <c r="V1013" t="inlineStr">
        <is>
          <t>Bot tarafindan tespit edildi (2026-07-01); Bot tespit/zenginlestirme (2026-07-01); meta:score=50;priority=Medium;source_type=html_table;closing_date=;equipment=Gas-related / review;reasons=equipment:Gas-related / review,document source,tender reference signal</t>
        </is>
      </c>
    </row>
    <row r="1014">
      <c r="A1014" t="inlineStr">
        <is>
          <t>T-0818</t>
        </is>
      </c>
      <c r="B1014" t="inlineStr">
        <is>
          <t>Indraprastha Gas (IGL)</t>
        </is>
      </c>
      <c r="C1014" t="inlineStr">
        <is>
          <t>Indraprastha Gas (IGL)</t>
        </is>
      </c>
      <c r="F1014" t="inlineStr">
        <is>
          <t>New Lead</t>
        </is>
      </c>
      <c r="H1014" t="inlineStr">
        <is>
          <t>View Tender</t>
        </is>
      </c>
      <c r="K1014" t="inlineStr">
        <is>
          <t>Not found</t>
        </is>
      </c>
      <c r="L1014" t="inlineStr">
        <is>
          <t>Unknown</t>
        </is>
      </c>
      <c r="T1014" t="inlineStr">
        <is>
          <t>https://tenders.iglonline.net/tenderDetail/287/Active Tenders And Corrigendum-Addendum</t>
        </is>
      </c>
      <c r="U1014" t="inlineStr">
        <is>
          <t>No</t>
        </is>
      </c>
      <c r="V1014" t="inlineStr">
        <is>
          <t>Bot tarafindan tespit edildi (2026-07-01)</t>
        </is>
      </c>
    </row>
    <row r="1015">
      <c r="A1015" t="inlineStr">
        <is>
          <t>T-0819</t>
        </is>
      </c>
      <c r="B1015" t="inlineStr">
        <is>
          <t>Indraprastha Gas (IGL)</t>
        </is>
      </c>
      <c r="C1015" t="inlineStr">
        <is>
          <t>Indraprastha Gas (IGL)</t>
        </is>
      </c>
      <c r="F1015" t="inlineStr">
        <is>
          <t>New Lead</t>
        </is>
      </c>
      <c r="H1015" t="inlineStr">
        <is>
          <t>CORRIGENDUM_CC18016.pdf</t>
        </is>
      </c>
      <c r="K1015" t="inlineStr">
        <is>
          <t>Not found</t>
        </is>
      </c>
      <c r="L1015" t="inlineStr">
        <is>
          <t>Unknown</t>
        </is>
      </c>
      <c r="T1015" t="inlineStr">
        <is>
          <t>https://tenders.iglonline.net/uploads/tender/CORRIGENDUM_CC18016.pdf</t>
        </is>
      </c>
      <c r="U1015" t="inlineStr">
        <is>
          <t>No</t>
        </is>
      </c>
      <c r="V1015" t="inlineStr">
        <is>
          <t>Bot tarafindan tespit edildi (2026-07-01)</t>
        </is>
      </c>
    </row>
    <row r="1016">
      <c r="A1016" t="inlineStr">
        <is>
          <t>T-0820</t>
        </is>
      </c>
      <c r="B1016" t="inlineStr">
        <is>
          <t>Indraprastha Gas (IGL)</t>
        </is>
      </c>
      <c r="C1016" t="inlineStr">
        <is>
          <t>Indraprastha Gas (IGL)</t>
        </is>
      </c>
      <c r="F1016" t="inlineStr">
        <is>
          <t>New Lead</t>
        </is>
      </c>
      <c r="H1016" t="inlineStr">
        <is>
          <t>View Tender</t>
        </is>
      </c>
      <c r="K1016" t="inlineStr">
        <is>
          <t>Not found</t>
        </is>
      </c>
      <c r="L1016" t="inlineStr">
        <is>
          <t>Unknown</t>
        </is>
      </c>
      <c r="T1016" t="inlineStr">
        <is>
          <t>https://tenders.iglonline.net/tenderDetail/286/Active Tenders And Corrigendum-Addendum</t>
        </is>
      </c>
      <c r="U1016" t="inlineStr">
        <is>
          <t>No</t>
        </is>
      </c>
      <c r="V1016" t="inlineStr">
        <is>
          <t>Bot tarafindan tespit edildi (2026-07-01)</t>
        </is>
      </c>
    </row>
    <row r="1017">
      <c r="A1017" t="inlineStr">
        <is>
          <t>T-0821</t>
        </is>
      </c>
      <c r="B1017" t="inlineStr">
        <is>
          <t>Indraprastha Gas (IGL)</t>
        </is>
      </c>
      <c r="C1017" t="inlineStr">
        <is>
          <t>Indraprastha Gas (IGL)</t>
        </is>
      </c>
      <c r="F1017" t="inlineStr">
        <is>
          <t>New Lead</t>
        </is>
      </c>
      <c r="H1017" t="inlineStr">
        <is>
          <t>PRE-BID_QUERIES1.pdf</t>
        </is>
      </c>
      <c r="K1017" t="inlineStr">
        <is>
          <t>Not found</t>
        </is>
      </c>
      <c r="L1017" t="inlineStr">
        <is>
          <t>Unknown</t>
        </is>
      </c>
      <c r="T1017" t="inlineStr">
        <is>
          <t>https://tenders.iglonline.net/uploads/tender/PRE-BID_QUERIES1.pdf</t>
        </is>
      </c>
      <c r="U1017" t="inlineStr">
        <is>
          <t>No</t>
        </is>
      </c>
      <c r="V1017" t="inlineStr">
        <is>
          <t>Bot tarafindan tespit edildi (2026-07-01)</t>
        </is>
      </c>
    </row>
    <row r="1018">
      <c r="A1018" t="inlineStr">
        <is>
          <t>T-0822</t>
        </is>
      </c>
      <c r="B1018" t="inlineStr">
        <is>
          <t>Indraprastha Gas (IGL)</t>
        </is>
      </c>
      <c r="C1018" t="inlineStr">
        <is>
          <t>Indraprastha Gas (IGL)</t>
        </is>
      </c>
      <c r="F1018" t="inlineStr">
        <is>
          <t>New Lead</t>
        </is>
      </c>
      <c r="H1018" t="inlineStr">
        <is>
          <t>View Tender</t>
        </is>
      </c>
      <c r="K1018" t="inlineStr">
        <is>
          <t>Not found</t>
        </is>
      </c>
      <c r="L1018" t="inlineStr">
        <is>
          <t>Unknown</t>
        </is>
      </c>
      <c r="T1018" t="inlineStr">
        <is>
          <t>https://tenders.iglonline.net/tenderDetail/285/Active Tenders And Corrigendum-Addendum</t>
        </is>
      </c>
      <c r="U1018" t="inlineStr">
        <is>
          <t>No</t>
        </is>
      </c>
      <c r="V1018" t="inlineStr">
        <is>
          <t>Bot tarafindan tespit edildi (2026-07-01)</t>
        </is>
      </c>
    </row>
    <row r="1019">
      <c r="A1019" t="inlineStr">
        <is>
          <t>T-0823</t>
        </is>
      </c>
      <c r="B1019" t="inlineStr">
        <is>
          <t>Indraprastha Gas (IGL)</t>
        </is>
      </c>
      <c r="C1019" t="inlineStr">
        <is>
          <t>Indraprastha Gas (IGL)</t>
        </is>
      </c>
      <c r="F1019" t="inlineStr">
        <is>
          <t>New Lead</t>
        </is>
      </c>
      <c r="H1019" t="inlineStr">
        <is>
          <t>CORRIGENDUM_1-4.pdf</t>
        </is>
      </c>
      <c r="K1019" t="inlineStr">
        <is>
          <t>Not found</t>
        </is>
      </c>
      <c r="L1019" t="inlineStr">
        <is>
          <t>Unknown</t>
        </is>
      </c>
      <c r="T1019" t="inlineStr">
        <is>
          <t>https://tenders.iglonline.net/uploads/tender/CORRIGENDUM_1-4.pdf</t>
        </is>
      </c>
      <c r="U1019" t="inlineStr">
        <is>
          <t>No</t>
        </is>
      </c>
      <c r="V1019" t="inlineStr">
        <is>
          <t>Bot tarafindan tespit edildi (2026-07-01)</t>
        </is>
      </c>
    </row>
    <row r="1020">
      <c r="A1020" t="inlineStr">
        <is>
          <t>T-0824</t>
        </is>
      </c>
      <c r="B1020" t="inlineStr">
        <is>
          <t>Indraprastha Gas (IGL)</t>
        </is>
      </c>
      <c r="C1020" t="inlineStr">
        <is>
          <t>Indraprastha Gas (IGL)</t>
        </is>
      </c>
      <c r="F1020" t="inlineStr">
        <is>
          <t>New Lead</t>
        </is>
      </c>
      <c r="H1020" t="inlineStr">
        <is>
          <t>Reply_to_Bidders_CM18013.pdf</t>
        </is>
      </c>
      <c r="K1020" t="inlineStr">
        <is>
          <t>Not found</t>
        </is>
      </c>
      <c r="L1020" t="inlineStr">
        <is>
          <t>Unknown</t>
        </is>
      </c>
      <c r="T1020" t="inlineStr">
        <is>
          <t>https://tenders.iglonline.net/uploads/tender/Reply_to_Bidders_CM18013.pdf</t>
        </is>
      </c>
      <c r="U1020" t="inlineStr">
        <is>
          <t>No</t>
        </is>
      </c>
      <c r="V1020" t="inlineStr">
        <is>
          <t>Bot tarafindan tespit edildi (2026-07-01)</t>
        </is>
      </c>
    </row>
    <row r="1021">
      <c r="A1021" t="inlineStr">
        <is>
          <t>T-0825</t>
        </is>
      </c>
      <c r="B1021" t="inlineStr">
        <is>
          <t>Indraprastha Gas (IGL)</t>
        </is>
      </c>
      <c r="C1021" t="inlineStr">
        <is>
          <t>Indraprastha Gas (IGL)</t>
        </is>
      </c>
      <c r="F1021" t="inlineStr">
        <is>
          <t>New Lead</t>
        </is>
      </c>
      <c r="H1021" t="inlineStr">
        <is>
          <t>View Tender</t>
        </is>
      </c>
      <c r="K1021" t="inlineStr">
        <is>
          <t>Not found</t>
        </is>
      </c>
      <c r="L1021" t="inlineStr">
        <is>
          <t>Unknown</t>
        </is>
      </c>
      <c r="T1021" t="inlineStr">
        <is>
          <t>https://tenders.iglonline.net/tenderDetail/284/Active Tenders And Corrigendum-Addendum</t>
        </is>
      </c>
      <c r="U1021" t="inlineStr">
        <is>
          <t>No</t>
        </is>
      </c>
      <c r="V1021" t="inlineStr">
        <is>
          <t>Bot tarafindan tespit edildi (2026-07-01)</t>
        </is>
      </c>
    </row>
    <row r="1022">
      <c r="A1022" t="inlineStr">
        <is>
          <t>T-0826</t>
        </is>
      </c>
      <c r="B1022" t="inlineStr">
        <is>
          <t>Indraprastha Gas (IGL)</t>
        </is>
      </c>
      <c r="C1022" t="inlineStr">
        <is>
          <t>Indraprastha Gas (IGL)</t>
        </is>
      </c>
      <c r="F1022" t="inlineStr">
        <is>
          <t>New Lead</t>
        </is>
      </c>
      <c r="H1022" t="inlineStr">
        <is>
          <t>Corrigendum_I_CC17978.pdf</t>
        </is>
      </c>
      <c r="K1022" t="inlineStr">
        <is>
          <t>Not found</t>
        </is>
      </c>
      <c r="L1022" t="inlineStr">
        <is>
          <t>Unknown</t>
        </is>
      </c>
      <c r="T1022" t="inlineStr">
        <is>
          <t>https://tenders.iglonline.net/uploads/tender/Corrigendum_I_CC17978.pdf</t>
        </is>
      </c>
      <c r="U1022" t="inlineStr">
        <is>
          <t>No</t>
        </is>
      </c>
      <c r="V1022" t="inlineStr">
        <is>
          <t>Bot tarafindan tespit edildi (2026-07-01)</t>
        </is>
      </c>
    </row>
    <row r="1023">
      <c r="A1023" t="inlineStr">
        <is>
          <t>T-0827</t>
        </is>
      </c>
      <c r="B1023" t="inlineStr">
        <is>
          <t>Indraprastha Gas (IGL)</t>
        </is>
      </c>
      <c r="C1023" t="inlineStr">
        <is>
          <t>Indraprastha Gas (IGL)</t>
        </is>
      </c>
      <c r="F1023" t="inlineStr">
        <is>
          <t>New Lead</t>
        </is>
      </c>
      <c r="H1023" t="inlineStr">
        <is>
          <t>View Tender</t>
        </is>
      </c>
      <c r="K1023" t="inlineStr">
        <is>
          <t>Not found</t>
        </is>
      </c>
      <c r="L1023" t="inlineStr">
        <is>
          <t>Unknown</t>
        </is>
      </c>
      <c r="T1023" t="inlineStr">
        <is>
          <t>https://tenders.iglonline.net/tenderDetail/283/Active Tenders And Corrigendum-Addendum</t>
        </is>
      </c>
      <c r="U1023" t="inlineStr">
        <is>
          <t>No</t>
        </is>
      </c>
      <c r="V1023" t="inlineStr">
        <is>
          <t>Bot tarafindan tespit edildi (2026-07-01)</t>
        </is>
      </c>
    </row>
    <row r="1024">
      <c r="A1024" t="inlineStr">
        <is>
          <t>T-0828</t>
        </is>
      </c>
      <c r="B1024" t="inlineStr">
        <is>
          <t>Indraprastha Gas (IGL)</t>
        </is>
      </c>
      <c r="C1024" t="inlineStr">
        <is>
          <t>Indraprastha Gas (IGL)</t>
        </is>
      </c>
      <c r="D1024" t="inlineStr">
        <is>
          <t>oring</t>
        </is>
      </c>
      <c r="F1024" t="inlineStr">
        <is>
          <t>New Lead</t>
        </is>
      </c>
      <c r="G1024" t="inlineStr">
        <is>
          <t>Unclassified</t>
        </is>
      </c>
      <c r="H1024" t="inlineStr">
        <is>
          <t>Corrigendum_1_CP17972.pdf</t>
        </is>
      </c>
      <c r="K1024" t="inlineStr">
        <is>
          <t>Not found</t>
        </is>
      </c>
      <c r="L1024" t="inlineStr">
        <is>
          <t>Unknown</t>
        </is>
      </c>
      <c r="T1024" t="inlineStr">
        <is>
          <t>https://tenders.iglonline.net/uploads/tender/Corrigendum_1_CP17972.pdf</t>
        </is>
      </c>
      <c r="U1024" t="inlineStr">
        <is>
          <t>No</t>
        </is>
      </c>
      <c r="V1024" t="inlineStr">
        <is>
          <t>Bot tarafindan tespit edildi (2026-07-01); Bot tespit/zenginlestirme (2026-07-01); meta:score=35;priority=Low;source_type=html_table;closing_date=;equipment=Unclassified;reasons=document source,tender reference signal</t>
        </is>
      </c>
    </row>
    <row r="1025">
      <c r="A1025" t="inlineStr">
        <is>
          <t>T-0829</t>
        </is>
      </c>
      <c r="B1025" t="inlineStr">
        <is>
          <t>Indraprastha Gas (IGL)</t>
        </is>
      </c>
      <c r="C1025" t="inlineStr">
        <is>
          <t>Indraprastha Gas (IGL)</t>
        </is>
      </c>
      <c r="D1025" t="inlineStr">
        <is>
          <t>oring</t>
        </is>
      </c>
      <c r="F1025" t="inlineStr">
        <is>
          <t>New Lead</t>
        </is>
      </c>
      <c r="G1025" t="inlineStr">
        <is>
          <t>Unclassified</t>
        </is>
      </c>
      <c r="H1025" t="inlineStr">
        <is>
          <t>RTBQ-11.pdf</t>
        </is>
      </c>
      <c r="K1025" t="inlineStr">
        <is>
          <t>Not found</t>
        </is>
      </c>
      <c r="L1025" t="inlineStr">
        <is>
          <t>Unknown</t>
        </is>
      </c>
      <c r="T1025" t="inlineStr">
        <is>
          <t>https://tenders.iglonline.net/uploads/tender/RTBQ-11.pdf</t>
        </is>
      </c>
      <c r="U1025" t="inlineStr">
        <is>
          <t>No</t>
        </is>
      </c>
      <c r="V1025" t="inlineStr">
        <is>
          <t>Bot tarafindan tespit edildi (2026-07-01); Bot tespit/zenginlestirme (2026-07-01); meta:score=35;priority=Low;source_type=html_table;closing_date=;equipment=Unclassified;reasons=document source,tender reference signal</t>
        </is>
      </c>
    </row>
    <row r="1026">
      <c r="A1026" t="inlineStr">
        <is>
          <t>T-0830</t>
        </is>
      </c>
      <c r="B1026" t="inlineStr">
        <is>
          <t>Indraprastha Gas (IGL)</t>
        </is>
      </c>
      <c r="C1026" t="inlineStr">
        <is>
          <t>Indraprastha Gas (IGL)</t>
        </is>
      </c>
      <c r="F1026" t="inlineStr">
        <is>
          <t>New Lead</t>
        </is>
      </c>
      <c r="H1026" t="inlineStr">
        <is>
          <t>View Tender</t>
        </is>
      </c>
      <c r="K1026" t="inlineStr">
        <is>
          <t>Not found</t>
        </is>
      </c>
      <c r="L1026" t="inlineStr">
        <is>
          <t>Unknown</t>
        </is>
      </c>
      <c r="T1026" t="inlineStr">
        <is>
          <t>https://tenders.iglonline.net/tenderDetail/282/Active Tenders And Corrigendum-Addendum</t>
        </is>
      </c>
      <c r="U1026" t="inlineStr">
        <is>
          <t>No</t>
        </is>
      </c>
      <c r="V1026" t="inlineStr">
        <is>
          <t>Bot tarafindan tespit edildi (2026-07-01)</t>
        </is>
      </c>
    </row>
    <row r="1027">
      <c r="A1027" t="inlineStr">
        <is>
          <t>T-0831</t>
        </is>
      </c>
      <c r="B1027" t="inlineStr">
        <is>
          <t>Indraprastha Gas (IGL)</t>
        </is>
      </c>
      <c r="C1027" t="inlineStr">
        <is>
          <t>Indraprastha Gas (IGL)</t>
        </is>
      </c>
      <c r="F1027" t="inlineStr">
        <is>
          <t>New Lead</t>
        </is>
      </c>
      <c r="H1027" t="inlineStr">
        <is>
          <t>Corrigendum-I_CC17931.pdf</t>
        </is>
      </c>
      <c r="K1027" t="inlineStr">
        <is>
          <t>Not found</t>
        </is>
      </c>
      <c r="L1027" t="inlineStr">
        <is>
          <t>Unknown</t>
        </is>
      </c>
      <c r="T1027" t="inlineStr">
        <is>
          <t>https://tenders.iglonline.net/uploads/tender/Corrigendum-I_CC17931.pdf</t>
        </is>
      </c>
      <c r="U1027" t="inlineStr">
        <is>
          <t>No</t>
        </is>
      </c>
      <c r="V1027" t="inlineStr">
        <is>
          <t>Bot tarafindan tespit edildi (2026-07-01)</t>
        </is>
      </c>
    </row>
    <row r="1028">
      <c r="A1028" t="inlineStr">
        <is>
          <t>T-0832</t>
        </is>
      </c>
      <c r="B1028" t="inlineStr">
        <is>
          <t>Indraprastha Gas (IGL)</t>
        </is>
      </c>
      <c r="C1028" t="inlineStr">
        <is>
          <t>Indraprastha Gas (IGL)</t>
        </is>
      </c>
      <c r="F1028" t="inlineStr">
        <is>
          <t>New Lead</t>
        </is>
      </c>
      <c r="H1028" t="inlineStr">
        <is>
          <t>View Tender</t>
        </is>
      </c>
      <c r="K1028" t="inlineStr">
        <is>
          <t>Not found</t>
        </is>
      </c>
      <c r="L1028" t="inlineStr">
        <is>
          <t>Unknown</t>
        </is>
      </c>
      <c r="T1028" t="inlineStr">
        <is>
          <t>https://tenders.iglonline.net/tenderDetail/281/Active Tenders And Corrigendum-Addendum</t>
        </is>
      </c>
      <c r="U1028" t="inlineStr">
        <is>
          <t>No</t>
        </is>
      </c>
      <c r="V1028" t="inlineStr">
        <is>
          <t>Bot tarafindan tespit edildi (2026-07-01)</t>
        </is>
      </c>
    </row>
    <row r="1029">
      <c r="A1029" t="inlineStr">
        <is>
          <t>T-0833</t>
        </is>
      </c>
      <c r="B1029" t="inlineStr">
        <is>
          <t>Indraprastha Gas (IGL)</t>
        </is>
      </c>
      <c r="C1029" t="inlineStr">
        <is>
          <t>Indraprastha Gas (IGL)</t>
        </is>
      </c>
      <c r="F1029" t="inlineStr">
        <is>
          <t>New Lead</t>
        </is>
      </c>
      <c r="H1029" t="inlineStr">
        <is>
          <t>View Tender</t>
        </is>
      </c>
      <c r="K1029" t="inlineStr">
        <is>
          <t>Not found</t>
        </is>
      </c>
      <c r="L1029" t="inlineStr">
        <is>
          <t>Unknown</t>
        </is>
      </c>
      <c r="T1029" t="inlineStr">
        <is>
          <t>https://tenders.iglonline.net/tenderDetail/280/Active Tenders And Corrigendum-Addendum</t>
        </is>
      </c>
      <c r="U1029" t="inlineStr">
        <is>
          <t>No</t>
        </is>
      </c>
      <c r="V1029" t="inlineStr">
        <is>
          <t>Bot tarafindan tespit edildi (2026-07-01)</t>
        </is>
      </c>
    </row>
    <row r="1030">
      <c r="A1030" t="inlineStr">
        <is>
          <t>T-0834</t>
        </is>
      </c>
      <c r="B1030" t="inlineStr">
        <is>
          <t>Indraprastha Gas (IGL)</t>
        </is>
      </c>
      <c r="C1030" t="inlineStr">
        <is>
          <t>Indraprastha Gas (IGL)</t>
        </is>
      </c>
      <c r="F1030" t="inlineStr">
        <is>
          <t>New Lead</t>
        </is>
      </c>
      <c r="G1030" t="inlineStr">
        <is>
          <t>Unclassified</t>
        </is>
      </c>
      <c r="H1030" t="inlineStr">
        <is>
          <t>Pre-bid_reply_CM18000.pdf</t>
        </is>
      </c>
      <c r="K1030" t="inlineStr">
        <is>
          <t>Not found</t>
        </is>
      </c>
      <c r="L1030" t="inlineStr">
        <is>
          <t>Unknown</t>
        </is>
      </c>
      <c r="T1030" t="inlineStr">
        <is>
          <t>https://tenders.iglonline.net/uploads/tender/Pre-bid_reply_CM18000.pdf</t>
        </is>
      </c>
      <c r="U1030" t="inlineStr">
        <is>
          <t>No</t>
        </is>
      </c>
      <c r="V1030" t="inlineStr">
        <is>
          <t>Bot tarafindan tespit edildi (2026-07-01); Bot tespit/zenginlestirme (2026-07-01); meta:score=40;priority=Medium;source_type=html_table;closing_date=;equipment=Unclassified;reasons=document source,quantity signal</t>
        </is>
      </c>
    </row>
    <row r="1031">
      <c r="A1031" t="inlineStr">
        <is>
          <t>T-0835</t>
        </is>
      </c>
      <c r="B1031" t="inlineStr">
        <is>
          <t>Indraprastha Gas (IGL)</t>
        </is>
      </c>
      <c r="C1031" t="inlineStr">
        <is>
          <t>Indraprastha Gas (IGL)</t>
        </is>
      </c>
      <c r="F1031" t="inlineStr">
        <is>
          <t>New Lead</t>
        </is>
      </c>
      <c r="G1031" t="inlineStr">
        <is>
          <t>Unclassified</t>
        </is>
      </c>
      <c r="H1031" t="inlineStr">
        <is>
          <t>Corrigendum_1-1.pdf</t>
        </is>
      </c>
      <c r="K1031" t="inlineStr">
        <is>
          <t>Not found</t>
        </is>
      </c>
      <c r="L1031" t="inlineStr">
        <is>
          <t>Unknown</t>
        </is>
      </c>
      <c r="T1031" t="inlineStr">
        <is>
          <t>https://tenders.iglonline.net/uploads/tender/Corrigendum_1-1.pdf</t>
        </is>
      </c>
      <c r="U1031" t="inlineStr">
        <is>
          <t>No</t>
        </is>
      </c>
      <c r="V1031" t="inlineStr">
        <is>
          <t>Bot tarafindan tespit edildi (2026-07-01); Bot tespit/zenginlestirme (2026-07-01); meta:score=40;priority=Medium;source_type=html_table;closing_date=;equipment=Unclassified;reasons=document source,quantity signal</t>
        </is>
      </c>
    </row>
    <row r="1032">
      <c r="A1032" t="inlineStr">
        <is>
          <t>T-0836</t>
        </is>
      </c>
      <c r="B1032" t="inlineStr">
        <is>
          <t>Indraprastha Gas (IGL)</t>
        </is>
      </c>
      <c r="C1032" t="inlineStr">
        <is>
          <t>Indraprastha Gas (IGL)</t>
        </is>
      </c>
      <c r="F1032" t="inlineStr">
        <is>
          <t>New Lead</t>
        </is>
      </c>
      <c r="G1032" t="inlineStr">
        <is>
          <t>Unclassified</t>
        </is>
      </c>
      <c r="H1032" t="inlineStr">
        <is>
          <t>RTPBQ_CM18000.pdf</t>
        </is>
      </c>
      <c r="K1032" t="inlineStr">
        <is>
          <t>Not found</t>
        </is>
      </c>
      <c r="L1032" t="inlineStr">
        <is>
          <t>Unknown</t>
        </is>
      </c>
      <c r="T1032" t="inlineStr">
        <is>
          <t>https://tenders.iglonline.net/uploads/tender/RTPBQ_CM18000.pdf</t>
        </is>
      </c>
      <c r="U1032" t="inlineStr">
        <is>
          <t>No</t>
        </is>
      </c>
      <c r="V1032" t="inlineStr">
        <is>
          <t>Bot tarafindan tespit edildi (2026-07-01); Bot tespit/zenginlestirme (2026-07-01); meta:score=40;priority=Medium;source_type=html_table;closing_date=;equipment=Unclassified;reasons=document source,quantity signal</t>
        </is>
      </c>
    </row>
    <row r="1033">
      <c r="A1033" t="inlineStr">
        <is>
          <t>T-0837</t>
        </is>
      </c>
      <c r="B1033" t="inlineStr">
        <is>
          <t>Indraprastha Gas (IGL)</t>
        </is>
      </c>
      <c r="C1033" t="inlineStr">
        <is>
          <t>Indraprastha Gas (IGL)</t>
        </is>
      </c>
      <c r="F1033" t="inlineStr">
        <is>
          <t>New Lead</t>
        </is>
      </c>
      <c r="G1033" t="inlineStr">
        <is>
          <t>Unclassified</t>
        </is>
      </c>
      <c r="H1033" t="inlineStr">
        <is>
          <t>Corrigendum_25.pdf</t>
        </is>
      </c>
      <c r="K1033" t="inlineStr">
        <is>
          <t>Not found</t>
        </is>
      </c>
      <c r="L1033" t="inlineStr">
        <is>
          <t>Unknown</t>
        </is>
      </c>
      <c r="T1033" t="inlineStr">
        <is>
          <t>https://tenders.iglonline.net/uploads/tender/Corrigendum_25.pdf</t>
        </is>
      </c>
      <c r="U1033" t="inlineStr">
        <is>
          <t>No</t>
        </is>
      </c>
      <c r="V1033" t="inlineStr">
        <is>
          <t>Bot tarafindan tespit edildi (2026-07-01); Bot tespit/zenginlestirme (2026-07-01); meta:score=40;priority=Medium;source_type=html_table;closing_date=;equipment=Unclassified;reasons=document source,quantity signal</t>
        </is>
      </c>
    </row>
    <row r="1034">
      <c r="A1034" t="inlineStr">
        <is>
          <t>T-0838</t>
        </is>
      </c>
      <c r="B1034" t="inlineStr">
        <is>
          <t>Indraprastha Gas (IGL)</t>
        </is>
      </c>
      <c r="C1034" t="inlineStr">
        <is>
          <t>Indraprastha Gas (IGL)</t>
        </is>
      </c>
      <c r="F1034" t="inlineStr">
        <is>
          <t>New Lead</t>
        </is>
      </c>
      <c r="H1034" t="inlineStr">
        <is>
          <t>View Tender</t>
        </is>
      </c>
      <c r="K1034" t="inlineStr">
        <is>
          <t>Not found</t>
        </is>
      </c>
      <c r="L1034" t="inlineStr">
        <is>
          <t>Unknown</t>
        </is>
      </c>
      <c r="T1034" t="inlineStr">
        <is>
          <t>https://tenders.iglonline.net/tenderDetail/279/Active Tenders And Corrigendum-Addendum</t>
        </is>
      </c>
      <c r="U1034" t="inlineStr">
        <is>
          <t>No</t>
        </is>
      </c>
      <c r="V1034" t="inlineStr">
        <is>
          <t>Bot tarafindan tespit edildi (2026-07-01)</t>
        </is>
      </c>
    </row>
    <row r="1035">
      <c r="A1035" t="inlineStr">
        <is>
          <t>T-0839</t>
        </is>
      </c>
      <c r="B1035" t="inlineStr">
        <is>
          <t>Indraprastha Gas (IGL)</t>
        </is>
      </c>
      <c r="C1035" t="inlineStr">
        <is>
          <t>Indraprastha Gas (IGL)</t>
        </is>
      </c>
      <c r="F1035" t="inlineStr">
        <is>
          <t>New Lead</t>
        </is>
      </c>
      <c r="H1035" t="inlineStr">
        <is>
          <t>Corrigendum_13.pdf</t>
        </is>
      </c>
      <c r="K1035" t="inlineStr">
        <is>
          <t>Not found</t>
        </is>
      </c>
      <c r="L1035" t="inlineStr">
        <is>
          <t>Unknown</t>
        </is>
      </c>
      <c r="T1035" t="inlineStr">
        <is>
          <t>https://tenders.iglonline.net/uploads/tender/Corrigendum_13.pdf</t>
        </is>
      </c>
      <c r="U1035" t="inlineStr">
        <is>
          <t>No</t>
        </is>
      </c>
      <c r="V1035" t="inlineStr">
        <is>
          <t>Bot tarafindan tespit edildi (2026-07-01)</t>
        </is>
      </c>
    </row>
    <row r="1036">
      <c r="A1036" t="inlineStr">
        <is>
          <t>T-0840</t>
        </is>
      </c>
      <c r="B1036" t="inlineStr">
        <is>
          <t>Indraprastha Gas (IGL)</t>
        </is>
      </c>
      <c r="C1036" t="inlineStr">
        <is>
          <t>Indraprastha Gas (IGL)</t>
        </is>
      </c>
      <c r="F1036" t="inlineStr">
        <is>
          <t>New Lead</t>
        </is>
      </c>
      <c r="H1036" t="inlineStr">
        <is>
          <t>Corrigendum__2_CP17996.pdf</t>
        </is>
      </c>
      <c r="K1036" t="inlineStr">
        <is>
          <t>Not found</t>
        </is>
      </c>
      <c r="L1036" t="inlineStr">
        <is>
          <t>Unknown</t>
        </is>
      </c>
      <c r="T1036" t="inlineStr">
        <is>
          <t>https://tenders.iglonline.net/uploads/tender/Corrigendum__2_CP17996.pdf</t>
        </is>
      </c>
      <c r="U1036" t="inlineStr">
        <is>
          <t>No</t>
        </is>
      </c>
      <c r="V1036" t="inlineStr">
        <is>
          <t>Bot tarafindan tespit edildi (2026-07-01)</t>
        </is>
      </c>
    </row>
    <row r="1037">
      <c r="A1037" t="inlineStr">
        <is>
          <t>T-0841</t>
        </is>
      </c>
      <c r="B1037" t="inlineStr">
        <is>
          <t>Indraprastha Gas (IGL)</t>
        </is>
      </c>
      <c r="C1037" t="inlineStr">
        <is>
          <t>Indraprastha Gas (IGL)</t>
        </is>
      </c>
      <c r="F1037" t="inlineStr">
        <is>
          <t>New Lead</t>
        </is>
      </c>
      <c r="H1037" t="inlineStr">
        <is>
          <t>Replies_to_bidders_queries_CP17996.pdf</t>
        </is>
      </c>
      <c r="K1037" t="inlineStr">
        <is>
          <t>Not found</t>
        </is>
      </c>
      <c r="L1037" t="inlineStr">
        <is>
          <t>Unknown</t>
        </is>
      </c>
      <c r="T1037" t="inlineStr">
        <is>
          <t>https://tenders.iglonline.net/uploads/tender/Replies_to_bidders_queries_CP17996.pdf</t>
        </is>
      </c>
      <c r="U1037" t="inlineStr">
        <is>
          <t>No</t>
        </is>
      </c>
      <c r="V1037" t="inlineStr">
        <is>
          <t>Bot tarafindan tespit edildi (2026-07-01)</t>
        </is>
      </c>
    </row>
    <row r="1038">
      <c r="A1038" t="inlineStr">
        <is>
          <t>T-0842</t>
        </is>
      </c>
      <c r="B1038" t="inlineStr">
        <is>
          <t>Indraprastha Gas (IGL)</t>
        </is>
      </c>
      <c r="C1038" t="inlineStr">
        <is>
          <t>Indraprastha Gas (IGL)</t>
        </is>
      </c>
      <c r="F1038" t="inlineStr">
        <is>
          <t>New Lead</t>
        </is>
      </c>
      <c r="H1038" t="inlineStr">
        <is>
          <t>Corrigendum_3_CP17996.pdf</t>
        </is>
      </c>
      <c r="K1038" t="inlineStr">
        <is>
          <t>Not found</t>
        </is>
      </c>
      <c r="L1038" t="inlineStr">
        <is>
          <t>Unknown</t>
        </is>
      </c>
      <c r="T1038" t="inlineStr">
        <is>
          <t>https://tenders.iglonline.net/uploads/tender/Corrigendum_3_CP17996.pdf</t>
        </is>
      </c>
      <c r="U1038" t="inlineStr">
        <is>
          <t>No</t>
        </is>
      </c>
      <c r="V1038" t="inlineStr">
        <is>
          <t>Bot tarafindan tespit edildi (2026-07-01)</t>
        </is>
      </c>
    </row>
    <row r="1039">
      <c r="A1039" t="inlineStr">
        <is>
          <t>T-0843</t>
        </is>
      </c>
      <c r="B1039" t="inlineStr">
        <is>
          <t>Indraprastha Gas (IGL)</t>
        </is>
      </c>
      <c r="C1039" t="inlineStr">
        <is>
          <t>Indraprastha Gas (IGL)</t>
        </is>
      </c>
      <c r="F1039" t="inlineStr">
        <is>
          <t>New Lead</t>
        </is>
      </c>
      <c r="H1039" t="inlineStr">
        <is>
          <t>Reply_to_Pre_bid_queries_2.pdf</t>
        </is>
      </c>
      <c r="K1039" t="inlineStr">
        <is>
          <t>Not found</t>
        </is>
      </c>
      <c r="L1039" t="inlineStr">
        <is>
          <t>Unknown</t>
        </is>
      </c>
      <c r="T1039" t="inlineStr">
        <is>
          <t>https://tenders.iglonline.net/uploads/tender/Reply_to_Pre_bid_queries_2.pdf</t>
        </is>
      </c>
      <c r="U1039" t="inlineStr">
        <is>
          <t>No</t>
        </is>
      </c>
      <c r="V1039" t="inlineStr">
        <is>
          <t>Bot tarafindan tespit edildi (2026-07-01)</t>
        </is>
      </c>
    </row>
    <row r="1040">
      <c r="A1040" t="inlineStr">
        <is>
          <t>T-0844</t>
        </is>
      </c>
      <c r="B1040" t="inlineStr">
        <is>
          <t>Indraprastha Gas (IGL)</t>
        </is>
      </c>
      <c r="C1040" t="inlineStr">
        <is>
          <t>Indraprastha Gas (IGL)</t>
        </is>
      </c>
      <c r="F1040" t="inlineStr">
        <is>
          <t>New Lead</t>
        </is>
      </c>
      <c r="H1040" t="inlineStr">
        <is>
          <t>Corrigendum_48.pdf</t>
        </is>
      </c>
      <c r="K1040" t="inlineStr">
        <is>
          <t>Not found</t>
        </is>
      </c>
      <c r="L1040" t="inlineStr">
        <is>
          <t>Unknown</t>
        </is>
      </c>
      <c r="T1040" t="inlineStr">
        <is>
          <t>https://tenders.iglonline.net/uploads/tender/Corrigendum_48.pdf</t>
        </is>
      </c>
      <c r="U1040" t="inlineStr">
        <is>
          <t>No</t>
        </is>
      </c>
      <c r="V1040" t="inlineStr">
        <is>
          <t>Bot tarafindan tespit edildi (2026-07-01)</t>
        </is>
      </c>
    </row>
    <row r="1041">
      <c r="A1041" t="inlineStr">
        <is>
          <t>T-0845</t>
        </is>
      </c>
      <c r="B1041" t="inlineStr">
        <is>
          <t>Indraprastha Gas (IGL)</t>
        </is>
      </c>
      <c r="C1041" t="inlineStr">
        <is>
          <t>Indraprastha Gas (IGL)</t>
        </is>
      </c>
      <c r="F1041" t="inlineStr">
        <is>
          <t>New Lead</t>
        </is>
      </c>
      <c r="H1041" t="inlineStr">
        <is>
          <t>View Tender</t>
        </is>
      </c>
      <c r="K1041" t="inlineStr">
        <is>
          <t>Not found</t>
        </is>
      </c>
      <c r="L1041" t="inlineStr">
        <is>
          <t>Unknown</t>
        </is>
      </c>
      <c r="T1041" t="inlineStr">
        <is>
          <t>https://tenders.iglonline.net/tenderDetail/278/Active Tenders And Corrigendum-Addendum</t>
        </is>
      </c>
      <c r="U1041" t="inlineStr">
        <is>
          <t>No</t>
        </is>
      </c>
      <c r="V1041" t="inlineStr">
        <is>
          <t>Bot tarafindan tespit edildi (2026-07-01)</t>
        </is>
      </c>
    </row>
    <row r="1042">
      <c r="A1042" t="inlineStr">
        <is>
          <t>T-0846</t>
        </is>
      </c>
      <c r="B1042" t="inlineStr">
        <is>
          <t>Indraprastha Gas (IGL)</t>
        </is>
      </c>
      <c r="C1042" t="inlineStr">
        <is>
          <t>Indraprastha Gas (IGL)</t>
        </is>
      </c>
      <c r="F1042" t="inlineStr">
        <is>
          <t>New Lead</t>
        </is>
      </c>
      <c r="H1042" t="inlineStr">
        <is>
          <t>View Tender</t>
        </is>
      </c>
      <c r="K1042" t="inlineStr">
        <is>
          <t>Not found</t>
        </is>
      </c>
      <c r="L1042" t="inlineStr">
        <is>
          <t>Unknown</t>
        </is>
      </c>
      <c r="T1042" t="inlineStr">
        <is>
          <t>https://tenders.iglonline.net/tenderDetail/277/Active Tenders And Corrigendum-Addendum</t>
        </is>
      </c>
      <c r="U1042" t="inlineStr">
        <is>
          <t>No</t>
        </is>
      </c>
      <c r="V1042" t="inlineStr">
        <is>
          <t>Bot tarafindan tespit edildi (2026-07-01)</t>
        </is>
      </c>
    </row>
    <row r="1043">
      <c r="A1043" t="inlineStr">
        <is>
          <t>T-0847</t>
        </is>
      </c>
      <c r="B1043" t="inlineStr">
        <is>
          <t>Indraprastha Gas (IGL)</t>
        </is>
      </c>
      <c r="C1043" t="inlineStr">
        <is>
          <t>Indraprastha Gas (IGL)</t>
        </is>
      </c>
      <c r="F1043" t="inlineStr">
        <is>
          <t>New Lead</t>
        </is>
      </c>
      <c r="G1043" t="inlineStr">
        <is>
          <t>Gas-related / review</t>
        </is>
      </c>
      <c r="H1043" t="inlineStr">
        <is>
          <t>CORRIGENDUM11.pdf</t>
        </is>
      </c>
      <c r="K1043" t="inlineStr">
        <is>
          <t>Not found</t>
        </is>
      </c>
      <c r="L1043" t="inlineStr">
        <is>
          <t>Unknown</t>
        </is>
      </c>
      <c r="T1043" t="inlineStr">
        <is>
          <t>https://tenders.iglonline.net/uploads/tender/CORRIGENDUM11.pdf</t>
        </is>
      </c>
      <c r="U1043" t="inlineStr">
        <is>
          <t>No</t>
        </is>
      </c>
      <c r="V1043" t="inlineStr">
        <is>
          <t>Bot tarafindan tespit edildi (2026-07-01); Bot tespit/zenginlestirme (2026-07-01); meta:score=35;priority=Low;source_type=html_table;closing_date=;equipment=Gas-related / review;reasons=equipment:Gas-related / review,document source</t>
        </is>
      </c>
    </row>
    <row r="1044">
      <c r="A1044" t="inlineStr">
        <is>
          <t>T-0848</t>
        </is>
      </c>
      <c r="B1044" t="inlineStr">
        <is>
          <t>Indraprastha Gas (IGL)</t>
        </is>
      </c>
      <c r="C1044" t="inlineStr">
        <is>
          <t>Indraprastha Gas (IGL)</t>
        </is>
      </c>
      <c r="F1044" t="inlineStr">
        <is>
          <t>New Lead</t>
        </is>
      </c>
      <c r="H1044" t="inlineStr">
        <is>
          <t>CORRIGENDUM_2_(1).pdf</t>
        </is>
      </c>
      <c r="K1044" t="inlineStr">
        <is>
          <t>Not found</t>
        </is>
      </c>
      <c r="L1044" t="inlineStr">
        <is>
          <t>Unknown</t>
        </is>
      </c>
      <c r="T1044" t="inlineStr">
        <is>
          <t>https://tenders.iglonline.net/uploads/tender/CORRIGENDUM_2_(1).pdf</t>
        </is>
      </c>
      <c r="U1044" t="inlineStr">
        <is>
          <t>No</t>
        </is>
      </c>
      <c r="V1044" t="inlineStr">
        <is>
          <t>Bot tarafindan tespit edildi (2026-07-01)</t>
        </is>
      </c>
    </row>
    <row r="1045">
      <c r="A1045" t="inlineStr">
        <is>
          <t>T-0849</t>
        </is>
      </c>
      <c r="B1045" t="inlineStr">
        <is>
          <t>Indraprastha Gas (IGL)</t>
        </is>
      </c>
      <c r="C1045" t="inlineStr">
        <is>
          <t>Indraprastha Gas (IGL)</t>
        </is>
      </c>
      <c r="F1045" t="inlineStr">
        <is>
          <t>New Lead</t>
        </is>
      </c>
      <c r="H1045" t="inlineStr">
        <is>
          <t>View Tender</t>
        </is>
      </c>
      <c r="K1045" t="inlineStr">
        <is>
          <t>Not found</t>
        </is>
      </c>
      <c r="L1045" t="inlineStr">
        <is>
          <t>Unknown</t>
        </is>
      </c>
      <c r="T1045" t="inlineStr">
        <is>
          <t>https://tenders.iglonline.net/tenderDetail/276/Active Tenders And Corrigendum-Addendum</t>
        </is>
      </c>
      <c r="U1045" t="inlineStr">
        <is>
          <t>No</t>
        </is>
      </c>
      <c r="V1045" t="inlineStr">
        <is>
          <t>Bot tarafindan tespit edildi (2026-07-01)</t>
        </is>
      </c>
    </row>
    <row r="1046">
      <c r="A1046" t="inlineStr">
        <is>
          <t>T-0850</t>
        </is>
      </c>
      <c r="B1046" t="inlineStr">
        <is>
          <t>Indraprastha Gas (IGL)</t>
        </is>
      </c>
      <c r="C1046" t="inlineStr">
        <is>
          <t>Indraprastha Gas (IGL)</t>
        </is>
      </c>
      <c r="F1046" t="inlineStr">
        <is>
          <t>New Lead</t>
        </is>
      </c>
      <c r="H1046" t="inlineStr">
        <is>
          <t>Corrigendum_1_Annexure_1_merged.pdf</t>
        </is>
      </c>
      <c r="K1046" t="inlineStr">
        <is>
          <t>Not found</t>
        </is>
      </c>
      <c r="L1046" t="inlineStr">
        <is>
          <t>Unknown</t>
        </is>
      </c>
      <c r="T1046" t="inlineStr">
        <is>
          <t>https://tenders.iglonline.net/uploads/tender/Corrigendum_1_Annexure_1_merged.pdf</t>
        </is>
      </c>
      <c r="U1046" t="inlineStr">
        <is>
          <t>No</t>
        </is>
      </c>
      <c r="V1046" t="inlineStr">
        <is>
          <t>Bot tarafindan tespit edildi (2026-07-01)</t>
        </is>
      </c>
    </row>
    <row r="1047">
      <c r="A1047" t="inlineStr">
        <is>
          <t>T-0851</t>
        </is>
      </c>
      <c r="B1047" t="inlineStr">
        <is>
          <t>Indraprastha Gas (IGL)</t>
        </is>
      </c>
      <c r="C1047" t="inlineStr">
        <is>
          <t>Indraprastha Gas (IGL)</t>
        </is>
      </c>
      <c r="F1047" t="inlineStr">
        <is>
          <t>New Lead</t>
        </is>
      </c>
      <c r="H1047" t="inlineStr">
        <is>
          <t>Corrigendum-II__CC17807.pdf</t>
        </is>
      </c>
      <c r="K1047" t="inlineStr">
        <is>
          <t>Not found</t>
        </is>
      </c>
      <c r="L1047" t="inlineStr">
        <is>
          <t>Unknown</t>
        </is>
      </c>
      <c r="T1047" t="inlineStr">
        <is>
          <t>https://tenders.iglonline.net/uploads/tender/Corrigendum-II__CC17807.pdf</t>
        </is>
      </c>
      <c r="U1047" t="inlineStr">
        <is>
          <t>No</t>
        </is>
      </c>
      <c r="V1047" t="inlineStr">
        <is>
          <t>Bot tarafindan tespit edildi (2026-07-01)</t>
        </is>
      </c>
    </row>
    <row r="1048">
      <c r="A1048" t="inlineStr">
        <is>
          <t>T-0852</t>
        </is>
      </c>
      <c r="B1048" t="inlineStr">
        <is>
          <t>Indraprastha Gas (IGL)</t>
        </is>
      </c>
      <c r="C1048" t="inlineStr">
        <is>
          <t>Indraprastha Gas (IGL)</t>
        </is>
      </c>
      <c r="F1048" t="inlineStr">
        <is>
          <t>New Lead</t>
        </is>
      </c>
      <c r="H1048" t="inlineStr">
        <is>
          <t>View Tender</t>
        </is>
      </c>
      <c r="K1048" t="inlineStr">
        <is>
          <t>Not found</t>
        </is>
      </c>
      <c r="L1048" t="inlineStr">
        <is>
          <t>Unknown</t>
        </is>
      </c>
      <c r="T1048" t="inlineStr">
        <is>
          <t>https://tenders.iglonline.net/tenderDetail/275/Active Tenders And Corrigendum-Addendum</t>
        </is>
      </c>
      <c r="U1048" t="inlineStr">
        <is>
          <t>No</t>
        </is>
      </c>
      <c r="V1048" t="inlineStr">
        <is>
          <t>Bot tarafindan tespit edildi (2026-07-01)</t>
        </is>
      </c>
    </row>
    <row r="1049">
      <c r="A1049" t="inlineStr">
        <is>
          <t>T-0853</t>
        </is>
      </c>
      <c r="B1049" t="inlineStr">
        <is>
          <t>Indraprastha Gas (IGL)</t>
        </is>
      </c>
      <c r="C1049" t="inlineStr">
        <is>
          <t>Indraprastha Gas (IGL)</t>
        </is>
      </c>
      <c r="F1049" t="inlineStr">
        <is>
          <t>New Lead</t>
        </is>
      </c>
      <c r="H1049" t="inlineStr">
        <is>
          <t>RTBQ_CP17988.pdf</t>
        </is>
      </c>
      <c r="K1049" t="inlineStr">
        <is>
          <t>Not found</t>
        </is>
      </c>
      <c r="L1049" t="inlineStr">
        <is>
          <t>Unknown</t>
        </is>
      </c>
      <c r="T1049" t="inlineStr">
        <is>
          <t>https://tenders.iglonline.net/uploads/tender/RTBQ_CP17988.pdf</t>
        </is>
      </c>
      <c r="U1049" t="inlineStr">
        <is>
          <t>No</t>
        </is>
      </c>
      <c r="V1049" t="inlineStr">
        <is>
          <t>Bot tarafindan tespit edildi (2026-07-01)</t>
        </is>
      </c>
    </row>
    <row r="1050">
      <c r="A1050" t="inlineStr">
        <is>
          <t>T-0854</t>
        </is>
      </c>
      <c r="B1050" t="inlineStr">
        <is>
          <t>Indraprastha Gas (IGL)</t>
        </is>
      </c>
      <c r="C1050" t="inlineStr">
        <is>
          <t>Indraprastha Gas (IGL)</t>
        </is>
      </c>
      <c r="F1050" t="inlineStr">
        <is>
          <t>New Lead</t>
        </is>
      </c>
      <c r="H1050" t="inlineStr">
        <is>
          <t>Corrigendum_1_CP17988.pdf</t>
        </is>
      </c>
      <c r="K1050" t="inlineStr">
        <is>
          <t>Not found</t>
        </is>
      </c>
      <c r="L1050" t="inlineStr">
        <is>
          <t>Unknown</t>
        </is>
      </c>
      <c r="T1050" t="inlineStr">
        <is>
          <t>https://tenders.iglonline.net/uploads/tender/Corrigendum_1_CP17988.pdf</t>
        </is>
      </c>
      <c r="U1050" t="inlineStr">
        <is>
          <t>No</t>
        </is>
      </c>
      <c r="V1050" t="inlineStr">
        <is>
          <t>Bot tarafindan tespit edildi (2026-07-01)</t>
        </is>
      </c>
    </row>
    <row r="1051">
      <c r="A1051" t="inlineStr">
        <is>
          <t>T-0855</t>
        </is>
      </c>
      <c r="B1051" t="inlineStr">
        <is>
          <t>Indraprastha Gas (IGL)</t>
        </is>
      </c>
      <c r="C1051" t="inlineStr">
        <is>
          <t>Indraprastha Gas (IGL)</t>
        </is>
      </c>
      <c r="F1051" t="inlineStr">
        <is>
          <t>New Lead</t>
        </is>
      </c>
      <c r="H1051" t="inlineStr">
        <is>
          <t>View Tender</t>
        </is>
      </c>
      <c r="K1051" t="inlineStr">
        <is>
          <t>Not found</t>
        </is>
      </c>
      <c r="L1051" t="inlineStr">
        <is>
          <t>Unknown</t>
        </is>
      </c>
      <c r="T1051" t="inlineStr">
        <is>
          <t>https://tenders.iglonline.net/tenderDetail/274/Active Tenders And Corrigendum-Addendum</t>
        </is>
      </c>
      <c r="U1051" t="inlineStr">
        <is>
          <t>No</t>
        </is>
      </c>
      <c r="V1051" t="inlineStr">
        <is>
          <t>Bot tarafindan tespit edildi (2026-07-01)</t>
        </is>
      </c>
    </row>
    <row r="1052">
      <c r="A1052" t="inlineStr">
        <is>
          <t>T-0856</t>
        </is>
      </c>
      <c r="B1052" t="inlineStr">
        <is>
          <t>Indraprastha Gas (IGL)</t>
        </is>
      </c>
      <c r="C1052" t="inlineStr">
        <is>
          <t>Indraprastha Gas (IGL)</t>
        </is>
      </c>
      <c r="F1052" t="inlineStr">
        <is>
          <t>New Lead</t>
        </is>
      </c>
      <c r="H1052" t="inlineStr">
        <is>
          <t>Corrigendum_1_CP17981.pdf</t>
        </is>
      </c>
      <c r="K1052" t="inlineStr">
        <is>
          <t>Not found</t>
        </is>
      </c>
      <c r="L1052" t="inlineStr">
        <is>
          <t>Unknown</t>
        </is>
      </c>
      <c r="T1052" t="inlineStr">
        <is>
          <t>https://tenders.iglonline.net/uploads/tender/Corrigendum_1_CP17981.pdf</t>
        </is>
      </c>
      <c r="U1052" t="inlineStr">
        <is>
          <t>No</t>
        </is>
      </c>
      <c r="V1052" t="inlineStr">
        <is>
          <t>Bot tarafindan tespit edildi (2026-07-01)</t>
        </is>
      </c>
    </row>
    <row r="1053">
      <c r="A1053" t="inlineStr">
        <is>
          <t>T-0857</t>
        </is>
      </c>
      <c r="B1053" t="inlineStr">
        <is>
          <t>Indraprastha Gas (IGL)</t>
        </is>
      </c>
      <c r="C1053" t="inlineStr">
        <is>
          <t>Indraprastha Gas (IGL)</t>
        </is>
      </c>
      <c r="F1053" t="inlineStr">
        <is>
          <t>New Lead</t>
        </is>
      </c>
      <c r="H1053" t="inlineStr">
        <is>
          <t>View Tender</t>
        </is>
      </c>
      <c r="K1053" t="inlineStr">
        <is>
          <t>Not found</t>
        </is>
      </c>
      <c r="L1053" t="inlineStr">
        <is>
          <t>Unknown</t>
        </is>
      </c>
      <c r="T1053" t="inlineStr">
        <is>
          <t>https://tenders.iglonline.net/tenderDetail/273/Active Tenders And Corrigendum-Addendum</t>
        </is>
      </c>
      <c r="U1053" t="inlineStr">
        <is>
          <t>No</t>
        </is>
      </c>
      <c r="V1053" t="inlineStr">
        <is>
          <t>Bot tarafindan tespit edildi (2026-07-01)</t>
        </is>
      </c>
    </row>
    <row r="1054">
      <c r="A1054" t="inlineStr">
        <is>
          <t>T-0858</t>
        </is>
      </c>
      <c r="B1054" t="inlineStr">
        <is>
          <t>Indraprastha Gas (IGL)</t>
        </is>
      </c>
      <c r="C1054" t="inlineStr">
        <is>
          <t>Indraprastha Gas (IGL)</t>
        </is>
      </c>
      <c r="F1054" t="inlineStr">
        <is>
          <t>New Lead</t>
        </is>
      </c>
      <c r="H1054" t="inlineStr">
        <is>
          <t>View Tender</t>
        </is>
      </c>
      <c r="K1054" t="inlineStr">
        <is>
          <t>Not found</t>
        </is>
      </c>
      <c r="L1054" t="inlineStr">
        <is>
          <t>Unknown</t>
        </is>
      </c>
      <c r="T1054" t="inlineStr">
        <is>
          <t>https://tenders.iglonline.net/tenderDetail/272/Active Tenders And Corrigendum-Addendum</t>
        </is>
      </c>
      <c r="U1054" t="inlineStr">
        <is>
          <t>No</t>
        </is>
      </c>
      <c r="V1054" t="inlineStr">
        <is>
          <t>Bot tarafindan tespit edildi (2026-07-01)</t>
        </is>
      </c>
    </row>
    <row r="1055">
      <c r="A1055" t="inlineStr">
        <is>
          <t>T-0859</t>
        </is>
      </c>
      <c r="B1055" t="inlineStr">
        <is>
          <t>Indraprastha Gas (IGL)</t>
        </is>
      </c>
      <c r="C1055" t="inlineStr">
        <is>
          <t>Indraprastha Gas (IGL)</t>
        </is>
      </c>
      <c r="F1055" t="inlineStr">
        <is>
          <t>New Lead</t>
        </is>
      </c>
      <c r="H1055" t="inlineStr">
        <is>
          <t>Pre-bid_reply_CC18010.pdf</t>
        </is>
      </c>
      <c r="K1055" t="inlineStr">
        <is>
          <t>Not found</t>
        </is>
      </c>
      <c r="L1055" t="inlineStr">
        <is>
          <t>Unknown</t>
        </is>
      </c>
      <c r="T1055" t="inlineStr">
        <is>
          <t>https://tenders.iglonline.net/uploads/tender/Pre-bid_reply_CC18010.pdf</t>
        </is>
      </c>
      <c r="U1055" t="inlineStr">
        <is>
          <t>No</t>
        </is>
      </c>
      <c r="V1055" t="inlineStr">
        <is>
          <t>Bot tarafindan tespit edildi (2026-07-01)</t>
        </is>
      </c>
    </row>
    <row r="1056">
      <c r="A1056" t="inlineStr">
        <is>
          <t>T-0860</t>
        </is>
      </c>
      <c r="B1056" t="inlineStr">
        <is>
          <t>Indraprastha Gas (IGL)</t>
        </is>
      </c>
      <c r="C1056" t="inlineStr">
        <is>
          <t>Indraprastha Gas (IGL)</t>
        </is>
      </c>
      <c r="F1056" t="inlineStr">
        <is>
          <t>New Lead</t>
        </is>
      </c>
      <c r="H1056" t="inlineStr">
        <is>
          <t>View Tender</t>
        </is>
      </c>
      <c r="K1056" t="inlineStr">
        <is>
          <t>Not found</t>
        </is>
      </c>
      <c r="L1056" t="inlineStr">
        <is>
          <t>Unknown</t>
        </is>
      </c>
      <c r="T1056" t="inlineStr">
        <is>
          <t>https://tenders.iglonline.net/tenderDetail/271/Active Tenders And Corrigendum-Addendum</t>
        </is>
      </c>
      <c r="U1056" t="inlineStr">
        <is>
          <t>No</t>
        </is>
      </c>
      <c r="V1056" t="inlineStr">
        <is>
          <t>Bot tarafindan tespit edildi (2026-07-01)</t>
        </is>
      </c>
    </row>
    <row r="1057">
      <c r="A1057" t="inlineStr">
        <is>
          <t>T-0861</t>
        </is>
      </c>
      <c r="B1057" t="inlineStr">
        <is>
          <t>Indraprastha Gas (IGL)</t>
        </is>
      </c>
      <c r="C1057" t="inlineStr">
        <is>
          <t>Indraprastha Gas (IGL)</t>
        </is>
      </c>
      <c r="F1057" t="inlineStr">
        <is>
          <t>New Lead</t>
        </is>
      </c>
      <c r="H1057" t="inlineStr">
        <is>
          <t>View Tender</t>
        </is>
      </c>
      <c r="K1057" t="inlineStr">
        <is>
          <t>Not found</t>
        </is>
      </c>
      <c r="L1057" t="inlineStr">
        <is>
          <t>Unknown</t>
        </is>
      </c>
      <c r="T1057" t="inlineStr">
        <is>
          <t>https://tenders.iglonline.net/tenderDetail/270/Active Tenders And Corrigendum-Addendum</t>
        </is>
      </c>
      <c r="U1057" t="inlineStr">
        <is>
          <t>No</t>
        </is>
      </c>
      <c r="V1057" t="inlineStr">
        <is>
          <t>Bot tarafindan tespit edildi (2026-07-01)</t>
        </is>
      </c>
    </row>
    <row r="1058">
      <c r="A1058" t="inlineStr">
        <is>
          <t>T-0862</t>
        </is>
      </c>
      <c r="B1058" t="inlineStr">
        <is>
          <t>Indraprastha Gas (IGL)</t>
        </is>
      </c>
      <c r="C1058" t="inlineStr">
        <is>
          <t>Indraprastha Gas (IGL)</t>
        </is>
      </c>
      <c r="F1058" t="inlineStr">
        <is>
          <t>New Lead</t>
        </is>
      </c>
      <c r="H1058" t="inlineStr">
        <is>
          <t>View Tender</t>
        </is>
      </c>
      <c r="K1058" t="inlineStr">
        <is>
          <t>Not found</t>
        </is>
      </c>
      <c r="L1058" t="inlineStr">
        <is>
          <t>Unknown</t>
        </is>
      </c>
      <c r="T1058" t="inlineStr">
        <is>
          <t>https://tenders.iglonline.net/tenderDetail/269/Active Tenders And Corrigendum-Addendum</t>
        </is>
      </c>
      <c r="U1058" t="inlineStr">
        <is>
          <t>No</t>
        </is>
      </c>
      <c r="V1058" t="inlineStr">
        <is>
          <t>Bot tarafindan tespit edildi (2026-07-01)</t>
        </is>
      </c>
    </row>
    <row r="1059">
      <c r="A1059" t="inlineStr">
        <is>
          <t>T-0863</t>
        </is>
      </c>
      <c r="B1059" t="inlineStr">
        <is>
          <t>Indraprastha Gas (IGL)</t>
        </is>
      </c>
      <c r="C1059" t="inlineStr">
        <is>
          <t>Indraprastha Gas (IGL)</t>
        </is>
      </c>
      <c r="F1059" t="inlineStr">
        <is>
          <t>New Lead</t>
        </is>
      </c>
      <c r="H1059" t="inlineStr">
        <is>
          <t>Corrigendum_I_CC17918.pdf</t>
        </is>
      </c>
      <c r="K1059" t="inlineStr">
        <is>
          <t>Not found</t>
        </is>
      </c>
      <c r="L1059" t="inlineStr">
        <is>
          <t>Unknown</t>
        </is>
      </c>
      <c r="T1059" t="inlineStr">
        <is>
          <t>https://tenders.iglonline.net/uploads/tender/Corrigendum_I_CC17918.pdf</t>
        </is>
      </c>
      <c r="U1059" t="inlineStr">
        <is>
          <t>No</t>
        </is>
      </c>
      <c r="V1059" t="inlineStr">
        <is>
          <t>Bot tarafindan tespit edildi (2026-07-01)</t>
        </is>
      </c>
    </row>
    <row r="1060">
      <c r="A1060" t="inlineStr">
        <is>
          <t>T-0864</t>
        </is>
      </c>
      <c r="B1060" t="inlineStr">
        <is>
          <t>Indraprastha Gas (IGL)</t>
        </is>
      </c>
      <c r="C1060" t="inlineStr">
        <is>
          <t>Indraprastha Gas (IGL)</t>
        </is>
      </c>
      <c r="F1060" t="inlineStr">
        <is>
          <t>New Lead</t>
        </is>
      </c>
      <c r="H1060" t="inlineStr">
        <is>
          <t>Corrigendum_II_CP17918.pdf</t>
        </is>
      </c>
      <c r="K1060" t="inlineStr">
        <is>
          <t>Not found</t>
        </is>
      </c>
      <c r="L1060" t="inlineStr">
        <is>
          <t>Unknown</t>
        </is>
      </c>
      <c r="T1060" t="inlineStr">
        <is>
          <t>https://tenders.iglonline.net/uploads/tender/Corrigendum_II_CP17918.pdf</t>
        </is>
      </c>
      <c r="U1060" t="inlineStr">
        <is>
          <t>No</t>
        </is>
      </c>
      <c r="V1060" t="inlineStr">
        <is>
          <t>Bot tarafindan tespit edildi (2026-07-01)</t>
        </is>
      </c>
    </row>
    <row r="1061">
      <c r="A1061" t="inlineStr">
        <is>
          <t>T-0865</t>
        </is>
      </c>
      <c r="B1061" t="inlineStr">
        <is>
          <t>Indraprastha Gas (IGL)</t>
        </is>
      </c>
      <c r="C1061" t="inlineStr">
        <is>
          <t>Indraprastha Gas (IGL)</t>
        </is>
      </c>
      <c r="F1061" t="inlineStr">
        <is>
          <t>New Lead</t>
        </is>
      </c>
      <c r="H1061" t="inlineStr">
        <is>
          <t>Corrigendum_III_CP17918.pdf</t>
        </is>
      </c>
      <c r="K1061" t="inlineStr">
        <is>
          <t>Not found</t>
        </is>
      </c>
      <c r="L1061" t="inlineStr">
        <is>
          <t>Unknown</t>
        </is>
      </c>
      <c r="T1061" t="inlineStr">
        <is>
          <t>https://tenders.iglonline.net/uploads/tender/Corrigendum_III_CP17918.pdf</t>
        </is>
      </c>
      <c r="U1061" t="inlineStr">
        <is>
          <t>No</t>
        </is>
      </c>
      <c r="V1061" t="inlineStr">
        <is>
          <t>Bot tarafindan tespit edildi (2026-07-01)</t>
        </is>
      </c>
    </row>
    <row r="1062">
      <c r="A1062" t="inlineStr">
        <is>
          <t>T-0866</t>
        </is>
      </c>
      <c r="B1062" t="inlineStr">
        <is>
          <t>Indraprastha Gas (IGL)</t>
        </is>
      </c>
      <c r="C1062" t="inlineStr">
        <is>
          <t>Indraprastha Gas (IGL)</t>
        </is>
      </c>
      <c r="F1062" t="inlineStr">
        <is>
          <t>New Lead</t>
        </is>
      </c>
      <c r="H1062" t="inlineStr">
        <is>
          <t>View Tender</t>
        </is>
      </c>
      <c r="K1062" t="inlineStr">
        <is>
          <t>Not found</t>
        </is>
      </c>
      <c r="L1062" t="inlineStr">
        <is>
          <t>Unknown</t>
        </is>
      </c>
      <c r="T1062" t="inlineStr">
        <is>
          <t>https://tenders.iglonline.net/tenderDetail/268/Active Tenders And Corrigendum-Addendum</t>
        </is>
      </c>
      <c r="U1062" t="inlineStr">
        <is>
          <t>No</t>
        </is>
      </c>
      <c r="V1062" t="inlineStr">
        <is>
          <t>Bot tarafindan tespit edildi (2026-07-01)</t>
        </is>
      </c>
    </row>
    <row r="1063">
      <c r="A1063" t="inlineStr">
        <is>
          <t>T-0867</t>
        </is>
      </c>
      <c r="B1063" t="inlineStr">
        <is>
          <t>Indraprastha Gas (IGL)</t>
        </is>
      </c>
      <c r="C1063" t="inlineStr">
        <is>
          <t>Indraprastha Gas (IGL)</t>
        </is>
      </c>
      <c r="F1063" t="inlineStr">
        <is>
          <t>New Lead</t>
        </is>
      </c>
      <c r="H1063" t="inlineStr">
        <is>
          <t>View Tender</t>
        </is>
      </c>
      <c r="K1063" t="inlineStr">
        <is>
          <t>Not found</t>
        </is>
      </c>
      <c r="L1063" t="inlineStr">
        <is>
          <t>Unknown</t>
        </is>
      </c>
      <c r="T1063" t="inlineStr">
        <is>
          <t>https://tenders.iglonline.net/tenderDetail/267/Active Tenders And Corrigendum-Addendum</t>
        </is>
      </c>
      <c r="U1063" t="inlineStr">
        <is>
          <t>No</t>
        </is>
      </c>
      <c r="V1063" t="inlineStr">
        <is>
          <t>Bot tarafindan tespit edildi (2026-07-01)</t>
        </is>
      </c>
    </row>
    <row r="1064">
      <c r="A1064" t="inlineStr">
        <is>
          <t>T-0868</t>
        </is>
      </c>
      <c r="B1064" t="inlineStr">
        <is>
          <t>Indraprastha Gas (IGL)</t>
        </is>
      </c>
      <c r="C1064" t="inlineStr">
        <is>
          <t>Indraprastha Gas (IGL)</t>
        </is>
      </c>
      <c r="F1064" t="inlineStr">
        <is>
          <t>New Lead</t>
        </is>
      </c>
      <c r="H1064" t="inlineStr">
        <is>
          <t>Corrigendum_1_CP17914.pdf</t>
        </is>
      </c>
      <c r="K1064" t="inlineStr">
        <is>
          <t>Not found</t>
        </is>
      </c>
      <c r="L1064" t="inlineStr">
        <is>
          <t>Unknown</t>
        </is>
      </c>
      <c r="T1064" t="inlineStr">
        <is>
          <t>https://tenders.iglonline.net/uploads/tender/Corrigendum_1_CP17914.pdf</t>
        </is>
      </c>
      <c r="U1064" t="inlineStr">
        <is>
          <t>No</t>
        </is>
      </c>
      <c r="V1064" t="inlineStr">
        <is>
          <t>Bot tarafindan tespit edildi (2026-07-01)</t>
        </is>
      </c>
    </row>
    <row r="1065">
      <c r="A1065" t="inlineStr">
        <is>
          <t>T-0869</t>
        </is>
      </c>
      <c r="B1065" t="inlineStr">
        <is>
          <t>Indraprastha Gas (IGL)</t>
        </is>
      </c>
      <c r="C1065" t="inlineStr">
        <is>
          <t>Indraprastha Gas (IGL)</t>
        </is>
      </c>
      <c r="F1065" t="inlineStr">
        <is>
          <t>New Lead</t>
        </is>
      </c>
      <c r="H1065" t="inlineStr">
        <is>
          <t>View Tender</t>
        </is>
      </c>
      <c r="K1065" t="inlineStr">
        <is>
          <t>Not found</t>
        </is>
      </c>
      <c r="L1065" t="inlineStr">
        <is>
          <t>Unknown</t>
        </is>
      </c>
      <c r="T1065" t="inlineStr">
        <is>
          <t>https://tenders.iglonline.net/tenderDetail/266/Active Tenders And Corrigendum-Addendum</t>
        </is>
      </c>
      <c r="U1065" t="inlineStr">
        <is>
          <t>No</t>
        </is>
      </c>
      <c r="V1065" t="inlineStr">
        <is>
          <t>Bot tarafindan tespit edildi (2026-07-01)</t>
        </is>
      </c>
    </row>
    <row r="1066">
      <c r="A1066" t="inlineStr">
        <is>
          <t>T-0870</t>
        </is>
      </c>
      <c r="B1066" t="inlineStr">
        <is>
          <t>Indraprastha Gas (IGL)</t>
        </is>
      </c>
      <c r="C1066" t="inlineStr">
        <is>
          <t>Indraprastha Gas (IGL)</t>
        </is>
      </c>
      <c r="F1066" t="inlineStr">
        <is>
          <t>New Lead</t>
        </is>
      </c>
      <c r="H1066" t="inlineStr">
        <is>
          <t>View Tender</t>
        </is>
      </c>
      <c r="K1066" t="inlineStr">
        <is>
          <t>Not found</t>
        </is>
      </c>
      <c r="L1066" t="inlineStr">
        <is>
          <t>Unknown</t>
        </is>
      </c>
      <c r="T1066" t="inlineStr">
        <is>
          <t>https://tenders.iglonline.net/tenderDetail/265/Active Tenders And Corrigendum-Addendum</t>
        </is>
      </c>
      <c r="U1066" t="inlineStr">
        <is>
          <t>No</t>
        </is>
      </c>
      <c r="V1066" t="inlineStr">
        <is>
          <t>Bot tarafindan tespit edildi (2026-07-01)</t>
        </is>
      </c>
    </row>
    <row r="1067">
      <c r="A1067" t="inlineStr">
        <is>
          <t>T-0871</t>
        </is>
      </c>
      <c r="B1067" t="inlineStr">
        <is>
          <t>Indraprastha Gas (IGL)</t>
        </is>
      </c>
      <c r="C1067" t="inlineStr">
        <is>
          <t>Indraprastha Gas (IGL)</t>
        </is>
      </c>
      <c r="F1067" t="inlineStr">
        <is>
          <t>New Lead</t>
        </is>
      </c>
      <c r="H1067" t="inlineStr">
        <is>
          <t>Corrigendum-I__CC17892.pdf</t>
        </is>
      </c>
      <c r="K1067" t="inlineStr">
        <is>
          <t>Not found</t>
        </is>
      </c>
      <c r="L1067" t="inlineStr">
        <is>
          <t>Unknown</t>
        </is>
      </c>
      <c r="T1067" t="inlineStr">
        <is>
          <t>https://tenders.iglonline.net/uploads/tender/Corrigendum-I__CC17892.pdf</t>
        </is>
      </c>
      <c r="U1067" t="inlineStr">
        <is>
          <t>No</t>
        </is>
      </c>
      <c r="V1067" t="inlineStr">
        <is>
          <t>Bot tarafindan tespit edildi (2026-07-01)</t>
        </is>
      </c>
    </row>
    <row r="1068">
      <c r="A1068" t="inlineStr">
        <is>
          <t>T-0872</t>
        </is>
      </c>
      <c r="B1068" t="inlineStr">
        <is>
          <t>Indraprastha Gas (IGL)</t>
        </is>
      </c>
      <c r="C1068" t="inlineStr">
        <is>
          <t>Indraprastha Gas (IGL)</t>
        </is>
      </c>
      <c r="F1068" t="inlineStr">
        <is>
          <t>New Lead</t>
        </is>
      </c>
      <c r="H1068" t="inlineStr">
        <is>
          <t>Corrigendum-II__CC17892.pdf</t>
        </is>
      </c>
      <c r="K1068" t="inlineStr">
        <is>
          <t>Not found</t>
        </is>
      </c>
      <c r="L1068" t="inlineStr">
        <is>
          <t>Unknown</t>
        </is>
      </c>
      <c r="T1068" t="inlineStr">
        <is>
          <t>https://tenders.iglonline.net/uploads/tender/Corrigendum-II__CC17892.pdf</t>
        </is>
      </c>
      <c r="U1068" t="inlineStr">
        <is>
          <t>No</t>
        </is>
      </c>
      <c r="V1068" t="inlineStr">
        <is>
          <t>Bot tarafindan tespit edildi (2026-07-01)</t>
        </is>
      </c>
    </row>
    <row r="1069">
      <c r="A1069" t="inlineStr">
        <is>
          <t>T-0873</t>
        </is>
      </c>
      <c r="B1069" t="inlineStr">
        <is>
          <t>Indraprastha Gas (IGL)</t>
        </is>
      </c>
      <c r="C1069" t="inlineStr">
        <is>
          <t>Indraprastha Gas (IGL)</t>
        </is>
      </c>
      <c r="F1069" t="inlineStr">
        <is>
          <t>New Lead</t>
        </is>
      </c>
      <c r="H1069" t="inlineStr">
        <is>
          <t>View Tender</t>
        </is>
      </c>
      <c r="K1069" t="inlineStr">
        <is>
          <t>Not found</t>
        </is>
      </c>
      <c r="L1069" t="inlineStr">
        <is>
          <t>Unknown</t>
        </is>
      </c>
      <c r="T1069" t="inlineStr">
        <is>
          <t>https://tenders.iglonline.net/tenderDetail/264/Active Tenders And Corrigendum-Addendum</t>
        </is>
      </c>
      <c r="U1069" t="inlineStr">
        <is>
          <t>No</t>
        </is>
      </c>
      <c r="V1069" t="inlineStr">
        <is>
          <t>Bot tarafindan tespit edildi (2026-07-01)</t>
        </is>
      </c>
    </row>
    <row r="1070">
      <c r="A1070" t="inlineStr">
        <is>
          <t>T-0874</t>
        </is>
      </c>
      <c r="B1070" t="inlineStr">
        <is>
          <t>Indraprastha Gas (IGL)</t>
        </is>
      </c>
      <c r="C1070" t="inlineStr">
        <is>
          <t>Indraprastha Gas (IGL)</t>
        </is>
      </c>
      <c r="F1070" t="inlineStr">
        <is>
          <t>New Lead</t>
        </is>
      </c>
      <c r="H1070" t="inlineStr">
        <is>
          <t>Corrigendum-I__CC17903.pdf</t>
        </is>
      </c>
      <c r="K1070" t="inlineStr">
        <is>
          <t>Not found</t>
        </is>
      </c>
      <c r="L1070" t="inlineStr">
        <is>
          <t>Unknown</t>
        </is>
      </c>
      <c r="T1070" t="inlineStr">
        <is>
          <t>https://tenders.iglonline.net/uploads/tender/Corrigendum-I__CC17903.pdf</t>
        </is>
      </c>
      <c r="U1070" t="inlineStr">
        <is>
          <t>No</t>
        </is>
      </c>
      <c r="V1070" t="inlineStr">
        <is>
          <t>Bot tarafindan tespit edildi (2026-07-01)</t>
        </is>
      </c>
    </row>
    <row r="1071">
      <c r="A1071" t="inlineStr">
        <is>
          <t>T-0875</t>
        </is>
      </c>
      <c r="B1071" t="inlineStr">
        <is>
          <t>Indraprastha Gas (IGL)</t>
        </is>
      </c>
      <c r="C1071" t="inlineStr">
        <is>
          <t>Indraprastha Gas (IGL)</t>
        </is>
      </c>
      <c r="F1071" t="inlineStr">
        <is>
          <t>New Lead</t>
        </is>
      </c>
      <c r="H1071" t="inlineStr">
        <is>
          <t>Pre-bid_reply_CC17903.pdf</t>
        </is>
      </c>
      <c r="K1071" t="inlineStr">
        <is>
          <t>Not found</t>
        </is>
      </c>
      <c r="L1071" t="inlineStr">
        <is>
          <t>Unknown</t>
        </is>
      </c>
      <c r="T1071" t="inlineStr">
        <is>
          <t>https://tenders.iglonline.net/uploads/tender/Pre-bid_reply_CC17903.pdf</t>
        </is>
      </c>
      <c r="U1071" t="inlineStr">
        <is>
          <t>No</t>
        </is>
      </c>
      <c r="V1071" t="inlineStr">
        <is>
          <t>Bot tarafindan tespit edildi (2026-07-01)</t>
        </is>
      </c>
    </row>
    <row r="1072">
      <c r="A1072" t="inlineStr">
        <is>
          <t>T-0876</t>
        </is>
      </c>
      <c r="B1072" t="inlineStr">
        <is>
          <t>Indraprastha Gas (IGL)</t>
        </is>
      </c>
      <c r="C1072" t="inlineStr">
        <is>
          <t>Indraprastha Gas (IGL)</t>
        </is>
      </c>
      <c r="F1072" t="inlineStr">
        <is>
          <t>New Lead</t>
        </is>
      </c>
      <c r="H1072" t="inlineStr">
        <is>
          <t>Corrigendum-II__CC17903.pdf</t>
        </is>
      </c>
      <c r="K1072" t="inlineStr">
        <is>
          <t>Not found</t>
        </is>
      </c>
      <c r="L1072" t="inlineStr">
        <is>
          <t>Unknown</t>
        </is>
      </c>
      <c r="T1072" t="inlineStr">
        <is>
          <t>https://tenders.iglonline.net/uploads/tender/Corrigendum-II__CC17903.pdf</t>
        </is>
      </c>
      <c r="U1072" t="inlineStr">
        <is>
          <t>No</t>
        </is>
      </c>
      <c r="V1072" t="inlineStr">
        <is>
          <t>Bot tarafindan tespit edildi (2026-07-01)</t>
        </is>
      </c>
    </row>
    <row r="1073">
      <c r="A1073" t="inlineStr">
        <is>
          <t>T-0877</t>
        </is>
      </c>
      <c r="B1073" t="inlineStr">
        <is>
          <t>Indraprastha Gas (IGL)</t>
        </is>
      </c>
      <c r="C1073" t="inlineStr">
        <is>
          <t>Indraprastha Gas (IGL)</t>
        </is>
      </c>
      <c r="F1073" t="inlineStr">
        <is>
          <t>New Lead</t>
        </is>
      </c>
      <c r="H1073" t="inlineStr">
        <is>
          <t>Corrigendum-III__CC17903.pdf</t>
        </is>
      </c>
      <c r="K1073" t="inlineStr">
        <is>
          <t>Not found</t>
        </is>
      </c>
      <c r="L1073" t="inlineStr">
        <is>
          <t>Unknown</t>
        </is>
      </c>
      <c r="T1073" t="inlineStr">
        <is>
          <t>https://tenders.iglonline.net/uploads/tender/Corrigendum-III__CC17903.pdf</t>
        </is>
      </c>
      <c r="U1073" t="inlineStr">
        <is>
          <t>No</t>
        </is>
      </c>
      <c r="V1073" t="inlineStr">
        <is>
          <t>Bot tarafindan tespit edildi (2026-07-01)</t>
        </is>
      </c>
    </row>
    <row r="1074">
      <c r="A1074" t="inlineStr">
        <is>
          <t>T-0878</t>
        </is>
      </c>
      <c r="B1074" t="inlineStr">
        <is>
          <t>Indraprastha Gas (IGL)</t>
        </is>
      </c>
      <c r="C1074" t="inlineStr">
        <is>
          <t>Indraprastha Gas (IGL)</t>
        </is>
      </c>
      <c r="F1074" t="inlineStr">
        <is>
          <t>New Lead</t>
        </is>
      </c>
      <c r="H1074" t="inlineStr">
        <is>
          <t>Corrigendum-IV__CC17903.pdf</t>
        </is>
      </c>
      <c r="K1074" t="inlineStr">
        <is>
          <t>Not found</t>
        </is>
      </c>
      <c r="L1074" t="inlineStr">
        <is>
          <t>Unknown</t>
        </is>
      </c>
      <c r="T1074" t="inlineStr">
        <is>
          <t>https://tenders.iglonline.net/uploads/tender/Corrigendum-IV__CC17903.pdf</t>
        </is>
      </c>
      <c r="U1074" t="inlineStr">
        <is>
          <t>No</t>
        </is>
      </c>
      <c r="V1074" t="inlineStr">
        <is>
          <t>Bot tarafindan tespit edildi (2026-07-01)</t>
        </is>
      </c>
    </row>
    <row r="1075">
      <c r="A1075" t="inlineStr">
        <is>
          <t>T-0879</t>
        </is>
      </c>
      <c r="B1075" t="inlineStr">
        <is>
          <t>Indraprastha Gas (IGL)</t>
        </is>
      </c>
      <c r="C1075" t="inlineStr">
        <is>
          <t>Indraprastha Gas (IGL)</t>
        </is>
      </c>
      <c r="F1075" t="inlineStr">
        <is>
          <t>New Lead</t>
        </is>
      </c>
      <c r="H1075" t="inlineStr">
        <is>
          <t>Pre-bid_reply_CC17903_II.pdf</t>
        </is>
      </c>
      <c r="K1075" t="inlineStr">
        <is>
          <t>Not found</t>
        </is>
      </c>
      <c r="L1075" t="inlineStr">
        <is>
          <t>Unknown</t>
        </is>
      </c>
      <c r="T1075" t="inlineStr">
        <is>
          <t>https://tenders.iglonline.net/uploads/tender/Pre-bid_reply_CC17903_II.pdf</t>
        </is>
      </c>
      <c r="U1075" t="inlineStr">
        <is>
          <t>No</t>
        </is>
      </c>
      <c r="V1075" t="inlineStr">
        <is>
          <t>Bot tarafindan tespit edildi (2026-07-01)</t>
        </is>
      </c>
    </row>
    <row r="1076">
      <c r="A1076" t="inlineStr">
        <is>
          <t>T-0880</t>
        </is>
      </c>
      <c r="B1076" t="inlineStr">
        <is>
          <t>Indraprastha Gas (IGL)</t>
        </is>
      </c>
      <c r="C1076" t="inlineStr">
        <is>
          <t>Indraprastha Gas (IGL)</t>
        </is>
      </c>
      <c r="F1076" t="inlineStr">
        <is>
          <t>New Lead</t>
        </is>
      </c>
      <c r="H1076" t="inlineStr">
        <is>
          <t>Corrigendum-V__CC17903.pdf</t>
        </is>
      </c>
      <c r="K1076" t="inlineStr">
        <is>
          <t>Not found</t>
        </is>
      </c>
      <c r="L1076" t="inlineStr">
        <is>
          <t>Unknown</t>
        </is>
      </c>
      <c r="T1076" t="inlineStr">
        <is>
          <t>https://tenders.iglonline.net/uploads/tender/Corrigendum-V__CC17903.pdf</t>
        </is>
      </c>
      <c r="U1076" t="inlineStr">
        <is>
          <t>No</t>
        </is>
      </c>
      <c r="V1076" t="inlineStr">
        <is>
          <t>Bot tarafindan tespit edildi (2026-07-01)</t>
        </is>
      </c>
    </row>
    <row r="1077">
      <c r="A1077" t="inlineStr">
        <is>
          <t>T-0881</t>
        </is>
      </c>
      <c r="B1077" t="inlineStr">
        <is>
          <t>Indraprastha Gas (IGL)</t>
        </is>
      </c>
      <c r="C1077" t="inlineStr">
        <is>
          <t>Indraprastha Gas (IGL)</t>
        </is>
      </c>
      <c r="F1077" t="inlineStr">
        <is>
          <t>New Lead</t>
        </is>
      </c>
      <c r="H1077" t="inlineStr">
        <is>
          <t>Annexure-1_prebid_reply.pdf</t>
        </is>
      </c>
      <c r="K1077" t="inlineStr">
        <is>
          <t>Not found</t>
        </is>
      </c>
      <c r="L1077" t="inlineStr">
        <is>
          <t>Unknown</t>
        </is>
      </c>
      <c r="T1077" t="inlineStr">
        <is>
          <t>https://tenders.iglonline.net/uploads/tender/Annexure-1_prebid_reply.pdf</t>
        </is>
      </c>
      <c r="U1077" t="inlineStr">
        <is>
          <t>No</t>
        </is>
      </c>
      <c r="V1077" t="inlineStr">
        <is>
          <t>Bot tarafindan tespit edildi (2026-07-01)</t>
        </is>
      </c>
    </row>
    <row r="1078">
      <c r="A1078" t="inlineStr">
        <is>
          <t>T-0882</t>
        </is>
      </c>
      <c r="B1078" t="inlineStr">
        <is>
          <t>Indraprastha Gas (IGL)</t>
        </is>
      </c>
      <c r="C1078" t="inlineStr">
        <is>
          <t>Indraprastha Gas (IGL)</t>
        </is>
      </c>
      <c r="F1078" t="inlineStr">
        <is>
          <t>New Lead</t>
        </is>
      </c>
      <c r="H1078" t="inlineStr">
        <is>
          <t>Pre-bid_reply_CC17903_-_III.pdf</t>
        </is>
      </c>
      <c r="K1078" t="inlineStr">
        <is>
          <t>Not found</t>
        </is>
      </c>
      <c r="L1078" t="inlineStr">
        <is>
          <t>Unknown</t>
        </is>
      </c>
      <c r="T1078" t="inlineStr">
        <is>
          <t>https://tenders.iglonline.net/uploads/tender/Pre-bid_reply_CC17903_-_III.pdf</t>
        </is>
      </c>
      <c r="U1078" t="inlineStr">
        <is>
          <t>No</t>
        </is>
      </c>
      <c r="V1078" t="inlineStr">
        <is>
          <t>Bot tarafindan tespit edildi (2026-07-01)</t>
        </is>
      </c>
    </row>
    <row r="1079">
      <c r="A1079" t="inlineStr">
        <is>
          <t>T-0883</t>
        </is>
      </c>
      <c r="B1079" t="inlineStr">
        <is>
          <t>Indraprastha Gas (IGL)</t>
        </is>
      </c>
      <c r="C1079" t="inlineStr">
        <is>
          <t>Indraprastha Gas (IGL)</t>
        </is>
      </c>
      <c r="F1079" t="inlineStr">
        <is>
          <t>New Lead</t>
        </is>
      </c>
      <c r="H1079" t="inlineStr">
        <is>
          <t>Corrigendum_PBQ_Reply.pdf</t>
        </is>
      </c>
      <c r="K1079" t="inlineStr">
        <is>
          <t>Not found</t>
        </is>
      </c>
      <c r="L1079" t="inlineStr">
        <is>
          <t>Unknown</t>
        </is>
      </c>
      <c r="T1079" t="inlineStr">
        <is>
          <t>https://tenders.iglonline.net/uploads/tender/Corrigendum_PBQ_Reply.pdf</t>
        </is>
      </c>
      <c r="U1079" t="inlineStr">
        <is>
          <t>No</t>
        </is>
      </c>
      <c r="V1079" t="inlineStr">
        <is>
          <t>Bot tarafindan tespit edildi (2026-07-01)</t>
        </is>
      </c>
    </row>
    <row r="1080">
      <c r="A1080" t="inlineStr">
        <is>
          <t>T-0884</t>
        </is>
      </c>
      <c r="B1080" t="inlineStr">
        <is>
          <t>Indraprastha Gas (IGL)</t>
        </is>
      </c>
      <c r="C1080" t="inlineStr">
        <is>
          <t>Indraprastha Gas (IGL)</t>
        </is>
      </c>
      <c r="F1080" t="inlineStr">
        <is>
          <t>New Lead</t>
        </is>
      </c>
      <c r="H1080" t="inlineStr">
        <is>
          <t>View Tender</t>
        </is>
      </c>
      <c r="K1080" t="inlineStr">
        <is>
          <t>Not found</t>
        </is>
      </c>
      <c r="L1080" t="inlineStr">
        <is>
          <t>Unknown</t>
        </is>
      </c>
      <c r="T1080" t="inlineStr">
        <is>
          <t>https://tenders.iglonline.net/tenderDetail/263/Active Tenders And Corrigendum-Addendum</t>
        </is>
      </c>
      <c r="U1080" t="inlineStr">
        <is>
          <t>No</t>
        </is>
      </c>
      <c r="V1080" t="inlineStr">
        <is>
          <t>Bot tarafindan tespit edildi (2026-07-01)</t>
        </is>
      </c>
    </row>
    <row r="1081">
      <c r="A1081" t="inlineStr">
        <is>
          <t>T-0885</t>
        </is>
      </c>
      <c r="B1081" t="inlineStr">
        <is>
          <t>Indraprastha Gas (IGL)</t>
        </is>
      </c>
      <c r="C1081" t="inlineStr">
        <is>
          <t>Indraprastha Gas (IGL)</t>
        </is>
      </c>
      <c r="F1081" t="inlineStr">
        <is>
          <t>New Lead</t>
        </is>
      </c>
      <c r="H1081" t="inlineStr">
        <is>
          <t>Pre-bid_reply_CC17913.pdf</t>
        </is>
      </c>
      <c r="K1081" t="inlineStr">
        <is>
          <t>Not found</t>
        </is>
      </c>
      <c r="L1081" t="inlineStr">
        <is>
          <t>Unknown</t>
        </is>
      </c>
      <c r="T1081" t="inlineStr">
        <is>
          <t>https://tenders.iglonline.net/uploads/tender/Pre-bid_reply_CC17913.pdf</t>
        </is>
      </c>
      <c r="U1081" t="inlineStr">
        <is>
          <t>No</t>
        </is>
      </c>
      <c r="V1081" t="inlineStr">
        <is>
          <t>Bot tarafindan tespit edildi (2026-07-01)</t>
        </is>
      </c>
    </row>
    <row r="1082">
      <c r="A1082" t="inlineStr">
        <is>
          <t>T-0886</t>
        </is>
      </c>
      <c r="B1082" t="inlineStr">
        <is>
          <t>Indraprastha Gas (IGL)</t>
        </is>
      </c>
      <c r="C1082" t="inlineStr">
        <is>
          <t>Indraprastha Gas (IGL)</t>
        </is>
      </c>
      <c r="F1082" t="inlineStr">
        <is>
          <t>New Lead</t>
        </is>
      </c>
      <c r="H1082" t="inlineStr">
        <is>
          <t>Corrigendum_-I_CC17913.pdf</t>
        </is>
      </c>
      <c r="K1082" t="inlineStr">
        <is>
          <t>Not found</t>
        </is>
      </c>
      <c r="L1082" t="inlineStr">
        <is>
          <t>Unknown</t>
        </is>
      </c>
      <c r="T1082" t="inlineStr">
        <is>
          <t>https://tenders.iglonline.net/uploads/tender/Corrigendum_-I_CC17913.pdf</t>
        </is>
      </c>
      <c r="U1082" t="inlineStr">
        <is>
          <t>No</t>
        </is>
      </c>
      <c r="V1082" t="inlineStr">
        <is>
          <t>Bot tarafindan tespit edildi (2026-07-01)</t>
        </is>
      </c>
    </row>
    <row r="1083">
      <c r="A1083" t="inlineStr">
        <is>
          <t>T-0887</t>
        </is>
      </c>
      <c r="B1083" t="inlineStr">
        <is>
          <t>Indraprastha Gas (IGL)</t>
        </is>
      </c>
      <c r="C1083" t="inlineStr">
        <is>
          <t>Indraprastha Gas (IGL)</t>
        </is>
      </c>
      <c r="F1083" t="inlineStr">
        <is>
          <t>New Lead</t>
        </is>
      </c>
      <c r="H1083" t="inlineStr">
        <is>
          <t>Corrigendum-II__CC17913.pdf</t>
        </is>
      </c>
      <c r="K1083" t="inlineStr">
        <is>
          <t>Not found</t>
        </is>
      </c>
      <c r="L1083" t="inlineStr">
        <is>
          <t>Unknown</t>
        </is>
      </c>
      <c r="T1083" t="inlineStr">
        <is>
          <t>https://tenders.iglonline.net/uploads/tender/Corrigendum-II__CC17913.pdf</t>
        </is>
      </c>
      <c r="U1083" t="inlineStr">
        <is>
          <t>No</t>
        </is>
      </c>
      <c r="V1083" t="inlineStr">
        <is>
          <t>Bot tarafindan tespit edildi (2026-07-01)</t>
        </is>
      </c>
    </row>
    <row r="1084">
      <c r="A1084" t="inlineStr">
        <is>
          <t>T-0888</t>
        </is>
      </c>
      <c r="B1084" t="inlineStr">
        <is>
          <t>Indraprastha Gas (IGL)</t>
        </is>
      </c>
      <c r="C1084" t="inlineStr">
        <is>
          <t>Indraprastha Gas (IGL)</t>
        </is>
      </c>
      <c r="F1084" t="inlineStr">
        <is>
          <t>New Lead</t>
        </is>
      </c>
      <c r="H1084" t="inlineStr">
        <is>
          <t>View Tender</t>
        </is>
      </c>
      <c r="K1084" t="inlineStr">
        <is>
          <t>Not found</t>
        </is>
      </c>
      <c r="L1084" t="inlineStr">
        <is>
          <t>Unknown</t>
        </is>
      </c>
      <c r="T1084" t="inlineStr">
        <is>
          <t>https://tenders.iglonline.net/tenderDetail/262/Active Tenders And Corrigendum-Addendum</t>
        </is>
      </c>
      <c r="U1084" t="inlineStr">
        <is>
          <t>No</t>
        </is>
      </c>
      <c r="V1084" t="inlineStr">
        <is>
          <t>Bot tarafindan tespit edildi (2026-07-01)</t>
        </is>
      </c>
    </row>
    <row r="1085">
      <c r="A1085" t="inlineStr">
        <is>
          <t>T-0889</t>
        </is>
      </c>
      <c r="B1085" t="inlineStr">
        <is>
          <t>Indraprastha Gas (IGL)</t>
        </is>
      </c>
      <c r="C1085" t="inlineStr">
        <is>
          <t>Indraprastha Gas (IGL)</t>
        </is>
      </c>
      <c r="D1085" t="inlineStr">
        <is>
          <t>IGL/ET2/CP/CP17864</t>
        </is>
      </c>
      <c r="F1085" t="inlineStr">
        <is>
          <t>New Lead</t>
        </is>
      </c>
      <c r="G1085" t="inlineStr">
        <is>
          <t>Unclassified</t>
        </is>
      </c>
      <c r="H1085" t="inlineStr">
        <is>
          <t>Corrigendum_1_CP17864.pdf</t>
        </is>
      </c>
      <c r="K1085" t="inlineStr">
        <is>
          <t>Not found</t>
        </is>
      </c>
      <c r="L1085" t="inlineStr">
        <is>
          <t>Unknown</t>
        </is>
      </c>
      <c r="T1085" t="inlineStr">
        <is>
          <t>https://tenders.iglonline.net/uploads/tender/Corrigendum_1_CP17864.pdf</t>
        </is>
      </c>
      <c r="U1085" t="inlineStr">
        <is>
          <t>No</t>
        </is>
      </c>
      <c r="V1085" t="inlineStr">
        <is>
          <t>Bot tarafindan tespit edildi (2026-07-01); Bot tespit/zenginlestirme (2026-07-01); meta:score=55;priority=Medium;source_type=html_table;closing_date=;equipment=Unclassified;reasons=document source,quantity signal,tender reference signal</t>
        </is>
      </c>
    </row>
    <row r="1086">
      <c r="A1086" t="inlineStr">
        <is>
          <t>T-0890</t>
        </is>
      </c>
      <c r="B1086" t="inlineStr">
        <is>
          <t>Indraprastha Gas (IGL)</t>
        </is>
      </c>
      <c r="C1086" t="inlineStr">
        <is>
          <t>Indraprastha Gas (IGL)</t>
        </is>
      </c>
      <c r="D1086" t="inlineStr">
        <is>
          <t>IGL/ET2/CP/CP17864</t>
        </is>
      </c>
      <c r="F1086" t="inlineStr">
        <is>
          <t>New Lead</t>
        </is>
      </c>
      <c r="G1086" t="inlineStr">
        <is>
          <t>Unclassified</t>
        </is>
      </c>
      <c r="H1086" t="inlineStr">
        <is>
          <t>Replies_to_bidders_queries4.pdf</t>
        </is>
      </c>
      <c r="K1086" t="inlineStr">
        <is>
          <t>should ensure that personnel assembling the pipe work should be competent in the</t>
        </is>
      </c>
      <c r="L1086" t="inlineStr">
        <is>
          <t>Unknown</t>
        </is>
      </c>
      <c r="T1086" t="inlineStr">
        <is>
          <t>https://tenders.iglonline.net/uploads/tender/Replies_to_bidders_queries4.pdf</t>
        </is>
      </c>
      <c r="U1086" t="inlineStr">
        <is>
          <t>No</t>
        </is>
      </c>
      <c r="V1086" t="inlineStr">
        <is>
          <t>Bot tarafindan tespit edildi (2026-07-01); Bot tespit/zenginlestirme (2026-07-01); meta:score=55;priority=Medium;source_type=html_table;closing_date=;equipment=Unclassified;reasons=document source,quantity signal,tender reference signal</t>
        </is>
      </c>
    </row>
    <row r="1087">
      <c r="A1087" t="inlineStr">
        <is>
          <t>T-0891</t>
        </is>
      </c>
      <c r="B1087" t="inlineStr">
        <is>
          <t>Indraprastha Gas (IGL)</t>
        </is>
      </c>
      <c r="C1087" t="inlineStr">
        <is>
          <t>Indraprastha Gas (IGL)</t>
        </is>
      </c>
      <c r="F1087" t="inlineStr">
        <is>
          <t>New Lead</t>
        </is>
      </c>
      <c r="G1087" t="inlineStr">
        <is>
          <t>Unclassified</t>
        </is>
      </c>
      <c r="H1087" t="inlineStr">
        <is>
          <t>Corrigendum_2_CP17864.pdf</t>
        </is>
      </c>
      <c r="K1087" t="inlineStr">
        <is>
          <t>Not found</t>
        </is>
      </c>
      <c r="L1087" t="inlineStr">
        <is>
          <t>Unknown</t>
        </is>
      </c>
      <c r="T1087" t="inlineStr">
        <is>
          <t>https://tenders.iglonline.net/uploads/tender/Corrigendum_2_CP17864.pdf</t>
        </is>
      </c>
      <c r="U1087" t="inlineStr">
        <is>
          <t>No</t>
        </is>
      </c>
      <c r="V1087" t="inlineStr">
        <is>
          <t>Bot tarafindan tespit edildi (2026-07-01); Bot tespit/zenginlestirme (2026-07-01); meta:score=55;priority=Medium;source_type=html_table;closing_date=;equipment=Unclassified;reasons=document source,quantity signal,tender reference signal</t>
        </is>
      </c>
    </row>
    <row r="1088">
      <c r="A1088" t="inlineStr">
        <is>
          <t>T-0892</t>
        </is>
      </c>
      <c r="B1088" t="inlineStr">
        <is>
          <t>Indraprastha Gas (IGL)</t>
        </is>
      </c>
      <c r="C1088" t="inlineStr">
        <is>
          <t>Indraprastha Gas (IGL)</t>
        </is>
      </c>
      <c r="F1088" t="inlineStr">
        <is>
          <t>New Lead</t>
        </is>
      </c>
      <c r="H1088" t="inlineStr">
        <is>
          <t>View Tender</t>
        </is>
      </c>
      <c r="K1088" t="inlineStr">
        <is>
          <t>Not found</t>
        </is>
      </c>
      <c r="L1088" t="inlineStr">
        <is>
          <t>Unknown</t>
        </is>
      </c>
      <c r="T1088" t="inlineStr">
        <is>
          <t>https://tenders.iglonline.net/tenderDetail/261/Active Tenders And Corrigendum-Addendum</t>
        </is>
      </c>
      <c r="U1088" t="inlineStr">
        <is>
          <t>No</t>
        </is>
      </c>
      <c r="V1088" t="inlineStr">
        <is>
          <t>Bot tarafindan tespit edildi (2026-07-01)</t>
        </is>
      </c>
    </row>
    <row r="1089">
      <c r="A1089" t="inlineStr">
        <is>
          <t>T-0893</t>
        </is>
      </c>
      <c r="B1089" t="inlineStr">
        <is>
          <t>Indraprastha Gas (IGL)</t>
        </is>
      </c>
      <c r="C1089" t="inlineStr">
        <is>
          <t>Indraprastha Gas (IGL)</t>
        </is>
      </c>
      <c r="F1089" t="inlineStr">
        <is>
          <t>New Lead</t>
        </is>
      </c>
      <c r="H1089" t="inlineStr">
        <is>
          <t>Corrigendum_1_CP17885.pdf</t>
        </is>
      </c>
      <c r="K1089" t="inlineStr">
        <is>
          <t>Not found</t>
        </is>
      </c>
      <c r="L1089" t="inlineStr">
        <is>
          <t>Unknown</t>
        </is>
      </c>
      <c r="T1089" t="inlineStr">
        <is>
          <t>https://tenders.iglonline.net/uploads/tender/Corrigendum_1_CP17885.pdf</t>
        </is>
      </c>
      <c r="U1089" t="inlineStr">
        <is>
          <t>No</t>
        </is>
      </c>
      <c r="V1089" t="inlineStr">
        <is>
          <t>Bot tarafindan tespit edildi (2026-07-01)</t>
        </is>
      </c>
    </row>
    <row r="1090">
      <c r="A1090" t="inlineStr">
        <is>
          <t>T-0894</t>
        </is>
      </c>
      <c r="B1090" t="inlineStr">
        <is>
          <t>Indraprastha Gas (IGL)</t>
        </is>
      </c>
      <c r="C1090" t="inlineStr">
        <is>
          <t>Indraprastha Gas (IGL)</t>
        </is>
      </c>
      <c r="F1090" t="inlineStr">
        <is>
          <t>New Lead</t>
        </is>
      </c>
      <c r="H1090" t="inlineStr">
        <is>
          <t>Corrigendum_2_CP17885.pdf</t>
        </is>
      </c>
      <c r="K1090" t="inlineStr">
        <is>
          <t>Not found</t>
        </is>
      </c>
      <c r="L1090" t="inlineStr">
        <is>
          <t>Unknown</t>
        </is>
      </c>
      <c r="T1090" t="inlineStr">
        <is>
          <t>https://tenders.iglonline.net/uploads/tender/Corrigendum_2_CP17885.pdf</t>
        </is>
      </c>
      <c r="U1090" t="inlineStr">
        <is>
          <t>No</t>
        </is>
      </c>
      <c r="V1090" t="inlineStr">
        <is>
          <t>Bot tarafindan tespit edildi (2026-07-01)</t>
        </is>
      </c>
    </row>
    <row r="1091">
      <c r="A1091" t="inlineStr">
        <is>
          <t>T-0895</t>
        </is>
      </c>
      <c r="B1091" t="inlineStr">
        <is>
          <t>Indraprastha Gas (IGL)</t>
        </is>
      </c>
      <c r="C1091" t="inlineStr">
        <is>
          <t>Indraprastha Gas (IGL)</t>
        </is>
      </c>
      <c r="F1091" t="inlineStr">
        <is>
          <t>New Lead</t>
        </is>
      </c>
      <c r="H1091" t="inlineStr">
        <is>
          <t>Corrigendum_3_CP17885.pdf</t>
        </is>
      </c>
      <c r="K1091" t="inlineStr">
        <is>
          <t>Not found</t>
        </is>
      </c>
      <c r="L1091" t="inlineStr">
        <is>
          <t>Unknown</t>
        </is>
      </c>
      <c r="T1091" t="inlineStr">
        <is>
          <t>https://tenders.iglonline.net/uploads/tender/Corrigendum_3_CP17885.pdf</t>
        </is>
      </c>
      <c r="U1091" t="inlineStr">
        <is>
          <t>No</t>
        </is>
      </c>
      <c r="V1091" t="inlineStr">
        <is>
          <t>Bot tarafindan tespit edildi (2026-07-01)</t>
        </is>
      </c>
    </row>
    <row r="1092">
      <c r="A1092" t="inlineStr">
        <is>
          <t>T-0896</t>
        </is>
      </c>
      <c r="B1092" t="inlineStr">
        <is>
          <t>Indraprastha Gas (IGL)</t>
        </is>
      </c>
      <c r="C1092" t="inlineStr">
        <is>
          <t>Indraprastha Gas (IGL)</t>
        </is>
      </c>
      <c r="F1092" t="inlineStr">
        <is>
          <t>New Lead</t>
        </is>
      </c>
      <c r="H1092" t="inlineStr">
        <is>
          <t>RTBQ_CP17885.pdf</t>
        </is>
      </c>
      <c r="K1092" t="inlineStr">
        <is>
          <t>Not found</t>
        </is>
      </c>
      <c r="L1092" t="inlineStr">
        <is>
          <t>Unknown</t>
        </is>
      </c>
      <c r="T1092" t="inlineStr">
        <is>
          <t>https://tenders.iglonline.net/uploads/tender/RTBQ_CP17885.pdf</t>
        </is>
      </c>
      <c r="U1092" t="inlineStr">
        <is>
          <t>No</t>
        </is>
      </c>
      <c r="V1092" t="inlineStr">
        <is>
          <t>Bot tarafindan tespit edildi (2026-07-01)</t>
        </is>
      </c>
    </row>
    <row r="1093">
      <c r="A1093" t="inlineStr">
        <is>
          <t>T-0897</t>
        </is>
      </c>
      <c r="B1093" t="inlineStr">
        <is>
          <t>Indraprastha Gas (IGL)</t>
        </is>
      </c>
      <c r="C1093" t="inlineStr">
        <is>
          <t>Indraprastha Gas (IGL)</t>
        </is>
      </c>
      <c r="F1093" t="inlineStr">
        <is>
          <t>New Lead</t>
        </is>
      </c>
      <c r="H1093" t="inlineStr">
        <is>
          <t>Corrigendum_4_CP17885.pdf</t>
        </is>
      </c>
      <c r="K1093" t="inlineStr">
        <is>
          <t>Not found</t>
        </is>
      </c>
      <c r="L1093" t="inlineStr">
        <is>
          <t>Unknown</t>
        </is>
      </c>
      <c r="T1093" t="inlineStr">
        <is>
          <t>https://tenders.iglonline.net/uploads/tender/Corrigendum_4_CP17885.pdf</t>
        </is>
      </c>
      <c r="U1093" t="inlineStr">
        <is>
          <t>No</t>
        </is>
      </c>
      <c r="V1093" t="inlineStr">
        <is>
          <t>Bot tarafindan tespit edildi (2026-07-01)</t>
        </is>
      </c>
    </row>
    <row r="1094">
      <c r="A1094" t="inlineStr">
        <is>
          <t>T-0898</t>
        </is>
      </c>
      <c r="B1094" t="inlineStr">
        <is>
          <t>Indraprastha Gas (IGL)</t>
        </is>
      </c>
      <c r="C1094" t="inlineStr">
        <is>
          <t>Indraprastha Gas (IGL)</t>
        </is>
      </c>
      <c r="F1094" t="inlineStr">
        <is>
          <t>New Lead</t>
        </is>
      </c>
      <c r="H1094" t="inlineStr">
        <is>
          <t>RTBQ_CP17885_2.pdf</t>
        </is>
      </c>
      <c r="K1094" t="inlineStr">
        <is>
          <t>Not found</t>
        </is>
      </c>
      <c r="L1094" t="inlineStr">
        <is>
          <t>Unknown</t>
        </is>
      </c>
      <c r="T1094" t="inlineStr">
        <is>
          <t>https://tenders.iglonline.net/uploads/tender/RTBQ_CP17885_2.pdf</t>
        </is>
      </c>
      <c r="U1094" t="inlineStr">
        <is>
          <t>No</t>
        </is>
      </c>
      <c r="V1094" t="inlineStr">
        <is>
          <t>Bot tarafindan tespit edildi (2026-07-01)</t>
        </is>
      </c>
    </row>
    <row r="1095">
      <c r="A1095" t="inlineStr">
        <is>
          <t>T-0899</t>
        </is>
      </c>
      <c r="B1095" t="inlineStr">
        <is>
          <t>Indraprastha Gas (IGL)</t>
        </is>
      </c>
      <c r="C1095" t="inlineStr">
        <is>
          <t>Indraprastha Gas (IGL)</t>
        </is>
      </c>
      <c r="F1095" t="inlineStr">
        <is>
          <t>New Lead</t>
        </is>
      </c>
      <c r="H1095" t="inlineStr">
        <is>
          <t>RTBQ_CP17885_3.pdf</t>
        </is>
      </c>
      <c r="K1095" t="inlineStr">
        <is>
          <t>Not found</t>
        </is>
      </c>
      <c r="L1095" t="inlineStr">
        <is>
          <t>Unknown</t>
        </is>
      </c>
      <c r="T1095" t="inlineStr">
        <is>
          <t>https://tenders.iglonline.net/uploads/tender/RTBQ_CP17885_3.pdf</t>
        </is>
      </c>
      <c r="U1095" t="inlineStr">
        <is>
          <t>No</t>
        </is>
      </c>
      <c r="V1095" t="inlineStr">
        <is>
          <t>Bot tarafindan tespit edildi (2026-07-01)</t>
        </is>
      </c>
    </row>
    <row r="1096">
      <c r="A1096" t="inlineStr">
        <is>
          <t>T-0900</t>
        </is>
      </c>
      <c r="B1096" t="inlineStr">
        <is>
          <t>Indraprastha Gas (IGL)</t>
        </is>
      </c>
      <c r="C1096" t="inlineStr">
        <is>
          <t>Indraprastha Gas (IGL)</t>
        </is>
      </c>
      <c r="F1096" t="inlineStr">
        <is>
          <t>New Lead</t>
        </is>
      </c>
      <c r="H1096" t="inlineStr">
        <is>
          <t>View Tender</t>
        </is>
      </c>
      <c r="K1096" t="inlineStr">
        <is>
          <t>Not found</t>
        </is>
      </c>
      <c r="L1096" t="inlineStr">
        <is>
          <t>Unknown</t>
        </is>
      </c>
      <c r="T1096" t="inlineStr">
        <is>
          <t>https://tenders.iglonline.net/tenderDetail/260/Active Tenders And Corrigendum-Addendum</t>
        </is>
      </c>
      <c r="U1096" t="inlineStr">
        <is>
          <t>No</t>
        </is>
      </c>
      <c r="V1096" t="inlineStr">
        <is>
          <t>Bot tarafindan tespit edildi (2026-07-01)</t>
        </is>
      </c>
    </row>
    <row r="1097">
      <c r="A1097" t="inlineStr">
        <is>
          <t>T-0901</t>
        </is>
      </c>
      <c r="B1097" t="inlineStr">
        <is>
          <t>Indraprastha Gas (IGL)</t>
        </is>
      </c>
      <c r="C1097" t="inlineStr">
        <is>
          <t>Indraprastha Gas (IGL)</t>
        </is>
      </c>
      <c r="F1097" t="inlineStr">
        <is>
          <t>New Lead</t>
        </is>
      </c>
      <c r="H1097" t="inlineStr">
        <is>
          <t>Corrigendum__1_CP17865.pdf</t>
        </is>
      </c>
      <c r="K1097" t="inlineStr">
        <is>
          <t>Not found</t>
        </is>
      </c>
      <c r="L1097" t="inlineStr">
        <is>
          <t>Unknown</t>
        </is>
      </c>
      <c r="T1097" t="inlineStr">
        <is>
          <t>https://tenders.iglonline.net/uploads/tender/Corrigendum__1_CP17865.pdf</t>
        </is>
      </c>
      <c r="U1097" t="inlineStr">
        <is>
          <t>No</t>
        </is>
      </c>
      <c r="V1097" t="inlineStr">
        <is>
          <t>Bot tarafindan tespit edildi (2026-07-01)</t>
        </is>
      </c>
    </row>
    <row r="1098">
      <c r="A1098" t="inlineStr">
        <is>
          <t>T-0902</t>
        </is>
      </c>
      <c r="B1098" t="inlineStr">
        <is>
          <t>Indraprastha Gas (IGL)</t>
        </is>
      </c>
      <c r="C1098" t="inlineStr">
        <is>
          <t>Indraprastha Gas (IGL)</t>
        </is>
      </c>
      <c r="F1098" t="inlineStr">
        <is>
          <t>New Lead</t>
        </is>
      </c>
      <c r="H1098" t="inlineStr">
        <is>
          <t>Replies_to_bidders_queries3.pdf</t>
        </is>
      </c>
      <c r="K1098" t="inlineStr">
        <is>
          <t>Not found</t>
        </is>
      </c>
      <c r="L1098" t="inlineStr">
        <is>
          <t>Unknown</t>
        </is>
      </c>
      <c r="T1098" t="inlineStr">
        <is>
          <t>https://tenders.iglonline.net/uploads/tender/Replies_to_bidders_queries3.pdf</t>
        </is>
      </c>
      <c r="U1098" t="inlineStr">
        <is>
          <t>No</t>
        </is>
      </c>
      <c r="V1098" t="inlineStr">
        <is>
          <t>Bot tarafindan tespit edildi (2026-07-01)</t>
        </is>
      </c>
    </row>
    <row r="1099">
      <c r="A1099" t="inlineStr">
        <is>
          <t>T-0903</t>
        </is>
      </c>
      <c r="B1099" t="inlineStr">
        <is>
          <t>Indraprastha Gas (IGL)</t>
        </is>
      </c>
      <c r="C1099" t="inlineStr">
        <is>
          <t>Indraprastha Gas (IGL)</t>
        </is>
      </c>
      <c r="F1099" t="inlineStr">
        <is>
          <t>New Lead</t>
        </is>
      </c>
      <c r="H1099" t="inlineStr">
        <is>
          <t>Corrigendum_2_CP17865.pdf</t>
        </is>
      </c>
      <c r="K1099" t="inlineStr">
        <is>
          <t>Not found</t>
        </is>
      </c>
      <c r="L1099" t="inlineStr">
        <is>
          <t>Unknown</t>
        </is>
      </c>
      <c r="T1099" t="inlineStr">
        <is>
          <t>https://tenders.iglonline.net/uploads/tender/Corrigendum_2_CP17865.pdf</t>
        </is>
      </c>
      <c r="U1099" t="inlineStr">
        <is>
          <t>No</t>
        </is>
      </c>
      <c r="V1099" t="inlineStr">
        <is>
          <t>Bot tarafindan tespit edildi (2026-07-01)</t>
        </is>
      </c>
    </row>
    <row r="1100">
      <c r="A1100" t="inlineStr">
        <is>
          <t>T-0904</t>
        </is>
      </c>
      <c r="B1100" t="inlineStr">
        <is>
          <t>Indraprastha Gas (IGL)</t>
        </is>
      </c>
      <c r="C1100" t="inlineStr">
        <is>
          <t>Indraprastha Gas (IGL)</t>
        </is>
      </c>
      <c r="F1100" t="inlineStr">
        <is>
          <t>New Lead</t>
        </is>
      </c>
      <c r="H1100" t="inlineStr">
        <is>
          <t>Corrigendum_3_CP17865.pdf</t>
        </is>
      </c>
      <c r="K1100" t="inlineStr">
        <is>
          <t>Not found</t>
        </is>
      </c>
      <c r="L1100" t="inlineStr">
        <is>
          <t>Unknown</t>
        </is>
      </c>
      <c r="T1100" t="inlineStr">
        <is>
          <t>https://tenders.iglonline.net/uploads/tender/Corrigendum_3_CP17865.pdf</t>
        </is>
      </c>
      <c r="U1100" t="inlineStr">
        <is>
          <t>No</t>
        </is>
      </c>
      <c r="V1100" t="inlineStr">
        <is>
          <t>Bot tarafindan tespit edildi (2026-07-01)</t>
        </is>
      </c>
    </row>
    <row r="1101">
      <c r="A1101" t="inlineStr">
        <is>
          <t>T-0905</t>
        </is>
      </c>
      <c r="B1101" t="inlineStr">
        <is>
          <t>Indraprastha Gas (IGL)</t>
        </is>
      </c>
      <c r="C1101" t="inlineStr">
        <is>
          <t>Indraprastha Gas (IGL)</t>
        </is>
      </c>
      <c r="F1101" t="inlineStr">
        <is>
          <t>New Lead</t>
        </is>
      </c>
      <c r="H1101" t="inlineStr">
        <is>
          <t>View Tender</t>
        </is>
      </c>
      <c r="K1101" t="inlineStr">
        <is>
          <t>Not found</t>
        </is>
      </c>
      <c r="L1101" t="inlineStr">
        <is>
          <t>Unknown</t>
        </is>
      </c>
      <c r="T1101" t="inlineStr">
        <is>
          <t>https://tenders.iglonline.net/tenderDetail/259/Active Tenders And Corrigendum-Addendum</t>
        </is>
      </c>
      <c r="U1101" t="inlineStr">
        <is>
          <t>No</t>
        </is>
      </c>
      <c r="V1101" t="inlineStr">
        <is>
          <t>Bot tarafindan tespit edildi (2026-07-01)</t>
        </is>
      </c>
    </row>
    <row r="1102">
      <c r="A1102" t="inlineStr">
        <is>
          <t>T-0906</t>
        </is>
      </c>
      <c r="B1102" t="inlineStr">
        <is>
          <t>Indraprastha Gas (IGL)</t>
        </is>
      </c>
      <c r="C1102" t="inlineStr">
        <is>
          <t>Indraprastha Gas (IGL)</t>
        </is>
      </c>
      <c r="F1102" t="inlineStr">
        <is>
          <t>New Lead</t>
        </is>
      </c>
      <c r="H1102" t="inlineStr">
        <is>
          <t>CC17785.pdf</t>
        </is>
      </c>
      <c r="K1102" t="inlineStr">
        <is>
          <t>Not found</t>
        </is>
      </c>
      <c r="L1102" t="inlineStr">
        <is>
          <t>Unknown</t>
        </is>
      </c>
      <c r="T1102" t="inlineStr">
        <is>
          <t>https://tenders.iglonline.net/uploads/tender/CC17785.pdf</t>
        </is>
      </c>
      <c r="U1102" t="inlineStr">
        <is>
          <t>No</t>
        </is>
      </c>
      <c r="V1102" t="inlineStr">
        <is>
          <t>Bot tarafindan tespit edildi (2026-07-01)</t>
        </is>
      </c>
    </row>
    <row r="1103">
      <c r="A1103" t="inlineStr">
        <is>
          <t>T-0907</t>
        </is>
      </c>
      <c r="B1103" t="inlineStr">
        <is>
          <t>Indraprastha Gas (IGL)</t>
        </is>
      </c>
      <c r="C1103" t="inlineStr">
        <is>
          <t>Indraprastha Gas (IGL)</t>
        </is>
      </c>
      <c r="F1103" t="inlineStr">
        <is>
          <t>New Lead</t>
        </is>
      </c>
      <c r="H1103" t="inlineStr">
        <is>
          <t>View Tender</t>
        </is>
      </c>
      <c r="K1103" t="inlineStr">
        <is>
          <t>Not found</t>
        </is>
      </c>
      <c r="L1103" t="inlineStr">
        <is>
          <t>Unknown</t>
        </is>
      </c>
      <c r="T1103" t="inlineStr">
        <is>
          <t>https://tenders.iglonline.net/tenderDetail/258/Active Tenders And Corrigendum-Addendum</t>
        </is>
      </c>
      <c r="U1103" t="inlineStr">
        <is>
          <t>No</t>
        </is>
      </c>
      <c r="V1103" t="inlineStr">
        <is>
          <t>Bot tarafindan tespit edildi (2026-07-01)</t>
        </is>
      </c>
    </row>
    <row r="1104">
      <c r="A1104" t="inlineStr">
        <is>
          <t>T-0908</t>
        </is>
      </c>
      <c r="B1104" t="inlineStr">
        <is>
          <t>Indraprastha Gas (IGL)</t>
        </is>
      </c>
      <c r="C1104" t="inlineStr">
        <is>
          <t>Indraprastha Gas (IGL)</t>
        </is>
      </c>
      <c r="F1104" t="inlineStr">
        <is>
          <t>New Lead</t>
        </is>
      </c>
      <c r="H1104" t="inlineStr">
        <is>
          <t>CC17792.pdf</t>
        </is>
      </c>
      <c r="K1104" t="inlineStr">
        <is>
          <t>Not found</t>
        </is>
      </c>
      <c r="L1104" t="inlineStr">
        <is>
          <t>Unknown</t>
        </is>
      </c>
      <c r="T1104" t="inlineStr">
        <is>
          <t>https://tenders.iglonline.net/uploads/tender/CC17792.pdf</t>
        </is>
      </c>
      <c r="U1104" t="inlineStr">
        <is>
          <t>No</t>
        </is>
      </c>
      <c r="V1104" t="inlineStr">
        <is>
          <t>Bot tarafindan tespit edildi (2026-07-01)</t>
        </is>
      </c>
    </row>
    <row r="1105">
      <c r="A1105" t="inlineStr">
        <is>
          <t>T-0909</t>
        </is>
      </c>
      <c r="B1105" t="inlineStr">
        <is>
          <t>Indraprastha Gas (IGL)</t>
        </is>
      </c>
      <c r="C1105" t="inlineStr">
        <is>
          <t>Indraprastha Gas (IGL)</t>
        </is>
      </c>
      <c r="F1105" t="inlineStr">
        <is>
          <t>New Lead</t>
        </is>
      </c>
      <c r="H1105" t="inlineStr">
        <is>
          <t>CC17792_(A).pdf</t>
        </is>
      </c>
      <c r="K1105" t="inlineStr">
        <is>
          <t>Not found</t>
        </is>
      </c>
      <c r="L1105" t="inlineStr">
        <is>
          <t>Unknown</t>
        </is>
      </c>
      <c r="T1105" t="inlineStr">
        <is>
          <t>https://tenders.iglonline.net/uploads/tender/CC17792_(A).pdf</t>
        </is>
      </c>
      <c r="U1105" t="inlineStr">
        <is>
          <t>No</t>
        </is>
      </c>
      <c r="V1105" t="inlineStr">
        <is>
          <t>Bot tarafindan tespit edildi (2026-07-01)</t>
        </is>
      </c>
    </row>
    <row r="1106">
      <c r="A1106" t="inlineStr">
        <is>
          <t>T-0910</t>
        </is>
      </c>
      <c r="B1106" t="inlineStr">
        <is>
          <t>Indraprastha Gas (IGL)</t>
        </is>
      </c>
      <c r="C1106" t="inlineStr">
        <is>
          <t>Indraprastha Gas (IGL)</t>
        </is>
      </c>
      <c r="F1106" t="inlineStr">
        <is>
          <t>New Lead</t>
        </is>
      </c>
      <c r="H1106" t="inlineStr">
        <is>
          <t>CC17792_(B).pdf</t>
        </is>
      </c>
      <c r="K1106" t="inlineStr">
        <is>
          <t>Not found</t>
        </is>
      </c>
      <c r="L1106" t="inlineStr">
        <is>
          <t>Unknown</t>
        </is>
      </c>
      <c r="T1106" t="inlineStr">
        <is>
          <t>https://tenders.iglonline.net/uploads/tender/CC17792_(B).pdf</t>
        </is>
      </c>
      <c r="U1106" t="inlineStr">
        <is>
          <t>No</t>
        </is>
      </c>
      <c r="V1106" t="inlineStr">
        <is>
          <t>Bot tarafindan tespit edildi (2026-07-01)</t>
        </is>
      </c>
    </row>
    <row r="1107">
      <c r="A1107" t="inlineStr">
        <is>
          <t>T-0911</t>
        </is>
      </c>
      <c r="B1107" t="inlineStr">
        <is>
          <t>Indraprastha Gas (IGL)</t>
        </is>
      </c>
      <c r="C1107" t="inlineStr">
        <is>
          <t>Indraprastha Gas (IGL)</t>
        </is>
      </c>
      <c r="F1107" t="inlineStr">
        <is>
          <t>New Lead</t>
        </is>
      </c>
      <c r="H1107" t="inlineStr">
        <is>
          <t>View Tender</t>
        </is>
      </c>
      <c r="K1107" t="inlineStr">
        <is>
          <t>Not found</t>
        </is>
      </c>
      <c r="L1107" t="inlineStr">
        <is>
          <t>Unknown</t>
        </is>
      </c>
      <c r="T1107" t="inlineStr">
        <is>
          <t>https://tenders.iglonline.net/tenderDetail/257/Active Tenders And Corrigendum-Addendum</t>
        </is>
      </c>
      <c r="U1107" t="inlineStr">
        <is>
          <t>No</t>
        </is>
      </c>
      <c r="V1107" t="inlineStr">
        <is>
          <t>Bot tarafindan tespit edildi (2026-07-01)</t>
        </is>
      </c>
    </row>
    <row r="1108">
      <c r="A1108" t="inlineStr">
        <is>
          <t>T-0912</t>
        </is>
      </c>
      <c r="B1108" t="inlineStr">
        <is>
          <t>Indraprastha Gas (IGL)</t>
        </is>
      </c>
      <c r="C1108" t="inlineStr">
        <is>
          <t>Indraprastha Gas (IGL)</t>
        </is>
      </c>
      <c r="F1108" t="inlineStr">
        <is>
          <t>New Lead</t>
        </is>
      </c>
      <c r="H1108" t="inlineStr">
        <is>
          <t>RTBQ_CC17862.pdf</t>
        </is>
      </c>
      <c r="K1108" t="inlineStr">
        <is>
          <t>Not found</t>
        </is>
      </c>
      <c r="L1108" t="inlineStr">
        <is>
          <t>Unknown</t>
        </is>
      </c>
      <c r="T1108" t="inlineStr">
        <is>
          <t>https://tenders.iglonline.net/uploads/tender/RTBQ_CC17862.pdf</t>
        </is>
      </c>
      <c r="U1108" t="inlineStr">
        <is>
          <t>No</t>
        </is>
      </c>
      <c r="V1108" t="inlineStr">
        <is>
          <t>Bot tarafindan tespit edildi (2026-07-01)</t>
        </is>
      </c>
    </row>
    <row r="1109">
      <c r="A1109" t="inlineStr">
        <is>
          <t>T-0913</t>
        </is>
      </c>
      <c r="B1109" t="inlineStr">
        <is>
          <t>Indraprastha Gas (IGL)</t>
        </is>
      </c>
      <c r="C1109" t="inlineStr">
        <is>
          <t>Indraprastha Gas (IGL)</t>
        </is>
      </c>
      <c r="F1109" t="inlineStr">
        <is>
          <t>New Lead</t>
        </is>
      </c>
      <c r="G1109" t="inlineStr">
        <is>
          <t>Skid / gas train</t>
        </is>
      </c>
      <c r="H1109" t="inlineStr">
        <is>
          <t>View Tender</t>
        </is>
      </c>
      <c r="K1109" t="inlineStr">
        <is>
          <t>Not found</t>
        </is>
      </c>
      <c r="L1109" t="inlineStr">
        <is>
          <t>Unknown</t>
        </is>
      </c>
      <c r="T1109" t="inlineStr">
        <is>
          <t>https://tenders.iglonline.net/tenderDetail/256/Active Tenders And Corrigendum-Addendum</t>
        </is>
      </c>
      <c r="U1109" t="inlineStr">
        <is>
          <t>No</t>
        </is>
      </c>
      <c r="V1109" t="inlineStr">
        <is>
          <t>Bot tarafindan tespit edildi (2026-07-01); Bot tespit/zenginlestirme (2026-07-01); meta:score=80;priority=High;source_type=html_table;closing_date=;equipment=Skid / gas train;reasons=equipment:Skid / gas train,station/skid keyword,document source; Bot clean extraction (2026-07-01); meta:score=50;priority=Medium;source_type=html_table;closing_date=;equipment=Skid / gas train;quality_status=market_target;market_relevance=High;document_type=corrigendum;unit_price_inr=;amount_label=;matched_terms=Skid / gas train;reject_reasons=retail/cng station noise;scope=market_intelligence_only;excluded_scope=no_bid_or_offer_submission_automation</t>
        </is>
      </c>
    </row>
    <row r="1110">
      <c r="A1110" t="inlineStr">
        <is>
          <t>T-0914</t>
        </is>
      </c>
      <c r="B1110" t="inlineStr">
        <is>
          <t>Indraprastha Gas (IGL)</t>
        </is>
      </c>
      <c r="C1110" t="inlineStr">
        <is>
          <t>Indraprastha Gas (IGL)</t>
        </is>
      </c>
      <c r="D1110" t="inlineStr">
        <is>
          <t>document</t>
        </is>
      </c>
      <c r="F1110" t="inlineStr">
        <is>
          <t>Awarded</t>
        </is>
      </c>
      <c r="G1110" t="inlineStr">
        <is>
          <t>metering skid</t>
        </is>
      </c>
      <c r="H1110" t="inlineStr">
        <is>
          <t>Corrigendum_I-1.pdf</t>
        </is>
      </c>
      <c r="K1110" t="inlineStr">
        <is>
          <t>Not found</t>
        </is>
      </c>
      <c r="L1110" t="inlineStr">
        <is>
          <t>Unknown</t>
        </is>
      </c>
      <c r="T1110" t="inlineStr">
        <is>
          <t>https://tenders.iglonline.net/uploads/tender/Corrigendum_I-1.pdf</t>
        </is>
      </c>
      <c r="U1110" t="inlineStr">
        <is>
          <t>No</t>
        </is>
      </c>
      <c r="V1110" t="inlineStr">
        <is>
          <t>Bot tarafindan tespit edildi (2026-07-01) | Bot enrich; date=2026-07-01; type=pdf; score=330; pdf_conf=Low; Bot tespit/zenginlestirme (2026-07-01); meta:score=80;priority=High;source_type=html_table;closing_date=None;equipment=Skid / gas train;reasons=equipment:Skid / gas train,station/skid keyword,document source; Bot clean extraction (2026-07-01); meta:score=50;priority=Medium;source_type=html_table;closing_date=None;equipment=Skid / gas train;quality_status=market_target;market_relevance=High;document_type=corrigendum;unit_price_inr=;amount_label=;matched_terms=Skid / gas train;reject_reasons=employment/corporate,retail/cng station noise;scope=market_intelligence_only;excluded_scope=no_bid_or_offer_submission_automation</t>
        </is>
      </c>
    </row>
    <row r="1111">
      <c r="A1111" t="inlineStr">
        <is>
          <t>T-0915</t>
        </is>
      </c>
      <c r="B1111" t="inlineStr">
        <is>
          <t>Indraprastha Gas (IGL)</t>
        </is>
      </c>
      <c r="C1111" t="inlineStr">
        <is>
          <t>Indraprastha Gas (IGL)</t>
        </is>
      </c>
      <c r="F1111" t="inlineStr">
        <is>
          <t>New Lead</t>
        </is>
      </c>
      <c r="H1111" t="inlineStr">
        <is>
          <t>View Tender</t>
        </is>
      </c>
      <c r="K1111" t="inlineStr">
        <is>
          <t>Not found</t>
        </is>
      </c>
      <c r="L1111" t="inlineStr">
        <is>
          <t>Unknown</t>
        </is>
      </c>
      <c r="T1111" t="inlineStr">
        <is>
          <t>https://tenders.iglonline.net/tenderDetail/255/Active Tenders And Corrigendum-Addendum</t>
        </is>
      </c>
      <c r="U1111" t="inlineStr">
        <is>
          <t>No</t>
        </is>
      </c>
      <c r="V1111" t="inlineStr">
        <is>
          <t>Bot tarafindan tespit edildi (2026-07-01)</t>
        </is>
      </c>
    </row>
    <row r="1112">
      <c r="A1112" t="inlineStr">
        <is>
          <t>T-0916</t>
        </is>
      </c>
      <c r="B1112" t="inlineStr">
        <is>
          <t>Indraprastha Gas (IGL)</t>
        </is>
      </c>
      <c r="C1112" t="inlineStr">
        <is>
          <t>Indraprastha Gas (IGL)</t>
        </is>
      </c>
      <c r="F1112" t="inlineStr">
        <is>
          <t>New Lead</t>
        </is>
      </c>
      <c r="H1112" t="inlineStr">
        <is>
          <t>CORRIGENDUM_1-3.pdf</t>
        </is>
      </c>
      <c r="K1112" t="inlineStr">
        <is>
          <t>Not found</t>
        </is>
      </c>
      <c r="L1112" t="inlineStr">
        <is>
          <t>Unknown</t>
        </is>
      </c>
      <c r="T1112" t="inlineStr">
        <is>
          <t>https://tenders.iglonline.net/uploads/tender/CORRIGENDUM_1-3.pdf</t>
        </is>
      </c>
      <c r="U1112" t="inlineStr">
        <is>
          <t>No</t>
        </is>
      </c>
      <c r="V1112" t="inlineStr">
        <is>
          <t>Bot tarafindan tespit edildi (2026-07-01)</t>
        </is>
      </c>
    </row>
    <row r="1113">
      <c r="A1113" t="inlineStr">
        <is>
          <t>T-0917</t>
        </is>
      </c>
      <c r="B1113" t="inlineStr">
        <is>
          <t>Indraprastha Gas (IGL)</t>
        </is>
      </c>
      <c r="C1113" t="inlineStr">
        <is>
          <t>Indraprastha Gas (IGL)</t>
        </is>
      </c>
      <c r="F1113" t="inlineStr">
        <is>
          <t>New Lead</t>
        </is>
      </c>
      <c r="H1113" t="inlineStr">
        <is>
          <t>CORRIGENDUM_2_CM17855.pdf</t>
        </is>
      </c>
      <c r="K1113" t="inlineStr">
        <is>
          <t>Not found</t>
        </is>
      </c>
      <c r="L1113" t="inlineStr">
        <is>
          <t>Unknown</t>
        </is>
      </c>
      <c r="T1113" t="inlineStr">
        <is>
          <t>https://tenders.iglonline.net/uploads/tender/CORRIGENDUM_2_CM17855.pdf</t>
        </is>
      </c>
      <c r="U1113" t="inlineStr">
        <is>
          <t>No</t>
        </is>
      </c>
      <c r="V1113" t="inlineStr">
        <is>
          <t>Bot tarafindan tespit edildi (2026-07-01)</t>
        </is>
      </c>
    </row>
    <row r="1114">
      <c r="A1114" t="inlineStr">
        <is>
          <t>T-0918</t>
        </is>
      </c>
      <c r="B1114" t="inlineStr">
        <is>
          <t>Indraprastha Gas (IGL)</t>
        </is>
      </c>
      <c r="C1114" t="inlineStr">
        <is>
          <t>Indraprastha Gas (IGL)</t>
        </is>
      </c>
      <c r="F1114" t="inlineStr">
        <is>
          <t>New Lead</t>
        </is>
      </c>
      <c r="H1114" t="inlineStr">
        <is>
          <t>View Tender</t>
        </is>
      </c>
      <c r="K1114" t="inlineStr">
        <is>
          <t>Not found</t>
        </is>
      </c>
      <c r="L1114" t="inlineStr">
        <is>
          <t>Unknown</t>
        </is>
      </c>
      <c r="T1114" t="inlineStr">
        <is>
          <t>https://tenders.iglonline.net/tenderDetail/254/Active Tenders And Corrigendum-Addendum</t>
        </is>
      </c>
      <c r="U1114" t="inlineStr">
        <is>
          <t>No</t>
        </is>
      </c>
      <c r="V1114" t="inlineStr">
        <is>
          <t>Bot tarafindan tespit edildi (2026-07-01)</t>
        </is>
      </c>
    </row>
    <row r="1115">
      <c r="A1115" t="inlineStr">
        <is>
          <t>T-0919</t>
        </is>
      </c>
      <c r="B1115" t="inlineStr">
        <is>
          <t>Indraprastha Gas (IGL)</t>
        </is>
      </c>
      <c r="C1115" t="inlineStr">
        <is>
          <t>Indraprastha Gas (IGL)</t>
        </is>
      </c>
      <c r="F1115" t="inlineStr">
        <is>
          <t>New Lead</t>
        </is>
      </c>
      <c r="H1115" t="inlineStr">
        <is>
          <t>CC17863.pdf</t>
        </is>
      </c>
      <c r="K1115" t="inlineStr">
        <is>
          <t>Not found</t>
        </is>
      </c>
      <c r="L1115" t="inlineStr">
        <is>
          <t>Unknown</t>
        </is>
      </c>
      <c r="T1115" t="inlineStr">
        <is>
          <t>https://tenders.iglonline.net/uploads/tender/CC17863.pdf</t>
        </is>
      </c>
      <c r="U1115" t="inlineStr">
        <is>
          <t>No</t>
        </is>
      </c>
      <c r="V1115" t="inlineStr">
        <is>
          <t>Bot tarafindan tespit edildi (2026-07-01)</t>
        </is>
      </c>
    </row>
    <row r="1116">
      <c r="A1116" t="inlineStr">
        <is>
          <t>T-0920</t>
        </is>
      </c>
      <c r="B1116" t="inlineStr">
        <is>
          <t>Indraprastha Gas (IGL)</t>
        </is>
      </c>
      <c r="C1116" t="inlineStr">
        <is>
          <t>Indraprastha Gas (IGL)</t>
        </is>
      </c>
      <c r="F1116" t="inlineStr">
        <is>
          <t>New Lead</t>
        </is>
      </c>
      <c r="H1116" t="inlineStr">
        <is>
          <t>CC17863_(A).pdf</t>
        </is>
      </c>
      <c r="K1116" t="inlineStr">
        <is>
          <t>Not found</t>
        </is>
      </c>
      <c r="L1116" t="inlineStr">
        <is>
          <t>Unknown</t>
        </is>
      </c>
      <c r="T1116" t="inlineStr">
        <is>
          <t>https://tenders.iglonline.net/uploads/tender/CC17863_(A).pdf</t>
        </is>
      </c>
      <c r="U1116" t="inlineStr">
        <is>
          <t>No</t>
        </is>
      </c>
      <c r="V1116" t="inlineStr">
        <is>
          <t>Bot tarafindan tespit edildi (2026-07-01)</t>
        </is>
      </c>
    </row>
    <row r="1117">
      <c r="A1117" t="inlineStr">
        <is>
          <t>T-0921</t>
        </is>
      </c>
      <c r="B1117" t="inlineStr">
        <is>
          <t>Indraprastha Gas (IGL)</t>
        </is>
      </c>
      <c r="C1117" t="inlineStr">
        <is>
          <t>Indraprastha Gas (IGL)</t>
        </is>
      </c>
      <c r="F1117" t="inlineStr">
        <is>
          <t>New Lead</t>
        </is>
      </c>
      <c r="H1117" t="inlineStr">
        <is>
          <t>CC17863_(B).pdf</t>
        </is>
      </c>
      <c r="K1117" t="inlineStr">
        <is>
          <t>Not found</t>
        </is>
      </c>
      <c r="L1117" t="inlineStr">
        <is>
          <t>Unknown</t>
        </is>
      </c>
      <c r="T1117" t="inlineStr">
        <is>
          <t>https://tenders.iglonline.net/uploads/tender/CC17863_(B).pdf</t>
        </is>
      </c>
      <c r="U1117" t="inlineStr">
        <is>
          <t>No</t>
        </is>
      </c>
      <c r="V1117" t="inlineStr">
        <is>
          <t>Bot tarafindan tespit edildi (2026-07-01)</t>
        </is>
      </c>
    </row>
    <row r="1118">
      <c r="A1118" t="inlineStr">
        <is>
          <t>T-0922</t>
        </is>
      </c>
      <c r="B1118" t="inlineStr">
        <is>
          <t>Indraprastha Gas (IGL)</t>
        </is>
      </c>
      <c r="C1118" t="inlineStr">
        <is>
          <t>Indraprastha Gas (IGL)</t>
        </is>
      </c>
      <c r="F1118" t="inlineStr">
        <is>
          <t>New Lead</t>
        </is>
      </c>
      <c r="H1118" t="inlineStr">
        <is>
          <t>View Tender</t>
        </is>
      </c>
      <c r="K1118" t="inlineStr">
        <is>
          <t>Not found</t>
        </is>
      </c>
      <c r="L1118" t="inlineStr">
        <is>
          <t>Unknown</t>
        </is>
      </c>
      <c r="T1118" t="inlineStr">
        <is>
          <t>https://tenders.iglonline.net/tenderDetail/253/Active Tenders And Corrigendum-Addendum</t>
        </is>
      </c>
      <c r="U1118" t="inlineStr">
        <is>
          <t>No</t>
        </is>
      </c>
      <c r="V1118" t="inlineStr">
        <is>
          <t>Bot tarafindan tespit edildi (2026-07-01)</t>
        </is>
      </c>
    </row>
    <row r="1119">
      <c r="A1119" t="inlineStr">
        <is>
          <t>T-0923</t>
        </is>
      </c>
      <c r="B1119" t="inlineStr">
        <is>
          <t>Indraprastha Gas (IGL)</t>
        </is>
      </c>
      <c r="C1119" t="inlineStr">
        <is>
          <t>Indraprastha Gas (IGL)</t>
        </is>
      </c>
      <c r="F1119" t="inlineStr">
        <is>
          <t>New Lead</t>
        </is>
      </c>
      <c r="H1119" t="inlineStr">
        <is>
          <t>CC17790-1.pdf</t>
        </is>
      </c>
      <c r="K1119" t="inlineStr">
        <is>
          <t>Not found</t>
        </is>
      </c>
      <c r="L1119" t="inlineStr">
        <is>
          <t>Unknown</t>
        </is>
      </c>
      <c r="T1119" t="inlineStr">
        <is>
          <t>https://tenders.iglonline.net/uploads/tender/CC17790-1.pdf</t>
        </is>
      </c>
      <c r="U1119" t="inlineStr">
        <is>
          <t>No</t>
        </is>
      </c>
      <c r="V1119" t="inlineStr">
        <is>
          <t>Bot tarafindan tespit edildi (2026-07-01)</t>
        </is>
      </c>
    </row>
    <row r="1120">
      <c r="A1120" t="inlineStr">
        <is>
          <t>T-0924</t>
        </is>
      </c>
      <c r="B1120" t="inlineStr">
        <is>
          <t>Indraprastha Gas (IGL)</t>
        </is>
      </c>
      <c r="C1120" t="inlineStr">
        <is>
          <t>Indraprastha Gas (IGL)</t>
        </is>
      </c>
      <c r="F1120" t="inlineStr">
        <is>
          <t>New Lead</t>
        </is>
      </c>
      <c r="H1120" t="inlineStr">
        <is>
          <t>CC17790_(A)-1.pdf</t>
        </is>
      </c>
      <c r="K1120" t="inlineStr">
        <is>
          <t>Not found</t>
        </is>
      </c>
      <c r="L1120" t="inlineStr">
        <is>
          <t>Unknown</t>
        </is>
      </c>
      <c r="T1120" t="inlineStr">
        <is>
          <t>https://tenders.iglonline.net/uploads/tender/CC17790_(A)-1.pdf</t>
        </is>
      </c>
      <c r="U1120" t="inlineStr">
        <is>
          <t>No</t>
        </is>
      </c>
      <c r="V1120" t="inlineStr">
        <is>
          <t>Bot tarafindan tespit edildi (2026-07-01)</t>
        </is>
      </c>
    </row>
    <row r="1121">
      <c r="A1121" t="inlineStr">
        <is>
          <t>T-0925</t>
        </is>
      </c>
      <c r="B1121" t="inlineStr">
        <is>
          <t>Indraprastha Gas (IGL)</t>
        </is>
      </c>
      <c r="C1121" t="inlineStr">
        <is>
          <t>Indraprastha Gas (IGL)</t>
        </is>
      </c>
      <c r="F1121" t="inlineStr">
        <is>
          <t>New Lead</t>
        </is>
      </c>
      <c r="H1121" t="inlineStr">
        <is>
          <t>CC17790_(B).pdf</t>
        </is>
      </c>
      <c r="K1121" t="inlineStr">
        <is>
          <t>Not found</t>
        </is>
      </c>
      <c r="L1121" t="inlineStr">
        <is>
          <t>Unknown</t>
        </is>
      </c>
      <c r="T1121" t="inlineStr">
        <is>
          <t>https://tenders.iglonline.net/uploads/tender/CC17790_(B).pdf</t>
        </is>
      </c>
      <c r="U1121" t="inlineStr">
        <is>
          <t>No</t>
        </is>
      </c>
      <c r="V1121" t="inlineStr">
        <is>
          <t>Bot tarafindan tespit edildi (2026-07-01)</t>
        </is>
      </c>
    </row>
    <row r="1122">
      <c r="A1122" t="inlineStr">
        <is>
          <t>T-0926</t>
        </is>
      </c>
      <c r="B1122" t="inlineStr">
        <is>
          <t>Indraprastha Gas (IGL)</t>
        </is>
      </c>
      <c r="C1122" t="inlineStr">
        <is>
          <t>Indraprastha Gas (IGL)</t>
        </is>
      </c>
      <c r="F1122" t="inlineStr">
        <is>
          <t>New Lead</t>
        </is>
      </c>
      <c r="H1122" t="inlineStr">
        <is>
          <t>View Tender</t>
        </is>
      </c>
      <c r="K1122" t="inlineStr">
        <is>
          <t>Not found</t>
        </is>
      </c>
      <c r="L1122" t="inlineStr">
        <is>
          <t>Unknown</t>
        </is>
      </c>
      <c r="T1122" t="inlineStr">
        <is>
          <t>https://tenders.iglonline.net/tenderDetail/252/Active Tenders And Corrigendum-Addendum</t>
        </is>
      </c>
      <c r="U1122" t="inlineStr">
        <is>
          <t>No</t>
        </is>
      </c>
      <c r="V1122" t="inlineStr">
        <is>
          <t>Bot tarafindan tespit edildi (2026-07-01)</t>
        </is>
      </c>
    </row>
    <row r="1123">
      <c r="A1123" t="inlineStr">
        <is>
          <t>T-0927</t>
        </is>
      </c>
      <c r="B1123" t="inlineStr">
        <is>
          <t>Indraprastha Gas (IGL)</t>
        </is>
      </c>
      <c r="C1123" t="inlineStr">
        <is>
          <t>Indraprastha Gas (IGL)</t>
        </is>
      </c>
      <c r="F1123" t="inlineStr">
        <is>
          <t>New Lead</t>
        </is>
      </c>
      <c r="H1123" t="inlineStr">
        <is>
          <t>View Tender</t>
        </is>
      </c>
      <c r="K1123" t="inlineStr">
        <is>
          <t>Not found</t>
        </is>
      </c>
      <c r="L1123" t="inlineStr">
        <is>
          <t>Unknown</t>
        </is>
      </c>
      <c r="T1123" t="inlineStr">
        <is>
          <t>https://tenders.iglonline.net/tenderDetail/251/Active Tenders And Corrigendum-Addendum</t>
        </is>
      </c>
      <c r="U1123" t="inlineStr">
        <is>
          <t>No</t>
        </is>
      </c>
      <c r="V1123" t="inlineStr">
        <is>
          <t>Bot tarafindan tespit edildi (2026-07-01)</t>
        </is>
      </c>
    </row>
    <row r="1124">
      <c r="A1124" t="inlineStr">
        <is>
          <t>T-0928</t>
        </is>
      </c>
      <c r="B1124" t="inlineStr">
        <is>
          <t>Indraprastha Gas (IGL)</t>
        </is>
      </c>
      <c r="C1124" t="inlineStr">
        <is>
          <t>Indraprastha Gas (IGL)</t>
        </is>
      </c>
      <c r="D1124" t="inlineStr">
        <is>
          <t>QUERIES</t>
        </is>
      </c>
      <c r="F1124" t="inlineStr">
        <is>
          <t>Awarded</t>
        </is>
      </c>
      <c r="G1124" t="inlineStr">
        <is>
          <t>meter regulator</t>
        </is>
      </c>
      <c r="H1124" t="inlineStr">
        <is>
          <t>RTBQ_CP17860.pdf</t>
        </is>
      </c>
      <c r="K1124" t="inlineStr">
        <is>
          <t>Not found</t>
        </is>
      </c>
      <c r="L1124" t="inlineStr">
        <is>
          <t>Unknown</t>
        </is>
      </c>
      <c r="M1124" t="n">
        <v>4</v>
      </c>
      <c r="T1124" t="inlineStr">
        <is>
          <t>https://tenders.iglonline.net/uploads/tender/RTBQ_CP17860.pdf</t>
        </is>
      </c>
      <c r="U1124" t="inlineStr">
        <is>
          <t>No</t>
        </is>
      </c>
      <c r="V1124" t="inlineStr">
        <is>
          <t>Bot tarafindan tespit edildi (2026-07-01) | Bot enrich; date=2026-07-01; type=pdf; score=320; pdf_conf=Low</t>
        </is>
      </c>
    </row>
    <row r="1125">
      <c r="A1125" t="inlineStr">
        <is>
          <t>T-0929</t>
        </is>
      </c>
      <c r="B1125" t="inlineStr">
        <is>
          <t>Indraprastha Gas (IGL)</t>
        </is>
      </c>
      <c r="C1125" t="inlineStr">
        <is>
          <t>Indraprastha Gas (IGL)</t>
        </is>
      </c>
      <c r="F1125" t="inlineStr">
        <is>
          <t>New Lead</t>
        </is>
      </c>
      <c r="H1125" t="inlineStr">
        <is>
          <t>View Tender</t>
        </is>
      </c>
      <c r="K1125" t="inlineStr">
        <is>
          <t>Not found</t>
        </is>
      </c>
      <c r="L1125" t="inlineStr">
        <is>
          <t>Unknown</t>
        </is>
      </c>
      <c r="T1125" t="inlineStr">
        <is>
          <t>https://tenders.iglonline.net/tenderDetail/250/Active Tenders And Corrigendum-Addendum</t>
        </is>
      </c>
      <c r="U1125" t="inlineStr">
        <is>
          <t>No</t>
        </is>
      </c>
      <c r="V1125" t="inlineStr">
        <is>
          <t>Bot tarafindan tespit edildi (2026-07-01)</t>
        </is>
      </c>
    </row>
    <row r="1126">
      <c r="A1126" t="inlineStr">
        <is>
          <t>T-0930</t>
        </is>
      </c>
      <c r="B1126" t="inlineStr">
        <is>
          <t>Indraprastha Gas (IGL)</t>
        </is>
      </c>
      <c r="C1126" t="inlineStr">
        <is>
          <t>Indraprastha Gas (IGL)</t>
        </is>
      </c>
      <c r="F1126" t="inlineStr">
        <is>
          <t>New Lead</t>
        </is>
      </c>
      <c r="H1126" t="inlineStr">
        <is>
          <t>Corrigendum_12.pdf</t>
        </is>
      </c>
      <c r="K1126" t="inlineStr">
        <is>
          <t>Not found</t>
        </is>
      </c>
      <c r="L1126" t="inlineStr">
        <is>
          <t>Unknown</t>
        </is>
      </c>
      <c r="T1126" t="inlineStr">
        <is>
          <t>https://tenders.iglonline.net/uploads/tender/Corrigendum_12.pdf</t>
        </is>
      </c>
      <c r="U1126" t="inlineStr">
        <is>
          <t>No</t>
        </is>
      </c>
      <c r="V1126" t="inlineStr">
        <is>
          <t>Bot tarafindan tespit edildi (2026-07-01)</t>
        </is>
      </c>
    </row>
    <row r="1127">
      <c r="A1127" t="inlineStr">
        <is>
          <t>T-0931</t>
        </is>
      </c>
      <c r="B1127" t="inlineStr">
        <is>
          <t>Indraprastha Gas (IGL)</t>
        </is>
      </c>
      <c r="C1127" t="inlineStr">
        <is>
          <t>Indraprastha Gas (IGL)</t>
        </is>
      </c>
      <c r="F1127" t="inlineStr">
        <is>
          <t>New Lead</t>
        </is>
      </c>
      <c r="H1127" t="inlineStr">
        <is>
          <t>RTPBQ_Tender_CC17861.pdf</t>
        </is>
      </c>
      <c r="K1127" t="inlineStr">
        <is>
          <t>Not found</t>
        </is>
      </c>
      <c r="L1127" t="inlineStr">
        <is>
          <t>Unknown</t>
        </is>
      </c>
      <c r="T1127" t="inlineStr">
        <is>
          <t>https://tenders.iglonline.net/uploads/tender/RTPBQ_Tender_CC17861.pdf</t>
        </is>
      </c>
      <c r="U1127" t="inlineStr">
        <is>
          <t>No</t>
        </is>
      </c>
      <c r="V1127" t="inlineStr">
        <is>
          <t>Bot tarafindan tespit edildi (2026-07-01)</t>
        </is>
      </c>
    </row>
    <row r="1128">
      <c r="A1128" t="inlineStr">
        <is>
          <t>T-0932</t>
        </is>
      </c>
      <c r="B1128" t="inlineStr">
        <is>
          <t>Indraprastha Gas (IGL)</t>
        </is>
      </c>
      <c r="C1128" t="inlineStr">
        <is>
          <t>Indraprastha Gas (IGL)</t>
        </is>
      </c>
      <c r="F1128" t="inlineStr">
        <is>
          <t>New Lead</t>
        </is>
      </c>
      <c r="H1128" t="inlineStr">
        <is>
          <t>View Tender</t>
        </is>
      </c>
      <c r="K1128" t="inlineStr">
        <is>
          <t>Not found</t>
        </is>
      </c>
      <c r="L1128" t="inlineStr">
        <is>
          <t>Unknown</t>
        </is>
      </c>
      <c r="T1128" t="inlineStr">
        <is>
          <t>https://tenders.iglonline.net/tenderDetail/249/Active Tenders And Corrigendum-Addendum</t>
        </is>
      </c>
      <c r="U1128" t="inlineStr">
        <is>
          <t>No</t>
        </is>
      </c>
      <c r="V1128" t="inlineStr">
        <is>
          <t>Bot tarafindan tespit edildi (2026-07-01)</t>
        </is>
      </c>
    </row>
    <row r="1129">
      <c r="A1129" t="inlineStr">
        <is>
          <t>T-0933</t>
        </is>
      </c>
      <c r="B1129" t="inlineStr">
        <is>
          <t>Indraprastha Gas (IGL)</t>
        </is>
      </c>
      <c r="C1129" t="inlineStr">
        <is>
          <t>Indraprastha Gas (IGL)</t>
        </is>
      </c>
      <c r="F1129" t="inlineStr">
        <is>
          <t>New Lead</t>
        </is>
      </c>
      <c r="H1129" t="inlineStr">
        <is>
          <t>Corrigendum_1_CP17847.pdf</t>
        </is>
      </c>
      <c r="K1129" t="inlineStr">
        <is>
          <t>Not found</t>
        </is>
      </c>
      <c r="L1129" t="inlineStr">
        <is>
          <t>Unknown</t>
        </is>
      </c>
      <c r="T1129" t="inlineStr">
        <is>
          <t>https://tenders.iglonline.net/uploads/tender/Corrigendum_1_CP17847.pdf</t>
        </is>
      </c>
      <c r="U1129" t="inlineStr">
        <is>
          <t>No</t>
        </is>
      </c>
      <c r="V1129" t="inlineStr">
        <is>
          <t>Bot tarafindan tespit edildi (2026-07-01)</t>
        </is>
      </c>
    </row>
    <row r="1130">
      <c r="A1130" t="inlineStr">
        <is>
          <t>T-0934</t>
        </is>
      </c>
      <c r="B1130" t="inlineStr">
        <is>
          <t>Indraprastha Gas (IGL)</t>
        </is>
      </c>
      <c r="C1130" t="inlineStr">
        <is>
          <t>Indraprastha Gas (IGL)</t>
        </is>
      </c>
      <c r="F1130" t="inlineStr">
        <is>
          <t>New Lead</t>
        </is>
      </c>
      <c r="H1130" t="inlineStr">
        <is>
          <t>RTBQ-1.pdf</t>
        </is>
      </c>
      <c r="K1130" t="inlineStr">
        <is>
          <t>Not found</t>
        </is>
      </c>
      <c r="L1130" t="inlineStr">
        <is>
          <t>Unknown</t>
        </is>
      </c>
      <c r="T1130" t="inlineStr">
        <is>
          <t>https://tenders.iglonline.net/uploads/tender/RTBQ-1.pdf</t>
        </is>
      </c>
      <c r="U1130" t="inlineStr">
        <is>
          <t>No</t>
        </is>
      </c>
      <c r="V1130" t="inlineStr">
        <is>
          <t>Bot tarafindan tespit edildi (2026-07-01)</t>
        </is>
      </c>
    </row>
    <row r="1131">
      <c r="A1131" t="inlineStr">
        <is>
          <t>T-0935</t>
        </is>
      </c>
      <c r="B1131" t="inlineStr">
        <is>
          <t>Indraprastha Gas (IGL)</t>
        </is>
      </c>
      <c r="C1131" t="inlineStr">
        <is>
          <t>Indraprastha Gas (IGL)</t>
        </is>
      </c>
      <c r="F1131" t="inlineStr">
        <is>
          <t>New Lead</t>
        </is>
      </c>
      <c r="H1131" t="inlineStr">
        <is>
          <t>Corrigendum_2_CP17847.pdf</t>
        </is>
      </c>
      <c r="K1131" t="inlineStr">
        <is>
          <t>Not found</t>
        </is>
      </c>
      <c r="L1131" t="inlineStr">
        <is>
          <t>Unknown</t>
        </is>
      </c>
      <c r="T1131" t="inlineStr">
        <is>
          <t>https://tenders.iglonline.net/uploads/tender/Corrigendum_2_CP17847.pdf</t>
        </is>
      </c>
      <c r="U1131" t="inlineStr">
        <is>
          <t>No</t>
        </is>
      </c>
      <c r="V1131" t="inlineStr">
        <is>
          <t>Bot tarafindan tespit edildi (2026-07-01)</t>
        </is>
      </c>
    </row>
    <row r="1132">
      <c r="A1132" t="inlineStr">
        <is>
          <t>T-0936</t>
        </is>
      </c>
      <c r="B1132" t="inlineStr">
        <is>
          <t>Indraprastha Gas (IGL)</t>
        </is>
      </c>
      <c r="C1132" t="inlineStr">
        <is>
          <t>Indraprastha Gas (IGL)</t>
        </is>
      </c>
      <c r="F1132" t="inlineStr">
        <is>
          <t>New Lead</t>
        </is>
      </c>
      <c r="H1132" t="inlineStr">
        <is>
          <t>Corrigendum_3_CP17847.pdf</t>
        </is>
      </c>
      <c r="K1132" t="inlineStr">
        <is>
          <t>Not found</t>
        </is>
      </c>
      <c r="L1132" t="inlineStr">
        <is>
          <t>Unknown</t>
        </is>
      </c>
      <c r="T1132" t="inlineStr">
        <is>
          <t>https://tenders.iglonline.net/uploads/tender/Corrigendum_3_CP17847.pdf</t>
        </is>
      </c>
      <c r="U1132" t="inlineStr">
        <is>
          <t>No</t>
        </is>
      </c>
      <c r="V1132" t="inlineStr">
        <is>
          <t>Bot tarafindan tespit edildi (2026-07-01)</t>
        </is>
      </c>
    </row>
    <row r="1133">
      <c r="A1133" t="inlineStr">
        <is>
          <t>T-0937</t>
        </is>
      </c>
      <c r="B1133" t="inlineStr">
        <is>
          <t>Indraprastha Gas (IGL)</t>
        </is>
      </c>
      <c r="C1133" t="inlineStr">
        <is>
          <t>Indraprastha Gas (IGL)</t>
        </is>
      </c>
      <c r="F1133" t="inlineStr">
        <is>
          <t>New Lead</t>
        </is>
      </c>
      <c r="H1133" t="inlineStr">
        <is>
          <t>View Tender</t>
        </is>
      </c>
      <c r="K1133" t="inlineStr">
        <is>
          <t>Not found</t>
        </is>
      </c>
      <c r="L1133" t="inlineStr">
        <is>
          <t>Unknown</t>
        </is>
      </c>
      <c r="T1133" t="inlineStr">
        <is>
          <t>https://tenders.iglonline.net/tenderDetail/248/Active Tenders And Corrigendum-Addendum</t>
        </is>
      </c>
      <c r="U1133" t="inlineStr">
        <is>
          <t>No</t>
        </is>
      </c>
      <c r="V1133" t="inlineStr">
        <is>
          <t>Bot tarafindan tespit edildi (2026-07-01)</t>
        </is>
      </c>
    </row>
    <row r="1134">
      <c r="A1134" t="inlineStr">
        <is>
          <t>T-0938</t>
        </is>
      </c>
      <c r="B1134" t="inlineStr">
        <is>
          <t>Indraprastha Gas (IGL)</t>
        </is>
      </c>
      <c r="C1134" t="inlineStr">
        <is>
          <t>Indraprastha Gas (IGL)</t>
        </is>
      </c>
      <c r="F1134" t="inlineStr">
        <is>
          <t>New Lead</t>
        </is>
      </c>
      <c r="H1134" t="inlineStr">
        <is>
          <t>Corrigendum-I__CC17830.pdf</t>
        </is>
      </c>
      <c r="K1134" t="inlineStr">
        <is>
          <t>Not found</t>
        </is>
      </c>
      <c r="L1134" t="inlineStr">
        <is>
          <t>Unknown</t>
        </is>
      </c>
      <c r="T1134" t="inlineStr">
        <is>
          <t>https://tenders.iglonline.net/uploads/tender/Corrigendum-I__CC17830.pdf</t>
        </is>
      </c>
      <c r="U1134" t="inlineStr">
        <is>
          <t>No</t>
        </is>
      </c>
      <c r="V1134" t="inlineStr">
        <is>
          <t>Bot tarafindan tespit edildi (2026-07-01)</t>
        </is>
      </c>
    </row>
    <row r="1135">
      <c r="A1135" t="inlineStr">
        <is>
          <t>T-0939</t>
        </is>
      </c>
      <c r="B1135" t="inlineStr">
        <is>
          <t>Indraprastha Gas (IGL)</t>
        </is>
      </c>
      <c r="C1135" t="inlineStr">
        <is>
          <t>Indraprastha Gas (IGL)</t>
        </is>
      </c>
      <c r="F1135" t="inlineStr">
        <is>
          <t>New Lead</t>
        </is>
      </c>
      <c r="H1135" t="inlineStr">
        <is>
          <t>Corrigendum-II__CC17830.pdf</t>
        </is>
      </c>
      <c r="K1135" t="inlineStr">
        <is>
          <t>Not found</t>
        </is>
      </c>
      <c r="L1135" t="inlineStr">
        <is>
          <t>Unknown</t>
        </is>
      </c>
      <c r="T1135" t="inlineStr">
        <is>
          <t>https://tenders.iglonline.net/uploads/tender/Corrigendum-II__CC17830.pdf</t>
        </is>
      </c>
      <c r="U1135" t="inlineStr">
        <is>
          <t>No</t>
        </is>
      </c>
      <c r="V1135" t="inlineStr">
        <is>
          <t>Bot tarafindan tespit edildi (2026-07-01)</t>
        </is>
      </c>
    </row>
    <row r="1136">
      <c r="A1136" t="inlineStr">
        <is>
          <t>T-0940</t>
        </is>
      </c>
      <c r="B1136" t="inlineStr">
        <is>
          <t>Indraprastha Gas (IGL)</t>
        </is>
      </c>
      <c r="C1136" t="inlineStr">
        <is>
          <t>Indraprastha Gas (IGL)</t>
        </is>
      </c>
      <c r="F1136" t="inlineStr">
        <is>
          <t>New Lead</t>
        </is>
      </c>
      <c r="H1136" t="inlineStr">
        <is>
          <t>Corrigendum-III__CC17830.pdf</t>
        </is>
      </c>
      <c r="K1136" t="inlineStr">
        <is>
          <t>Not found</t>
        </is>
      </c>
      <c r="L1136" t="inlineStr">
        <is>
          <t>Unknown</t>
        </is>
      </c>
      <c r="T1136" t="inlineStr">
        <is>
          <t>https://tenders.iglonline.net/uploads/tender/Corrigendum-III__CC17830.pdf</t>
        </is>
      </c>
      <c r="U1136" t="inlineStr">
        <is>
          <t>No</t>
        </is>
      </c>
      <c r="V1136" t="inlineStr">
        <is>
          <t>Bot tarafindan tespit edildi (2026-07-01)</t>
        </is>
      </c>
    </row>
    <row r="1137">
      <c r="A1137" t="inlineStr">
        <is>
          <t>T-0941</t>
        </is>
      </c>
      <c r="B1137" t="inlineStr">
        <is>
          <t>Indraprastha Gas (IGL)</t>
        </is>
      </c>
      <c r="C1137" t="inlineStr">
        <is>
          <t>Indraprastha Gas (IGL)</t>
        </is>
      </c>
      <c r="F1137" t="inlineStr">
        <is>
          <t>New Lead</t>
        </is>
      </c>
      <c r="H1137" t="inlineStr">
        <is>
          <t>View Tender</t>
        </is>
      </c>
      <c r="K1137" t="inlineStr">
        <is>
          <t>Not found</t>
        </is>
      </c>
      <c r="L1137" t="inlineStr">
        <is>
          <t>Unknown</t>
        </is>
      </c>
      <c r="T1137" t="inlineStr">
        <is>
          <t>https://tenders.iglonline.net/tenderDetail/247/Active Tenders And Corrigendum-Addendum</t>
        </is>
      </c>
      <c r="U1137" t="inlineStr">
        <is>
          <t>No</t>
        </is>
      </c>
      <c r="V1137" t="inlineStr">
        <is>
          <t>Bot tarafindan tespit edildi (2026-07-01)</t>
        </is>
      </c>
    </row>
    <row r="1138">
      <c r="A1138" t="inlineStr">
        <is>
          <t>T-0942</t>
        </is>
      </c>
      <c r="B1138" t="inlineStr">
        <is>
          <t>Indraprastha Gas (IGL)</t>
        </is>
      </c>
      <c r="C1138" t="inlineStr">
        <is>
          <t>Indraprastha Gas (IGL)</t>
        </is>
      </c>
      <c r="F1138" t="inlineStr">
        <is>
          <t>New Lead</t>
        </is>
      </c>
      <c r="H1138" t="inlineStr">
        <is>
          <t>Corrigendum-I__CC17829.pdf</t>
        </is>
      </c>
      <c r="K1138" t="inlineStr">
        <is>
          <t>Not found</t>
        </is>
      </c>
      <c r="L1138" t="inlineStr">
        <is>
          <t>Unknown</t>
        </is>
      </c>
      <c r="T1138" t="inlineStr">
        <is>
          <t>https://tenders.iglonline.net/uploads/tender/Corrigendum-I__CC17829.pdf</t>
        </is>
      </c>
      <c r="U1138" t="inlineStr">
        <is>
          <t>No</t>
        </is>
      </c>
      <c r="V1138" t="inlineStr">
        <is>
          <t>Bot tarafindan tespit edildi (2026-07-01)</t>
        </is>
      </c>
    </row>
    <row r="1139">
      <c r="A1139" t="inlineStr">
        <is>
          <t>T-0943</t>
        </is>
      </c>
      <c r="B1139" t="inlineStr">
        <is>
          <t>Indraprastha Gas (IGL)</t>
        </is>
      </c>
      <c r="C1139" t="inlineStr">
        <is>
          <t>Indraprastha Gas (IGL)</t>
        </is>
      </c>
      <c r="F1139" t="inlineStr">
        <is>
          <t>New Lead</t>
        </is>
      </c>
      <c r="H1139" t="inlineStr">
        <is>
          <t>Corrigendum-II__CC17829.pdf</t>
        </is>
      </c>
      <c r="K1139" t="inlineStr">
        <is>
          <t>Not found</t>
        </is>
      </c>
      <c r="L1139" t="inlineStr">
        <is>
          <t>Unknown</t>
        </is>
      </c>
      <c r="T1139" t="inlineStr">
        <is>
          <t>https://tenders.iglonline.net/uploads/tender/Corrigendum-II__CC17829.pdf</t>
        </is>
      </c>
      <c r="U1139" t="inlineStr">
        <is>
          <t>No</t>
        </is>
      </c>
      <c r="V1139" t="inlineStr">
        <is>
          <t>Bot tarafindan tespit edildi (2026-07-01)</t>
        </is>
      </c>
    </row>
    <row r="1140">
      <c r="A1140" t="inlineStr">
        <is>
          <t>T-0944</t>
        </is>
      </c>
      <c r="B1140" t="inlineStr">
        <is>
          <t>Indraprastha Gas (IGL)</t>
        </is>
      </c>
      <c r="C1140" t="inlineStr">
        <is>
          <t>Indraprastha Gas (IGL)</t>
        </is>
      </c>
      <c r="F1140" t="inlineStr">
        <is>
          <t>New Lead</t>
        </is>
      </c>
      <c r="H1140" t="inlineStr">
        <is>
          <t>Corrigendum-III__CC17829.pdf</t>
        </is>
      </c>
      <c r="K1140" t="inlineStr">
        <is>
          <t>Not found</t>
        </is>
      </c>
      <c r="L1140" t="inlineStr">
        <is>
          <t>Unknown</t>
        </is>
      </c>
      <c r="T1140" t="inlineStr">
        <is>
          <t>https://tenders.iglonline.net/uploads/tender/Corrigendum-III__CC17829.pdf</t>
        </is>
      </c>
      <c r="U1140" t="inlineStr">
        <is>
          <t>No</t>
        </is>
      </c>
      <c r="V1140" t="inlineStr">
        <is>
          <t>Bot tarafindan tespit edildi (2026-07-01)</t>
        </is>
      </c>
    </row>
    <row r="1141">
      <c r="A1141" t="inlineStr">
        <is>
          <t>T-0945</t>
        </is>
      </c>
      <c r="B1141" t="inlineStr">
        <is>
          <t>Indraprastha Gas (IGL)</t>
        </is>
      </c>
      <c r="C1141" t="inlineStr">
        <is>
          <t>Indraprastha Gas (IGL)</t>
        </is>
      </c>
      <c r="F1141" t="inlineStr">
        <is>
          <t>New Lead</t>
        </is>
      </c>
      <c r="H1141" t="inlineStr">
        <is>
          <t>View Tender</t>
        </is>
      </c>
      <c r="K1141" t="inlineStr">
        <is>
          <t>Not found</t>
        </is>
      </c>
      <c r="L1141" t="inlineStr">
        <is>
          <t>Unknown</t>
        </is>
      </c>
      <c r="T1141" t="inlineStr">
        <is>
          <t>https://tenders.iglonline.net/tenderDetail/246/Active Tenders And Corrigendum-Addendum</t>
        </is>
      </c>
      <c r="U1141" t="inlineStr">
        <is>
          <t>No</t>
        </is>
      </c>
      <c r="V1141" t="inlineStr">
        <is>
          <t>Bot tarafindan tespit edildi (2026-07-01)</t>
        </is>
      </c>
    </row>
    <row r="1142">
      <c r="A1142" t="inlineStr">
        <is>
          <t>T-0946</t>
        </is>
      </c>
      <c r="B1142" t="inlineStr">
        <is>
          <t>Indraprastha Gas (IGL)</t>
        </is>
      </c>
      <c r="C1142" t="inlineStr">
        <is>
          <t>Indraprastha Gas (IGL)</t>
        </is>
      </c>
      <c r="F1142" t="inlineStr">
        <is>
          <t>New Lead</t>
        </is>
      </c>
      <c r="H1142" t="inlineStr">
        <is>
          <t>Prebid_reply_17831.pdf</t>
        </is>
      </c>
      <c r="K1142" t="inlineStr">
        <is>
          <t>Not found</t>
        </is>
      </c>
      <c r="L1142" t="inlineStr">
        <is>
          <t>Unknown</t>
        </is>
      </c>
      <c r="T1142" t="inlineStr">
        <is>
          <t>https://tenders.iglonline.net/uploads/tender/Prebid_reply_17831.pdf</t>
        </is>
      </c>
      <c r="U1142" t="inlineStr">
        <is>
          <t>No</t>
        </is>
      </c>
      <c r="V1142" t="inlineStr">
        <is>
          <t>Bot tarafindan tespit edildi (2026-07-01)</t>
        </is>
      </c>
    </row>
    <row r="1143">
      <c r="A1143" t="inlineStr">
        <is>
          <t>T-0947</t>
        </is>
      </c>
      <c r="B1143" t="inlineStr">
        <is>
          <t>Indraprastha Gas (IGL)</t>
        </is>
      </c>
      <c r="C1143" t="inlineStr">
        <is>
          <t>Indraprastha Gas (IGL)</t>
        </is>
      </c>
      <c r="F1143" t="inlineStr">
        <is>
          <t>New Lead</t>
        </is>
      </c>
      <c r="H1143" t="inlineStr">
        <is>
          <t>View Tender</t>
        </is>
      </c>
      <c r="K1143" t="inlineStr">
        <is>
          <t>Not found</t>
        </is>
      </c>
      <c r="L1143" t="inlineStr">
        <is>
          <t>Unknown</t>
        </is>
      </c>
      <c r="T1143" t="inlineStr">
        <is>
          <t>https://tenders.iglonline.net/tenderDetail/245/Active Tenders And Corrigendum-Addendum</t>
        </is>
      </c>
      <c r="U1143" t="inlineStr">
        <is>
          <t>No</t>
        </is>
      </c>
      <c r="V1143" t="inlineStr">
        <is>
          <t>Bot tarafindan tespit edildi (2026-07-01)</t>
        </is>
      </c>
    </row>
    <row r="1144">
      <c r="A1144" t="inlineStr">
        <is>
          <t>T-0948</t>
        </is>
      </c>
      <c r="B1144" t="inlineStr">
        <is>
          <t>Indraprastha Gas (IGL)</t>
        </is>
      </c>
      <c r="C1144" t="inlineStr">
        <is>
          <t>Indraprastha Gas (IGL)</t>
        </is>
      </c>
      <c r="F1144" t="inlineStr">
        <is>
          <t>New Lead</t>
        </is>
      </c>
      <c r="H1144" t="inlineStr">
        <is>
          <t>Corrigendum_1_CM17850.pdf</t>
        </is>
      </c>
      <c r="K1144" t="inlineStr">
        <is>
          <t>Not found</t>
        </is>
      </c>
      <c r="L1144" t="inlineStr">
        <is>
          <t>Unknown</t>
        </is>
      </c>
      <c r="T1144" t="inlineStr">
        <is>
          <t>https://tenders.iglonline.net/uploads/tender/Corrigendum_1_CM17850.pdf</t>
        </is>
      </c>
      <c r="U1144" t="inlineStr">
        <is>
          <t>No</t>
        </is>
      </c>
      <c r="V1144" t="inlineStr">
        <is>
          <t>Bot tarafindan tespit edildi (2026-07-01)</t>
        </is>
      </c>
    </row>
    <row r="1145">
      <c r="A1145" t="inlineStr">
        <is>
          <t>T-0949</t>
        </is>
      </c>
      <c r="B1145" t="inlineStr">
        <is>
          <t>Indraprastha Gas (IGL)</t>
        </is>
      </c>
      <c r="C1145" t="inlineStr">
        <is>
          <t>Indraprastha Gas (IGL)</t>
        </is>
      </c>
      <c r="F1145" t="inlineStr">
        <is>
          <t>New Lead</t>
        </is>
      </c>
      <c r="H1145" t="inlineStr">
        <is>
          <t>View Tender</t>
        </is>
      </c>
      <c r="K1145" t="inlineStr">
        <is>
          <t>Not found</t>
        </is>
      </c>
      <c r="L1145" t="inlineStr">
        <is>
          <t>Unknown</t>
        </is>
      </c>
      <c r="T1145" t="inlineStr">
        <is>
          <t>https://tenders.iglonline.net/tenderDetail/244/Active Tenders And Corrigendum-Addendum</t>
        </is>
      </c>
      <c r="U1145" t="inlineStr">
        <is>
          <t>No</t>
        </is>
      </c>
      <c r="V1145" t="inlineStr">
        <is>
          <t>Bot tarafindan tespit edildi (2026-07-01)</t>
        </is>
      </c>
    </row>
    <row r="1146">
      <c r="A1146" t="inlineStr">
        <is>
          <t>T-0950</t>
        </is>
      </c>
      <c r="B1146" t="inlineStr">
        <is>
          <t>Indraprastha Gas (IGL)</t>
        </is>
      </c>
      <c r="C1146" t="inlineStr">
        <is>
          <t>Indraprastha Gas (IGL)</t>
        </is>
      </c>
      <c r="F1146" t="inlineStr">
        <is>
          <t>New Lead</t>
        </is>
      </c>
      <c r="H1146" t="inlineStr">
        <is>
          <t>SOR_GROUP_E_CC17846.pdf</t>
        </is>
      </c>
      <c r="K1146" t="inlineStr">
        <is>
          <t>Not found</t>
        </is>
      </c>
      <c r="L1146" t="inlineStr">
        <is>
          <t>Unknown</t>
        </is>
      </c>
      <c r="T1146" t="inlineStr">
        <is>
          <t>https://tenders.iglonline.net/uploads/tender/SOR_GROUP_E_CC17846.pdf</t>
        </is>
      </c>
      <c r="U1146" t="inlineStr">
        <is>
          <t>No</t>
        </is>
      </c>
      <c r="V1146" t="inlineStr">
        <is>
          <t>Bot tarafindan tespit edildi (2026-07-01)</t>
        </is>
      </c>
    </row>
    <row r="1147">
      <c r="A1147" t="inlineStr">
        <is>
          <t>T-0951</t>
        </is>
      </c>
      <c r="B1147" t="inlineStr">
        <is>
          <t>Indraprastha Gas (IGL)</t>
        </is>
      </c>
      <c r="C1147" t="inlineStr">
        <is>
          <t>Indraprastha Gas (IGL)</t>
        </is>
      </c>
      <c r="F1147" t="inlineStr">
        <is>
          <t>New Lead</t>
        </is>
      </c>
      <c r="H1147" t="inlineStr">
        <is>
          <t>SOR_GROUP_A_CC17846.pdf</t>
        </is>
      </c>
      <c r="K1147" t="inlineStr">
        <is>
          <t>Not found</t>
        </is>
      </c>
      <c r="L1147" t="inlineStr">
        <is>
          <t>Unknown</t>
        </is>
      </c>
      <c r="T1147" t="inlineStr">
        <is>
          <t>https://tenders.iglonline.net/uploads/tender/SOR_GROUP_A_CC17846.pdf</t>
        </is>
      </c>
      <c r="U1147" t="inlineStr">
        <is>
          <t>No</t>
        </is>
      </c>
      <c r="V1147" t="inlineStr">
        <is>
          <t>Bot tarafindan tespit edildi (2026-07-01)</t>
        </is>
      </c>
    </row>
    <row r="1148">
      <c r="A1148" t="inlineStr">
        <is>
          <t>T-0952</t>
        </is>
      </c>
      <c r="B1148" t="inlineStr">
        <is>
          <t>Indraprastha Gas (IGL)</t>
        </is>
      </c>
      <c r="C1148" t="inlineStr">
        <is>
          <t>Indraprastha Gas (IGL)</t>
        </is>
      </c>
      <c r="F1148" t="inlineStr">
        <is>
          <t>New Lead</t>
        </is>
      </c>
      <c r="H1148" t="inlineStr">
        <is>
          <t>SOR_GROUP_B_CC17846.pdf</t>
        </is>
      </c>
      <c r="K1148" t="inlineStr">
        <is>
          <t>Not found</t>
        </is>
      </c>
      <c r="L1148" t="inlineStr">
        <is>
          <t>Unknown</t>
        </is>
      </c>
      <c r="T1148" t="inlineStr">
        <is>
          <t>https://tenders.iglonline.net/uploads/tender/SOR_GROUP_B_CC17846.pdf</t>
        </is>
      </c>
      <c r="U1148" t="inlineStr">
        <is>
          <t>No</t>
        </is>
      </c>
      <c r="V1148" t="inlineStr">
        <is>
          <t>Bot tarafindan tespit edildi (2026-07-01)</t>
        </is>
      </c>
    </row>
    <row r="1149">
      <c r="A1149" t="inlineStr">
        <is>
          <t>T-0953</t>
        </is>
      </c>
      <c r="B1149" t="inlineStr">
        <is>
          <t>Indraprastha Gas (IGL)</t>
        </is>
      </c>
      <c r="C1149" t="inlineStr">
        <is>
          <t>Indraprastha Gas (IGL)</t>
        </is>
      </c>
      <c r="F1149" t="inlineStr">
        <is>
          <t>New Lead</t>
        </is>
      </c>
      <c r="H1149" t="inlineStr">
        <is>
          <t>SOR_GROUP_C_CC17846.pdf</t>
        </is>
      </c>
      <c r="K1149" t="inlineStr">
        <is>
          <t>Not found</t>
        </is>
      </c>
      <c r="L1149" t="inlineStr">
        <is>
          <t>Unknown</t>
        </is>
      </c>
      <c r="T1149" t="inlineStr">
        <is>
          <t>https://tenders.iglonline.net/uploads/tender/SOR_GROUP_C_CC17846.pdf</t>
        </is>
      </c>
      <c r="U1149" t="inlineStr">
        <is>
          <t>No</t>
        </is>
      </c>
      <c r="V1149" t="inlineStr">
        <is>
          <t>Bot tarafindan tespit edildi (2026-07-01)</t>
        </is>
      </c>
    </row>
    <row r="1150">
      <c r="A1150" t="inlineStr">
        <is>
          <t>T-0954</t>
        </is>
      </c>
      <c r="B1150" t="inlineStr">
        <is>
          <t>Indraprastha Gas (IGL)</t>
        </is>
      </c>
      <c r="C1150" t="inlineStr">
        <is>
          <t>Indraprastha Gas (IGL)</t>
        </is>
      </c>
      <c r="F1150" t="inlineStr">
        <is>
          <t>New Lead</t>
        </is>
      </c>
      <c r="H1150" t="inlineStr">
        <is>
          <t>SOR_GROUP_D_CC17846.pdf</t>
        </is>
      </c>
      <c r="K1150" t="inlineStr">
        <is>
          <t>Not found</t>
        </is>
      </c>
      <c r="L1150" t="inlineStr">
        <is>
          <t>Unknown</t>
        </is>
      </c>
      <c r="T1150" t="inlineStr">
        <is>
          <t>https://tenders.iglonline.net/uploads/tender/SOR_GROUP_D_CC17846.pdf</t>
        </is>
      </c>
      <c r="U1150" t="inlineStr">
        <is>
          <t>No</t>
        </is>
      </c>
      <c r="V1150" t="inlineStr">
        <is>
          <t>Bot tarafindan tespit edildi (2026-07-01)</t>
        </is>
      </c>
    </row>
    <row r="1151">
      <c r="A1151" t="inlineStr">
        <is>
          <t>T-0955</t>
        </is>
      </c>
      <c r="B1151" t="inlineStr">
        <is>
          <t>Indraprastha Gas (IGL)</t>
        </is>
      </c>
      <c r="C1151" t="inlineStr">
        <is>
          <t>Indraprastha Gas (IGL)</t>
        </is>
      </c>
      <c r="F1151" t="inlineStr">
        <is>
          <t>New Lead</t>
        </is>
      </c>
      <c r="H1151" t="inlineStr">
        <is>
          <t>Corrigendum-I_CC17846.pdf</t>
        </is>
      </c>
      <c r="K1151" t="inlineStr">
        <is>
          <t>Not found</t>
        </is>
      </c>
      <c r="L1151" t="inlineStr">
        <is>
          <t>Unknown</t>
        </is>
      </c>
      <c r="T1151" t="inlineStr">
        <is>
          <t>https://tenders.iglonline.net/uploads/tender/Corrigendum-I_CC17846.pdf</t>
        </is>
      </c>
      <c r="U1151" t="inlineStr">
        <is>
          <t>No</t>
        </is>
      </c>
      <c r="V1151" t="inlineStr">
        <is>
          <t>Bot tarafindan tespit edildi (2026-07-01)</t>
        </is>
      </c>
    </row>
    <row r="1152">
      <c r="A1152" t="inlineStr">
        <is>
          <t>T-0956</t>
        </is>
      </c>
      <c r="B1152" t="inlineStr">
        <is>
          <t>Indraprastha Gas (IGL)</t>
        </is>
      </c>
      <c r="C1152" t="inlineStr">
        <is>
          <t>Indraprastha Gas (IGL)</t>
        </is>
      </c>
      <c r="F1152" t="inlineStr">
        <is>
          <t>New Lead</t>
        </is>
      </c>
      <c r="H1152" t="inlineStr">
        <is>
          <t>View Tender</t>
        </is>
      </c>
      <c r="K1152" t="inlineStr">
        <is>
          <t>Not found</t>
        </is>
      </c>
      <c r="L1152" t="inlineStr">
        <is>
          <t>Unknown</t>
        </is>
      </c>
      <c r="T1152" t="inlineStr">
        <is>
          <t>https://tenders.iglonline.net/tenderDetail/243/Active Tenders And Corrigendum-Addendum</t>
        </is>
      </c>
      <c r="U1152" t="inlineStr">
        <is>
          <t>No</t>
        </is>
      </c>
      <c r="V1152" t="inlineStr">
        <is>
          <t>Bot tarafindan tespit edildi (2026-07-01)</t>
        </is>
      </c>
    </row>
    <row r="1153">
      <c r="A1153" t="inlineStr">
        <is>
          <t>T-0957</t>
        </is>
      </c>
      <c r="B1153" t="inlineStr">
        <is>
          <t>Indraprastha Gas (IGL)</t>
        </is>
      </c>
      <c r="C1153" t="inlineStr">
        <is>
          <t>Indraprastha Gas (IGL)</t>
        </is>
      </c>
      <c r="F1153" t="inlineStr">
        <is>
          <t>New Lead</t>
        </is>
      </c>
      <c r="H1153" t="inlineStr">
        <is>
          <t>CORRIGENDUM_1-1.pdf</t>
        </is>
      </c>
      <c r="K1153" t="inlineStr">
        <is>
          <t>Not found</t>
        </is>
      </c>
      <c r="L1153" t="inlineStr">
        <is>
          <t>Unknown</t>
        </is>
      </c>
      <c r="T1153" t="inlineStr">
        <is>
          <t>https://tenders.iglonline.net/uploads/tender/CORRIGENDUM_1-1.pdf</t>
        </is>
      </c>
      <c r="U1153" t="inlineStr">
        <is>
          <t>No</t>
        </is>
      </c>
      <c r="V1153" t="inlineStr">
        <is>
          <t>Bot tarafindan tespit edildi (2026-07-01)</t>
        </is>
      </c>
    </row>
    <row r="1154">
      <c r="A1154" t="inlineStr">
        <is>
          <t>T-0958</t>
        </is>
      </c>
      <c r="B1154" t="inlineStr">
        <is>
          <t>Indraprastha Gas (IGL)</t>
        </is>
      </c>
      <c r="C1154" t="inlineStr">
        <is>
          <t>Indraprastha Gas (IGL)</t>
        </is>
      </c>
      <c r="F1154" t="inlineStr">
        <is>
          <t>New Lead</t>
        </is>
      </c>
      <c r="H1154" t="inlineStr">
        <is>
          <t>RTBQ_E-office_final.pdf</t>
        </is>
      </c>
      <c r="K1154" t="inlineStr">
        <is>
          <t>Not found</t>
        </is>
      </c>
      <c r="L1154" t="inlineStr">
        <is>
          <t>Unknown</t>
        </is>
      </c>
      <c r="T1154" t="inlineStr">
        <is>
          <t>https://tenders.iglonline.net/uploads/tender/RTBQ_E-office_final.pdf</t>
        </is>
      </c>
      <c r="U1154" t="inlineStr">
        <is>
          <t>No</t>
        </is>
      </c>
      <c r="V1154" t="inlineStr">
        <is>
          <t>Bot tarafindan tespit edildi (2026-07-01)</t>
        </is>
      </c>
    </row>
    <row r="1155">
      <c r="A1155" t="inlineStr">
        <is>
          <t>T-0959</t>
        </is>
      </c>
      <c r="B1155" t="inlineStr">
        <is>
          <t>Indraprastha Gas (IGL)</t>
        </is>
      </c>
      <c r="C1155" t="inlineStr">
        <is>
          <t>Indraprastha Gas (IGL)</t>
        </is>
      </c>
      <c r="F1155" t="inlineStr">
        <is>
          <t>New Lead</t>
        </is>
      </c>
      <c r="H1155" t="inlineStr">
        <is>
          <t>CORRIGENDUM_4-1.pdf</t>
        </is>
      </c>
      <c r="K1155" t="inlineStr">
        <is>
          <t>Not found</t>
        </is>
      </c>
      <c r="L1155" t="inlineStr">
        <is>
          <t>Unknown</t>
        </is>
      </c>
      <c r="T1155" t="inlineStr">
        <is>
          <t>https://tenders.iglonline.net/uploads/tender/CORRIGENDUM_4-1.pdf</t>
        </is>
      </c>
      <c r="U1155" t="inlineStr">
        <is>
          <t>No</t>
        </is>
      </c>
      <c r="V1155" t="inlineStr">
        <is>
          <t>Bot tarafindan tespit edildi (2026-07-01)</t>
        </is>
      </c>
    </row>
    <row r="1156">
      <c r="A1156" t="inlineStr">
        <is>
          <t>T-0960</t>
        </is>
      </c>
      <c r="B1156" t="inlineStr">
        <is>
          <t>Indraprastha Gas (IGL)</t>
        </is>
      </c>
      <c r="C1156" t="inlineStr">
        <is>
          <t>Indraprastha Gas (IGL)</t>
        </is>
      </c>
      <c r="F1156" t="inlineStr">
        <is>
          <t>New Lead</t>
        </is>
      </c>
      <c r="H1156" t="inlineStr">
        <is>
          <t>reply_of_RTBQ_Queries.pdf</t>
        </is>
      </c>
      <c r="K1156" t="inlineStr">
        <is>
          <t>Not found</t>
        </is>
      </c>
      <c r="L1156" t="inlineStr">
        <is>
          <t>Unknown</t>
        </is>
      </c>
      <c r="T1156" t="inlineStr">
        <is>
          <t>https://tenders.iglonline.net/uploads/tender/reply_of_RTBQ_Queries.pdf</t>
        </is>
      </c>
      <c r="U1156" t="inlineStr">
        <is>
          <t>No</t>
        </is>
      </c>
      <c r="V1156" t="inlineStr">
        <is>
          <t>Bot tarafindan tespit edildi (2026-07-01)</t>
        </is>
      </c>
    </row>
    <row r="1157">
      <c r="A1157" t="inlineStr">
        <is>
          <t>T-0961</t>
        </is>
      </c>
      <c r="B1157" t="inlineStr">
        <is>
          <t>Indraprastha Gas (IGL)</t>
        </is>
      </c>
      <c r="C1157" t="inlineStr">
        <is>
          <t>Indraprastha Gas (IGL)</t>
        </is>
      </c>
      <c r="F1157" t="inlineStr">
        <is>
          <t>New Lead</t>
        </is>
      </c>
      <c r="H1157" t="inlineStr">
        <is>
          <t>CORRIGENDUM_52.pdf</t>
        </is>
      </c>
      <c r="K1157" t="inlineStr">
        <is>
          <t>Not found</t>
        </is>
      </c>
      <c r="L1157" t="inlineStr">
        <is>
          <t>Unknown</t>
        </is>
      </c>
      <c r="T1157" t="inlineStr">
        <is>
          <t>https://tenders.iglonline.net/uploads/tender/CORRIGENDUM_52.pdf</t>
        </is>
      </c>
      <c r="U1157" t="inlineStr">
        <is>
          <t>No</t>
        </is>
      </c>
      <c r="V1157" t="inlineStr">
        <is>
          <t>Bot tarafindan tespit edildi (2026-07-01)</t>
        </is>
      </c>
    </row>
    <row r="1158">
      <c r="A1158" t="inlineStr">
        <is>
          <t>T-0962</t>
        </is>
      </c>
      <c r="B1158" t="inlineStr">
        <is>
          <t>Indraprastha Gas (IGL)</t>
        </is>
      </c>
      <c r="C1158" t="inlineStr">
        <is>
          <t>Indraprastha Gas (IGL)</t>
        </is>
      </c>
      <c r="F1158" t="inlineStr">
        <is>
          <t>New Lead</t>
        </is>
      </c>
      <c r="H1158" t="inlineStr">
        <is>
          <t>CORRIGENDUM_61.pdf</t>
        </is>
      </c>
      <c r="K1158" t="inlineStr">
        <is>
          <t>Not found</t>
        </is>
      </c>
      <c r="L1158" t="inlineStr">
        <is>
          <t>Unknown</t>
        </is>
      </c>
      <c r="T1158" t="inlineStr">
        <is>
          <t>https://tenders.iglonline.net/uploads/tender/CORRIGENDUM_61.pdf</t>
        </is>
      </c>
      <c r="U1158" t="inlineStr">
        <is>
          <t>No</t>
        </is>
      </c>
      <c r="V1158" t="inlineStr">
        <is>
          <t>Bot tarafindan tespit edildi (2026-07-01)</t>
        </is>
      </c>
    </row>
    <row r="1159">
      <c r="A1159" t="inlineStr">
        <is>
          <t>T-0963</t>
        </is>
      </c>
      <c r="B1159" t="inlineStr">
        <is>
          <t>Indraprastha Gas (IGL)</t>
        </is>
      </c>
      <c r="C1159" t="inlineStr">
        <is>
          <t>Indraprastha Gas (IGL)</t>
        </is>
      </c>
      <c r="F1159" t="inlineStr">
        <is>
          <t>New Lead</t>
        </is>
      </c>
      <c r="H1159" t="inlineStr">
        <is>
          <t>CORRIGENDUM_7.pdf</t>
        </is>
      </c>
      <c r="K1159" t="inlineStr">
        <is>
          <t>Not found</t>
        </is>
      </c>
      <c r="L1159" t="inlineStr">
        <is>
          <t>Unknown</t>
        </is>
      </c>
      <c r="T1159" t="inlineStr">
        <is>
          <t>https://tenders.iglonline.net/uploads/tender/CORRIGENDUM_7.pdf</t>
        </is>
      </c>
      <c r="U1159" t="inlineStr">
        <is>
          <t>No</t>
        </is>
      </c>
      <c r="V1159" t="inlineStr">
        <is>
          <t>Bot tarafindan tespit edildi (2026-07-01)</t>
        </is>
      </c>
    </row>
    <row r="1160">
      <c r="A1160" t="inlineStr">
        <is>
          <t>T-0964</t>
        </is>
      </c>
      <c r="B1160" t="inlineStr">
        <is>
          <t>Indraprastha Gas (IGL)</t>
        </is>
      </c>
      <c r="C1160" t="inlineStr">
        <is>
          <t>Indraprastha Gas (IGL)</t>
        </is>
      </c>
      <c r="F1160" t="inlineStr">
        <is>
          <t>New Lead</t>
        </is>
      </c>
      <c r="H1160" t="inlineStr">
        <is>
          <t>View Tender</t>
        </is>
      </c>
      <c r="K1160" t="inlineStr">
        <is>
          <t>Not found</t>
        </is>
      </c>
      <c r="L1160" t="inlineStr">
        <is>
          <t>Unknown</t>
        </is>
      </c>
      <c r="T1160" t="inlineStr">
        <is>
          <t>https://tenders.iglonline.net/tenderDetail/242/Active Tenders And Corrigendum-Addendum</t>
        </is>
      </c>
      <c r="U1160" t="inlineStr">
        <is>
          <t>No</t>
        </is>
      </c>
      <c r="V1160" t="inlineStr">
        <is>
          <t>Bot tarafindan tespit edildi (2026-07-01)</t>
        </is>
      </c>
    </row>
    <row r="1161">
      <c r="A1161" t="inlineStr">
        <is>
          <t>T-0965</t>
        </is>
      </c>
      <c r="B1161" t="inlineStr">
        <is>
          <t>Indraprastha Gas (IGL)</t>
        </is>
      </c>
      <c r="C1161" t="inlineStr">
        <is>
          <t>Indraprastha Gas (IGL)</t>
        </is>
      </c>
      <c r="F1161" t="inlineStr">
        <is>
          <t>New Lead</t>
        </is>
      </c>
      <c r="H1161" t="inlineStr">
        <is>
          <t>CORRIGENDUM_1-2.pdf</t>
        </is>
      </c>
      <c r="K1161" t="inlineStr">
        <is>
          <t>Not found</t>
        </is>
      </c>
      <c r="L1161" t="inlineStr">
        <is>
          <t>Unknown</t>
        </is>
      </c>
      <c r="T1161" t="inlineStr">
        <is>
          <t>https://tenders.iglonline.net/uploads/tender/CORRIGENDUM_1-2.pdf</t>
        </is>
      </c>
      <c r="U1161" t="inlineStr">
        <is>
          <t>No</t>
        </is>
      </c>
      <c r="V1161" t="inlineStr">
        <is>
          <t>Bot tarafindan tespit edildi (2026-07-01)</t>
        </is>
      </c>
    </row>
    <row r="1162">
      <c r="A1162" t="inlineStr">
        <is>
          <t>T-0966</t>
        </is>
      </c>
      <c r="B1162" t="inlineStr">
        <is>
          <t>Indraprastha Gas (IGL)</t>
        </is>
      </c>
      <c r="C1162" t="inlineStr">
        <is>
          <t>Indraprastha Gas (IGL)</t>
        </is>
      </c>
      <c r="F1162" t="inlineStr">
        <is>
          <t>New Lead</t>
        </is>
      </c>
      <c r="H1162" t="inlineStr">
        <is>
          <t>CORRIGENDUM_21.pdf</t>
        </is>
      </c>
      <c r="K1162" t="inlineStr">
        <is>
          <t>Not found</t>
        </is>
      </c>
      <c r="L1162" t="inlineStr">
        <is>
          <t>Unknown</t>
        </is>
      </c>
      <c r="T1162" t="inlineStr">
        <is>
          <t>https://tenders.iglonline.net/uploads/tender/CORRIGENDUM_21.pdf</t>
        </is>
      </c>
      <c r="U1162" t="inlineStr">
        <is>
          <t>No</t>
        </is>
      </c>
      <c r="V1162" t="inlineStr">
        <is>
          <t>Bot tarafindan tespit edildi (2026-07-01)</t>
        </is>
      </c>
    </row>
    <row r="1163">
      <c r="A1163" t="inlineStr">
        <is>
          <t>T-0967</t>
        </is>
      </c>
      <c r="B1163" t="inlineStr">
        <is>
          <t>Indraprastha Gas (IGL)</t>
        </is>
      </c>
      <c r="C1163" t="inlineStr">
        <is>
          <t>Indraprastha Gas (IGL)</t>
        </is>
      </c>
      <c r="F1163" t="inlineStr">
        <is>
          <t>New Lead</t>
        </is>
      </c>
      <c r="H1163" t="inlineStr">
        <is>
          <t>View Tender</t>
        </is>
      </c>
      <c r="K1163" t="inlineStr">
        <is>
          <t>Not found</t>
        </is>
      </c>
      <c r="L1163" t="inlineStr">
        <is>
          <t>Unknown</t>
        </is>
      </c>
      <c r="T1163" t="inlineStr">
        <is>
          <t>https://tenders.iglonline.net/tenderDetail/241/Active Tenders And Corrigendum-Addendum</t>
        </is>
      </c>
      <c r="U1163" t="inlineStr">
        <is>
          <t>No</t>
        </is>
      </c>
      <c r="V1163" t="inlineStr">
        <is>
          <t>Bot tarafindan tespit edildi (2026-07-01)</t>
        </is>
      </c>
    </row>
    <row r="1164">
      <c r="A1164" t="inlineStr">
        <is>
          <t>T-0968</t>
        </is>
      </c>
      <c r="B1164" t="inlineStr">
        <is>
          <t>Indraprastha Gas (IGL)</t>
        </is>
      </c>
      <c r="C1164" t="inlineStr">
        <is>
          <t>Indraprastha Gas (IGL)</t>
        </is>
      </c>
      <c r="F1164" t="inlineStr">
        <is>
          <t>New Lead</t>
        </is>
      </c>
      <c r="H1164" t="inlineStr">
        <is>
          <t>Corrigendum_1_CP17825.pdf</t>
        </is>
      </c>
      <c r="K1164" t="inlineStr">
        <is>
          <t>Not found</t>
        </is>
      </c>
      <c r="L1164" t="inlineStr">
        <is>
          <t>Unknown</t>
        </is>
      </c>
      <c r="T1164" t="inlineStr">
        <is>
          <t>https://tenders.iglonline.net/uploads/tender/Corrigendum_1_CP17825.pdf</t>
        </is>
      </c>
      <c r="U1164" t="inlineStr">
        <is>
          <t>No</t>
        </is>
      </c>
      <c r="V1164" t="inlineStr">
        <is>
          <t>Bot tarafindan tespit edildi (2026-07-01)</t>
        </is>
      </c>
    </row>
    <row r="1165">
      <c r="A1165" t="inlineStr">
        <is>
          <t>T-0969</t>
        </is>
      </c>
      <c r="B1165" t="inlineStr">
        <is>
          <t>Indraprastha Gas (IGL)</t>
        </is>
      </c>
      <c r="C1165" t="inlineStr">
        <is>
          <t>Indraprastha Gas (IGL)</t>
        </is>
      </c>
      <c r="F1165" t="inlineStr">
        <is>
          <t>New Lead</t>
        </is>
      </c>
      <c r="H1165" t="inlineStr">
        <is>
          <t>RTBQ_CP17825.pdf</t>
        </is>
      </c>
      <c r="K1165" t="inlineStr">
        <is>
          <t>Not found</t>
        </is>
      </c>
      <c r="L1165" t="inlineStr">
        <is>
          <t>Unknown</t>
        </is>
      </c>
      <c r="T1165" t="inlineStr">
        <is>
          <t>https://tenders.iglonline.net/uploads/tender/RTBQ_CP17825.pdf</t>
        </is>
      </c>
      <c r="U1165" t="inlineStr">
        <is>
          <t>No</t>
        </is>
      </c>
      <c r="V1165" t="inlineStr">
        <is>
          <t>Bot tarafindan tespit edildi (2026-07-01)</t>
        </is>
      </c>
    </row>
    <row r="1166">
      <c r="A1166" t="inlineStr">
        <is>
          <t>T-0970</t>
        </is>
      </c>
      <c r="B1166" t="inlineStr">
        <is>
          <t>Indraprastha Gas (IGL)</t>
        </is>
      </c>
      <c r="C1166" t="inlineStr">
        <is>
          <t>Indraprastha Gas (IGL)</t>
        </is>
      </c>
      <c r="F1166" t="inlineStr">
        <is>
          <t>New Lead</t>
        </is>
      </c>
      <c r="H1166" t="inlineStr">
        <is>
          <t>View Tender</t>
        </is>
      </c>
      <c r="K1166" t="inlineStr">
        <is>
          <t>Not found</t>
        </is>
      </c>
      <c r="L1166" t="inlineStr">
        <is>
          <t>Unknown</t>
        </is>
      </c>
      <c r="T1166" t="inlineStr">
        <is>
          <t>https://tenders.iglonline.net/tenderDetail/240/Active Tenders And Corrigendum-Addendum</t>
        </is>
      </c>
      <c r="U1166" t="inlineStr">
        <is>
          <t>No</t>
        </is>
      </c>
      <c r="V1166" t="inlineStr">
        <is>
          <t>Bot tarafindan tespit edildi (2026-07-01)</t>
        </is>
      </c>
    </row>
    <row r="1167">
      <c r="A1167" t="inlineStr">
        <is>
          <t>T-0971</t>
        </is>
      </c>
      <c r="B1167" t="inlineStr">
        <is>
          <t>Indraprastha Gas (IGL)</t>
        </is>
      </c>
      <c r="C1167" t="inlineStr">
        <is>
          <t>Indraprastha Gas (IGL)</t>
        </is>
      </c>
      <c r="F1167" t="inlineStr">
        <is>
          <t>New Lead</t>
        </is>
      </c>
      <c r="H1167" t="inlineStr">
        <is>
          <t>Corrigendum__1_CP17817.pdf</t>
        </is>
      </c>
      <c r="K1167" t="inlineStr">
        <is>
          <t>Not found</t>
        </is>
      </c>
      <c r="L1167" t="inlineStr">
        <is>
          <t>Unknown</t>
        </is>
      </c>
      <c r="T1167" t="inlineStr">
        <is>
          <t>https://tenders.iglonline.net/uploads/tender/Corrigendum__1_CP17817.pdf</t>
        </is>
      </c>
      <c r="U1167" t="inlineStr">
        <is>
          <t>No</t>
        </is>
      </c>
      <c r="V1167" t="inlineStr">
        <is>
          <t>Bot tarafindan tespit edildi (2026-07-01)</t>
        </is>
      </c>
    </row>
    <row r="1168">
      <c r="A1168" t="inlineStr">
        <is>
          <t>T-0972</t>
        </is>
      </c>
      <c r="B1168" t="inlineStr">
        <is>
          <t>Indraprastha Gas (IGL)</t>
        </is>
      </c>
      <c r="C1168" t="inlineStr">
        <is>
          <t>Indraprastha Gas (IGL)</t>
        </is>
      </c>
      <c r="F1168" t="inlineStr">
        <is>
          <t>New Lead</t>
        </is>
      </c>
      <c r="H1168" t="inlineStr">
        <is>
          <t>Corrigendum_2_CP17817.pdf</t>
        </is>
      </c>
      <c r="K1168" t="inlineStr">
        <is>
          <t>Not found</t>
        </is>
      </c>
      <c r="L1168" t="inlineStr">
        <is>
          <t>Unknown</t>
        </is>
      </c>
      <c r="T1168" t="inlineStr">
        <is>
          <t>https://tenders.iglonline.net/uploads/tender/Corrigendum_2_CP17817.pdf</t>
        </is>
      </c>
      <c r="U1168" t="inlineStr">
        <is>
          <t>No</t>
        </is>
      </c>
      <c r="V1168" t="inlineStr">
        <is>
          <t>Bot tarafindan tespit edildi (2026-07-01)</t>
        </is>
      </c>
    </row>
    <row r="1169">
      <c r="A1169" t="inlineStr">
        <is>
          <t>T-0973</t>
        </is>
      </c>
      <c r="B1169" t="inlineStr">
        <is>
          <t>Indraprastha Gas (IGL)</t>
        </is>
      </c>
      <c r="C1169" t="inlineStr">
        <is>
          <t>Indraprastha Gas (IGL)</t>
        </is>
      </c>
      <c r="F1169" t="inlineStr">
        <is>
          <t>New Lead</t>
        </is>
      </c>
      <c r="H1169" t="inlineStr">
        <is>
          <t>Replies_to_bidders_queries2.pdf</t>
        </is>
      </c>
      <c r="K1169" t="inlineStr">
        <is>
          <t>Not found</t>
        </is>
      </c>
      <c r="L1169" t="inlineStr">
        <is>
          <t>Unknown</t>
        </is>
      </c>
      <c r="T1169" t="inlineStr">
        <is>
          <t>https://tenders.iglonline.net/uploads/tender/Replies_to_bidders_queries2.pdf</t>
        </is>
      </c>
      <c r="U1169" t="inlineStr">
        <is>
          <t>No</t>
        </is>
      </c>
      <c r="V1169" t="inlineStr">
        <is>
          <t>Bot tarafindan tespit edildi (2026-07-01)</t>
        </is>
      </c>
    </row>
    <row r="1170">
      <c r="A1170" t="inlineStr">
        <is>
          <t>T-0974</t>
        </is>
      </c>
      <c r="B1170" t="inlineStr">
        <is>
          <t>Indraprastha Gas (IGL)</t>
        </is>
      </c>
      <c r="C1170" t="inlineStr">
        <is>
          <t>Indraprastha Gas (IGL)</t>
        </is>
      </c>
      <c r="F1170" t="inlineStr">
        <is>
          <t>New Lead</t>
        </is>
      </c>
      <c r="H1170" t="inlineStr">
        <is>
          <t>Corrigendum_3_CP17817.pdf</t>
        </is>
      </c>
      <c r="K1170" t="inlineStr">
        <is>
          <t>Not found</t>
        </is>
      </c>
      <c r="L1170" t="inlineStr">
        <is>
          <t>Unknown</t>
        </is>
      </c>
      <c r="T1170" t="inlineStr">
        <is>
          <t>https://tenders.iglonline.net/uploads/tender/Corrigendum_3_CP17817.pdf</t>
        </is>
      </c>
      <c r="U1170" t="inlineStr">
        <is>
          <t>No</t>
        </is>
      </c>
      <c r="V1170" t="inlineStr">
        <is>
          <t>Bot tarafindan tespit edildi (2026-07-01)</t>
        </is>
      </c>
    </row>
    <row r="1171">
      <c r="A1171" t="inlineStr">
        <is>
          <t>T-0975</t>
        </is>
      </c>
      <c r="B1171" t="inlineStr">
        <is>
          <t>Indraprastha Gas (IGL)</t>
        </is>
      </c>
      <c r="C1171" t="inlineStr">
        <is>
          <t>Indraprastha Gas (IGL)</t>
        </is>
      </c>
      <c r="F1171" t="inlineStr">
        <is>
          <t>New Lead</t>
        </is>
      </c>
      <c r="H1171" t="inlineStr">
        <is>
          <t>Corrigendum__4_CP17817.pdf</t>
        </is>
      </c>
      <c r="K1171" t="inlineStr">
        <is>
          <t>Not found</t>
        </is>
      </c>
      <c r="L1171" t="inlineStr">
        <is>
          <t>Unknown</t>
        </is>
      </c>
      <c r="T1171" t="inlineStr">
        <is>
          <t>https://tenders.iglonline.net/uploads/tender/Corrigendum__4_CP17817.pdf</t>
        </is>
      </c>
      <c r="U1171" t="inlineStr">
        <is>
          <t>No</t>
        </is>
      </c>
      <c r="V1171" t="inlineStr">
        <is>
          <t>Bot tarafindan tespit edildi (2026-07-01)</t>
        </is>
      </c>
    </row>
    <row r="1172">
      <c r="A1172" t="inlineStr">
        <is>
          <t>T-0976</t>
        </is>
      </c>
      <c r="B1172" t="inlineStr">
        <is>
          <t>Indraprastha Gas (IGL)</t>
        </is>
      </c>
      <c r="C1172" t="inlineStr">
        <is>
          <t>Indraprastha Gas (IGL)</t>
        </is>
      </c>
      <c r="F1172" t="inlineStr">
        <is>
          <t>New Lead</t>
        </is>
      </c>
      <c r="H1172" t="inlineStr">
        <is>
          <t>Corrigendum_5_CP17817.pdf</t>
        </is>
      </c>
      <c r="K1172" t="inlineStr">
        <is>
          <t>Not found</t>
        </is>
      </c>
      <c r="L1172" t="inlineStr">
        <is>
          <t>Unknown</t>
        </is>
      </c>
      <c r="T1172" t="inlineStr">
        <is>
          <t>https://tenders.iglonline.net/uploads/tender/Corrigendum_5_CP17817.pdf</t>
        </is>
      </c>
      <c r="U1172" t="inlineStr">
        <is>
          <t>No</t>
        </is>
      </c>
      <c r="V1172" t="inlineStr">
        <is>
          <t>Bot tarafindan tespit edildi (2026-07-01)</t>
        </is>
      </c>
    </row>
    <row r="1173">
      <c r="A1173" t="inlineStr">
        <is>
          <t>T-0977</t>
        </is>
      </c>
      <c r="B1173" t="inlineStr">
        <is>
          <t>Indraprastha Gas (IGL)</t>
        </is>
      </c>
      <c r="C1173" t="inlineStr">
        <is>
          <t>Indraprastha Gas (IGL)</t>
        </is>
      </c>
      <c r="F1173" t="inlineStr">
        <is>
          <t>New Lead</t>
        </is>
      </c>
      <c r="H1173" t="inlineStr">
        <is>
          <t>View Tender</t>
        </is>
      </c>
      <c r="K1173" t="inlineStr">
        <is>
          <t>Not found</t>
        </is>
      </c>
      <c r="L1173" t="inlineStr">
        <is>
          <t>Unknown</t>
        </is>
      </c>
      <c r="T1173" t="inlineStr">
        <is>
          <t>https://tenders.iglonline.net/tenderDetail/239/Active Tenders And Corrigendum-Addendum</t>
        </is>
      </c>
      <c r="U1173" t="inlineStr">
        <is>
          <t>No</t>
        </is>
      </c>
      <c r="V1173" t="inlineStr">
        <is>
          <t>Bot tarafindan tespit edildi (2026-07-01)</t>
        </is>
      </c>
    </row>
    <row r="1174">
      <c r="A1174" t="inlineStr">
        <is>
          <t>T-0978</t>
        </is>
      </c>
      <c r="B1174" t="inlineStr">
        <is>
          <t>Indraprastha Gas (IGL)</t>
        </is>
      </c>
      <c r="C1174" t="inlineStr">
        <is>
          <t>Indraprastha Gas (IGL)</t>
        </is>
      </c>
      <c r="F1174" t="inlineStr">
        <is>
          <t>New Lead</t>
        </is>
      </c>
      <c r="H1174" t="inlineStr">
        <is>
          <t>Reply_to_Bidders_Queries_(CC17821)_(A).pdf</t>
        </is>
      </c>
      <c r="K1174" t="inlineStr">
        <is>
          <t>Not found</t>
        </is>
      </c>
      <c r="L1174" t="inlineStr">
        <is>
          <t>Unknown</t>
        </is>
      </c>
      <c r="T1174" t="inlineStr">
        <is>
          <t>https://tenders.iglonline.net/uploads/tender/Reply_to_Bidders_Queries_(CC17821)_(A).pdf</t>
        </is>
      </c>
      <c r="U1174" t="inlineStr">
        <is>
          <t>No</t>
        </is>
      </c>
      <c r="V1174" t="inlineStr">
        <is>
          <t>Bot tarafindan tespit edildi (2026-07-01)</t>
        </is>
      </c>
    </row>
    <row r="1175">
      <c r="A1175" t="inlineStr">
        <is>
          <t>T-0979</t>
        </is>
      </c>
      <c r="B1175" t="inlineStr">
        <is>
          <t>Indraprastha Gas (IGL)</t>
        </is>
      </c>
      <c r="C1175" t="inlineStr">
        <is>
          <t>Indraprastha Gas (IGL)</t>
        </is>
      </c>
      <c r="F1175" t="inlineStr">
        <is>
          <t>New Lead</t>
        </is>
      </c>
      <c r="H1175" t="inlineStr">
        <is>
          <t>CC17821.pdf</t>
        </is>
      </c>
      <c r="K1175" t="inlineStr">
        <is>
          <t>Not found</t>
        </is>
      </c>
      <c r="L1175" t="inlineStr">
        <is>
          <t>Unknown</t>
        </is>
      </c>
      <c r="T1175" t="inlineStr">
        <is>
          <t>https://tenders.iglonline.net/uploads/tender/CC17821.pdf</t>
        </is>
      </c>
      <c r="U1175" t="inlineStr">
        <is>
          <t>No</t>
        </is>
      </c>
      <c r="V1175" t="inlineStr">
        <is>
          <t>Bot tarafindan tespit edildi (2026-07-01)</t>
        </is>
      </c>
    </row>
    <row r="1176">
      <c r="A1176" t="inlineStr">
        <is>
          <t>T-0980</t>
        </is>
      </c>
      <c r="B1176" t="inlineStr">
        <is>
          <t>Indraprastha Gas (IGL)</t>
        </is>
      </c>
      <c r="C1176" t="inlineStr">
        <is>
          <t>Indraprastha Gas (IGL)</t>
        </is>
      </c>
      <c r="F1176" t="inlineStr">
        <is>
          <t>New Lead</t>
        </is>
      </c>
      <c r="H1176" t="inlineStr">
        <is>
          <t>View Tender</t>
        </is>
      </c>
      <c r="K1176" t="inlineStr">
        <is>
          <t>Not found</t>
        </is>
      </c>
      <c r="L1176" t="inlineStr">
        <is>
          <t>Unknown</t>
        </is>
      </c>
      <c r="T1176" t="inlineStr">
        <is>
          <t>https://tenders.iglonline.net/tenderDetail/238/Active Tenders And Corrigendum-Addendum</t>
        </is>
      </c>
      <c r="U1176" t="inlineStr">
        <is>
          <t>No</t>
        </is>
      </c>
      <c r="V1176" t="inlineStr">
        <is>
          <t>Bot tarafindan tespit edildi (2026-07-01)</t>
        </is>
      </c>
    </row>
    <row r="1177">
      <c r="A1177" t="inlineStr">
        <is>
          <t>T-0981</t>
        </is>
      </c>
      <c r="B1177" t="inlineStr">
        <is>
          <t>Indraprastha Gas (IGL)</t>
        </is>
      </c>
      <c r="C1177" t="inlineStr">
        <is>
          <t>Indraprastha Gas (IGL)</t>
        </is>
      </c>
      <c r="F1177" t="inlineStr">
        <is>
          <t>New Lead</t>
        </is>
      </c>
      <c r="H1177" t="inlineStr">
        <is>
          <t>CC17790.pdf</t>
        </is>
      </c>
      <c r="K1177" t="inlineStr">
        <is>
          <t>Not found</t>
        </is>
      </c>
      <c r="L1177" t="inlineStr">
        <is>
          <t>Unknown</t>
        </is>
      </c>
      <c r="T1177" t="inlineStr">
        <is>
          <t>https://tenders.iglonline.net/uploads/tender/CC17790.pdf</t>
        </is>
      </c>
      <c r="U1177" t="inlineStr">
        <is>
          <t>No</t>
        </is>
      </c>
      <c r="V1177" t="inlineStr">
        <is>
          <t>Bot tarafindan tespit edildi (2026-07-01)</t>
        </is>
      </c>
    </row>
    <row r="1178">
      <c r="A1178" t="inlineStr">
        <is>
          <t>T-0982</t>
        </is>
      </c>
      <c r="B1178" t="inlineStr">
        <is>
          <t>Indraprastha Gas (IGL)</t>
        </is>
      </c>
      <c r="C1178" t="inlineStr">
        <is>
          <t>Indraprastha Gas (IGL)</t>
        </is>
      </c>
      <c r="F1178" t="inlineStr">
        <is>
          <t>New Lead</t>
        </is>
      </c>
      <c r="H1178" t="inlineStr">
        <is>
          <t>CC17790_(A).pdf</t>
        </is>
      </c>
      <c r="K1178" t="inlineStr">
        <is>
          <t>Not found</t>
        </is>
      </c>
      <c r="L1178" t="inlineStr">
        <is>
          <t>Unknown</t>
        </is>
      </c>
      <c r="T1178" t="inlineStr">
        <is>
          <t>https://tenders.iglonline.net/uploads/tender/CC17790_(A).pdf</t>
        </is>
      </c>
      <c r="U1178" t="inlineStr">
        <is>
          <t>No</t>
        </is>
      </c>
      <c r="V1178" t="inlineStr">
        <is>
          <t>Bot tarafindan tespit edildi (2026-07-01)</t>
        </is>
      </c>
    </row>
    <row r="1179">
      <c r="A1179" t="inlineStr">
        <is>
          <t>T-0983</t>
        </is>
      </c>
      <c r="B1179" t="inlineStr">
        <is>
          <t>Indraprastha Gas (IGL)</t>
        </is>
      </c>
      <c r="C1179" t="inlineStr">
        <is>
          <t>Indraprastha Gas (IGL)</t>
        </is>
      </c>
      <c r="F1179" t="inlineStr">
        <is>
          <t>New Lead</t>
        </is>
      </c>
      <c r="H1179" t="inlineStr">
        <is>
          <t>View Tender</t>
        </is>
      </c>
      <c r="K1179" t="inlineStr">
        <is>
          <t>Not found</t>
        </is>
      </c>
      <c r="L1179" t="inlineStr">
        <is>
          <t>Unknown</t>
        </is>
      </c>
      <c r="T1179" t="inlineStr">
        <is>
          <t>https://tenders.iglonline.net/tenderDetail/237/Active Tenders And Corrigendum-Addendum</t>
        </is>
      </c>
      <c r="U1179" t="inlineStr">
        <is>
          <t>No</t>
        </is>
      </c>
      <c r="V1179" t="inlineStr">
        <is>
          <t>Bot tarafindan tespit edildi (2026-07-01)</t>
        </is>
      </c>
    </row>
    <row r="1180">
      <c r="A1180" t="inlineStr">
        <is>
          <t>T-0984</t>
        </is>
      </c>
      <c r="B1180" t="inlineStr">
        <is>
          <t>Indraprastha Gas (IGL)</t>
        </is>
      </c>
      <c r="C1180" t="inlineStr">
        <is>
          <t>Indraprastha Gas (IGL)</t>
        </is>
      </c>
      <c r="F1180" t="inlineStr">
        <is>
          <t>New Lead</t>
        </is>
      </c>
      <c r="H1180" t="inlineStr">
        <is>
          <t>Corrigendum_I_CM17796.pdf</t>
        </is>
      </c>
      <c r="K1180" t="inlineStr">
        <is>
          <t>Not found</t>
        </is>
      </c>
      <c r="L1180" t="inlineStr">
        <is>
          <t>Unknown</t>
        </is>
      </c>
      <c r="T1180" t="inlineStr">
        <is>
          <t>https://tenders.iglonline.net/uploads/tender/Corrigendum_I_CM17796.pdf</t>
        </is>
      </c>
      <c r="U1180" t="inlineStr">
        <is>
          <t>No</t>
        </is>
      </c>
      <c r="V1180" t="inlineStr">
        <is>
          <t>Bot tarafindan tespit edildi (2026-07-01)</t>
        </is>
      </c>
    </row>
    <row r="1181">
      <c r="A1181" t="inlineStr">
        <is>
          <t>T-0985</t>
        </is>
      </c>
      <c r="B1181" t="inlineStr">
        <is>
          <t>Indraprastha Gas (IGL)</t>
        </is>
      </c>
      <c r="C1181" t="inlineStr">
        <is>
          <t>Indraprastha Gas (IGL)</t>
        </is>
      </c>
      <c r="F1181" t="inlineStr">
        <is>
          <t>New Lead</t>
        </is>
      </c>
      <c r="H1181" t="inlineStr">
        <is>
          <t>View Tender</t>
        </is>
      </c>
      <c r="K1181" t="inlineStr">
        <is>
          <t>Not found</t>
        </is>
      </c>
      <c r="L1181" t="inlineStr">
        <is>
          <t>Unknown</t>
        </is>
      </c>
      <c r="T1181" t="inlineStr">
        <is>
          <t>https://tenders.iglonline.net/tenderDetail/236/Active Tenders And Corrigendum-Addendum</t>
        </is>
      </c>
      <c r="U1181" t="inlineStr">
        <is>
          <t>No</t>
        </is>
      </c>
      <c r="V1181" t="inlineStr">
        <is>
          <t>Bot tarafindan tespit edildi (2026-07-01)</t>
        </is>
      </c>
    </row>
    <row r="1182">
      <c r="A1182" t="inlineStr">
        <is>
          <t>T-0986</t>
        </is>
      </c>
      <c r="B1182" t="inlineStr">
        <is>
          <t>Indraprastha Gas (IGL)</t>
        </is>
      </c>
      <c r="C1182" t="inlineStr">
        <is>
          <t>Indraprastha Gas (IGL)</t>
        </is>
      </c>
      <c r="F1182" t="inlineStr">
        <is>
          <t>New Lead</t>
        </is>
      </c>
      <c r="H1182" t="inlineStr">
        <is>
          <t>CC17768_corrigendum.pdf</t>
        </is>
      </c>
      <c r="K1182" t="inlineStr">
        <is>
          <t>Not found</t>
        </is>
      </c>
      <c r="L1182" t="inlineStr">
        <is>
          <t>Unknown</t>
        </is>
      </c>
      <c r="T1182" t="inlineStr">
        <is>
          <t>https://tenders.iglonline.net/uploads/tender/CC17768_corrigendum.pdf</t>
        </is>
      </c>
      <c r="U1182" t="inlineStr">
        <is>
          <t>No</t>
        </is>
      </c>
      <c r="V1182" t="inlineStr">
        <is>
          <t>Bot tarafindan tespit edildi (2026-07-01)</t>
        </is>
      </c>
    </row>
    <row r="1183">
      <c r="A1183" t="inlineStr">
        <is>
          <t>T-0987</t>
        </is>
      </c>
      <c r="B1183" t="inlineStr">
        <is>
          <t>Indraprastha Gas (IGL)</t>
        </is>
      </c>
      <c r="C1183" t="inlineStr">
        <is>
          <t>Indraprastha Gas (IGL)</t>
        </is>
      </c>
      <c r="F1183" t="inlineStr">
        <is>
          <t>New Lead</t>
        </is>
      </c>
      <c r="H1183" t="inlineStr">
        <is>
          <t>Corrigendum-2__CC17768.pdf</t>
        </is>
      </c>
      <c r="K1183" t="inlineStr">
        <is>
          <t>Not found</t>
        </is>
      </c>
      <c r="L1183" t="inlineStr">
        <is>
          <t>Unknown</t>
        </is>
      </c>
      <c r="T1183" t="inlineStr">
        <is>
          <t>https://tenders.iglonline.net/uploads/tender/Corrigendum-2__CC17768.pdf</t>
        </is>
      </c>
      <c r="U1183" t="inlineStr">
        <is>
          <t>No</t>
        </is>
      </c>
      <c r="V1183" t="inlineStr">
        <is>
          <t>Bot tarafindan tespit edildi (2026-07-01)</t>
        </is>
      </c>
    </row>
    <row r="1184">
      <c r="A1184" t="inlineStr">
        <is>
          <t>T-0988</t>
        </is>
      </c>
      <c r="B1184" t="inlineStr">
        <is>
          <t>Indraprastha Gas (IGL)</t>
        </is>
      </c>
      <c r="C1184" t="inlineStr">
        <is>
          <t>Indraprastha Gas (IGL)</t>
        </is>
      </c>
      <c r="F1184" t="inlineStr">
        <is>
          <t>New Lead</t>
        </is>
      </c>
      <c r="H1184" t="inlineStr">
        <is>
          <t>View Tender</t>
        </is>
      </c>
      <c r="K1184" t="inlineStr">
        <is>
          <t>Not found</t>
        </is>
      </c>
      <c r="L1184" t="inlineStr">
        <is>
          <t>Unknown</t>
        </is>
      </c>
      <c r="T1184" t="inlineStr">
        <is>
          <t>https://tenders.iglonline.net/tenderDetail/235/Active Tenders And Corrigendum-Addendum</t>
        </is>
      </c>
      <c r="U1184" t="inlineStr">
        <is>
          <t>No</t>
        </is>
      </c>
      <c r="V1184" t="inlineStr">
        <is>
          <t>Bot tarafindan tespit edildi (2026-07-01)</t>
        </is>
      </c>
    </row>
    <row r="1185">
      <c r="A1185" t="inlineStr">
        <is>
          <t>T-0989</t>
        </is>
      </c>
      <c r="B1185" t="inlineStr">
        <is>
          <t>Indraprastha Gas (IGL)</t>
        </is>
      </c>
      <c r="C1185" t="inlineStr">
        <is>
          <t>Indraprastha Gas (IGL)</t>
        </is>
      </c>
      <c r="F1185" t="inlineStr">
        <is>
          <t>New Lead</t>
        </is>
      </c>
      <c r="H1185" t="inlineStr">
        <is>
          <t>CC17767_corrigendum.pdf</t>
        </is>
      </c>
      <c r="K1185" t="inlineStr">
        <is>
          <t>Not found</t>
        </is>
      </c>
      <c r="L1185" t="inlineStr">
        <is>
          <t>Unknown</t>
        </is>
      </c>
      <c r="T1185" t="inlineStr">
        <is>
          <t>https://tenders.iglonline.net/uploads/tender/CC17767_corrigendum.pdf</t>
        </is>
      </c>
      <c r="U1185" t="inlineStr">
        <is>
          <t>No</t>
        </is>
      </c>
      <c r="V1185" t="inlineStr">
        <is>
          <t>Bot tarafindan tespit edildi (2026-07-01)</t>
        </is>
      </c>
    </row>
    <row r="1186">
      <c r="A1186" t="inlineStr">
        <is>
          <t>T-0990</t>
        </is>
      </c>
      <c r="B1186" t="inlineStr">
        <is>
          <t>Indraprastha Gas (IGL)</t>
        </is>
      </c>
      <c r="C1186" t="inlineStr">
        <is>
          <t>Indraprastha Gas (IGL)</t>
        </is>
      </c>
      <c r="F1186" t="inlineStr">
        <is>
          <t>New Lead</t>
        </is>
      </c>
      <c r="H1186" t="inlineStr">
        <is>
          <t>View Tender</t>
        </is>
      </c>
      <c r="K1186" t="inlineStr">
        <is>
          <t>Not found</t>
        </is>
      </c>
      <c r="L1186" t="inlineStr">
        <is>
          <t>Unknown</t>
        </is>
      </c>
      <c r="T1186" t="inlineStr">
        <is>
          <t>https://tenders.iglonline.net/tenderDetail/234/Active Tenders And Corrigendum-Addendum</t>
        </is>
      </c>
      <c r="U1186" t="inlineStr">
        <is>
          <t>No</t>
        </is>
      </c>
      <c r="V1186" t="inlineStr">
        <is>
          <t>Bot tarafindan tespit edildi (2026-07-01)</t>
        </is>
      </c>
    </row>
    <row r="1187">
      <c r="A1187" t="inlineStr">
        <is>
          <t>T-0991</t>
        </is>
      </c>
      <c r="B1187" t="inlineStr">
        <is>
          <t>Indraprastha Gas (IGL)</t>
        </is>
      </c>
      <c r="C1187" t="inlineStr">
        <is>
          <t>Indraprastha Gas (IGL)</t>
        </is>
      </c>
      <c r="F1187" t="inlineStr">
        <is>
          <t>New Lead</t>
        </is>
      </c>
      <c r="H1187" t="inlineStr">
        <is>
          <t>Corrigendum_I_CC17823.pdf</t>
        </is>
      </c>
      <c r="K1187" t="inlineStr">
        <is>
          <t>Not found</t>
        </is>
      </c>
      <c r="L1187" t="inlineStr">
        <is>
          <t>Unknown</t>
        </is>
      </c>
      <c r="T1187" t="inlineStr">
        <is>
          <t>https://tenders.iglonline.net/uploads/tender/Corrigendum_I_CC17823.pdf</t>
        </is>
      </c>
      <c r="U1187" t="inlineStr">
        <is>
          <t>No</t>
        </is>
      </c>
      <c r="V1187" t="inlineStr">
        <is>
          <t>Bot tarafindan tespit edildi (2026-07-01)</t>
        </is>
      </c>
    </row>
    <row r="1188">
      <c r="A1188" t="inlineStr">
        <is>
          <t>T-0992</t>
        </is>
      </c>
      <c r="B1188" t="inlineStr">
        <is>
          <t>Indraprastha Gas (IGL)</t>
        </is>
      </c>
      <c r="C1188" t="inlineStr">
        <is>
          <t>Indraprastha Gas (IGL)</t>
        </is>
      </c>
      <c r="F1188" t="inlineStr">
        <is>
          <t>New Lead</t>
        </is>
      </c>
      <c r="H1188" t="inlineStr">
        <is>
          <t>RTPBQ-I_1200_SCMH_EMD.pdf</t>
        </is>
      </c>
      <c r="K1188" t="inlineStr">
        <is>
          <t>Not found</t>
        </is>
      </c>
      <c r="L1188" t="inlineStr">
        <is>
          <t>Unknown</t>
        </is>
      </c>
      <c r="T1188" t="inlineStr">
        <is>
          <t>https://tenders.iglonline.net/uploads/tender/RTPBQ-I_1200_SCMH_EMD.pdf</t>
        </is>
      </c>
      <c r="U1188" t="inlineStr">
        <is>
          <t>No</t>
        </is>
      </c>
      <c r="V1188" t="inlineStr">
        <is>
          <t>Bot tarafindan tespit edildi (2026-07-01)</t>
        </is>
      </c>
    </row>
    <row r="1189">
      <c r="A1189" t="inlineStr">
        <is>
          <t>T-0993</t>
        </is>
      </c>
      <c r="B1189" t="inlineStr">
        <is>
          <t>Indraprastha Gas (IGL)</t>
        </is>
      </c>
      <c r="C1189" t="inlineStr">
        <is>
          <t>Indraprastha Gas (IGL)</t>
        </is>
      </c>
      <c r="F1189" t="inlineStr">
        <is>
          <t>New Lead</t>
        </is>
      </c>
      <c r="H1189" t="inlineStr">
        <is>
          <t>Corrigendum_II_CC17823.pdf</t>
        </is>
      </c>
      <c r="K1189" t="inlineStr">
        <is>
          <t>Not found</t>
        </is>
      </c>
      <c r="L1189" t="inlineStr">
        <is>
          <t>Unknown</t>
        </is>
      </c>
      <c r="T1189" t="inlineStr">
        <is>
          <t>https://tenders.iglonline.net/uploads/tender/Corrigendum_II_CC17823.pdf</t>
        </is>
      </c>
      <c r="U1189" t="inlineStr">
        <is>
          <t>No</t>
        </is>
      </c>
      <c r="V1189" t="inlineStr">
        <is>
          <t>Bot tarafindan tespit edildi (2026-07-01)</t>
        </is>
      </c>
    </row>
    <row r="1190">
      <c r="A1190" t="inlineStr">
        <is>
          <t>T-0994</t>
        </is>
      </c>
      <c r="B1190" t="inlineStr">
        <is>
          <t>Indraprastha Gas (IGL)</t>
        </is>
      </c>
      <c r="C1190" t="inlineStr">
        <is>
          <t>Indraprastha Gas (IGL)</t>
        </is>
      </c>
      <c r="F1190" t="inlineStr">
        <is>
          <t>New Lead</t>
        </is>
      </c>
      <c r="H1190" t="inlineStr">
        <is>
          <t>Corrigendum_III_CC17823.pdf</t>
        </is>
      </c>
      <c r="K1190" t="inlineStr">
        <is>
          <t>Not found</t>
        </is>
      </c>
      <c r="L1190" t="inlineStr">
        <is>
          <t>Unknown</t>
        </is>
      </c>
      <c r="T1190" t="inlineStr">
        <is>
          <t>https://tenders.iglonline.net/uploads/tender/Corrigendum_III_CC17823.pdf</t>
        </is>
      </c>
      <c r="U1190" t="inlineStr">
        <is>
          <t>No</t>
        </is>
      </c>
      <c r="V1190" t="inlineStr">
        <is>
          <t>Bot tarafindan tespit edildi (2026-07-01)</t>
        </is>
      </c>
    </row>
    <row r="1191">
      <c r="A1191" t="inlineStr">
        <is>
          <t>T-0995</t>
        </is>
      </c>
      <c r="B1191" t="inlineStr">
        <is>
          <t>Indraprastha Gas (IGL)</t>
        </is>
      </c>
      <c r="C1191" t="inlineStr">
        <is>
          <t>Indraprastha Gas (IGL)</t>
        </is>
      </c>
      <c r="F1191" t="inlineStr">
        <is>
          <t>New Lead</t>
        </is>
      </c>
      <c r="H1191" t="inlineStr">
        <is>
          <t>View Tender</t>
        </is>
      </c>
      <c r="K1191" t="inlineStr">
        <is>
          <t>Not found</t>
        </is>
      </c>
      <c r="L1191" t="inlineStr">
        <is>
          <t>Unknown</t>
        </is>
      </c>
      <c r="T1191" t="inlineStr">
        <is>
          <t>https://tenders.iglonline.net/tenderDetail/233/Active Tenders And Corrigendum-Addendum</t>
        </is>
      </c>
      <c r="U1191" t="inlineStr">
        <is>
          <t>No</t>
        </is>
      </c>
      <c r="V1191" t="inlineStr">
        <is>
          <t>Bot tarafindan tespit edildi (2026-07-01)</t>
        </is>
      </c>
    </row>
    <row r="1192">
      <c r="A1192" t="inlineStr">
        <is>
          <t>T-0996</t>
        </is>
      </c>
      <c r="B1192" t="inlineStr">
        <is>
          <t>Indraprastha Gas (IGL)</t>
        </is>
      </c>
      <c r="C1192" t="inlineStr">
        <is>
          <t>Indraprastha Gas (IGL)</t>
        </is>
      </c>
      <c r="F1192" t="inlineStr">
        <is>
          <t>New Lead</t>
        </is>
      </c>
      <c r="H1192" t="inlineStr">
        <is>
          <t>Corrigendum_I3.pdf</t>
        </is>
      </c>
      <c r="K1192" t="inlineStr">
        <is>
          <t>Not found</t>
        </is>
      </c>
      <c r="L1192" t="inlineStr">
        <is>
          <t>Unknown</t>
        </is>
      </c>
      <c r="T1192" t="inlineStr">
        <is>
          <t>https://tenders.iglonline.net/uploads/tender/Corrigendum_I3.pdf</t>
        </is>
      </c>
      <c r="U1192" t="inlineStr">
        <is>
          <t>No</t>
        </is>
      </c>
      <c r="V1192" t="inlineStr">
        <is>
          <t>Bot tarafindan tespit edildi (2026-07-01)</t>
        </is>
      </c>
    </row>
    <row r="1193">
      <c r="A1193" t="inlineStr">
        <is>
          <t>T-0997</t>
        </is>
      </c>
      <c r="B1193" t="inlineStr">
        <is>
          <t>Indraprastha Gas (IGL)</t>
        </is>
      </c>
      <c r="C1193" t="inlineStr">
        <is>
          <t>Indraprastha Gas (IGL)</t>
        </is>
      </c>
      <c r="F1193" t="inlineStr">
        <is>
          <t>New Lead</t>
        </is>
      </c>
      <c r="H1193" t="inlineStr">
        <is>
          <t>Corrigendum_II1.pdf</t>
        </is>
      </c>
      <c r="K1193" t="inlineStr">
        <is>
          <t>Not found</t>
        </is>
      </c>
      <c r="L1193" t="inlineStr">
        <is>
          <t>Unknown</t>
        </is>
      </c>
      <c r="T1193" t="inlineStr">
        <is>
          <t>https://tenders.iglonline.net/uploads/tender/Corrigendum_II1.pdf</t>
        </is>
      </c>
      <c r="U1193" t="inlineStr">
        <is>
          <t>No</t>
        </is>
      </c>
      <c r="V1193" t="inlineStr">
        <is>
          <t>Bot tarafindan tespit edildi (2026-07-01)</t>
        </is>
      </c>
    </row>
    <row r="1194">
      <c r="A1194" t="inlineStr">
        <is>
          <t>T-0998</t>
        </is>
      </c>
      <c r="B1194" t="inlineStr">
        <is>
          <t>Indraprastha Gas (IGL)</t>
        </is>
      </c>
      <c r="C1194" t="inlineStr">
        <is>
          <t>Indraprastha Gas (IGL)</t>
        </is>
      </c>
      <c r="F1194" t="inlineStr">
        <is>
          <t>New Lead</t>
        </is>
      </c>
      <c r="H1194" t="inlineStr">
        <is>
          <t>Corrigendum_III_Cancellation_of_tender.pdf</t>
        </is>
      </c>
      <c r="K1194" t="inlineStr">
        <is>
          <t>Not found</t>
        </is>
      </c>
      <c r="L1194" t="inlineStr">
        <is>
          <t>Unknown</t>
        </is>
      </c>
      <c r="T1194" t="inlineStr">
        <is>
          <t>https://tenders.iglonline.net/uploads/tender/Corrigendum_III_Cancellation_of_tender.pdf</t>
        </is>
      </c>
      <c r="U1194" t="inlineStr">
        <is>
          <t>No</t>
        </is>
      </c>
      <c r="V1194" t="inlineStr">
        <is>
          <t>Bot tarafindan tespit edildi (2026-07-01)</t>
        </is>
      </c>
    </row>
    <row r="1195">
      <c r="A1195" t="inlineStr">
        <is>
          <t>T-0999</t>
        </is>
      </c>
      <c r="B1195" t="inlineStr">
        <is>
          <t>Indraprastha Gas (IGL)</t>
        </is>
      </c>
      <c r="C1195" t="inlineStr">
        <is>
          <t>Indraprastha Gas (IGL)</t>
        </is>
      </c>
      <c r="F1195" t="inlineStr">
        <is>
          <t>New Lead</t>
        </is>
      </c>
      <c r="H1195" t="inlineStr">
        <is>
          <t>View Tender</t>
        </is>
      </c>
      <c r="K1195" t="inlineStr">
        <is>
          <t>Not found</t>
        </is>
      </c>
      <c r="L1195" t="inlineStr">
        <is>
          <t>Unknown</t>
        </is>
      </c>
      <c r="T1195" t="inlineStr">
        <is>
          <t>https://tenders.iglonline.net/tenderDetail/232/Active Tenders And Corrigendum-Addendum</t>
        </is>
      </c>
      <c r="U1195" t="inlineStr">
        <is>
          <t>No</t>
        </is>
      </c>
      <c r="V1195" t="inlineStr">
        <is>
          <t>Bot tarafindan tespit edildi (2026-07-01)</t>
        </is>
      </c>
    </row>
    <row r="1196">
      <c r="A1196" t="inlineStr">
        <is>
          <t>T-1000</t>
        </is>
      </c>
      <c r="B1196" t="inlineStr">
        <is>
          <t>Indraprastha Gas (IGL)</t>
        </is>
      </c>
      <c r="C1196" t="inlineStr">
        <is>
          <t>Indraprastha Gas (IGL)</t>
        </is>
      </c>
      <c r="F1196" t="inlineStr">
        <is>
          <t>New Lead</t>
        </is>
      </c>
      <c r="H1196" t="inlineStr">
        <is>
          <t>Corrigendum_I_CC17822.pdf</t>
        </is>
      </c>
      <c r="K1196" t="inlineStr">
        <is>
          <t>Not found</t>
        </is>
      </c>
      <c r="L1196" t="inlineStr">
        <is>
          <t>Unknown</t>
        </is>
      </c>
      <c r="T1196" t="inlineStr">
        <is>
          <t>https://tenders.iglonline.net/uploads/tender/Corrigendum_I_CC17822.pdf</t>
        </is>
      </c>
      <c r="U1196" t="inlineStr">
        <is>
          <t>No</t>
        </is>
      </c>
      <c r="V1196" t="inlineStr">
        <is>
          <t>Bot tarafindan tespit edildi (2026-07-01)</t>
        </is>
      </c>
    </row>
    <row r="1197">
      <c r="A1197" t="inlineStr">
        <is>
          <t>T-1001</t>
        </is>
      </c>
      <c r="B1197" t="inlineStr">
        <is>
          <t>Indraprastha Gas (IGL)</t>
        </is>
      </c>
      <c r="C1197" t="inlineStr">
        <is>
          <t>Indraprastha Gas (IGL)</t>
        </is>
      </c>
      <c r="F1197" t="inlineStr">
        <is>
          <t>New Lead</t>
        </is>
      </c>
      <c r="H1197" t="inlineStr">
        <is>
          <t>RTPBQ-I_600_SCMH_EMD.pdf</t>
        </is>
      </c>
      <c r="K1197" t="inlineStr">
        <is>
          <t>Not found</t>
        </is>
      </c>
      <c r="L1197" t="inlineStr">
        <is>
          <t>Unknown</t>
        </is>
      </c>
      <c r="T1197" t="inlineStr">
        <is>
          <t>https://tenders.iglonline.net/uploads/tender/RTPBQ-I_600_SCMH_EMD.pdf</t>
        </is>
      </c>
      <c r="U1197" t="inlineStr">
        <is>
          <t>No</t>
        </is>
      </c>
      <c r="V1197" t="inlineStr">
        <is>
          <t>Bot tarafindan tespit edildi (2026-07-01)</t>
        </is>
      </c>
    </row>
    <row r="1198">
      <c r="A1198" t="inlineStr">
        <is>
          <t>T-1002</t>
        </is>
      </c>
      <c r="B1198" t="inlineStr">
        <is>
          <t>Indraprastha Gas (IGL)</t>
        </is>
      </c>
      <c r="C1198" t="inlineStr">
        <is>
          <t>Indraprastha Gas (IGL)</t>
        </is>
      </c>
      <c r="F1198" t="inlineStr">
        <is>
          <t>New Lead</t>
        </is>
      </c>
      <c r="H1198" t="inlineStr">
        <is>
          <t>Corrigendum_II_CC17822.pdf</t>
        </is>
      </c>
      <c r="K1198" t="inlineStr">
        <is>
          <t>Not found</t>
        </is>
      </c>
      <c r="L1198" t="inlineStr">
        <is>
          <t>Unknown</t>
        </is>
      </c>
      <c r="T1198" t="inlineStr">
        <is>
          <t>https://tenders.iglonline.net/uploads/tender/Corrigendum_II_CC17822.pdf</t>
        </is>
      </c>
      <c r="U1198" t="inlineStr">
        <is>
          <t>No</t>
        </is>
      </c>
      <c r="V1198" t="inlineStr">
        <is>
          <t>Bot tarafindan tespit edildi (2026-07-01)</t>
        </is>
      </c>
    </row>
    <row r="1199">
      <c r="A1199" t="inlineStr">
        <is>
          <t>T-1003</t>
        </is>
      </c>
      <c r="B1199" t="inlineStr">
        <is>
          <t>Indraprastha Gas (IGL)</t>
        </is>
      </c>
      <c r="C1199" t="inlineStr">
        <is>
          <t>Indraprastha Gas (IGL)</t>
        </is>
      </c>
      <c r="F1199" t="inlineStr">
        <is>
          <t>New Lead</t>
        </is>
      </c>
      <c r="H1199" t="inlineStr">
        <is>
          <t>Corrigendum_III_CC17822.pdf</t>
        </is>
      </c>
      <c r="K1199" t="inlineStr">
        <is>
          <t>Not found</t>
        </is>
      </c>
      <c r="L1199" t="inlineStr">
        <is>
          <t>Unknown</t>
        </is>
      </c>
      <c r="T1199" t="inlineStr">
        <is>
          <t>https://tenders.iglonline.net/uploads/tender/Corrigendum_III_CC17822.pdf</t>
        </is>
      </c>
      <c r="U1199" t="inlineStr">
        <is>
          <t>No</t>
        </is>
      </c>
      <c r="V1199" t="inlineStr">
        <is>
          <t>Bot tarafindan tespit edildi (2026-07-01)</t>
        </is>
      </c>
    </row>
    <row r="1200">
      <c r="A1200" t="inlineStr">
        <is>
          <t>T-1004</t>
        </is>
      </c>
      <c r="B1200" t="inlineStr">
        <is>
          <t>Indraprastha Gas (IGL)</t>
        </is>
      </c>
      <c r="C1200" t="inlineStr">
        <is>
          <t>Indraprastha Gas (IGL)</t>
        </is>
      </c>
      <c r="F1200" t="inlineStr">
        <is>
          <t>New Lead</t>
        </is>
      </c>
      <c r="H1200" t="inlineStr">
        <is>
          <t>View Tender</t>
        </is>
      </c>
      <c r="K1200" t="inlineStr">
        <is>
          <t>Not found</t>
        </is>
      </c>
      <c r="L1200" t="inlineStr">
        <is>
          <t>Unknown</t>
        </is>
      </c>
      <c r="T1200" t="inlineStr">
        <is>
          <t>https://tenders.iglonline.net/tenderDetail/231/Active Tenders And Corrigendum-Addendum</t>
        </is>
      </c>
      <c r="U1200" t="inlineStr">
        <is>
          <t>No</t>
        </is>
      </c>
      <c r="V1200" t="inlineStr">
        <is>
          <t>Bot tarafindan tespit edildi (2026-07-01)</t>
        </is>
      </c>
    </row>
    <row r="1201">
      <c r="A1201" t="inlineStr">
        <is>
          <t>T-1005</t>
        </is>
      </c>
      <c r="B1201" t="inlineStr">
        <is>
          <t>Indraprastha Gas (IGL)</t>
        </is>
      </c>
      <c r="C1201" t="inlineStr">
        <is>
          <t>Indraprastha Gas (IGL)</t>
        </is>
      </c>
      <c r="F1201" t="inlineStr">
        <is>
          <t>New Lead</t>
        </is>
      </c>
      <c r="H1201" t="inlineStr">
        <is>
          <t>View Tender</t>
        </is>
      </c>
      <c r="K1201" t="inlineStr">
        <is>
          <t>Not found</t>
        </is>
      </c>
      <c r="L1201" t="inlineStr">
        <is>
          <t>Unknown</t>
        </is>
      </c>
      <c r="T1201" t="inlineStr">
        <is>
          <t>https://tenders.iglonline.net/tenderDetail/230/Active Tenders And Corrigendum-Addendum</t>
        </is>
      </c>
      <c r="U1201" t="inlineStr">
        <is>
          <t>No</t>
        </is>
      </c>
      <c r="V1201" t="inlineStr">
        <is>
          <t>Bot tarafindan tespit edildi (2026-07-01)</t>
        </is>
      </c>
    </row>
    <row r="1202">
      <c r="A1202" t="inlineStr">
        <is>
          <t>T-1006</t>
        </is>
      </c>
      <c r="B1202" t="inlineStr">
        <is>
          <t>Indraprastha Gas (IGL)</t>
        </is>
      </c>
      <c r="C1202" t="inlineStr">
        <is>
          <t>Indraprastha Gas (IGL)</t>
        </is>
      </c>
      <c r="F1202" t="inlineStr">
        <is>
          <t>New Lead</t>
        </is>
      </c>
      <c r="H1202" t="inlineStr">
        <is>
          <t>Reply_to_Bidders_Queries_(CC17786).pdf</t>
        </is>
      </c>
      <c r="K1202" t="inlineStr">
        <is>
          <t>Not found</t>
        </is>
      </c>
      <c r="L1202" t="inlineStr">
        <is>
          <t>Unknown</t>
        </is>
      </c>
      <c r="T1202" t="inlineStr">
        <is>
          <t>https://tenders.iglonline.net/uploads/tender/Reply_to_Bidders_Queries_(CC17786).pdf</t>
        </is>
      </c>
      <c r="U1202" t="inlineStr">
        <is>
          <t>No</t>
        </is>
      </c>
      <c r="V1202" t="inlineStr">
        <is>
          <t>Bot tarafindan tespit edildi (2026-07-01)</t>
        </is>
      </c>
    </row>
    <row r="1203">
      <c r="A1203" t="inlineStr">
        <is>
          <t>T-1007</t>
        </is>
      </c>
      <c r="B1203" t="inlineStr">
        <is>
          <t>Indraprastha Gas (IGL)</t>
        </is>
      </c>
      <c r="C1203" t="inlineStr">
        <is>
          <t>Indraprastha Gas (IGL)</t>
        </is>
      </c>
      <c r="F1203" t="inlineStr">
        <is>
          <t>New Lead</t>
        </is>
      </c>
      <c r="H1203" t="inlineStr">
        <is>
          <t>CC177861.pdf</t>
        </is>
      </c>
      <c r="K1203" t="inlineStr">
        <is>
          <t>Not found</t>
        </is>
      </c>
      <c r="L1203" t="inlineStr">
        <is>
          <t>Unknown</t>
        </is>
      </c>
      <c r="T1203" t="inlineStr">
        <is>
          <t>https://tenders.iglonline.net/uploads/tender/CC177861.pdf</t>
        </is>
      </c>
      <c r="U1203" t="inlineStr">
        <is>
          <t>No</t>
        </is>
      </c>
      <c r="V1203" t="inlineStr">
        <is>
          <t>Bot tarafindan tespit edildi (2026-07-01)</t>
        </is>
      </c>
    </row>
    <row r="1204">
      <c r="A1204" t="inlineStr">
        <is>
          <t>T-1008</t>
        </is>
      </c>
      <c r="B1204" t="inlineStr">
        <is>
          <t>Indraprastha Gas (IGL)</t>
        </is>
      </c>
      <c r="C1204" t="inlineStr">
        <is>
          <t>Indraprastha Gas (IGL)</t>
        </is>
      </c>
      <c r="F1204" t="inlineStr">
        <is>
          <t>New Lead</t>
        </is>
      </c>
      <c r="H1204" t="inlineStr">
        <is>
          <t>View Tender</t>
        </is>
      </c>
      <c r="K1204" t="inlineStr">
        <is>
          <t>Not found</t>
        </is>
      </c>
      <c r="L1204" t="inlineStr">
        <is>
          <t>Unknown</t>
        </is>
      </c>
      <c r="T1204" t="inlineStr">
        <is>
          <t>https://tenders.iglonline.net/tenderDetail/229/Active Tenders And Corrigendum-Addendum</t>
        </is>
      </c>
      <c r="U1204" t="inlineStr">
        <is>
          <t>No</t>
        </is>
      </c>
      <c r="V1204" t="inlineStr">
        <is>
          <t>Bot tarafindan tespit edildi (2026-07-01)</t>
        </is>
      </c>
    </row>
    <row r="1205">
      <c r="A1205" t="inlineStr">
        <is>
          <t>T-1009</t>
        </is>
      </c>
      <c r="B1205" t="inlineStr">
        <is>
          <t>Indraprastha Gas (IGL)</t>
        </is>
      </c>
      <c r="C1205" t="inlineStr">
        <is>
          <t>Indraprastha Gas (IGL)</t>
        </is>
      </c>
      <c r="F1205" t="inlineStr">
        <is>
          <t>New Lead</t>
        </is>
      </c>
      <c r="H1205" t="inlineStr">
        <is>
          <t>Corrigendum-I__CC17787.pdf</t>
        </is>
      </c>
      <c r="K1205" t="inlineStr">
        <is>
          <t>Not found</t>
        </is>
      </c>
      <c r="L1205" t="inlineStr">
        <is>
          <t>Unknown</t>
        </is>
      </c>
      <c r="T1205" t="inlineStr">
        <is>
          <t>https://tenders.iglonline.net/uploads/tender/Corrigendum-I__CC17787.pdf</t>
        </is>
      </c>
      <c r="U1205" t="inlineStr">
        <is>
          <t>No</t>
        </is>
      </c>
      <c r="V1205" t="inlineStr">
        <is>
          <t>Bot tarafindan tespit edildi (2026-07-01)</t>
        </is>
      </c>
    </row>
    <row r="1206">
      <c r="A1206" t="inlineStr">
        <is>
          <t>T-1010</t>
        </is>
      </c>
      <c r="B1206" t="inlineStr">
        <is>
          <t>Indraprastha Gas (IGL)</t>
        </is>
      </c>
      <c r="C1206" t="inlineStr">
        <is>
          <t>Indraprastha Gas (IGL)</t>
        </is>
      </c>
      <c r="F1206" t="inlineStr">
        <is>
          <t>New Lead</t>
        </is>
      </c>
      <c r="H1206" t="inlineStr">
        <is>
          <t>Corrigendum_II_CC17787.pdf</t>
        </is>
      </c>
      <c r="K1206" t="inlineStr">
        <is>
          <t>Not found</t>
        </is>
      </c>
      <c r="L1206" t="inlineStr">
        <is>
          <t>Unknown</t>
        </is>
      </c>
      <c r="T1206" t="inlineStr">
        <is>
          <t>https://tenders.iglonline.net/uploads/tender/Corrigendum_II_CC17787.pdf</t>
        </is>
      </c>
      <c r="U1206" t="inlineStr">
        <is>
          <t>No</t>
        </is>
      </c>
      <c r="V1206" t="inlineStr">
        <is>
          <t>Bot tarafindan tespit edildi (2026-07-01)</t>
        </is>
      </c>
    </row>
    <row r="1207">
      <c r="A1207" t="inlineStr">
        <is>
          <t>T-1011</t>
        </is>
      </c>
      <c r="B1207" t="inlineStr">
        <is>
          <t>Indraprastha Gas (IGL)</t>
        </is>
      </c>
      <c r="C1207" t="inlineStr">
        <is>
          <t>Indraprastha Gas (IGL)</t>
        </is>
      </c>
      <c r="F1207" t="inlineStr">
        <is>
          <t>New Lead</t>
        </is>
      </c>
      <c r="H1207" t="inlineStr">
        <is>
          <t>View Tender</t>
        </is>
      </c>
      <c r="K1207" t="inlineStr">
        <is>
          <t>Not found</t>
        </is>
      </c>
      <c r="L1207" t="inlineStr">
        <is>
          <t>Unknown</t>
        </is>
      </c>
      <c r="T1207" t="inlineStr">
        <is>
          <t>https://tenders.iglonline.net/tenderDetail/228/Active Tenders And Corrigendum-Addendum</t>
        </is>
      </c>
      <c r="U1207" t="inlineStr">
        <is>
          <t>No</t>
        </is>
      </c>
      <c r="V1207" t="inlineStr">
        <is>
          <t>Bot tarafindan tespit edildi (2026-07-01)</t>
        </is>
      </c>
    </row>
    <row r="1208">
      <c r="A1208" t="inlineStr">
        <is>
          <t>T-1012</t>
        </is>
      </c>
      <c r="B1208" t="inlineStr">
        <is>
          <t>Indraprastha Gas (IGL)</t>
        </is>
      </c>
      <c r="C1208" t="inlineStr">
        <is>
          <t>Indraprastha Gas (IGL)</t>
        </is>
      </c>
      <c r="F1208" t="inlineStr">
        <is>
          <t>New Lead</t>
        </is>
      </c>
      <c r="H1208" t="inlineStr">
        <is>
          <t>View Tender</t>
        </is>
      </c>
      <c r="K1208" t="inlineStr">
        <is>
          <t>Not found</t>
        </is>
      </c>
      <c r="L1208" t="inlineStr">
        <is>
          <t>Unknown</t>
        </is>
      </c>
      <c r="T1208" t="inlineStr">
        <is>
          <t>https://tenders.iglonline.net/tenderDetail/227/Active Tenders And Corrigendum-Addendum</t>
        </is>
      </c>
      <c r="U1208" t="inlineStr">
        <is>
          <t>No</t>
        </is>
      </c>
      <c r="V1208" t="inlineStr">
        <is>
          <t>Bot tarafindan tespit edildi (2026-07-01)</t>
        </is>
      </c>
    </row>
    <row r="1209">
      <c r="A1209" t="inlineStr">
        <is>
          <t>T-1013</t>
        </is>
      </c>
      <c r="B1209" t="inlineStr">
        <is>
          <t>Indraprastha Gas (IGL)</t>
        </is>
      </c>
      <c r="C1209" t="inlineStr">
        <is>
          <t>Indraprastha Gas (IGL)</t>
        </is>
      </c>
      <c r="F1209" t="inlineStr">
        <is>
          <t>New Lead</t>
        </is>
      </c>
      <c r="H1209" t="inlineStr">
        <is>
          <t>Corrigendum_1_CP17771.pdf</t>
        </is>
      </c>
      <c r="K1209" t="inlineStr">
        <is>
          <t>Not found</t>
        </is>
      </c>
      <c r="L1209" t="inlineStr">
        <is>
          <t>Unknown</t>
        </is>
      </c>
      <c r="T1209" t="inlineStr">
        <is>
          <t>https://tenders.iglonline.net/uploads/tender/Corrigendum_1_CP17771.pdf</t>
        </is>
      </c>
      <c r="U1209" t="inlineStr">
        <is>
          <t>No</t>
        </is>
      </c>
      <c r="V1209" t="inlineStr">
        <is>
          <t>Bot tarafindan tespit edildi (2026-07-01)</t>
        </is>
      </c>
    </row>
    <row r="1210">
      <c r="A1210" t="inlineStr">
        <is>
          <t>T-1014</t>
        </is>
      </c>
      <c r="B1210" t="inlineStr">
        <is>
          <t>Indraprastha Gas (IGL)</t>
        </is>
      </c>
      <c r="C1210" t="inlineStr">
        <is>
          <t>Indraprastha Gas (IGL)</t>
        </is>
      </c>
      <c r="F1210" t="inlineStr">
        <is>
          <t>New Lead</t>
        </is>
      </c>
      <c r="H1210" t="inlineStr">
        <is>
          <t>Corrigendum_2_CP17771.pdf</t>
        </is>
      </c>
      <c r="K1210" t="inlineStr">
        <is>
          <t>Not found</t>
        </is>
      </c>
      <c r="L1210" t="inlineStr">
        <is>
          <t>Unknown</t>
        </is>
      </c>
      <c r="T1210" t="inlineStr">
        <is>
          <t>https://tenders.iglonline.net/uploads/tender/Corrigendum_2_CP17771.pdf</t>
        </is>
      </c>
      <c r="U1210" t="inlineStr">
        <is>
          <t>No</t>
        </is>
      </c>
      <c r="V1210" t="inlineStr">
        <is>
          <t>Bot tarafindan tespit edildi (2026-07-01)</t>
        </is>
      </c>
    </row>
    <row r="1211">
      <c r="A1211" t="inlineStr">
        <is>
          <t>T-1015</t>
        </is>
      </c>
      <c r="B1211" t="inlineStr">
        <is>
          <t>Indraprastha Gas (IGL)</t>
        </is>
      </c>
      <c r="C1211" t="inlineStr">
        <is>
          <t>Indraprastha Gas (IGL)</t>
        </is>
      </c>
      <c r="F1211" t="inlineStr">
        <is>
          <t>New Lead</t>
        </is>
      </c>
      <c r="H1211" t="inlineStr">
        <is>
          <t>Corrigendum_3_CP17771.pdf</t>
        </is>
      </c>
      <c r="K1211" t="inlineStr">
        <is>
          <t>Not found</t>
        </is>
      </c>
      <c r="L1211" t="inlineStr">
        <is>
          <t>Unknown</t>
        </is>
      </c>
      <c r="T1211" t="inlineStr">
        <is>
          <t>https://tenders.iglonline.net/uploads/tender/Corrigendum_3_CP17771.pdf</t>
        </is>
      </c>
      <c r="U1211" t="inlineStr">
        <is>
          <t>No</t>
        </is>
      </c>
      <c r="V1211" t="inlineStr">
        <is>
          <t>Bot tarafindan tespit edildi (2026-07-01)</t>
        </is>
      </c>
    </row>
    <row r="1212">
      <c r="A1212" t="inlineStr">
        <is>
          <t>T-1016</t>
        </is>
      </c>
      <c r="B1212" t="inlineStr">
        <is>
          <t>Indraprastha Gas (IGL)</t>
        </is>
      </c>
      <c r="C1212" t="inlineStr">
        <is>
          <t>Indraprastha Gas (IGL)</t>
        </is>
      </c>
      <c r="F1212" t="inlineStr">
        <is>
          <t>New Lead</t>
        </is>
      </c>
      <c r="H1212" t="inlineStr">
        <is>
          <t>Corrigendum_4_CP17771.pdf</t>
        </is>
      </c>
      <c r="K1212" t="inlineStr">
        <is>
          <t>Not found</t>
        </is>
      </c>
      <c r="L1212" t="inlineStr">
        <is>
          <t>Unknown</t>
        </is>
      </c>
      <c r="T1212" t="inlineStr">
        <is>
          <t>https://tenders.iglonline.net/uploads/tender/Corrigendum_4_CP17771.pdf</t>
        </is>
      </c>
      <c r="U1212" t="inlineStr">
        <is>
          <t>No</t>
        </is>
      </c>
      <c r="V1212" t="inlineStr">
        <is>
          <t>Bot tarafindan tespit edildi (2026-07-01)</t>
        </is>
      </c>
    </row>
    <row r="1213">
      <c r="A1213" t="inlineStr">
        <is>
          <t>T-1017</t>
        </is>
      </c>
      <c r="B1213" t="inlineStr">
        <is>
          <t>Indraprastha Gas (IGL)</t>
        </is>
      </c>
      <c r="C1213" t="inlineStr">
        <is>
          <t>Indraprastha Gas (IGL)</t>
        </is>
      </c>
      <c r="F1213" t="inlineStr">
        <is>
          <t>New Lead</t>
        </is>
      </c>
      <c r="H1213" t="inlineStr">
        <is>
          <t>RTBQ_CP17771.pdf</t>
        </is>
      </c>
      <c r="K1213" t="inlineStr">
        <is>
          <t>Not found</t>
        </is>
      </c>
      <c r="L1213" t="inlineStr">
        <is>
          <t>Unknown</t>
        </is>
      </c>
      <c r="T1213" t="inlineStr">
        <is>
          <t>https://tenders.iglonline.net/uploads/tender/RTBQ_CP17771.pdf</t>
        </is>
      </c>
      <c r="U1213" t="inlineStr">
        <is>
          <t>No</t>
        </is>
      </c>
      <c r="V1213" t="inlineStr">
        <is>
          <t>Bot tarafindan tespit edildi (2026-07-01)</t>
        </is>
      </c>
    </row>
    <row r="1214">
      <c r="A1214" t="inlineStr">
        <is>
          <t>T-1018</t>
        </is>
      </c>
      <c r="B1214" t="inlineStr">
        <is>
          <t>Indraprastha Gas (IGL)</t>
        </is>
      </c>
      <c r="C1214" t="inlineStr">
        <is>
          <t>Indraprastha Gas (IGL)</t>
        </is>
      </c>
      <c r="F1214" t="inlineStr">
        <is>
          <t>New Lead</t>
        </is>
      </c>
      <c r="H1214" t="inlineStr">
        <is>
          <t>Corrigendum_5_CP17771.pdf</t>
        </is>
      </c>
      <c r="K1214" t="inlineStr">
        <is>
          <t>Not found</t>
        </is>
      </c>
      <c r="L1214" t="inlineStr">
        <is>
          <t>Unknown</t>
        </is>
      </c>
      <c r="T1214" t="inlineStr">
        <is>
          <t>https://tenders.iglonline.net/uploads/tender/Corrigendum_5_CP17771.pdf</t>
        </is>
      </c>
      <c r="U1214" t="inlineStr">
        <is>
          <t>No</t>
        </is>
      </c>
      <c r="V1214" t="inlineStr">
        <is>
          <t>Bot tarafindan tespit edildi (2026-07-01)</t>
        </is>
      </c>
    </row>
    <row r="1215">
      <c r="A1215" t="inlineStr">
        <is>
          <t>T-1019</t>
        </is>
      </c>
      <c r="B1215" t="inlineStr">
        <is>
          <t>Indraprastha Gas (IGL)</t>
        </is>
      </c>
      <c r="C1215" t="inlineStr">
        <is>
          <t>Indraprastha Gas (IGL)</t>
        </is>
      </c>
      <c r="F1215" t="inlineStr">
        <is>
          <t>New Lead</t>
        </is>
      </c>
      <c r="H1215" t="inlineStr">
        <is>
          <t>Corrigendum_6_CP17771.pdf</t>
        </is>
      </c>
      <c r="K1215" t="inlineStr">
        <is>
          <t>Not found</t>
        </is>
      </c>
      <c r="L1215" t="inlineStr">
        <is>
          <t>Unknown</t>
        </is>
      </c>
      <c r="T1215" t="inlineStr">
        <is>
          <t>https://tenders.iglonline.net/uploads/tender/Corrigendum_6_CP17771.pdf</t>
        </is>
      </c>
      <c r="U1215" t="inlineStr">
        <is>
          <t>No</t>
        </is>
      </c>
      <c r="V1215" t="inlineStr">
        <is>
          <t>Bot tarafindan tespit edildi (2026-07-01)</t>
        </is>
      </c>
    </row>
    <row r="1216">
      <c r="A1216" t="inlineStr">
        <is>
          <t>T-1020</t>
        </is>
      </c>
      <c r="B1216" t="inlineStr">
        <is>
          <t>Indraprastha Gas (IGL)</t>
        </is>
      </c>
      <c r="C1216" t="inlineStr">
        <is>
          <t>Indraprastha Gas (IGL)</t>
        </is>
      </c>
      <c r="F1216" t="inlineStr">
        <is>
          <t>New Lead</t>
        </is>
      </c>
      <c r="H1216" t="inlineStr">
        <is>
          <t>Reply_to_Bidder_Queries_-_2.pdf</t>
        </is>
      </c>
      <c r="K1216" t="inlineStr">
        <is>
          <t>Not found</t>
        </is>
      </c>
      <c r="L1216" t="inlineStr">
        <is>
          <t>Unknown</t>
        </is>
      </c>
      <c r="T1216" t="inlineStr">
        <is>
          <t>https://tenders.iglonline.net/uploads/tender/Reply_to_Bidder_Queries_-_2.pdf</t>
        </is>
      </c>
      <c r="U1216" t="inlineStr">
        <is>
          <t>No</t>
        </is>
      </c>
      <c r="V1216" t="inlineStr">
        <is>
          <t>Bot tarafindan tespit edildi (2026-07-01)</t>
        </is>
      </c>
    </row>
    <row r="1217">
      <c r="A1217" t="inlineStr">
        <is>
          <t>T-1021</t>
        </is>
      </c>
      <c r="B1217" t="inlineStr">
        <is>
          <t>Indraprastha Gas (IGL)</t>
        </is>
      </c>
      <c r="C1217" t="inlineStr">
        <is>
          <t>Indraprastha Gas (IGL)</t>
        </is>
      </c>
      <c r="F1217" t="inlineStr">
        <is>
          <t>New Lead</t>
        </is>
      </c>
      <c r="H1217" t="inlineStr">
        <is>
          <t>Corrigendum_7.pdf</t>
        </is>
      </c>
      <c r="K1217" t="inlineStr">
        <is>
          <t>Not found</t>
        </is>
      </c>
      <c r="L1217" t="inlineStr">
        <is>
          <t>Unknown</t>
        </is>
      </c>
      <c r="T1217" t="inlineStr">
        <is>
          <t>https://tenders.iglonline.net/uploads/tender/Corrigendum_7.pdf</t>
        </is>
      </c>
      <c r="U1217" t="inlineStr">
        <is>
          <t>No</t>
        </is>
      </c>
      <c r="V1217" t="inlineStr">
        <is>
          <t>Bot tarafindan tespit edildi (2026-07-01)</t>
        </is>
      </c>
    </row>
    <row r="1218">
      <c r="A1218" t="inlineStr">
        <is>
          <t>T-1022</t>
        </is>
      </c>
      <c r="B1218" t="inlineStr">
        <is>
          <t>Indraprastha Gas (IGL)</t>
        </is>
      </c>
      <c r="C1218" t="inlineStr">
        <is>
          <t>Indraprastha Gas (IGL)</t>
        </is>
      </c>
      <c r="F1218" t="inlineStr">
        <is>
          <t>New Lead</t>
        </is>
      </c>
      <c r="H1218" t="inlineStr">
        <is>
          <t>Corrigendum_8_CP17771.pdf</t>
        </is>
      </c>
      <c r="K1218" t="inlineStr">
        <is>
          <t>Not found</t>
        </is>
      </c>
      <c r="L1218" t="inlineStr">
        <is>
          <t>Unknown</t>
        </is>
      </c>
      <c r="T1218" t="inlineStr">
        <is>
          <t>https://tenders.iglonline.net/uploads/tender/Corrigendum_8_CP17771.pdf</t>
        </is>
      </c>
      <c r="U1218" t="inlineStr">
        <is>
          <t>No</t>
        </is>
      </c>
      <c r="V1218" t="inlineStr">
        <is>
          <t>Bot tarafindan tespit edildi (2026-07-01)</t>
        </is>
      </c>
    </row>
    <row r="1219">
      <c r="A1219" t="inlineStr">
        <is>
          <t>T-1023</t>
        </is>
      </c>
      <c r="B1219" t="inlineStr">
        <is>
          <t>Indraprastha Gas (IGL)</t>
        </is>
      </c>
      <c r="C1219" t="inlineStr">
        <is>
          <t>Indraprastha Gas (IGL)</t>
        </is>
      </c>
      <c r="F1219" t="inlineStr">
        <is>
          <t>New Lead</t>
        </is>
      </c>
      <c r="H1219" t="inlineStr">
        <is>
          <t>View Tender</t>
        </is>
      </c>
      <c r="K1219" t="inlineStr">
        <is>
          <t>Not found</t>
        </is>
      </c>
      <c r="L1219" t="inlineStr">
        <is>
          <t>Unknown</t>
        </is>
      </c>
      <c r="T1219" t="inlineStr">
        <is>
          <t>https://tenders.iglonline.net/tenderDetail/226/Active Tenders And Corrigendum-Addendum</t>
        </is>
      </c>
      <c r="U1219" t="inlineStr">
        <is>
          <t>No</t>
        </is>
      </c>
      <c r="V1219" t="inlineStr">
        <is>
          <t>Bot tarafindan tespit edildi (2026-07-01)</t>
        </is>
      </c>
    </row>
    <row r="1220">
      <c r="A1220" t="inlineStr">
        <is>
          <t>T-1024</t>
        </is>
      </c>
      <c r="B1220" t="inlineStr">
        <is>
          <t>Indraprastha Gas (IGL)</t>
        </is>
      </c>
      <c r="C1220" t="inlineStr">
        <is>
          <t>Indraprastha Gas (IGL)</t>
        </is>
      </c>
      <c r="F1220" t="inlineStr">
        <is>
          <t>New Lead</t>
        </is>
      </c>
      <c r="H1220" t="inlineStr">
        <is>
          <t>IGL_Pre-Bid_Queries.pdf</t>
        </is>
      </c>
      <c r="K1220" t="inlineStr">
        <is>
          <t>Not found</t>
        </is>
      </c>
      <c r="L1220" t="inlineStr">
        <is>
          <t>Unknown</t>
        </is>
      </c>
      <c r="T1220" t="inlineStr">
        <is>
          <t>https://tenders.iglonline.net/uploads/tender/IGL_Pre-Bid_Queries.pdf</t>
        </is>
      </c>
      <c r="U1220" t="inlineStr">
        <is>
          <t>No</t>
        </is>
      </c>
      <c r="V1220" t="inlineStr">
        <is>
          <t>Bot tarafindan tespit edildi (2026-07-01)</t>
        </is>
      </c>
    </row>
    <row r="1221">
      <c r="A1221" t="inlineStr">
        <is>
          <t>T-1025</t>
        </is>
      </c>
      <c r="B1221" t="inlineStr">
        <is>
          <t>Indraprastha Gas (IGL)</t>
        </is>
      </c>
      <c r="C1221" t="inlineStr">
        <is>
          <t>Indraprastha Gas (IGL)</t>
        </is>
      </c>
      <c r="F1221" t="inlineStr">
        <is>
          <t>New Lead</t>
        </is>
      </c>
      <c r="H1221" t="inlineStr">
        <is>
          <t>CORRIGENDUM_II_(1).pdf</t>
        </is>
      </c>
      <c r="K1221" t="inlineStr">
        <is>
          <t>Not found</t>
        </is>
      </c>
      <c r="L1221" t="inlineStr">
        <is>
          <t>Unknown</t>
        </is>
      </c>
      <c r="T1221" t="inlineStr">
        <is>
          <t>https://tenders.iglonline.net/uploads/tender/CORRIGENDUM_II_(1).pdf</t>
        </is>
      </c>
      <c r="U1221" t="inlineStr">
        <is>
          <t>No</t>
        </is>
      </c>
      <c r="V1221" t="inlineStr">
        <is>
          <t>Bot tarafindan tespit edildi (2026-07-01)</t>
        </is>
      </c>
    </row>
    <row r="1222">
      <c r="A1222" t="inlineStr">
        <is>
          <t>T-1026</t>
        </is>
      </c>
      <c r="B1222" t="inlineStr">
        <is>
          <t>Indraprastha Gas (IGL)</t>
        </is>
      </c>
      <c r="C1222" t="inlineStr">
        <is>
          <t>Indraprastha Gas (IGL)</t>
        </is>
      </c>
      <c r="F1222" t="inlineStr">
        <is>
          <t>New Lead</t>
        </is>
      </c>
      <c r="H1222" t="inlineStr">
        <is>
          <t>CORRIGENDUM_III.pdf</t>
        </is>
      </c>
      <c r="K1222" t="inlineStr">
        <is>
          <t>Not found</t>
        </is>
      </c>
      <c r="L1222" t="inlineStr">
        <is>
          <t>Unknown</t>
        </is>
      </c>
      <c r="T1222" t="inlineStr">
        <is>
          <t>https://tenders.iglonline.net/uploads/tender/CORRIGENDUM_III.pdf</t>
        </is>
      </c>
      <c r="U1222" t="inlineStr">
        <is>
          <t>No</t>
        </is>
      </c>
      <c r="V1222" t="inlineStr">
        <is>
          <t>Bot tarafindan tespit edildi (2026-07-01)</t>
        </is>
      </c>
    </row>
    <row r="1223">
      <c r="A1223" t="inlineStr">
        <is>
          <t>T-1027</t>
        </is>
      </c>
      <c r="B1223" t="inlineStr">
        <is>
          <t>Indraprastha Gas (IGL)</t>
        </is>
      </c>
      <c r="C1223" t="inlineStr">
        <is>
          <t>Indraprastha Gas (IGL)</t>
        </is>
      </c>
      <c r="F1223" t="inlineStr">
        <is>
          <t>New Lead</t>
        </is>
      </c>
      <c r="H1223" t="inlineStr">
        <is>
          <t>View Tender</t>
        </is>
      </c>
      <c r="K1223" t="inlineStr">
        <is>
          <t>Not found</t>
        </is>
      </c>
      <c r="L1223" t="inlineStr">
        <is>
          <t>Unknown</t>
        </is>
      </c>
      <c r="T1223" t="inlineStr">
        <is>
          <t>https://tenders.iglonline.net/tenderDetail/225/Active Tenders And Corrigendum-Addendum</t>
        </is>
      </c>
      <c r="U1223" t="inlineStr">
        <is>
          <t>No</t>
        </is>
      </c>
      <c r="V1223" t="inlineStr">
        <is>
          <t>Bot tarafindan tespit edildi (2026-07-01)</t>
        </is>
      </c>
    </row>
    <row r="1224">
      <c r="A1224" t="inlineStr">
        <is>
          <t>T-1028</t>
        </is>
      </c>
      <c r="B1224" t="inlineStr">
        <is>
          <t>Indraprastha Gas (IGL)</t>
        </is>
      </c>
      <c r="C1224" t="inlineStr">
        <is>
          <t>Indraprastha Gas (IGL)</t>
        </is>
      </c>
      <c r="F1224" t="inlineStr">
        <is>
          <t>New Lead</t>
        </is>
      </c>
      <c r="H1224" t="inlineStr">
        <is>
          <t>Corrigendum_1_CP17735.pdf</t>
        </is>
      </c>
      <c r="K1224" t="inlineStr">
        <is>
          <t>Not found</t>
        </is>
      </c>
      <c r="L1224" t="inlineStr">
        <is>
          <t>Unknown</t>
        </is>
      </c>
      <c r="T1224" t="inlineStr">
        <is>
          <t>https://tenders.iglonline.net/uploads/tender/Corrigendum_1_CP17735.pdf</t>
        </is>
      </c>
      <c r="U1224" t="inlineStr">
        <is>
          <t>No</t>
        </is>
      </c>
      <c r="V1224" t="inlineStr">
        <is>
          <t>Bot tarafindan tespit edildi (2026-07-01)</t>
        </is>
      </c>
    </row>
    <row r="1225">
      <c r="A1225" t="inlineStr">
        <is>
          <t>T-1029</t>
        </is>
      </c>
      <c r="B1225" t="inlineStr">
        <is>
          <t>Indraprastha Gas (IGL)</t>
        </is>
      </c>
      <c r="C1225" t="inlineStr">
        <is>
          <t>Indraprastha Gas (IGL)</t>
        </is>
      </c>
      <c r="F1225" t="inlineStr">
        <is>
          <t>New Lead</t>
        </is>
      </c>
      <c r="H1225" t="inlineStr">
        <is>
          <t>Corrigendum_2_CP17735.pdf</t>
        </is>
      </c>
      <c r="K1225" t="inlineStr">
        <is>
          <t>Not found</t>
        </is>
      </c>
      <c r="L1225" t="inlineStr">
        <is>
          <t>Unknown</t>
        </is>
      </c>
      <c r="T1225" t="inlineStr">
        <is>
          <t>https://tenders.iglonline.net/uploads/tender/Corrigendum_2_CP17735.pdf</t>
        </is>
      </c>
      <c r="U1225" t="inlineStr">
        <is>
          <t>No</t>
        </is>
      </c>
      <c r="V1225" t="inlineStr">
        <is>
          <t>Bot tarafindan tespit edildi (2026-07-01)</t>
        </is>
      </c>
    </row>
    <row r="1226">
      <c r="A1226" t="inlineStr">
        <is>
          <t>T-1030</t>
        </is>
      </c>
      <c r="B1226" t="inlineStr">
        <is>
          <t>Indraprastha Gas (IGL)</t>
        </is>
      </c>
      <c r="C1226" t="inlineStr">
        <is>
          <t>Indraprastha Gas (IGL)</t>
        </is>
      </c>
      <c r="F1226" t="inlineStr">
        <is>
          <t>New Lead</t>
        </is>
      </c>
      <c r="H1226" t="inlineStr">
        <is>
          <t>Corrigendum_3_CP17735.pdf</t>
        </is>
      </c>
      <c r="K1226" t="inlineStr">
        <is>
          <t>Not found</t>
        </is>
      </c>
      <c r="L1226" t="inlineStr">
        <is>
          <t>Unknown</t>
        </is>
      </c>
      <c r="T1226" t="inlineStr">
        <is>
          <t>https://tenders.iglonline.net/uploads/tender/Corrigendum_3_CP17735.pdf</t>
        </is>
      </c>
      <c r="U1226" t="inlineStr">
        <is>
          <t>No</t>
        </is>
      </c>
      <c r="V1226" t="inlineStr">
        <is>
          <t>Bot tarafindan tespit edildi (2026-07-01)</t>
        </is>
      </c>
    </row>
    <row r="1227">
      <c r="A1227" t="inlineStr">
        <is>
          <t>T-1031</t>
        </is>
      </c>
      <c r="B1227" t="inlineStr">
        <is>
          <t>Indraprastha Gas (IGL)</t>
        </is>
      </c>
      <c r="C1227" t="inlineStr">
        <is>
          <t>Indraprastha Gas (IGL)</t>
        </is>
      </c>
      <c r="F1227" t="inlineStr">
        <is>
          <t>New Lead</t>
        </is>
      </c>
      <c r="H1227" t="inlineStr">
        <is>
          <t>Corrigendum_4_CP17735.pdf</t>
        </is>
      </c>
      <c r="K1227" t="inlineStr">
        <is>
          <t>Not found</t>
        </is>
      </c>
      <c r="L1227" t="inlineStr">
        <is>
          <t>Unknown</t>
        </is>
      </c>
      <c r="T1227" t="inlineStr">
        <is>
          <t>https://tenders.iglonline.net/uploads/tender/Corrigendum_4_CP17735.pdf</t>
        </is>
      </c>
      <c r="U1227" t="inlineStr">
        <is>
          <t>No</t>
        </is>
      </c>
      <c r="V1227" t="inlineStr">
        <is>
          <t>Bot tarafindan tespit edildi (2026-07-01)</t>
        </is>
      </c>
    </row>
    <row r="1228">
      <c r="A1228" t="inlineStr">
        <is>
          <t>T-1032</t>
        </is>
      </c>
      <c r="B1228" t="inlineStr">
        <is>
          <t>Indraprastha Gas (IGL)</t>
        </is>
      </c>
      <c r="C1228" t="inlineStr">
        <is>
          <t>Indraprastha Gas (IGL)</t>
        </is>
      </c>
      <c r="F1228" t="inlineStr">
        <is>
          <t>New Lead</t>
        </is>
      </c>
      <c r="H1228" t="inlineStr">
        <is>
          <t>Corrigendum_5_CP17735.pdf</t>
        </is>
      </c>
      <c r="K1228" t="inlineStr">
        <is>
          <t>Not found</t>
        </is>
      </c>
      <c r="L1228" t="inlineStr">
        <is>
          <t>Unknown</t>
        </is>
      </c>
      <c r="T1228" t="inlineStr">
        <is>
          <t>https://tenders.iglonline.net/uploads/tender/Corrigendum_5_CP17735.pdf</t>
        </is>
      </c>
      <c r="U1228" t="inlineStr">
        <is>
          <t>No</t>
        </is>
      </c>
      <c r="V1228" t="inlineStr">
        <is>
          <t>Bot tarafindan tespit edildi (2026-07-01)</t>
        </is>
      </c>
    </row>
    <row r="1229">
      <c r="A1229" t="inlineStr">
        <is>
          <t>T-1033</t>
        </is>
      </c>
      <c r="B1229" t="inlineStr">
        <is>
          <t>Indraprastha Gas (IGL)</t>
        </is>
      </c>
      <c r="C1229" t="inlineStr">
        <is>
          <t>Indraprastha Gas (IGL)</t>
        </is>
      </c>
      <c r="F1229" t="inlineStr">
        <is>
          <t>New Lead</t>
        </is>
      </c>
      <c r="H1229" t="inlineStr">
        <is>
          <t>View Tender</t>
        </is>
      </c>
      <c r="K1229" t="inlineStr">
        <is>
          <t>Not found</t>
        </is>
      </c>
      <c r="L1229" t="inlineStr">
        <is>
          <t>Unknown</t>
        </is>
      </c>
      <c r="T1229" t="inlineStr">
        <is>
          <t>https://tenders.iglonline.net/tenderDetail/224/Active Tenders And Corrigendum-Addendum</t>
        </is>
      </c>
      <c r="U1229" t="inlineStr">
        <is>
          <t>No</t>
        </is>
      </c>
      <c r="V1229" t="inlineStr">
        <is>
          <t>Bot tarafindan tespit edildi (2026-07-01)</t>
        </is>
      </c>
    </row>
    <row r="1230">
      <c r="A1230" t="inlineStr">
        <is>
          <t>T-1034</t>
        </is>
      </c>
      <c r="B1230" t="inlineStr">
        <is>
          <t>Indraprastha Gas (IGL)</t>
        </is>
      </c>
      <c r="C1230" t="inlineStr">
        <is>
          <t>Indraprastha Gas (IGL)</t>
        </is>
      </c>
      <c r="F1230" t="inlineStr">
        <is>
          <t>New Lead</t>
        </is>
      </c>
      <c r="H1230" t="inlineStr">
        <is>
          <t>Reply_to_Bidders_Queries_(CC17742).pdf</t>
        </is>
      </c>
      <c r="K1230" t="inlineStr">
        <is>
          <t>Not found</t>
        </is>
      </c>
      <c r="L1230" t="inlineStr">
        <is>
          <t>Unknown</t>
        </is>
      </c>
      <c r="T1230" t="inlineStr">
        <is>
          <t>https://tenders.iglonline.net/uploads/tender/Reply_to_Bidders_Queries_(CC17742).pdf</t>
        </is>
      </c>
      <c r="U1230" t="inlineStr">
        <is>
          <t>No</t>
        </is>
      </c>
      <c r="V1230" t="inlineStr">
        <is>
          <t>Bot tarafindan tespit edildi (2026-07-01)</t>
        </is>
      </c>
    </row>
    <row r="1231">
      <c r="A1231" t="inlineStr">
        <is>
          <t>T-1035</t>
        </is>
      </c>
      <c r="B1231" t="inlineStr">
        <is>
          <t>Indraprastha Gas (IGL)</t>
        </is>
      </c>
      <c r="C1231" t="inlineStr">
        <is>
          <t>Indraprastha Gas (IGL)</t>
        </is>
      </c>
      <c r="F1231" t="inlineStr">
        <is>
          <t>New Lead</t>
        </is>
      </c>
      <c r="H1231" t="inlineStr">
        <is>
          <t>View Tender</t>
        </is>
      </c>
      <c r="K1231" t="inlineStr">
        <is>
          <t>Not found</t>
        </is>
      </c>
      <c r="L1231" t="inlineStr">
        <is>
          <t>Unknown</t>
        </is>
      </c>
      <c r="T1231" t="inlineStr">
        <is>
          <t>https://tenders.iglonline.net/tenderDetail/223/Active Tenders And Corrigendum-Addendum</t>
        </is>
      </c>
      <c r="U1231" t="inlineStr">
        <is>
          <t>No</t>
        </is>
      </c>
      <c r="V1231" t="inlineStr">
        <is>
          <t>Bot tarafindan tespit edildi (2026-07-01)</t>
        </is>
      </c>
    </row>
    <row r="1232">
      <c r="A1232" t="inlineStr">
        <is>
          <t>T-1036</t>
        </is>
      </c>
      <c r="B1232" t="inlineStr">
        <is>
          <t>Indraprastha Gas (IGL)</t>
        </is>
      </c>
      <c r="C1232" t="inlineStr">
        <is>
          <t>Indraprastha Gas (IGL)</t>
        </is>
      </c>
      <c r="F1232" t="inlineStr">
        <is>
          <t>New Lead</t>
        </is>
      </c>
      <c r="H1232" t="inlineStr">
        <is>
          <t>Corrigendum-ICC17730.pdf</t>
        </is>
      </c>
      <c r="K1232" t="inlineStr">
        <is>
          <t>Not found</t>
        </is>
      </c>
      <c r="L1232" t="inlineStr">
        <is>
          <t>Unknown</t>
        </is>
      </c>
      <c r="T1232" t="inlineStr">
        <is>
          <t>https://tenders.iglonline.net/uploads/tender/Corrigendum-ICC17730.pdf</t>
        </is>
      </c>
      <c r="U1232" t="inlineStr">
        <is>
          <t>No</t>
        </is>
      </c>
      <c r="V1232" t="inlineStr">
        <is>
          <t>Bot tarafindan tespit edildi (2026-07-01)</t>
        </is>
      </c>
    </row>
    <row r="1233">
      <c r="A1233" t="inlineStr">
        <is>
          <t>T-1037</t>
        </is>
      </c>
      <c r="B1233" t="inlineStr">
        <is>
          <t>Indraprastha Gas (IGL)</t>
        </is>
      </c>
      <c r="C1233" t="inlineStr">
        <is>
          <t>Indraprastha Gas (IGL)</t>
        </is>
      </c>
      <c r="F1233" t="inlineStr">
        <is>
          <t>New Lead</t>
        </is>
      </c>
      <c r="H1233" t="inlineStr">
        <is>
          <t>Corrigendum_2_(4).pdf</t>
        </is>
      </c>
      <c r="K1233" t="inlineStr">
        <is>
          <t>Not found</t>
        </is>
      </c>
      <c r="L1233" t="inlineStr">
        <is>
          <t>Unknown</t>
        </is>
      </c>
      <c r="T1233" t="inlineStr">
        <is>
          <t>https://tenders.iglonline.net/uploads/tender/Corrigendum_2_(4).pdf</t>
        </is>
      </c>
      <c r="U1233" t="inlineStr">
        <is>
          <t>No</t>
        </is>
      </c>
      <c r="V1233" t="inlineStr">
        <is>
          <t>Bot tarafindan tespit edildi (2026-07-01)</t>
        </is>
      </c>
    </row>
    <row r="1234">
      <c r="A1234" t="inlineStr">
        <is>
          <t>T-1038</t>
        </is>
      </c>
      <c r="B1234" t="inlineStr">
        <is>
          <t>Indraprastha Gas (IGL)</t>
        </is>
      </c>
      <c r="C1234" t="inlineStr">
        <is>
          <t>Indraprastha Gas (IGL)</t>
        </is>
      </c>
      <c r="F1234" t="inlineStr">
        <is>
          <t>New Lead</t>
        </is>
      </c>
      <c r="H1234" t="inlineStr">
        <is>
          <t>Corrigendum-3_CC17730_.pdf</t>
        </is>
      </c>
      <c r="K1234" t="inlineStr">
        <is>
          <t>Not found</t>
        </is>
      </c>
      <c r="L1234" t="inlineStr">
        <is>
          <t>Unknown</t>
        </is>
      </c>
      <c r="T1234" t="inlineStr">
        <is>
          <t>https://tenders.iglonline.net/uploads/tender/Corrigendum-3_CC17730_.pdf</t>
        </is>
      </c>
      <c r="U1234" t="inlineStr">
        <is>
          <t>No</t>
        </is>
      </c>
      <c r="V1234" t="inlineStr">
        <is>
          <t>Bot tarafindan tespit edildi (2026-07-01)</t>
        </is>
      </c>
    </row>
    <row r="1235">
      <c r="A1235" t="inlineStr">
        <is>
          <t>T-1039</t>
        </is>
      </c>
      <c r="B1235" t="inlineStr">
        <is>
          <t>Indraprastha Gas (IGL)</t>
        </is>
      </c>
      <c r="C1235" t="inlineStr">
        <is>
          <t>Indraprastha Gas (IGL)</t>
        </is>
      </c>
      <c r="F1235" t="inlineStr">
        <is>
          <t>New Lead</t>
        </is>
      </c>
      <c r="H1235" t="inlineStr">
        <is>
          <t>View Tender</t>
        </is>
      </c>
      <c r="K1235" t="inlineStr">
        <is>
          <t>Not found</t>
        </is>
      </c>
      <c r="L1235" t="inlineStr">
        <is>
          <t>Unknown</t>
        </is>
      </c>
      <c r="T1235" t="inlineStr">
        <is>
          <t>https://tenders.iglonline.net/tenderDetail/222/Active Tenders And Corrigendum-Addendum</t>
        </is>
      </c>
      <c r="U1235" t="inlineStr">
        <is>
          <t>No</t>
        </is>
      </c>
      <c r="V1235" t="inlineStr">
        <is>
          <t>Bot tarafindan tespit edildi (2026-07-01)</t>
        </is>
      </c>
    </row>
    <row r="1236">
      <c r="A1236" t="inlineStr">
        <is>
          <t>T-1040</t>
        </is>
      </c>
      <c r="B1236" t="inlineStr">
        <is>
          <t>Indraprastha Gas (IGL)</t>
        </is>
      </c>
      <c r="C1236" t="inlineStr">
        <is>
          <t>Indraprastha Gas (IGL)</t>
        </is>
      </c>
      <c r="F1236" t="inlineStr">
        <is>
          <t>New Lead</t>
        </is>
      </c>
      <c r="H1236" t="inlineStr">
        <is>
          <t>Corrigendum_2_Replies_to_pre_bid_queries_CM17751.pdf</t>
        </is>
      </c>
      <c r="K1236" t="inlineStr">
        <is>
          <t>Not found</t>
        </is>
      </c>
      <c r="L1236" t="inlineStr">
        <is>
          <t>Unknown</t>
        </is>
      </c>
      <c r="T1236" t="inlineStr">
        <is>
          <t>https://tenders.iglonline.net/uploads/tender/Corrigendum_2_Replies_to_pre_bid_queries_CM17751.pdf</t>
        </is>
      </c>
      <c r="U1236" t="inlineStr">
        <is>
          <t>No</t>
        </is>
      </c>
      <c r="V1236" t="inlineStr">
        <is>
          <t>Bot tarafindan tespit edildi (2026-07-01)</t>
        </is>
      </c>
    </row>
    <row r="1237">
      <c r="A1237" t="inlineStr">
        <is>
          <t>T-1041</t>
        </is>
      </c>
      <c r="B1237" t="inlineStr">
        <is>
          <t>Indraprastha Gas (IGL)</t>
        </is>
      </c>
      <c r="C1237" t="inlineStr">
        <is>
          <t>Indraprastha Gas (IGL)</t>
        </is>
      </c>
      <c r="F1237" t="inlineStr">
        <is>
          <t>New Lead</t>
        </is>
      </c>
      <c r="H1237" t="inlineStr">
        <is>
          <t>CORRIGENDUM_1_17751.pdf</t>
        </is>
      </c>
      <c r="K1237" t="inlineStr">
        <is>
          <t>Not found</t>
        </is>
      </c>
      <c r="L1237" t="inlineStr">
        <is>
          <t>Unknown</t>
        </is>
      </c>
      <c r="T1237" t="inlineStr">
        <is>
          <t>https://tenders.iglonline.net/uploads/tender/CORRIGENDUM_1_17751.pdf</t>
        </is>
      </c>
      <c r="U1237" t="inlineStr">
        <is>
          <t>No</t>
        </is>
      </c>
      <c r="V1237" t="inlineStr">
        <is>
          <t>Bot tarafindan tespit edildi (2026-07-01)</t>
        </is>
      </c>
    </row>
    <row r="1238">
      <c r="A1238" t="inlineStr">
        <is>
          <t>T-1042</t>
        </is>
      </c>
      <c r="B1238" t="inlineStr">
        <is>
          <t>Indraprastha Gas (IGL)</t>
        </is>
      </c>
      <c r="C1238" t="inlineStr">
        <is>
          <t>Indraprastha Gas (IGL)</t>
        </is>
      </c>
      <c r="F1238" t="inlineStr">
        <is>
          <t>New Lead</t>
        </is>
      </c>
      <c r="H1238" t="inlineStr">
        <is>
          <t>CORRIGENDUM_III_(1).pdf</t>
        </is>
      </c>
      <c r="K1238" t="inlineStr">
        <is>
          <t>Not found</t>
        </is>
      </c>
      <c r="L1238" t="inlineStr">
        <is>
          <t>Unknown</t>
        </is>
      </c>
      <c r="T1238" t="inlineStr">
        <is>
          <t>https://tenders.iglonline.net/uploads/tender/CORRIGENDUM_III_(1).pdf</t>
        </is>
      </c>
      <c r="U1238" t="inlineStr">
        <is>
          <t>No</t>
        </is>
      </c>
      <c r="V1238" t="inlineStr">
        <is>
          <t>Bot tarafindan tespit edildi (2026-07-01)</t>
        </is>
      </c>
    </row>
    <row r="1239">
      <c r="A1239" t="inlineStr">
        <is>
          <t>T-1043</t>
        </is>
      </c>
      <c r="B1239" t="inlineStr">
        <is>
          <t>Indraprastha Gas (IGL)</t>
        </is>
      </c>
      <c r="C1239" t="inlineStr">
        <is>
          <t>Indraprastha Gas (IGL)</t>
        </is>
      </c>
      <c r="F1239" t="inlineStr">
        <is>
          <t>New Lead</t>
        </is>
      </c>
      <c r="H1239" t="inlineStr">
        <is>
          <t>CORRIGENDUM_IV_(1).pdf</t>
        </is>
      </c>
      <c r="K1239" t="inlineStr">
        <is>
          <t>Not found</t>
        </is>
      </c>
      <c r="L1239" t="inlineStr">
        <is>
          <t>Unknown</t>
        </is>
      </c>
      <c r="T1239" t="inlineStr">
        <is>
          <t>https://tenders.iglonline.net/uploads/tender/CORRIGENDUM_IV_(1).pdf</t>
        </is>
      </c>
      <c r="U1239" t="inlineStr">
        <is>
          <t>No</t>
        </is>
      </c>
      <c r="V1239" t="inlineStr">
        <is>
          <t>Bot tarafindan tespit edildi (2026-07-01)</t>
        </is>
      </c>
    </row>
    <row r="1240">
      <c r="A1240" t="inlineStr">
        <is>
          <t>T-1044</t>
        </is>
      </c>
      <c r="B1240" t="inlineStr">
        <is>
          <t>Indraprastha Gas (IGL)</t>
        </is>
      </c>
      <c r="C1240" t="inlineStr">
        <is>
          <t>Indraprastha Gas (IGL)</t>
        </is>
      </c>
      <c r="F1240" t="inlineStr">
        <is>
          <t>New Lead</t>
        </is>
      </c>
      <c r="H1240" t="inlineStr">
        <is>
          <t>View Tender</t>
        </is>
      </c>
      <c r="K1240" t="inlineStr">
        <is>
          <t>Not found</t>
        </is>
      </c>
      <c r="L1240" t="inlineStr">
        <is>
          <t>Unknown</t>
        </is>
      </c>
      <c r="T1240" t="inlineStr">
        <is>
          <t>https://tenders.iglonline.net/tenderDetail/221/Active Tenders And Corrigendum-Addendum</t>
        </is>
      </c>
      <c r="U1240" t="inlineStr">
        <is>
          <t>No</t>
        </is>
      </c>
      <c r="V1240" t="inlineStr">
        <is>
          <t>Bot tarafindan tespit edildi (2026-07-01)</t>
        </is>
      </c>
    </row>
    <row r="1241">
      <c r="A1241" t="inlineStr">
        <is>
          <t>T-1045</t>
        </is>
      </c>
      <c r="B1241" t="inlineStr">
        <is>
          <t>Indraprastha Gas (IGL)</t>
        </is>
      </c>
      <c r="C1241" t="inlineStr">
        <is>
          <t>Indraprastha Gas (IGL)</t>
        </is>
      </c>
      <c r="F1241" t="inlineStr">
        <is>
          <t>New Lead</t>
        </is>
      </c>
      <c r="H1241" t="inlineStr">
        <is>
          <t>Corrigendum_I_(7).pdf</t>
        </is>
      </c>
      <c r="K1241" t="inlineStr">
        <is>
          <t>Not found</t>
        </is>
      </c>
      <c r="L1241" t="inlineStr">
        <is>
          <t>Unknown</t>
        </is>
      </c>
      <c r="T1241" t="inlineStr">
        <is>
          <t>https://tenders.iglonline.net/uploads/tender/Corrigendum_I_(7).pdf</t>
        </is>
      </c>
      <c r="U1241" t="inlineStr">
        <is>
          <t>No</t>
        </is>
      </c>
      <c r="V1241" t="inlineStr">
        <is>
          <t>Bot tarafindan tespit edildi (2026-07-01)</t>
        </is>
      </c>
    </row>
    <row r="1242">
      <c r="A1242" t="inlineStr">
        <is>
          <t>T-1046</t>
        </is>
      </c>
      <c r="B1242" t="inlineStr">
        <is>
          <t>Indraprastha Gas (IGL)</t>
        </is>
      </c>
      <c r="C1242" t="inlineStr">
        <is>
          <t>Indraprastha Gas (IGL)</t>
        </is>
      </c>
      <c r="F1242" t="inlineStr">
        <is>
          <t>New Lead</t>
        </is>
      </c>
      <c r="H1242" t="inlineStr">
        <is>
          <t>Corrigendum_II_(6).pdf</t>
        </is>
      </c>
      <c r="K1242" t="inlineStr">
        <is>
          <t>Not found</t>
        </is>
      </c>
      <c r="L1242" t="inlineStr">
        <is>
          <t>Unknown</t>
        </is>
      </c>
      <c r="T1242" t="inlineStr">
        <is>
          <t>https://tenders.iglonline.net/uploads/tender/Corrigendum_II_(6).pdf</t>
        </is>
      </c>
      <c r="U1242" t="inlineStr">
        <is>
          <t>No</t>
        </is>
      </c>
      <c r="V1242" t="inlineStr">
        <is>
          <t>Bot tarafindan tespit edildi (2026-07-01)</t>
        </is>
      </c>
    </row>
    <row r="1243">
      <c r="A1243" t="inlineStr">
        <is>
          <t>T-1047</t>
        </is>
      </c>
      <c r="B1243" t="inlineStr">
        <is>
          <t>Indraprastha Gas (IGL)</t>
        </is>
      </c>
      <c r="C1243" t="inlineStr">
        <is>
          <t>Indraprastha Gas (IGL)</t>
        </is>
      </c>
      <c r="F1243" t="inlineStr">
        <is>
          <t>New Lead</t>
        </is>
      </c>
      <c r="H1243" t="inlineStr">
        <is>
          <t>Corrigendum_III_(3).pdf</t>
        </is>
      </c>
      <c r="K1243" t="inlineStr">
        <is>
          <t>Not found</t>
        </is>
      </c>
      <c r="L1243" t="inlineStr">
        <is>
          <t>Unknown</t>
        </is>
      </c>
      <c r="T1243" t="inlineStr">
        <is>
          <t>https://tenders.iglonline.net/uploads/tender/Corrigendum_III_(3).pdf</t>
        </is>
      </c>
      <c r="U1243" t="inlineStr">
        <is>
          <t>No</t>
        </is>
      </c>
      <c r="V1243" t="inlineStr">
        <is>
          <t>Bot tarafindan tespit edildi (2026-07-01)</t>
        </is>
      </c>
    </row>
    <row r="1244">
      <c r="A1244" t="inlineStr">
        <is>
          <t>T-1048</t>
        </is>
      </c>
      <c r="B1244" t="inlineStr">
        <is>
          <t>Indraprastha Gas (IGL)</t>
        </is>
      </c>
      <c r="C1244" t="inlineStr">
        <is>
          <t>Indraprastha Gas (IGL)</t>
        </is>
      </c>
      <c r="F1244" t="inlineStr">
        <is>
          <t>New Lead</t>
        </is>
      </c>
      <c r="H1244" t="inlineStr">
        <is>
          <t>Corrigendum_IV_(3).pdf</t>
        </is>
      </c>
      <c r="K1244" t="inlineStr">
        <is>
          <t>Not found</t>
        </is>
      </c>
      <c r="L1244" t="inlineStr">
        <is>
          <t>Unknown</t>
        </is>
      </c>
      <c r="T1244" t="inlineStr">
        <is>
          <t>https://tenders.iglonline.net/uploads/tender/Corrigendum_IV_(3).pdf</t>
        </is>
      </c>
      <c r="U1244" t="inlineStr">
        <is>
          <t>No</t>
        </is>
      </c>
      <c r="V1244" t="inlineStr">
        <is>
          <t>Bot tarafindan tespit edildi (2026-07-01)</t>
        </is>
      </c>
    </row>
    <row r="1245">
      <c r="A1245" t="inlineStr">
        <is>
          <t>T-1049</t>
        </is>
      </c>
      <c r="B1245" t="inlineStr">
        <is>
          <t>Indraprastha Gas (IGL)</t>
        </is>
      </c>
      <c r="C1245" t="inlineStr">
        <is>
          <t>Indraprastha Gas (IGL)</t>
        </is>
      </c>
      <c r="F1245" t="inlineStr">
        <is>
          <t>New Lead</t>
        </is>
      </c>
      <c r="H1245" t="inlineStr">
        <is>
          <t>Corrigendum_V2.pdf</t>
        </is>
      </c>
      <c r="K1245" t="inlineStr">
        <is>
          <t>Not found</t>
        </is>
      </c>
      <c r="L1245" t="inlineStr">
        <is>
          <t>Unknown</t>
        </is>
      </c>
      <c r="T1245" t="inlineStr">
        <is>
          <t>https://tenders.iglonline.net/uploads/tender/Corrigendum_V2.pdf</t>
        </is>
      </c>
      <c r="U1245" t="inlineStr">
        <is>
          <t>No</t>
        </is>
      </c>
      <c r="V1245" t="inlineStr">
        <is>
          <t>Bot tarafindan tespit edildi (2026-07-01)</t>
        </is>
      </c>
    </row>
    <row r="1246">
      <c r="A1246" t="inlineStr">
        <is>
          <t>T-1050</t>
        </is>
      </c>
      <c r="B1246" t="inlineStr">
        <is>
          <t>Indraprastha Gas (IGL)</t>
        </is>
      </c>
      <c r="C1246" t="inlineStr">
        <is>
          <t>Indraprastha Gas (IGL)</t>
        </is>
      </c>
      <c r="F1246" t="inlineStr">
        <is>
          <t>New Lead</t>
        </is>
      </c>
      <c r="H1246" t="inlineStr">
        <is>
          <t>Corrigendum_VI_Annexure_-IV.pdf</t>
        </is>
      </c>
      <c r="K1246" t="inlineStr">
        <is>
          <t>Not found</t>
        </is>
      </c>
      <c r="L1246" t="inlineStr">
        <is>
          <t>Unknown</t>
        </is>
      </c>
      <c r="T1246" t="inlineStr">
        <is>
          <t>https://tenders.iglonline.net/uploads/tender/Corrigendum_VI_Annexure_-IV.pdf</t>
        </is>
      </c>
      <c r="U1246" t="inlineStr">
        <is>
          <t>No</t>
        </is>
      </c>
      <c r="V1246" t="inlineStr">
        <is>
          <t>Bot tarafindan tespit edildi (2026-07-01)</t>
        </is>
      </c>
    </row>
    <row r="1247">
      <c r="A1247" t="inlineStr">
        <is>
          <t>T-1051</t>
        </is>
      </c>
      <c r="B1247" t="inlineStr">
        <is>
          <t>Indraprastha Gas (IGL)</t>
        </is>
      </c>
      <c r="C1247" t="inlineStr">
        <is>
          <t>Indraprastha Gas (IGL)</t>
        </is>
      </c>
      <c r="F1247" t="inlineStr">
        <is>
          <t>New Lead</t>
        </is>
      </c>
      <c r="H1247" t="inlineStr">
        <is>
          <t>Reply_Prebid_Queries.pdf</t>
        </is>
      </c>
      <c r="K1247" t="inlineStr">
        <is>
          <t>Not found</t>
        </is>
      </c>
      <c r="L1247" t="inlineStr">
        <is>
          <t>Unknown</t>
        </is>
      </c>
      <c r="T1247" t="inlineStr">
        <is>
          <t>https://tenders.iglonline.net/uploads/tender/Reply_Prebid_Queries.pdf</t>
        </is>
      </c>
      <c r="U1247" t="inlineStr">
        <is>
          <t>No</t>
        </is>
      </c>
      <c r="V1247" t="inlineStr">
        <is>
          <t>Bot tarafindan tespit edildi (2026-07-01)</t>
        </is>
      </c>
    </row>
    <row r="1248">
      <c r="A1248" t="inlineStr">
        <is>
          <t>T-1052</t>
        </is>
      </c>
      <c r="B1248" t="inlineStr">
        <is>
          <t>Indraprastha Gas (IGL)</t>
        </is>
      </c>
      <c r="C1248" t="inlineStr">
        <is>
          <t>Indraprastha Gas (IGL)</t>
        </is>
      </c>
      <c r="F1248" t="inlineStr">
        <is>
          <t>New Lead</t>
        </is>
      </c>
      <c r="H1248" t="inlineStr">
        <is>
          <t>Corrigendum_VII1.pdf</t>
        </is>
      </c>
      <c r="K1248" t="inlineStr">
        <is>
          <t>Not found</t>
        </is>
      </c>
      <c r="L1248" t="inlineStr">
        <is>
          <t>Unknown</t>
        </is>
      </c>
      <c r="T1248" t="inlineStr">
        <is>
          <t>https://tenders.iglonline.net/uploads/tender/Corrigendum_VII1.pdf</t>
        </is>
      </c>
      <c r="U1248" t="inlineStr">
        <is>
          <t>No</t>
        </is>
      </c>
      <c r="V1248" t="inlineStr">
        <is>
          <t>Bot tarafindan tespit edildi (2026-07-01)</t>
        </is>
      </c>
    </row>
    <row r="1249">
      <c r="A1249" t="inlineStr">
        <is>
          <t>T-1053</t>
        </is>
      </c>
      <c r="B1249" t="inlineStr">
        <is>
          <t>Indraprastha Gas (IGL)</t>
        </is>
      </c>
      <c r="C1249" t="inlineStr">
        <is>
          <t>Indraprastha Gas (IGL)</t>
        </is>
      </c>
      <c r="F1249" t="inlineStr">
        <is>
          <t>New Lead</t>
        </is>
      </c>
      <c r="H1249" t="inlineStr">
        <is>
          <t>View Tender</t>
        </is>
      </c>
      <c r="K1249" t="inlineStr">
        <is>
          <t>Not found</t>
        </is>
      </c>
      <c r="L1249" t="inlineStr">
        <is>
          <t>Unknown</t>
        </is>
      </c>
      <c r="T1249" t="inlineStr">
        <is>
          <t>https://tenders.iglonline.net/tenderDetail/220/Active Tenders And Corrigendum-Addendum</t>
        </is>
      </c>
      <c r="U1249" t="inlineStr">
        <is>
          <t>No</t>
        </is>
      </c>
      <c r="V1249" t="inlineStr">
        <is>
          <t>Bot tarafindan tespit edildi (2026-07-01)</t>
        </is>
      </c>
    </row>
    <row r="1250">
      <c r="A1250" t="inlineStr">
        <is>
          <t>T-1054</t>
        </is>
      </c>
      <c r="B1250" t="inlineStr">
        <is>
          <t>Indraprastha Gas (IGL)</t>
        </is>
      </c>
      <c r="C1250" t="inlineStr">
        <is>
          <t>Indraprastha Gas (IGL)</t>
        </is>
      </c>
      <c r="F1250" t="inlineStr">
        <is>
          <t>New Lead</t>
        </is>
      </c>
      <c r="H1250" t="inlineStr">
        <is>
          <t>Corrigendum_1_CP17747.pdf</t>
        </is>
      </c>
      <c r="K1250" t="inlineStr">
        <is>
          <t>Not found</t>
        </is>
      </c>
      <c r="L1250" t="inlineStr">
        <is>
          <t>Unknown</t>
        </is>
      </c>
      <c r="T1250" t="inlineStr">
        <is>
          <t>https://tenders.iglonline.net/uploads/tender/Corrigendum_1_CP17747.pdf</t>
        </is>
      </c>
      <c r="U1250" t="inlineStr">
        <is>
          <t>No</t>
        </is>
      </c>
      <c r="V1250" t="inlineStr">
        <is>
          <t>Bot tarafindan tespit edildi (2026-07-01)</t>
        </is>
      </c>
    </row>
    <row r="1251">
      <c r="A1251" t="inlineStr">
        <is>
          <t>T-1055</t>
        </is>
      </c>
      <c r="B1251" t="inlineStr">
        <is>
          <t>Indraprastha Gas (IGL)</t>
        </is>
      </c>
      <c r="C1251" t="inlineStr">
        <is>
          <t>Indraprastha Gas (IGL)</t>
        </is>
      </c>
      <c r="F1251" t="inlineStr">
        <is>
          <t>New Lead</t>
        </is>
      </c>
      <c r="H1251" t="inlineStr">
        <is>
          <t>RTBQ_CP17747_2.pdf</t>
        </is>
      </c>
      <c r="K1251" t="inlineStr">
        <is>
          <t>Not found</t>
        </is>
      </c>
      <c r="L1251" t="inlineStr">
        <is>
          <t>Unknown</t>
        </is>
      </c>
      <c r="T1251" t="inlineStr">
        <is>
          <t>https://tenders.iglonline.net/uploads/tender/RTBQ_CP17747_2.pdf</t>
        </is>
      </c>
      <c r="U1251" t="inlineStr">
        <is>
          <t>No</t>
        </is>
      </c>
      <c r="V1251" t="inlineStr">
        <is>
          <t>Bot tarafindan tespit edildi (2026-07-01)</t>
        </is>
      </c>
    </row>
    <row r="1252">
      <c r="A1252" t="inlineStr">
        <is>
          <t>T-1056</t>
        </is>
      </c>
      <c r="B1252" t="inlineStr">
        <is>
          <t>Indraprastha Gas (IGL)</t>
        </is>
      </c>
      <c r="C1252" t="inlineStr">
        <is>
          <t>Indraprastha Gas (IGL)</t>
        </is>
      </c>
      <c r="F1252" t="inlineStr">
        <is>
          <t>New Lead</t>
        </is>
      </c>
      <c r="H1252" t="inlineStr">
        <is>
          <t>RTBQ_CP17747.pdf</t>
        </is>
      </c>
      <c r="K1252" t="inlineStr">
        <is>
          <t>Not found</t>
        </is>
      </c>
      <c r="L1252" t="inlineStr">
        <is>
          <t>Unknown</t>
        </is>
      </c>
      <c r="T1252" t="inlineStr">
        <is>
          <t>https://tenders.iglonline.net/uploads/tender/RTBQ_CP17747.pdf</t>
        </is>
      </c>
      <c r="U1252" t="inlineStr">
        <is>
          <t>No</t>
        </is>
      </c>
      <c r="V1252" t="inlineStr">
        <is>
          <t>Bot tarafindan tespit edildi (2026-07-01)</t>
        </is>
      </c>
    </row>
    <row r="1253">
      <c r="A1253" t="inlineStr">
        <is>
          <t>T-1057</t>
        </is>
      </c>
      <c r="B1253" t="inlineStr">
        <is>
          <t>Indraprastha Gas (IGL)</t>
        </is>
      </c>
      <c r="C1253" t="inlineStr">
        <is>
          <t>Indraprastha Gas (IGL)</t>
        </is>
      </c>
      <c r="F1253" t="inlineStr">
        <is>
          <t>New Lead</t>
        </is>
      </c>
      <c r="H1253" t="inlineStr">
        <is>
          <t>View Tender</t>
        </is>
      </c>
      <c r="K1253" t="inlineStr">
        <is>
          <t>Not found</t>
        </is>
      </c>
      <c r="L1253" t="inlineStr">
        <is>
          <t>Unknown</t>
        </is>
      </c>
      <c r="T1253" t="inlineStr">
        <is>
          <t>https://tenders.iglonline.net/tenderDetail/219/Active Tenders And Corrigendum-Addendum</t>
        </is>
      </c>
      <c r="U1253" t="inlineStr">
        <is>
          <t>No</t>
        </is>
      </c>
      <c r="V1253" t="inlineStr">
        <is>
          <t>Bot tarafindan tespit edildi (2026-07-01)</t>
        </is>
      </c>
    </row>
    <row r="1254">
      <c r="A1254" t="inlineStr">
        <is>
          <t>T-1058</t>
        </is>
      </c>
      <c r="B1254" t="inlineStr">
        <is>
          <t>Indraprastha Gas (IGL)</t>
        </is>
      </c>
      <c r="C1254" t="inlineStr">
        <is>
          <t>Indraprastha Gas (IGL)</t>
        </is>
      </c>
      <c r="F1254" t="inlineStr">
        <is>
          <t>New Lead</t>
        </is>
      </c>
      <c r="H1254" t="inlineStr">
        <is>
          <t>View Tender</t>
        </is>
      </c>
      <c r="K1254" t="inlineStr">
        <is>
          <t>Not found</t>
        </is>
      </c>
      <c r="L1254" t="inlineStr">
        <is>
          <t>Unknown</t>
        </is>
      </c>
      <c r="T1254" t="inlineStr">
        <is>
          <t>https://tenders.iglonline.net/tenderDetail/218/Active Tenders And Corrigendum-Addendum</t>
        </is>
      </c>
      <c r="U1254" t="inlineStr">
        <is>
          <t>No</t>
        </is>
      </c>
      <c r="V1254" t="inlineStr">
        <is>
          <t>Bot tarafindan tespit edildi (2026-07-01)</t>
        </is>
      </c>
    </row>
    <row r="1255">
      <c r="A1255" t="inlineStr">
        <is>
          <t>T-1059</t>
        </is>
      </c>
      <c r="B1255" t="inlineStr">
        <is>
          <t>Indraprastha Gas (IGL)</t>
        </is>
      </c>
      <c r="C1255" t="inlineStr">
        <is>
          <t>Indraprastha Gas (IGL)</t>
        </is>
      </c>
      <c r="F1255" t="inlineStr">
        <is>
          <t>New Lead</t>
        </is>
      </c>
      <c r="H1255" t="inlineStr">
        <is>
          <t>View Tender</t>
        </is>
      </c>
      <c r="K1255" t="inlineStr">
        <is>
          <t>Not found</t>
        </is>
      </c>
      <c r="L1255" t="inlineStr">
        <is>
          <t>Unknown</t>
        </is>
      </c>
      <c r="T1255" t="inlineStr">
        <is>
          <t>https://tenders.iglonline.net/tenderDetail/217/Active Tenders And Corrigendum-Addendum</t>
        </is>
      </c>
      <c r="U1255" t="inlineStr">
        <is>
          <t>No</t>
        </is>
      </c>
      <c r="V1255" t="inlineStr">
        <is>
          <t>Bot tarafindan tespit edildi (2026-07-01)</t>
        </is>
      </c>
    </row>
    <row r="1256">
      <c r="A1256" t="inlineStr">
        <is>
          <t>T-1060</t>
        </is>
      </c>
      <c r="B1256" t="inlineStr">
        <is>
          <t>Indraprastha Gas (IGL)</t>
        </is>
      </c>
      <c r="C1256" t="inlineStr">
        <is>
          <t>Indraprastha Gas (IGL)</t>
        </is>
      </c>
      <c r="F1256" t="inlineStr">
        <is>
          <t>New Lead</t>
        </is>
      </c>
      <c r="H1256" t="inlineStr">
        <is>
          <t>Corrigendum_1_CP17739.pdf</t>
        </is>
      </c>
      <c r="K1256" t="inlineStr">
        <is>
          <t>Not found</t>
        </is>
      </c>
      <c r="L1256" t="inlineStr">
        <is>
          <t>Unknown</t>
        </is>
      </c>
      <c r="T1256" t="inlineStr">
        <is>
          <t>https://tenders.iglonline.net/uploads/tender/Corrigendum_1_CP17739.pdf</t>
        </is>
      </c>
      <c r="U1256" t="inlineStr">
        <is>
          <t>No</t>
        </is>
      </c>
      <c r="V1256" t="inlineStr">
        <is>
          <t>Bot tarafindan tespit edildi (2026-07-01)</t>
        </is>
      </c>
    </row>
    <row r="1257">
      <c r="A1257" t="inlineStr">
        <is>
          <t>T-1061</t>
        </is>
      </c>
      <c r="B1257" t="inlineStr">
        <is>
          <t>Indraprastha Gas (IGL)</t>
        </is>
      </c>
      <c r="C1257" t="inlineStr">
        <is>
          <t>Indraprastha Gas (IGL)</t>
        </is>
      </c>
      <c r="F1257" t="inlineStr">
        <is>
          <t>New Lead</t>
        </is>
      </c>
      <c r="H1257" t="inlineStr">
        <is>
          <t>Corrigendum_2_CP17739.pdf</t>
        </is>
      </c>
      <c r="K1257" t="inlineStr">
        <is>
          <t>Not found</t>
        </is>
      </c>
      <c r="L1257" t="inlineStr">
        <is>
          <t>Unknown</t>
        </is>
      </c>
      <c r="T1257" t="inlineStr">
        <is>
          <t>https://tenders.iglonline.net/uploads/tender/Corrigendum_2_CP17739.pdf</t>
        </is>
      </c>
      <c r="U1257" t="inlineStr">
        <is>
          <t>No</t>
        </is>
      </c>
      <c r="V1257" t="inlineStr">
        <is>
          <t>Bot tarafindan tespit edildi (2026-07-01)</t>
        </is>
      </c>
    </row>
    <row r="1258">
      <c r="A1258" t="inlineStr">
        <is>
          <t>T-1062</t>
        </is>
      </c>
      <c r="B1258" t="inlineStr">
        <is>
          <t>Indraprastha Gas (IGL)</t>
        </is>
      </c>
      <c r="C1258" t="inlineStr">
        <is>
          <t>Indraprastha Gas (IGL)</t>
        </is>
      </c>
      <c r="F1258" t="inlineStr">
        <is>
          <t>New Lead</t>
        </is>
      </c>
      <c r="H1258" t="inlineStr">
        <is>
          <t>Corrigendum_3_CP17739.pdf</t>
        </is>
      </c>
      <c r="K1258" t="inlineStr">
        <is>
          <t>Not found</t>
        </is>
      </c>
      <c r="L1258" t="inlineStr">
        <is>
          <t>Unknown</t>
        </is>
      </c>
      <c r="T1258" t="inlineStr">
        <is>
          <t>https://tenders.iglonline.net/uploads/tender/Corrigendum_3_CP17739.pdf</t>
        </is>
      </c>
      <c r="U1258" t="inlineStr">
        <is>
          <t>No</t>
        </is>
      </c>
      <c r="V1258" t="inlineStr">
        <is>
          <t>Bot tarafindan tespit edildi (2026-07-01)</t>
        </is>
      </c>
    </row>
    <row r="1259">
      <c r="A1259" t="inlineStr">
        <is>
          <t>T-1063</t>
        </is>
      </c>
      <c r="B1259" t="inlineStr">
        <is>
          <t>Indraprastha Gas (IGL)</t>
        </is>
      </c>
      <c r="C1259" t="inlineStr">
        <is>
          <t>Indraprastha Gas (IGL)</t>
        </is>
      </c>
      <c r="F1259" t="inlineStr">
        <is>
          <t>New Lead</t>
        </is>
      </c>
      <c r="H1259" t="inlineStr">
        <is>
          <t>RTBQ_CP17739.pdf</t>
        </is>
      </c>
      <c r="K1259" t="inlineStr">
        <is>
          <t>Not found</t>
        </is>
      </c>
      <c r="L1259" t="inlineStr">
        <is>
          <t>Unknown</t>
        </is>
      </c>
      <c r="T1259" t="inlineStr">
        <is>
          <t>https://tenders.iglonline.net/uploads/tender/RTBQ_CP17739.pdf</t>
        </is>
      </c>
      <c r="U1259" t="inlineStr">
        <is>
          <t>No</t>
        </is>
      </c>
      <c r="V1259" t="inlineStr">
        <is>
          <t>Bot tarafindan tespit edildi (2026-07-01)</t>
        </is>
      </c>
    </row>
    <row r="1260">
      <c r="A1260" t="inlineStr">
        <is>
          <t>T-1064</t>
        </is>
      </c>
      <c r="B1260" t="inlineStr">
        <is>
          <t>Indraprastha Gas (IGL)</t>
        </is>
      </c>
      <c r="C1260" t="inlineStr">
        <is>
          <t>Indraprastha Gas (IGL)</t>
        </is>
      </c>
      <c r="F1260" t="inlineStr">
        <is>
          <t>New Lead</t>
        </is>
      </c>
      <c r="H1260" t="inlineStr">
        <is>
          <t>Corrigendum_4_CP17739.pdf</t>
        </is>
      </c>
      <c r="K1260" t="inlineStr">
        <is>
          <t>Not found</t>
        </is>
      </c>
      <c r="L1260" t="inlineStr">
        <is>
          <t>Unknown</t>
        </is>
      </c>
      <c r="T1260" t="inlineStr">
        <is>
          <t>https://tenders.iglonline.net/uploads/tender/Corrigendum_4_CP17739.pdf</t>
        </is>
      </c>
      <c r="U1260" t="inlineStr">
        <is>
          <t>No</t>
        </is>
      </c>
      <c r="V1260" t="inlineStr">
        <is>
          <t>Bot tarafindan tespit edildi (2026-07-01)</t>
        </is>
      </c>
    </row>
    <row r="1261">
      <c r="A1261" t="inlineStr">
        <is>
          <t>T-1065</t>
        </is>
      </c>
      <c r="B1261" t="inlineStr">
        <is>
          <t>Indraprastha Gas (IGL)</t>
        </is>
      </c>
      <c r="C1261" t="inlineStr">
        <is>
          <t>Indraprastha Gas (IGL)</t>
        </is>
      </c>
      <c r="F1261" t="inlineStr">
        <is>
          <t>New Lead</t>
        </is>
      </c>
      <c r="H1261" t="inlineStr">
        <is>
          <t>Corrigendum_5_CP17739.pdf</t>
        </is>
      </c>
      <c r="K1261" t="inlineStr">
        <is>
          <t>Not found</t>
        </is>
      </c>
      <c r="L1261" t="inlineStr">
        <is>
          <t>Unknown</t>
        </is>
      </c>
      <c r="T1261" t="inlineStr">
        <is>
          <t>https://tenders.iglonline.net/uploads/tender/Corrigendum_5_CP17739.pdf</t>
        </is>
      </c>
      <c r="U1261" t="inlineStr">
        <is>
          <t>No</t>
        </is>
      </c>
      <c r="V1261" t="inlineStr">
        <is>
          <t>Bot tarafindan tespit edildi (2026-07-01)</t>
        </is>
      </c>
    </row>
    <row r="1262">
      <c r="A1262" t="inlineStr">
        <is>
          <t>T-1066</t>
        </is>
      </c>
      <c r="B1262" t="inlineStr">
        <is>
          <t>Indraprastha Gas (IGL)</t>
        </is>
      </c>
      <c r="C1262" t="inlineStr">
        <is>
          <t>Indraprastha Gas (IGL)</t>
        </is>
      </c>
      <c r="F1262" t="inlineStr">
        <is>
          <t>New Lead</t>
        </is>
      </c>
      <c r="H1262" t="inlineStr">
        <is>
          <t>View Tender</t>
        </is>
      </c>
      <c r="K1262" t="inlineStr">
        <is>
          <t>Not found</t>
        </is>
      </c>
      <c r="L1262" t="inlineStr">
        <is>
          <t>Unknown</t>
        </is>
      </c>
      <c r="T1262" t="inlineStr">
        <is>
          <t>https://tenders.iglonline.net/tenderDetail/216/Active Tenders And Corrigendum-Addendum</t>
        </is>
      </c>
      <c r="U1262" t="inlineStr">
        <is>
          <t>No</t>
        </is>
      </c>
      <c r="V1262" t="inlineStr">
        <is>
          <t>Bot tarafindan tespit edildi (2026-07-01)</t>
        </is>
      </c>
    </row>
    <row r="1263">
      <c r="A1263" t="inlineStr">
        <is>
          <t>T-1067</t>
        </is>
      </c>
      <c r="B1263" t="inlineStr">
        <is>
          <t>Indraprastha Gas (IGL)</t>
        </is>
      </c>
      <c r="C1263" t="inlineStr">
        <is>
          <t>Indraprastha Gas (IGL)</t>
        </is>
      </c>
      <c r="F1263" t="inlineStr">
        <is>
          <t>New Lead</t>
        </is>
      </c>
      <c r="H1263" t="inlineStr">
        <is>
          <t>View Tender</t>
        </is>
      </c>
      <c r="K1263" t="inlineStr">
        <is>
          <t>Not found</t>
        </is>
      </c>
      <c r="L1263" t="inlineStr">
        <is>
          <t>Unknown</t>
        </is>
      </c>
      <c r="T1263" t="inlineStr">
        <is>
          <t>https://tenders.iglonline.net/tenderDetail/215/Active Tenders And Corrigendum-Addendum</t>
        </is>
      </c>
      <c r="U1263" t="inlineStr">
        <is>
          <t>No</t>
        </is>
      </c>
      <c r="V1263" t="inlineStr">
        <is>
          <t>Bot tarafindan tespit edildi (2026-07-01)</t>
        </is>
      </c>
    </row>
    <row r="1264">
      <c r="A1264" t="inlineStr">
        <is>
          <t>T-1068</t>
        </is>
      </c>
      <c r="B1264" t="inlineStr">
        <is>
          <t>Indraprastha Gas (IGL)</t>
        </is>
      </c>
      <c r="C1264" t="inlineStr">
        <is>
          <t>Indraprastha Gas (IGL)</t>
        </is>
      </c>
      <c r="F1264" t="inlineStr">
        <is>
          <t>New Lead</t>
        </is>
      </c>
      <c r="H1264" t="inlineStr">
        <is>
          <t>Corrigendum-GROUP-A.pdf</t>
        </is>
      </c>
      <c r="K1264" t="inlineStr">
        <is>
          <t>Not found</t>
        </is>
      </c>
      <c r="L1264" t="inlineStr">
        <is>
          <t>Unknown</t>
        </is>
      </c>
      <c r="T1264" t="inlineStr">
        <is>
          <t>https://tenders.iglonline.net/uploads/tender/Corrigendum-GROUP-A.pdf</t>
        </is>
      </c>
      <c r="U1264" t="inlineStr">
        <is>
          <t>No</t>
        </is>
      </c>
      <c r="V1264" t="inlineStr">
        <is>
          <t>Bot tarafindan tespit edildi (2026-07-01)</t>
        </is>
      </c>
    </row>
    <row r="1265">
      <c r="A1265" t="inlineStr">
        <is>
          <t>T-1069</t>
        </is>
      </c>
      <c r="B1265" t="inlineStr">
        <is>
          <t>Indraprastha Gas (IGL)</t>
        </is>
      </c>
      <c r="C1265" t="inlineStr">
        <is>
          <t>Indraprastha Gas (IGL)</t>
        </is>
      </c>
      <c r="F1265" t="inlineStr">
        <is>
          <t>New Lead</t>
        </is>
      </c>
      <c r="H1265" t="inlineStr">
        <is>
          <t>Corrigendum-GROUP-B.pdf</t>
        </is>
      </c>
      <c r="K1265" t="inlineStr">
        <is>
          <t>Not found</t>
        </is>
      </c>
      <c r="L1265" t="inlineStr">
        <is>
          <t>Unknown</t>
        </is>
      </c>
      <c r="T1265" t="inlineStr">
        <is>
          <t>https://tenders.iglonline.net/uploads/tender/Corrigendum-GROUP-B.pdf</t>
        </is>
      </c>
      <c r="U1265" t="inlineStr">
        <is>
          <t>No</t>
        </is>
      </c>
      <c r="V1265" t="inlineStr">
        <is>
          <t>Bot tarafindan tespit edildi (2026-07-01)</t>
        </is>
      </c>
    </row>
    <row r="1266">
      <c r="A1266" t="inlineStr">
        <is>
          <t>T-1070</t>
        </is>
      </c>
      <c r="B1266" t="inlineStr">
        <is>
          <t>Indraprastha Gas (IGL)</t>
        </is>
      </c>
      <c r="C1266" t="inlineStr">
        <is>
          <t>Indraprastha Gas (IGL)</t>
        </is>
      </c>
      <c r="F1266" t="inlineStr">
        <is>
          <t>New Lead</t>
        </is>
      </c>
      <c r="H1266" t="inlineStr">
        <is>
          <t>Corrigendum-GROUP-C.pdf</t>
        </is>
      </c>
      <c r="K1266" t="inlineStr">
        <is>
          <t>Not found</t>
        </is>
      </c>
      <c r="L1266" t="inlineStr">
        <is>
          <t>Unknown</t>
        </is>
      </c>
      <c r="T1266" t="inlineStr">
        <is>
          <t>https://tenders.iglonline.net/uploads/tender/Corrigendum-GROUP-C.pdf</t>
        </is>
      </c>
      <c r="U1266" t="inlineStr">
        <is>
          <t>No</t>
        </is>
      </c>
      <c r="V1266" t="inlineStr">
        <is>
          <t>Bot tarafindan tespit edildi (2026-07-01)</t>
        </is>
      </c>
    </row>
    <row r="1267">
      <c r="A1267" t="inlineStr">
        <is>
          <t>T-1071</t>
        </is>
      </c>
      <c r="B1267" t="inlineStr">
        <is>
          <t>Indraprastha Gas (IGL)</t>
        </is>
      </c>
      <c r="C1267" t="inlineStr">
        <is>
          <t>Indraprastha Gas (IGL)</t>
        </is>
      </c>
      <c r="F1267" t="inlineStr">
        <is>
          <t>New Lead</t>
        </is>
      </c>
      <c r="H1267" t="inlineStr">
        <is>
          <t>Corrigendum-GROUP-D.pdf</t>
        </is>
      </c>
      <c r="K1267" t="inlineStr">
        <is>
          <t>Not found</t>
        </is>
      </c>
      <c r="L1267" t="inlineStr">
        <is>
          <t>Unknown</t>
        </is>
      </c>
      <c r="T1267" t="inlineStr">
        <is>
          <t>https://tenders.iglonline.net/uploads/tender/Corrigendum-GROUP-D.pdf</t>
        </is>
      </c>
      <c r="U1267" t="inlineStr">
        <is>
          <t>No</t>
        </is>
      </c>
      <c r="V1267" t="inlineStr">
        <is>
          <t>Bot tarafindan tespit edildi (2026-07-01)</t>
        </is>
      </c>
    </row>
    <row r="1268">
      <c r="A1268" t="inlineStr">
        <is>
          <t>T-1072</t>
        </is>
      </c>
      <c r="B1268" t="inlineStr">
        <is>
          <t>Indraprastha Gas (IGL)</t>
        </is>
      </c>
      <c r="C1268" t="inlineStr">
        <is>
          <t>Indraprastha Gas (IGL)</t>
        </is>
      </c>
      <c r="F1268" t="inlineStr">
        <is>
          <t>New Lead</t>
        </is>
      </c>
      <c r="H1268" t="inlineStr">
        <is>
          <t>Corrigendum-GROUP-E.pdf</t>
        </is>
      </c>
      <c r="K1268" t="inlineStr">
        <is>
          <t>Not found</t>
        </is>
      </c>
      <c r="L1268" t="inlineStr">
        <is>
          <t>Unknown</t>
        </is>
      </c>
      <c r="T1268" t="inlineStr">
        <is>
          <t>https://tenders.iglonline.net/uploads/tender/Corrigendum-GROUP-E.pdf</t>
        </is>
      </c>
      <c r="U1268" t="inlineStr">
        <is>
          <t>No</t>
        </is>
      </c>
      <c r="V1268" t="inlineStr">
        <is>
          <t>Bot tarafindan tespit edildi (2026-07-01)</t>
        </is>
      </c>
    </row>
    <row r="1269">
      <c r="A1269" t="inlineStr">
        <is>
          <t>T-1073</t>
        </is>
      </c>
      <c r="B1269" t="inlineStr">
        <is>
          <t>Indraprastha Gas (IGL)</t>
        </is>
      </c>
      <c r="C1269" t="inlineStr">
        <is>
          <t>Indraprastha Gas (IGL)</t>
        </is>
      </c>
      <c r="F1269" t="inlineStr">
        <is>
          <t>New Lead</t>
        </is>
      </c>
      <c r="H1269" t="inlineStr">
        <is>
          <t>Corrigendum-GROUP-F.pdf</t>
        </is>
      </c>
      <c r="K1269" t="inlineStr">
        <is>
          <t>Not found</t>
        </is>
      </c>
      <c r="L1269" t="inlineStr">
        <is>
          <t>Unknown</t>
        </is>
      </c>
      <c r="T1269" t="inlineStr">
        <is>
          <t>https://tenders.iglonline.net/uploads/tender/Corrigendum-GROUP-F.pdf</t>
        </is>
      </c>
      <c r="U1269" t="inlineStr">
        <is>
          <t>No</t>
        </is>
      </c>
      <c r="V1269" t="inlineStr">
        <is>
          <t>Bot tarafindan tespit edildi (2026-07-01)</t>
        </is>
      </c>
    </row>
    <row r="1270">
      <c r="A1270" t="inlineStr">
        <is>
          <t>T-1074</t>
        </is>
      </c>
      <c r="B1270" t="inlineStr">
        <is>
          <t>Indraprastha Gas (IGL)</t>
        </is>
      </c>
      <c r="C1270" t="inlineStr">
        <is>
          <t>Indraprastha Gas (IGL)</t>
        </is>
      </c>
      <c r="F1270" t="inlineStr">
        <is>
          <t>New Lead</t>
        </is>
      </c>
      <c r="H1270" t="inlineStr">
        <is>
          <t>Corrigendum-3__CC17713.pdf</t>
        </is>
      </c>
      <c r="K1270" t="inlineStr">
        <is>
          <t>Not found</t>
        </is>
      </c>
      <c r="L1270" t="inlineStr">
        <is>
          <t>Unknown</t>
        </is>
      </c>
      <c r="T1270" t="inlineStr">
        <is>
          <t>https://tenders.iglonline.net/uploads/tender/Corrigendum-3__CC17713.pdf</t>
        </is>
      </c>
      <c r="U1270" t="inlineStr">
        <is>
          <t>No</t>
        </is>
      </c>
      <c r="V1270" t="inlineStr">
        <is>
          <t>Bot tarafindan tespit edildi (2026-07-01)</t>
        </is>
      </c>
    </row>
    <row r="1271">
      <c r="A1271" t="inlineStr">
        <is>
          <t>T-1075</t>
        </is>
      </c>
      <c r="B1271" t="inlineStr">
        <is>
          <t>Indraprastha Gas (IGL)</t>
        </is>
      </c>
      <c r="C1271" t="inlineStr">
        <is>
          <t>Indraprastha Gas (IGL)</t>
        </is>
      </c>
      <c r="F1271" t="inlineStr">
        <is>
          <t>New Lead</t>
        </is>
      </c>
      <c r="H1271" t="inlineStr">
        <is>
          <t>View Tender</t>
        </is>
      </c>
      <c r="K1271" t="inlineStr">
        <is>
          <t>Not found</t>
        </is>
      </c>
      <c r="L1271" t="inlineStr">
        <is>
          <t>Unknown</t>
        </is>
      </c>
      <c r="T1271" t="inlineStr">
        <is>
          <t>https://tenders.iglonline.net/tenderDetail/214/Active Tenders And Corrigendum-Addendum</t>
        </is>
      </c>
      <c r="U1271" t="inlineStr">
        <is>
          <t>No</t>
        </is>
      </c>
      <c r="V1271" t="inlineStr">
        <is>
          <t>Bot tarafindan tespit edildi (2026-07-01)</t>
        </is>
      </c>
    </row>
    <row r="1272">
      <c r="A1272" t="inlineStr">
        <is>
          <t>T-1076</t>
        </is>
      </c>
      <c r="B1272" t="inlineStr">
        <is>
          <t>Indraprastha Gas (IGL)</t>
        </is>
      </c>
      <c r="C1272" t="inlineStr">
        <is>
          <t>Indraprastha Gas (IGL)</t>
        </is>
      </c>
      <c r="F1272" t="inlineStr">
        <is>
          <t>New Lead</t>
        </is>
      </c>
      <c r="H1272" t="inlineStr">
        <is>
          <t>CORRIGENDUM_1_(1)_(1).pdf</t>
        </is>
      </c>
      <c r="K1272" t="inlineStr">
        <is>
          <t>Not found</t>
        </is>
      </c>
      <c r="L1272" t="inlineStr">
        <is>
          <t>Unknown</t>
        </is>
      </c>
      <c r="T1272" t="inlineStr">
        <is>
          <t>https://tenders.iglonline.net/uploads/tender/CORRIGENDUM_1_(1)_(1).pdf</t>
        </is>
      </c>
      <c r="U1272" t="inlineStr">
        <is>
          <t>No</t>
        </is>
      </c>
      <c r="V1272" t="inlineStr">
        <is>
          <t>Bot tarafindan tespit edildi (2026-07-01)</t>
        </is>
      </c>
    </row>
    <row r="1273">
      <c r="A1273" t="inlineStr">
        <is>
          <t>T-1077</t>
        </is>
      </c>
      <c r="B1273" t="inlineStr">
        <is>
          <t>Indraprastha Gas (IGL)</t>
        </is>
      </c>
      <c r="C1273" t="inlineStr">
        <is>
          <t>Indraprastha Gas (IGL)</t>
        </is>
      </c>
      <c r="F1273" t="inlineStr">
        <is>
          <t>New Lead</t>
        </is>
      </c>
      <c r="H1273" t="inlineStr">
        <is>
          <t>CORRIGENDUM_2-1.pdf</t>
        </is>
      </c>
      <c r="K1273" t="inlineStr">
        <is>
          <t>Not found</t>
        </is>
      </c>
      <c r="L1273" t="inlineStr">
        <is>
          <t>Unknown</t>
        </is>
      </c>
      <c r="T1273" t="inlineStr">
        <is>
          <t>https://tenders.iglonline.net/uploads/tender/CORRIGENDUM_2-1.pdf</t>
        </is>
      </c>
      <c r="U1273" t="inlineStr">
        <is>
          <t>No</t>
        </is>
      </c>
      <c r="V1273" t="inlineStr">
        <is>
          <t>Bot tarafindan tespit edildi (2026-07-01)</t>
        </is>
      </c>
    </row>
    <row r="1274">
      <c r="A1274" t="inlineStr">
        <is>
          <t>T-1078</t>
        </is>
      </c>
      <c r="B1274" t="inlineStr">
        <is>
          <t>Indraprastha Gas (IGL)</t>
        </is>
      </c>
      <c r="C1274" t="inlineStr">
        <is>
          <t>Indraprastha Gas (IGL)</t>
        </is>
      </c>
      <c r="F1274" t="inlineStr">
        <is>
          <t>New Lead</t>
        </is>
      </c>
      <c r="G1274" t="inlineStr">
        <is>
          <t>Regulating station</t>
        </is>
      </c>
      <c r="H1274" t="inlineStr">
        <is>
          <t>View Tender</t>
        </is>
      </c>
      <c r="K1274" t="inlineStr">
        <is>
          <t>Not found</t>
        </is>
      </c>
      <c r="L1274" t="inlineStr">
        <is>
          <t>Unknown</t>
        </is>
      </c>
      <c r="T1274" t="inlineStr">
        <is>
          <t>https://tenders.iglonline.net/tenderDetail/213/Active Tenders And Corrigendum-Addendum</t>
        </is>
      </c>
      <c r="U1274" t="inlineStr">
        <is>
          <t>No</t>
        </is>
      </c>
      <c r="V1274" t="inlineStr">
        <is>
          <t>Bot tarafindan tespit edildi (2026-07-01); Bot tespit/zenginlestirme (2026-07-01); meta:score=80;priority=High;source_type=html_table;closing_date=;equipment=Regulating station;reasons=equipment:Regulating station,station/skid keyword,document source; Bot clean extraction (2026-07-01); meta:score=90;priority=High;source_type=html_table;closing_date=;equipment=Regulating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1275">
      <c r="A1275" t="inlineStr">
        <is>
          <t>T-1079</t>
        </is>
      </c>
      <c r="B1275" t="inlineStr">
        <is>
          <t>Indraprastha Gas (IGL)</t>
        </is>
      </c>
      <c r="C1275" t="inlineStr">
        <is>
          <t>Indraprastha Gas (IGL)</t>
        </is>
      </c>
      <c r="D1275" t="inlineStr">
        <is>
          <t>IGL/ET2/CP/CP17712</t>
        </is>
      </c>
      <c r="F1275" t="inlineStr">
        <is>
          <t>Awarded</t>
        </is>
      </c>
      <c r="G1275" t="inlineStr">
        <is>
          <t>MRS</t>
        </is>
      </c>
      <c r="H1275" t="inlineStr">
        <is>
          <t>Corrigendum_1_CP17712.pdf</t>
        </is>
      </c>
      <c r="K1275" t="inlineStr">
        <is>
          <t>Not found</t>
        </is>
      </c>
      <c r="L1275" t="inlineStr">
        <is>
          <t>Unknown</t>
        </is>
      </c>
      <c r="T1275" t="inlineStr">
        <is>
          <t>https://tenders.iglonline.net/uploads/tender/Corrigendum_1_CP17712.pdf</t>
        </is>
      </c>
      <c r="U1275" t="inlineStr">
        <is>
          <t>No</t>
        </is>
      </c>
      <c r="V1275"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station;quality_status=market_target;market_relevance=High;document_type=corrigendum;unit_price_inr=;amount_label=;matched_terms=Regulating / metering station;reject_reasons=employment/corporate;scope=market_intelligence_only;excluded_scope=no_bid_or_offer_submission_automation</t>
        </is>
      </c>
    </row>
    <row r="1276">
      <c r="A1276" t="inlineStr">
        <is>
          <t>T-1080</t>
        </is>
      </c>
      <c r="B1276" t="inlineStr">
        <is>
          <t>Indraprastha Gas (IGL)</t>
        </is>
      </c>
      <c r="C1276" t="inlineStr">
        <is>
          <t>Indraprastha Gas (IGL)</t>
        </is>
      </c>
      <c r="D1276" t="inlineStr">
        <is>
          <t>IGL/ET2/CP/CP17712</t>
        </is>
      </c>
      <c r="F1276" t="inlineStr">
        <is>
          <t>Awarded</t>
        </is>
      </c>
      <c r="G1276" t="inlineStr">
        <is>
          <t>MRS</t>
        </is>
      </c>
      <c r="H1276" t="inlineStr">
        <is>
          <t>Corrigendum_2_CP17712.pdf</t>
        </is>
      </c>
      <c r="K1276" t="inlineStr">
        <is>
          <t>Not found</t>
        </is>
      </c>
      <c r="L1276" t="inlineStr">
        <is>
          <t>Unknown</t>
        </is>
      </c>
      <c r="T1276" t="inlineStr">
        <is>
          <t>https://tenders.iglonline.net/uploads/tender/Corrigendum_2_CP17712.pdf</t>
        </is>
      </c>
      <c r="U1276" t="inlineStr">
        <is>
          <t>No</t>
        </is>
      </c>
      <c r="V1276"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station;quality_status=market_target;market_relevance=High;document_type=corrigendum;unit_price_inr=;amount_label=;matched_terms=Regulating / metering station;reject_reasons=employment/corporate;scope=market_intelligence_only;excluded_scope=no_bid_or_offer_submission_automation</t>
        </is>
      </c>
    </row>
    <row r="1277">
      <c r="A1277" t="inlineStr">
        <is>
          <t>T-1081</t>
        </is>
      </c>
      <c r="B1277" t="inlineStr">
        <is>
          <t>Indraprastha Gas (IGL)</t>
        </is>
      </c>
      <c r="C1277" t="inlineStr">
        <is>
          <t>Indraprastha Gas (IGL)</t>
        </is>
      </c>
      <c r="D1277" t="inlineStr">
        <is>
          <t>IGL/ET2/CP/CP17712</t>
        </is>
      </c>
      <c r="E1277" t="inlineStr">
        <is>
          <t>27-10-2023</t>
        </is>
      </c>
      <c r="F1277" t="inlineStr">
        <is>
          <t>Awarded</t>
        </is>
      </c>
      <c r="G1277" t="inlineStr">
        <is>
          <t>MRS</t>
        </is>
      </c>
      <c r="H1277" t="inlineStr">
        <is>
          <t>RTBQ_CP17712.pdf</t>
        </is>
      </c>
      <c r="K1277" t="inlineStr">
        <is>
          <t>at Inlet &amp; outlet of skid and 30m</t>
        </is>
      </c>
      <c r="L1277" t="inlineStr">
        <is>
          <t>Unknown</t>
        </is>
      </c>
      <c r="T1277" t="inlineStr">
        <is>
          <t>https://tenders.iglonline.net/uploads/tender/RTBQ_CP17712.pdf</t>
        </is>
      </c>
      <c r="U1277" t="inlineStr">
        <is>
          <t>No</t>
        </is>
      </c>
      <c r="V1277" t="inlineStr">
        <is>
          <t>Bot tarafindan tespit edildi (2026-07-01) | closing=27-10-2023 | Bot enrich; date=2026-07-01; type=pdf; pdf_closing=27-10-2023; score=330; pdf_conf=High;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station;quality_status=market_target;market_relevance=High;document_type=unknown;unit_price_inr=;amount_label=;matched_terms=Regulating / metering station;reject_reasons=;scope=market_intelligence_only;excluded_scope=no_bid_or_offer_submission_automation</t>
        </is>
      </c>
    </row>
    <row r="1278">
      <c r="A1278" t="inlineStr">
        <is>
          <t>T-1082</t>
        </is>
      </c>
      <c r="B1278" t="inlineStr">
        <is>
          <t>Indraprastha Gas (IGL)</t>
        </is>
      </c>
      <c r="C1278" t="inlineStr">
        <is>
          <t>Indraprastha Gas (IGL)</t>
        </is>
      </c>
      <c r="F1278" t="inlineStr">
        <is>
          <t>New Lead</t>
        </is>
      </c>
      <c r="H1278" t="inlineStr">
        <is>
          <t>View Tender</t>
        </is>
      </c>
      <c r="K1278" t="inlineStr">
        <is>
          <t>Not found</t>
        </is>
      </c>
      <c r="L1278" t="inlineStr">
        <is>
          <t>Unknown</t>
        </is>
      </c>
      <c r="T1278" t="inlineStr">
        <is>
          <t>https://tenders.iglonline.net/tenderDetail/212/Active Tenders And Corrigendum-Addendum</t>
        </is>
      </c>
      <c r="U1278" t="inlineStr">
        <is>
          <t>No</t>
        </is>
      </c>
      <c r="V1278" t="inlineStr">
        <is>
          <t>Bot tarafindan tespit edildi (2026-07-01)</t>
        </is>
      </c>
    </row>
    <row r="1279">
      <c r="A1279" t="inlineStr">
        <is>
          <t>T-1083</t>
        </is>
      </c>
      <c r="B1279" t="inlineStr">
        <is>
          <t>Indraprastha Gas (IGL)</t>
        </is>
      </c>
      <c r="C1279" t="inlineStr">
        <is>
          <t>Indraprastha Gas (IGL)</t>
        </is>
      </c>
      <c r="F1279" t="inlineStr">
        <is>
          <t>New Lead</t>
        </is>
      </c>
      <c r="H1279" t="inlineStr">
        <is>
          <t>CORRIGENDUM_13.pdf</t>
        </is>
      </c>
      <c r="K1279" t="inlineStr">
        <is>
          <t>Not found</t>
        </is>
      </c>
      <c r="L1279" t="inlineStr">
        <is>
          <t>Unknown</t>
        </is>
      </c>
      <c r="T1279" t="inlineStr">
        <is>
          <t>https://tenders.iglonline.net/uploads/tender/CORRIGENDUM_13.pdf</t>
        </is>
      </c>
      <c r="U1279" t="inlineStr">
        <is>
          <t>No</t>
        </is>
      </c>
      <c r="V1279" t="inlineStr">
        <is>
          <t>Bot tarafindan tespit edildi (2026-07-01)</t>
        </is>
      </c>
    </row>
    <row r="1280">
      <c r="A1280" t="inlineStr">
        <is>
          <t>T-1084</t>
        </is>
      </c>
      <c r="B1280" t="inlineStr">
        <is>
          <t>Indraprastha Gas (IGL)</t>
        </is>
      </c>
      <c r="C1280" t="inlineStr">
        <is>
          <t>Indraprastha Gas (IGL)</t>
        </is>
      </c>
      <c r="F1280" t="inlineStr">
        <is>
          <t>New Lead</t>
        </is>
      </c>
      <c r="H1280" t="inlineStr">
        <is>
          <t>View Tender</t>
        </is>
      </c>
      <c r="K1280" t="inlineStr">
        <is>
          <t>Not found</t>
        </is>
      </c>
      <c r="L1280" t="inlineStr">
        <is>
          <t>Unknown</t>
        </is>
      </c>
      <c r="T1280" t="inlineStr">
        <is>
          <t>https://tenders.iglonline.net/tenderDetail/211/Active Tenders And Corrigendum-Addendum</t>
        </is>
      </c>
      <c r="U1280" t="inlineStr">
        <is>
          <t>No</t>
        </is>
      </c>
      <c r="V1280" t="inlineStr">
        <is>
          <t>Bot tarafindan tespit edildi (2026-07-01)</t>
        </is>
      </c>
    </row>
    <row r="1281">
      <c r="A1281" t="inlineStr">
        <is>
          <t>T-1085</t>
        </is>
      </c>
      <c r="B1281" t="inlineStr">
        <is>
          <t>Indraprastha Gas (IGL)</t>
        </is>
      </c>
      <c r="C1281" t="inlineStr">
        <is>
          <t>Indraprastha Gas (IGL)</t>
        </is>
      </c>
      <c r="F1281" t="inlineStr">
        <is>
          <t>New Lead</t>
        </is>
      </c>
      <c r="H1281" t="inlineStr">
        <is>
          <t>Corrigendum-I_CC17723.pdf</t>
        </is>
      </c>
      <c r="K1281" t="inlineStr">
        <is>
          <t>Not found</t>
        </is>
      </c>
      <c r="L1281" t="inlineStr">
        <is>
          <t>Unknown</t>
        </is>
      </c>
      <c r="T1281" t="inlineStr">
        <is>
          <t>https://tenders.iglonline.net/uploads/tender/Corrigendum-I_CC17723.pdf</t>
        </is>
      </c>
      <c r="U1281" t="inlineStr">
        <is>
          <t>No</t>
        </is>
      </c>
      <c r="V1281" t="inlineStr">
        <is>
          <t>Bot tarafindan tespit edildi (2026-07-01)</t>
        </is>
      </c>
    </row>
    <row r="1282">
      <c r="A1282" t="inlineStr">
        <is>
          <t>T-1086</t>
        </is>
      </c>
      <c r="B1282" t="inlineStr">
        <is>
          <t>Indraprastha Gas (IGL)</t>
        </is>
      </c>
      <c r="C1282" t="inlineStr">
        <is>
          <t>Indraprastha Gas (IGL)</t>
        </is>
      </c>
      <c r="F1282" t="inlineStr">
        <is>
          <t>New Lead</t>
        </is>
      </c>
      <c r="H1282" t="inlineStr">
        <is>
          <t>Corrigendum-II__CC17723.pdf</t>
        </is>
      </c>
      <c r="K1282" t="inlineStr">
        <is>
          <t>Not found</t>
        </is>
      </c>
      <c r="L1282" t="inlineStr">
        <is>
          <t>Unknown</t>
        </is>
      </c>
      <c r="T1282" t="inlineStr">
        <is>
          <t>https://tenders.iglonline.net/uploads/tender/Corrigendum-II__CC17723.pdf</t>
        </is>
      </c>
      <c r="U1282" t="inlineStr">
        <is>
          <t>No</t>
        </is>
      </c>
      <c r="V1282" t="inlineStr">
        <is>
          <t>Bot tarafindan tespit edildi (2026-07-01)</t>
        </is>
      </c>
    </row>
    <row r="1283">
      <c r="A1283" t="inlineStr">
        <is>
          <t>T-1087</t>
        </is>
      </c>
      <c r="B1283" t="inlineStr">
        <is>
          <t>Indraprastha Gas (IGL)</t>
        </is>
      </c>
      <c r="C1283" t="inlineStr">
        <is>
          <t>Indraprastha Gas (IGL)</t>
        </is>
      </c>
      <c r="F1283" t="inlineStr">
        <is>
          <t>New Lead</t>
        </is>
      </c>
      <c r="H1283" t="inlineStr">
        <is>
          <t>View Tender</t>
        </is>
      </c>
      <c r="K1283" t="inlineStr">
        <is>
          <t>Not found</t>
        </is>
      </c>
      <c r="L1283" t="inlineStr">
        <is>
          <t>Unknown</t>
        </is>
      </c>
      <c r="T1283" t="inlineStr">
        <is>
          <t>https://tenders.iglonline.net/tenderDetail/210/Active Tenders And Corrigendum-Addendum</t>
        </is>
      </c>
      <c r="U1283" t="inlineStr">
        <is>
          <t>No</t>
        </is>
      </c>
      <c r="V1283" t="inlineStr">
        <is>
          <t>Bot tarafindan tespit edildi (2026-07-01)</t>
        </is>
      </c>
    </row>
    <row r="1284">
      <c r="A1284" t="inlineStr">
        <is>
          <t>T-1088</t>
        </is>
      </c>
      <c r="B1284" t="inlineStr">
        <is>
          <t>Indraprastha Gas (IGL)</t>
        </is>
      </c>
      <c r="C1284" t="inlineStr">
        <is>
          <t>Indraprastha Gas (IGL)</t>
        </is>
      </c>
      <c r="F1284" t="inlineStr">
        <is>
          <t>New Lead</t>
        </is>
      </c>
      <c r="H1284" t="inlineStr">
        <is>
          <t>Corrigendum_I_CC17703.pdf</t>
        </is>
      </c>
      <c r="K1284" t="inlineStr">
        <is>
          <t>Not found</t>
        </is>
      </c>
      <c r="L1284" t="inlineStr">
        <is>
          <t>Unknown</t>
        </is>
      </c>
      <c r="T1284" t="inlineStr">
        <is>
          <t>https://tenders.iglonline.net/uploads/tender/Corrigendum_I_CC17703.pdf</t>
        </is>
      </c>
      <c r="U1284" t="inlineStr">
        <is>
          <t>No</t>
        </is>
      </c>
      <c r="V1284" t="inlineStr">
        <is>
          <t>Bot tarafindan tespit edildi (2026-07-01)</t>
        </is>
      </c>
    </row>
    <row r="1285">
      <c r="A1285" t="inlineStr">
        <is>
          <t>T-1089</t>
        </is>
      </c>
      <c r="B1285" t="inlineStr">
        <is>
          <t>Indraprastha Gas (IGL)</t>
        </is>
      </c>
      <c r="C1285" t="inlineStr">
        <is>
          <t>Indraprastha Gas (IGL)</t>
        </is>
      </c>
      <c r="F1285" t="inlineStr">
        <is>
          <t>New Lead</t>
        </is>
      </c>
      <c r="H1285" t="inlineStr">
        <is>
          <t>View Tender</t>
        </is>
      </c>
      <c r="K1285" t="inlineStr">
        <is>
          <t>Not found</t>
        </is>
      </c>
      <c r="L1285" t="inlineStr">
        <is>
          <t>Unknown</t>
        </is>
      </c>
      <c r="T1285" t="inlineStr">
        <is>
          <t>https://tenders.iglonline.net/tenderDetail/209/Active Tenders And Corrigendum-Addendum</t>
        </is>
      </c>
      <c r="U1285" t="inlineStr">
        <is>
          <t>No</t>
        </is>
      </c>
      <c r="V1285" t="inlineStr">
        <is>
          <t>Bot tarafindan tespit edildi (2026-07-01)</t>
        </is>
      </c>
    </row>
    <row r="1286">
      <c r="A1286" t="inlineStr">
        <is>
          <t>T-1090</t>
        </is>
      </c>
      <c r="B1286" t="inlineStr">
        <is>
          <t>Indraprastha Gas (IGL)</t>
        </is>
      </c>
      <c r="C1286" t="inlineStr">
        <is>
          <t>Indraprastha Gas (IGL)</t>
        </is>
      </c>
      <c r="F1286" t="inlineStr">
        <is>
          <t>New Lead</t>
        </is>
      </c>
      <c r="H1286" t="inlineStr">
        <is>
          <t>RTBQ_CM17732-Cloud_Hosting_of_mobile_app.pdf</t>
        </is>
      </c>
      <c r="K1286" t="inlineStr">
        <is>
          <t>Not found</t>
        </is>
      </c>
      <c r="L1286" t="inlineStr">
        <is>
          <t>Unknown</t>
        </is>
      </c>
      <c r="T1286" t="inlineStr">
        <is>
          <t>https://tenders.iglonline.net/uploads/tender/RTBQ_CM17732-Cloud_Hosting_of_mobile_app.pdf</t>
        </is>
      </c>
      <c r="U1286" t="inlineStr">
        <is>
          <t>No</t>
        </is>
      </c>
      <c r="V1286" t="inlineStr">
        <is>
          <t>Bot tarafindan tespit edildi (2026-07-01)</t>
        </is>
      </c>
    </row>
    <row r="1287">
      <c r="A1287" t="inlineStr">
        <is>
          <t>T-1091</t>
        </is>
      </c>
      <c r="B1287" t="inlineStr">
        <is>
          <t>Indraprastha Gas (IGL)</t>
        </is>
      </c>
      <c r="C1287" t="inlineStr">
        <is>
          <t>Indraprastha Gas (IGL)</t>
        </is>
      </c>
      <c r="F1287" t="inlineStr">
        <is>
          <t>New Lead</t>
        </is>
      </c>
      <c r="H1287" t="inlineStr">
        <is>
          <t>RTBQ_CM17732_cloud_hosting_mobile_app_new.pdf</t>
        </is>
      </c>
      <c r="K1287" t="inlineStr">
        <is>
          <t>Not found</t>
        </is>
      </c>
      <c r="L1287" t="inlineStr">
        <is>
          <t>Unknown</t>
        </is>
      </c>
      <c r="T1287" t="inlineStr">
        <is>
          <t>https://tenders.iglonline.net/uploads/tender/RTBQ_CM17732_cloud_hosting_mobile_app_new.pdf</t>
        </is>
      </c>
      <c r="U1287" t="inlineStr">
        <is>
          <t>No</t>
        </is>
      </c>
      <c r="V1287" t="inlineStr">
        <is>
          <t>Bot tarafindan tespit edildi (2026-07-01)</t>
        </is>
      </c>
    </row>
    <row r="1288">
      <c r="A1288" t="inlineStr">
        <is>
          <t>T-1092</t>
        </is>
      </c>
      <c r="B1288" t="inlineStr">
        <is>
          <t>Indraprastha Gas (IGL)</t>
        </is>
      </c>
      <c r="C1288" t="inlineStr">
        <is>
          <t>Indraprastha Gas (IGL)</t>
        </is>
      </c>
      <c r="F1288" t="inlineStr">
        <is>
          <t>New Lead</t>
        </is>
      </c>
      <c r="H1288" t="inlineStr">
        <is>
          <t>CORRIGENDUM_3_CM17732.pdf</t>
        </is>
      </c>
      <c r="K1288" t="inlineStr">
        <is>
          <t>Not found</t>
        </is>
      </c>
      <c r="L1288" t="inlineStr">
        <is>
          <t>Unknown</t>
        </is>
      </c>
      <c r="T1288" t="inlineStr">
        <is>
          <t>https://tenders.iglonline.net/uploads/tender/CORRIGENDUM_3_CM17732.pdf</t>
        </is>
      </c>
      <c r="U1288" t="inlineStr">
        <is>
          <t>No</t>
        </is>
      </c>
      <c r="V1288" t="inlineStr">
        <is>
          <t>Bot tarafindan tespit edildi (2026-07-01)</t>
        </is>
      </c>
    </row>
    <row r="1289">
      <c r="A1289" t="inlineStr">
        <is>
          <t>T-1093</t>
        </is>
      </c>
      <c r="B1289" t="inlineStr">
        <is>
          <t>Indraprastha Gas (IGL)</t>
        </is>
      </c>
      <c r="C1289" t="inlineStr">
        <is>
          <t>Indraprastha Gas (IGL)</t>
        </is>
      </c>
      <c r="F1289" t="inlineStr">
        <is>
          <t>New Lead</t>
        </is>
      </c>
      <c r="H1289" t="inlineStr">
        <is>
          <t>CORRIGENDUM_4.pdf</t>
        </is>
      </c>
      <c r="K1289" t="inlineStr">
        <is>
          <t>Not found</t>
        </is>
      </c>
      <c r="L1289" t="inlineStr">
        <is>
          <t>Unknown</t>
        </is>
      </c>
      <c r="T1289" t="inlineStr">
        <is>
          <t>https://tenders.iglonline.net/uploads/tender/CORRIGENDUM_4.pdf</t>
        </is>
      </c>
      <c r="U1289" t="inlineStr">
        <is>
          <t>No</t>
        </is>
      </c>
      <c r="V1289" t="inlineStr">
        <is>
          <t>Bot tarafindan tespit edildi (2026-07-01)</t>
        </is>
      </c>
    </row>
    <row r="1290">
      <c r="A1290" t="inlineStr">
        <is>
          <t>T-1094</t>
        </is>
      </c>
      <c r="B1290" t="inlineStr">
        <is>
          <t>Indraprastha Gas (IGL)</t>
        </is>
      </c>
      <c r="C1290" t="inlineStr">
        <is>
          <t>Indraprastha Gas (IGL)</t>
        </is>
      </c>
      <c r="F1290" t="inlineStr">
        <is>
          <t>New Lead</t>
        </is>
      </c>
      <c r="H1290" t="inlineStr">
        <is>
          <t>View Tender</t>
        </is>
      </c>
      <c r="K1290" t="inlineStr">
        <is>
          <t>Not found</t>
        </is>
      </c>
      <c r="L1290" t="inlineStr">
        <is>
          <t>Unknown</t>
        </is>
      </c>
      <c r="T1290" t="inlineStr">
        <is>
          <t>https://tenders.iglonline.net/tenderDetail/208/Active Tenders And Corrigendum-Addendum</t>
        </is>
      </c>
      <c r="U1290" t="inlineStr">
        <is>
          <t>No</t>
        </is>
      </c>
      <c r="V1290" t="inlineStr">
        <is>
          <t>Bot tarafindan tespit edildi (2026-07-01)</t>
        </is>
      </c>
    </row>
    <row r="1291">
      <c r="A1291" t="inlineStr">
        <is>
          <t>T-1095</t>
        </is>
      </c>
      <c r="B1291" t="inlineStr">
        <is>
          <t>Indraprastha Gas (IGL)</t>
        </is>
      </c>
      <c r="C1291" t="inlineStr">
        <is>
          <t>Indraprastha Gas (IGL)</t>
        </is>
      </c>
      <c r="F1291" t="inlineStr">
        <is>
          <t>New Lead</t>
        </is>
      </c>
      <c r="H1291" t="inlineStr">
        <is>
          <t>RTBQ_CP17705.pdf</t>
        </is>
      </c>
      <c r="K1291" t="inlineStr">
        <is>
          <t>Not found</t>
        </is>
      </c>
      <c r="L1291" t="inlineStr">
        <is>
          <t>Unknown</t>
        </is>
      </c>
      <c r="T1291" t="inlineStr">
        <is>
          <t>https://tenders.iglonline.net/uploads/tender/RTBQ_CP17705.pdf</t>
        </is>
      </c>
      <c r="U1291" t="inlineStr">
        <is>
          <t>No</t>
        </is>
      </c>
      <c r="V1291" t="inlineStr">
        <is>
          <t>Bot tarafindan tespit edildi (2026-07-01)</t>
        </is>
      </c>
    </row>
    <row r="1292">
      <c r="A1292" t="inlineStr">
        <is>
          <t>T-1096</t>
        </is>
      </c>
      <c r="B1292" t="inlineStr">
        <is>
          <t>Indraprastha Gas (IGL)</t>
        </is>
      </c>
      <c r="C1292" t="inlineStr">
        <is>
          <t>Indraprastha Gas (IGL)</t>
        </is>
      </c>
      <c r="F1292" t="inlineStr">
        <is>
          <t>New Lead</t>
        </is>
      </c>
      <c r="H1292" t="inlineStr">
        <is>
          <t>Corrigendum_1_CP17705.pdf</t>
        </is>
      </c>
      <c r="K1292" t="inlineStr">
        <is>
          <t>Not found</t>
        </is>
      </c>
      <c r="L1292" t="inlineStr">
        <is>
          <t>Unknown</t>
        </is>
      </c>
      <c r="T1292" t="inlineStr">
        <is>
          <t>https://tenders.iglonline.net/uploads/tender/Corrigendum_1_CP17705.pdf</t>
        </is>
      </c>
      <c r="U1292" t="inlineStr">
        <is>
          <t>No</t>
        </is>
      </c>
      <c r="V1292" t="inlineStr">
        <is>
          <t>Bot tarafindan tespit edildi (2026-07-01)</t>
        </is>
      </c>
    </row>
    <row r="1293">
      <c r="A1293" t="inlineStr">
        <is>
          <t>T-1097</t>
        </is>
      </c>
      <c r="B1293" t="inlineStr">
        <is>
          <t>Indraprastha Gas (IGL)</t>
        </is>
      </c>
      <c r="C1293" t="inlineStr">
        <is>
          <t>Indraprastha Gas (IGL)</t>
        </is>
      </c>
      <c r="F1293" t="inlineStr">
        <is>
          <t>New Lead</t>
        </is>
      </c>
      <c r="H1293" t="inlineStr">
        <is>
          <t>View Tender</t>
        </is>
      </c>
      <c r="K1293" t="inlineStr">
        <is>
          <t>Not found</t>
        </is>
      </c>
      <c r="L1293" t="inlineStr">
        <is>
          <t>Unknown</t>
        </is>
      </c>
      <c r="T1293" t="inlineStr">
        <is>
          <t>https://tenders.iglonline.net/tenderDetail/207/Active Tenders And Corrigendum-Addendum</t>
        </is>
      </c>
      <c r="U1293" t="inlineStr">
        <is>
          <t>No</t>
        </is>
      </c>
      <c r="V1293" t="inlineStr">
        <is>
          <t>Bot tarafindan tespit edildi (2026-07-01)</t>
        </is>
      </c>
    </row>
    <row r="1294">
      <c r="A1294" t="inlineStr">
        <is>
          <t>T-1098</t>
        </is>
      </c>
      <c r="B1294" t="inlineStr">
        <is>
          <t>Indraprastha Gas (IGL)</t>
        </is>
      </c>
      <c r="C1294" t="inlineStr">
        <is>
          <t>Indraprastha Gas (IGL)</t>
        </is>
      </c>
      <c r="F1294" t="inlineStr">
        <is>
          <t>New Lead</t>
        </is>
      </c>
      <c r="H1294" t="inlineStr">
        <is>
          <t>Corrigendum_I_(5)1.pdf</t>
        </is>
      </c>
      <c r="K1294" t="inlineStr">
        <is>
          <t>Not found</t>
        </is>
      </c>
      <c r="L1294" t="inlineStr">
        <is>
          <t>Unknown</t>
        </is>
      </c>
      <c r="T1294" t="inlineStr">
        <is>
          <t>https://tenders.iglonline.net/uploads/tender/Corrigendum_I_(5)1.pdf</t>
        </is>
      </c>
      <c r="U1294" t="inlineStr">
        <is>
          <t>No</t>
        </is>
      </c>
      <c r="V1294" t="inlineStr">
        <is>
          <t>Bot tarafindan tespit edildi (2026-07-01)</t>
        </is>
      </c>
    </row>
    <row r="1295">
      <c r="A1295" t="inlineStr">
        <is>
          <t>T-1099</t>
        </is>
      </c>
      <c r="B1295" t="inlineStr">
        <is>
          <t>Indraprastha Gas (IGL)</t>
        </is>
      </c>
      <c r="C1295" t="inlineStr">
        <is>
          <t>Indraprastha Gas (IGL)</t>
        </is>
      </c>
      <c r="F1295" t="inlineStr">
        <is>
          <t>New Lead</t>
        </is>
      </c>
      <c r="H1295" t="inlineStr">
        <is>
          <t>Corrigendum_II__1.pdf</t>
        </is>
      </c>
      <c r="K1295" t="inlineStr">
        <is>
          <t>Not found</t>
        </is>
      </c>
      <c r="L1295" t="inlineStr">
        <is>
          <t>Unknown</t>
        </is>
      </c>
      <c r="T1295" t="inlineStr">
        <is>
          <t>https://tenders.iglonline.net/uploads/tender/Corrigendum_II__1.pdf</t>
        </is>
      </c>
      <c r="U1295" t="inlineStr">
        <is>
          <t>No</t>
        </is>
      </c>
      <c r="V1295" t="inlineStr">
        <is>
          <t>Bot tarafindan tespit edildi (2026-07-01)</t>
        </is>
      </c>
    </row>
    <row r="1296">
      <c r="A1296" t="inlineStr">
        <is>
          <t>T-1100</t>
        </is>
      </c>
      <c r="B1296" t="inlineStr">
        <is>
          <t>Indraprastha Gas (IGL)</t>
        </is>
      </c>
      <c r="C1296" t="inlineStr">
        <is>
          <t>Indraprastha Gas (IGL)</t>
        </is>
      </c>
      <c r="F1296" t="inlineStr">
        <is>
          <t>New Lead</t>
        </is>
      </c>
      <c r="H1296" t="inlineStr">
        <is>
          <t>Corrigendum_III_(2).pdf</t>
        </is>
      </c>
      <c r="K1296" t="inlineStr">
        <is>
          <t>Not found</t>
        </is>
      </c>
      <c r="L1296" t="inlineStr">
        <is>
          <t>Unknown</t>
        </is>
      </c>
      <c r="T1296" t="inlineStr">
        <is>
          <t>https://tenders.iglonline.net/uploads/tender/Corrigendum_III_(2).pdf</t>
        </is>
      </c>
      <c r="U1296" t="inlineStr">
        <is>
          <t>No</t>
        </is>
      </c>
      <c r="V1296" t="inlineStr">
        <is>
          <t>Bot tarafindan tespit edildi (2026-07-01)</t>
        </is>
      </c>
    </row>
    <row r="1297">
      <c r="A1297" t="inlineStr">
        <is>
          <t>T-1101</t>
        </is>
      </c>
      <c r="B1297" t="inlineStr">
        <is>
          <t>Indraprastha Gas (IGL)</t>
        </is>
      </c>
      <c r="C1297" t="inlineStr">
        <is>
          <t>Indraprastha Gas (IGL)</t>
        </is>
      </c>
      <c r="F1297" t="inlineStr">
        <is>
          <t>New Lead</t>
        </is>
      </c>
      <c r="H1297" t="inlineStr">
        <is>
          <t>Replies_of_Prebid_Queries_CM17716.pdf</t>
        </is>
      </c>
      <c r="K1297" t="inlineStr">
        <is>
          <t>Not found</t>
        </is>
      </c>
      <c r="L1297" t="inlineStr">
        <is>
          <t>Unknown</t>
        </is>
      </c>
      <c r="T1297" t="inlineStr">
        <is>
          <t>https://tenders.iglonline.net/uploads/tender/Replies_of_Prebid_Queries_CM17716.pdf</t>
        </is>
      </c>
      <c r="U1297" t="inlineStr">
        <is>
          <t>No</t>
        </is>
      </c>
      <c r="V1297" t="inlineStr">
        <is>
          <t>Bot tarafindan tespit edildi (2026-07-01)</t>
        </is>
      </c>
    </row>
    <row r="1298">
      <c r="A1298" t="inlineStr">
        <is>
          <t>T-1102</t>
        </is>
      </c>
      <c r="B1298" t="inlineStr">
        <is>
          <t>Indraprastha Gas (IGL)</t>
        </is>
      </c>
      <c r="C1298" t="inlineStr">
        <is>
          <t>Indraprastha Gas (IGL)</t>
        </is>
      </c>
      <c r="F1298" t="inlineStr">
        <is>
          <t>New Lead</t>
        </is>
      </c>
      <c r="H1298" t="inlineStr">
        <is>
          <t>Corrigendum_IV_(2).pdf</t>
        </is>
      </c>
      <c r="K1298" t="inlineStr">
        <is>
          <t>Not found</t>
        </is>
      </c>
      <c r="L1298" t="inlineStr">
        <is>
          <t>Unknown</t>
        </is>
      </c>
      <c r="T1298" t="inlineStr">
        <is>
          <t>https://tenders.iglonline.net/uploads/tender/Corrigendum_IV_(2).pdf</t>
        </is>
      </c>
      <c r="U1298" t="inlineStr">
        <is>
          <t>No</t>
        </is>
      </c>
      <c r="V1298" t="inlineStr">
        <is>
          <t>Bot tarafindan tespit edildi (2026-07-01)</t>
        </is>
      </c>
    </row>
    <row r="1299">
      <c r="A1299" t="inlineStr">
        <is>
          <t>T-1103</t>
        </is>
      </c>
      <c r="B1299" t="inlineStr">
        <is>
          <t>Indraprastha Gas (IGL)</t>
        </is>
      </c>
      <c r="C1299" t="inlineStr">
        <is>
          <t>Indraprastha Gas (IGL)</t>
        </is>
      </c>
      <c r="F1299" t="inlineStr">
        <is>
          <t>New Lead</t>
        </is>
      </c>
      <c r="H1299" t="inlineStr">
        <is>
          <t>Corrigendum_V1.pdf</t>
        </is>
      </c>
      <c r="K1299" t="inlineStr">
        <is>
          <t>Not found</t>
        </is>
      </c>
      <c r="L1299" t="inlineStr">
        <is>
          <t>Unknown</t>
        </is>
      </c>
      <c r="T1299" t="inlineStr">
        <is>
          <t>https://tenders.iglonline.net/uploads/tender/Corrigendum_V1.pdf</t>
        </is>
      </c>
      <c r="U1299" t="inlineStr">
        <is>
          <t>No</t>
        </is>
      </c>
      <c r="V1299" t="inlineStr">
        <is>
          <t>Bot tarafindan tespit edildi (2026-07-01)</t>
        </is>
      </c>
    </row>
    <row r="1300">
      <c r="A1300" t="inlineStr">
        <is>
          <t>T-1104</t>
        </is>
      </c>
      <c r="B1300" t="inlineStr">
        <is>
          <t>Indraprastha Gas (IGL)</t>
        </is>
      </c>
      <c r="C1300" t="inlineStr">
        <is>
          <t>Indraprastha Gas (IGL)</t>
        </is>
      </c>
      <c r="F1300" t="inlineStr">
        <is>
          <t>New Lead</t>
        </is>
      </c>
      <c r="H1300" t="inlineStr">
        <is>
          <t>Replies_of_PreBid_Queries_2_CM17716.pdf</t>
        </is>
      </c>
      <c r="K1300" t="inlineStr">
        <is>
          <t>Not found</t>
        </is>
      </c>
      <c r="L1300" t="inlineStr">
        <is>
          <t>Unknown</t>
        </is>
      </c>
      <c r="T1300" t="inlineStr">
        <is>
          <t>https://tenders.iglonline.net/uploads/tender/Replies_of_PreBid_Queries_2_CM17716.pdf</t>
        </is>
      </c>
      <c r="U1300" t="inlineStr">
        <is>
          <t>No</t>
        </is>
      </c>
      <c r="V1300" t="inlineStr">
        <is>
          <t>Bot tarafindan tespit edildi (2026-07-01)</t>
        </is>
      </c>
    </row>
    <row r="1301">
      <c r="A1301" t="inlineStr">
        <is>
          <t>T-1105</t>
        </is>
      </c>
      <c r="B1301" t="inlineStr">
        <is>
          <t>Indraprastha Gas (IGL)</t>
        </is>
      </c>
      <c r="C1301" t="inlineStr">
        <is>
          <t>Indraprastha Gas (IGL)</t>
        </is>
      </c>
      <c r="F1301" t="inlineStr">
        <is>
          <t>New Lead</t>
        </is>
      </c>
      <c r="H1301" t="inlineStr">
        <is>
          <t>Corrigendum_VI.pdf</t>
        </is>
      </c>
      <c r="K1301" t="inlineStr">
        <is>
          <t>Not found</t>
        </is>
      </c>
      <c r="L1301" t="inlineStr">
        <is>
          <t>Unknown</t>
        </is>
      </c>
      <c r="T1301" t="inlineStr">
        <is>
          <t>https://tenders.iglonline.net/uploads/tender/Corrigendum_VI.pdf</t>
        </is>
      </c>
      <c r="U1301" t="inlineStr">
        <is>
          <t>No</t>
        </is>
      </c>
      <c r="V1301" t="inlineStr">
        <is>
          <t>Bot tarafindan tespit edildi (2026-07-01)</t>
        </is>
      </c>
    </row>
    <row r="1302">
      <c r="A1302" t="inlineStr">
        <is>
          <t>T-1106</t>
        </is>
      </c>
      <c r="B1302" t="inlineStr">
        <is>
          <t>Indraprastha Gas (IGL)</t>
        </is>
      </c>
      <c r="C1302" t="inlineStr">
        <is>
          <t>Indraprastha Gas (IGL)</t>
        </is>
      </c>
      <c r="F1302" t="inlineStr">
        <is>
          <t>New Lead</t>
        </is>
      </c>
      <c r="H1302" t="inlineStr">
        <is>
          <t>Corrigendum_VII.pdf</t>
        </is>
      </c>
      <c r="K1302" t="inlineStr">
        <is>
          <t>Not found</t>
        </is>
      </c>
      <c r="L1302" t="inlineStr">
        <is>
          <t>Unknown</t>
        </is>
      </c>
      <c r="T1302" t="inlineStr">
        <is>
          <t>https://tenders.iglonline.net/uploads/tender/Corrigendum_VII.pdf</t>
        </is>
      </c>
      <c r="U1302" t="inlineStr">
        <is>
          <t>No</t>
        </is>
      </c>
      <c r="V1302" t="inlineStr">
        <is>
          <t>Bot tarafindan tespit edildi (2026-07-01)</t>
        </is>
      </c>
    </row>
    <row r="1303">
      <c r="A1303" t="inlineStr">
        <is>
          <t>T-1107</t>
        </is>
      </c>
      <c r="B1303" t="inlineStr">
        <is>
          <t>Indraprastha Gas (IGL)</t>
        </is>
      </c>
      <c r="C1303" t="inlineStr">
        <is>
          <t>Indraprastha Gas (IGL)</t>
        </is>
      </c>
      <c r="F1303" t="inlineStr">
        <is>
          <t>New Lead</t>
        </is>
      </c>
      <c r="H1303" t="inlineStr">
        <is>
          <t>Corrigendum_VIII.pdf</t>
        </is>
      </c>
      <c r="K1303" t="inlineStr">
        <is>
          <t>Not found</t>
        </is>
      </c>
      <c r="L1303" t="inlineStr">
        <is>
          <t>Unknown</t>
        </is>
      </c>
      <c r="T1303" t="inlineStr">
        <is>
          <t>https://tenders.iglonline.net/uploads/tender/Corrigendum_VIII.pdf</t>
        </is>
      </c>
      <c r="U1303" t="inlineStr">
        <is>
          <t>No</t>
        </is>
      </c>
      <c r="V1303" t="inlineStr">
        <is>
          <t>Bot tarafindan tespit edildi (2026-07-01)</t>
        </is>
      </c>
    </row>
    <row r="1304">
      <c r="A1304" t="inlineStr">
        <is>
          <t>T-1108</t>
        </is>
      </c>
      <c r="B1304" t="inlineStr">
        <is>
          <t>Indraprastha Gas (IGL)</t>
        </is>
      </c>
      <c r="C1304" t="inlineStr">
        <is>
          <t>Indraprastha Gas (IGL)</t>
        </is>
      </c>
      <c r="F1304" t="inlineStr">
        <is>
          <t>New Lead</t>
        </is>
      </c>
      <c r="H1304" t="inlineStr">
        <is>
          <t>Corrigendum_IX_Cancellation_of_tender.pdf</t>
        </is>
      </c>
      <c r="K1304" t="inlineStr">
        <is>
          <t>Not found</t>
        </is>
      </c>
      <c r="L1304" t="inlineStr">
        <is>
          <t>Unknown</t>
        </is>
      </c>
      <c r="T1304" t="inlineStr">
        <is>
          <t>https://tenders.iglonline.net/uploads/tender/Corrigendum_IX_Cancellation_of_tender.pdf</t>
        </is>
      </c>
      <c r="U1304" t="inlineStr">
        <is>
          <t>No</t>
        </is>
      </c>
      <c r="V1304" t="inlineStr">
        <is>
          <t>Bot tarafindan tespit edildi (2026-07-01)</t>
        </is>
      </c>
    </row>
    <row r="1305">
      <c r="A1305" t="inlineStr">
        <is>
          <t>T-1109</t>
        </is>
      </c>
      <c r="B1305" t="inlineStr">
        <is>
          <t>Indraprastha Gas (IGL)</t>
        </is>
      </c>
      <c r="C1305" t="inlineStr">
        <is>
          <t>Indraprastha Gas (IGL)</t>
        </is>
      </c>
      <c r="F1305" t="inlineStr">
        <is>
          <t>New Lead</t>
        </is>
      </c>
      <c r="H1305" t="inlineStr">
        <is>
          <t>View Tender</t>
        </is>
      </c>
      <c r="K1305" t="inlineStr">
        <is>
          <t>Not found</t>
        </is>
      </c>
      <c r="L1305" t="inlineStr">
        <is>
          <t>Unknown</t>
        </is>
      </c>
      <c r="T1305" t="inlineStr">
        <is>
          <t>https://tenders.iglonline.net/tenderDetail/206/Active Tenders And Corrigendum-Addendum</t>
        </is>
      </c>
      <c r="U1305" t="inlineStr">
        <is>
          <t>No</t>
        </is>
      </c>
      <c r="V1305" t="inlineStr">
        <is>
          <t>Bot tarafindan tespit edildi (2026-07-01)</t>
        </is>
      </c>
    </row>
    <row r="1306">
      <c r="A1306" t="inlineStr">
        <is>
          <t>T-1110</t>
        </is>
      </c>
      <c r="B1306" t="inlineStr">
        <is>
          <t>Indraprastha Gas (IGL)</t>
        </is>
      </c>
      <c r="C1306" t="inlineStr">
        <is>
          <t>Indraprastha Gas (IGL)</t>
        </is>
      </c>
      <c r="F1306" t="inlineStr">
        <is>
          <t>New Lead</t>
        </is>
      </c>
      <c r="H1306" t="inlineStr">
        <is>
          <t>Corrigendum_1_CP17667.pdf</t>
        </is>
      </c>
      <c r="K1306" t="inlineStr">
        <is>
          <t>Not found</t>
        </is>
      </c>
      <c r="L1306" t="inlineStr">
        <is>
          <t>Unknown</t>
        </is>
      </c>
      <c r="T1306" t="inlineStr">
        <is>
          <t>https://tenders.iglonline.net/uploads/tender/Corrigendum_1_CP17667.pdf</t>
        </is>
      </c>
      <c r="U1306" t="inlineStr">
        <is>
          <t>No</t>
        </is>
      </c>
      <c r="V1306" t="inlineStr">
        <is>
          <t>Bot tarafindan tespit edildi (2026-07-01)</t>
        </is>
      </c>
    </row>
    <row r="1307">
      <c r="A1307" t="inlineStr">
        <is>
          <t>T-1111</t>
        </is>
      </c>
      <c r="B1307" t="inlineStr">
        <is>
          <t>Indraprastha Gas (IGL)</t>
        </is>
      </c>
      <c r="C1307" t="inlineStr">
        <is>
          <t>Indraprastha Gas (IGL)</t>
        </is>
      </c>
      <c r="F1307" t="inlineStr">
        <is>
          <t>New Lead</t>
        </is>
      </c>
      <c r="H1307" t="inlineStr">
        <is>
          <t>Corrigendum_2_CP17667.pdf</t>
        </is>
      </c>
      <c r="K1307" t="inlineStr">
        <is>
          <t>Not found</t>
        </is>
      </c>
      <c r="L1307" t="inlineStr">
        <is>
          <t>Unknown</t>
        </is>
      </c>
      <c r="T1307" t="inlineStr">
        <is>
          <t>https://tenders.iglonline.net/uploads/tender/Corrigendum_2_CP17667.pdf</t>
        </is>
      </c>
      <c r="U1307" t="inlineStr">
        <is>
          <t>No</t>
        </is>
      </c>
      <c r="V1307" t="inlineStr">
        <is>
          <t>Bot tarafindan tespit edildi (2026-07-01)</t>
        </is>
      </c>
    </row>
    <row r="1308">
      <c r="A1308" t="inlineStr">
        <is>
          <t>T-1112</t>
        </is>
      </c>
      <c r="B1308" t="inlineStr">
        <is>
          <t>Indraprastha Gas (IGL)</t>
        </is>
      </c>
      <c r="C1308" t="inlineStr">
        <is>
          <t>Indraprastha Gas (IGL)</t>
        </is>
      </c>
      <c r="F1308" t="inlineStr">
        <is>
          <t>New Lead</t>
        </is>
      </c>
      <c r="H1308" t="inlineStr">
        <is>
          <t>Corrigendum_3_CP17667.pdf</t>
        </is>
      </c>
      <c r="K1308" t="inlineStr">
        <is>
          <t>Not found</t>
        </is>
      </c>
      <c r="L1308" t="inlineStr">
        <is>
          <t>Unknown</t>
        </is>
      </c>
      <c r="T1308" t="inlineStr">
        <is>
          <t>https://tenders.iglonline.net/uploads/tender/Corrigendum_3_CP17667.pdf</t>
        </is>
      </c>
      <c r="U1308" t="inlineStr">
        <is>
          <t>No</t>
        </is>
      </c>
      <c r="V1308" t="inlineStr">
        <is>
          <t>Bot tarafindan tespit edildi (2026-07-01)</t>
        </is>
      </c>
    </row>
    <row r="1309">
      <c r="A1309" t="inlineStr">
        <is>
          <t>T-1113</t>
        </is>
      </c>
      <c r="B1309" t="inlineStr">
        <is>
          <t>Indraprastha Gas (IGL)</t>
        </is>
      </c>
      <c r="C1309" t="inlineStr">
        <is>
          <t>Indraprastha Gas (IGL)</t>
        </is>
      </c>
      <c r="F1309" t="inlineStr">
        <is>
          <t>New Lead</t>
        </is>
      </c>
      <c r="H1309" t="inlineStr">
        <is>
          <t>Corrigendum_4_CP17667.pdf</t>
        </is>
      </c>
      <c r="K1309" t="inlineStr">
        <is>
          <t>Not found</t>
        </is>
      </c>
      <c r="L1309" t="inlineStr">
        <is>
          <t>Unknown</t>
        </is>
      </c>
      <c r="T1309" t="inlineStr">
        <is>
          <t>https://tenders.iglonline.net/uploads/tender/Corrigendum_4_CP17667.pdf</t>
        </is>
      </c>
      <c r="U1309" t="inlineStr">
        <is>
          <t>No</t>
        </is>
      </c>
      <c r="V1309" t="inlineStr">
        <is>
          <t>Bot tarafindan tespit edildi (2026-07-01)</t>
        </is>
      </c>
    </row>
    <row r="1310">
      <c r="A1310" t="inlineStr">
        <is>
          <t>T-1114</t>
        </is>
      </c>
      <c r="B1310" t="inlineStr">
        <is>
          <t>Indraprastha Gas (IGL)</t>
        </is>
      </c>
      <c r="C1310" t="inlineStr">
        <is>
          <t>Indraprastha Gas (IGL)</t>
        </is>
      </c>
      <c r="F1310" t="inlineStr">
        <is>
          <t>New Lead</t>
        </is>
      </c>
      <c r="H1310" t="inlineStr">
        <is>
          <t>RTBQ_CP17667.pdf</t>
        </is>
      </c>
      <c r="K1310" t="inlineStr">
        <is>
          <t>Not found</t>
        </is>
      </c>
      <c r="L1310" t="inlineStr">
        <is>
          <t>Unknown</t>
        </is>
      </c>
      <c r="T1310" t="inlineStr">
        <is>
          <t>https://tenders.iglonline.net/uploads/tender/RTBQ_CP17667.pdf</t>
        </is>
      </c>
      <c r="U1310" t="inlineStr">
        <is>
          <t>No</t>
        </is>
      </c>
      <c r="V1310" t="inlineStr">
        <is>
          <t>Bot tarafindan tespit edildi (2026-07-01)</t>
        </is>
      </c>
    </row>
    <row r="1311">
      <c r="A1311" t="inlineStr">
        <is>
          <t>T-1115</t>
        </is>
      </c>
      <c r="B1311" t="inlineStr">
        <is>
          <t>Indraprastha Gas (IGL)</t>
        </is>
      </c>
      <c r="C1311" t="inlineStr">
        <is>
          <t>Indraprastha Gas (IGL)</t>
        </is>
      </c>
      <c r="F1311" t="inlineStr">
        <is>
          <t>New Lead</t>
        </is>
      </c>
      <c r="H1311" t="inlineStr">
        <is>
          <t>View Tender</t>
        </is>
      </c>
      <c r="K1311" t="inlineStr">
        <is>
          <t>Not found</t>
        </is>
      </c>
      <c r="L1311" t="inlineStr">
        <is>
          <t>Unknown</t>
        </is>
      </c>
      <c r="T1311" t="inlineStr">
        <is>
          <t>https://tenders.iglonline.net/tenderDetail/205/Active Tenders And Corrigendum-Addendum</t>
        </is>
      </c>
      <c r="U1311" t="inlineStr">
        <is>
          <t>No</t>
        </is>
      </c>
      <c r="V1311" t="inlineStr">
        <is>
          <t>Bot tarafindan tespit edildi (2026-07-01)</t>
        </is>
      </c>
    </row>
    <row r="1312">
      <c r="A1312" t="inlineStr">
        <is>
          <t>T-1116</t>
        </is>
      </c>
      <c r="B1312" t="inlineStr">
        <is>
          <t>Indraprastha Gas (IGL)</t>
        </is>
      </c>
      <c r="C1312" t="inlineStr">
        <is>
          <t>Indraprastha Gas (IGL)</t>
        </is>
      </c>
      <c r="F1312" t="inlineStr">
        <is>
          <t>New Lead</t>
        </is>
      </c>
      <c r="H1312" t="inlineStr">
        <is>
          <t>Corrigendum_I_CC17683.pdf</t>
        </is>
      </c>
      <c r="K1312" t="inlineStr">
        <is>
          <t>Not found</t>
        </is>
      </c>
      <c r="L1312" t="inlineStr">
        <is>
          <t>Unknown</t>
        </is>
      </c>
      <c r="T1312" t="inlineStr">
        <is>
          <t>https://tenders.iglonline.net/uploads/tender/Corrigendum_I_CC17683.pdf</t>
        </is>
      </c>
      <c r="U1312" t="inlineStr">
        <is>
          <t>No</t>
        </is>
      </c>
      <c r="V1312" t="inlineStr">
        <is>
          <t>Bot tarafindan tespit edildi (2026-07-01)</t>
        </is>
      </c>
    </row>
    <row r="1313">
      <c r="A1313" t="inlineStr">
        <is>
          <t>T-1117</t>
        </is>
      </c>
      <c r="B1313" t="inlineStr">
        <is>
          <t>Indraprastha Gas (IGL)</t>
        </is>
      </c>
      <c r="C1313" t="inlineStr">
        <is>
          <t>Indraprastha Gas (IGL)</t>
        </is>
      </c>
      <c r="F1313" t="inlineStr">
        <is>
          <t>New Lead</t>
        </is>
      </c>
      <c r="H1313" t="inlineStr">
        <is>
          <t>Corrigendum_II_CC17683.pdf</t>
        </is>
      </c>
      <c r="K1313" t="inlineStr">
        <is>
          <t>Not found</t>
        </is>
      </c>
      <c r="L1313" t="inlineStr">
        <is>
          <t>Unknown</t>
        </is>
      </c>
      <c r="T1313" t="inlineStr">
        <is>
          <t>https://tenders.iglonline.net/uploads/tender/Corrigendum_II_CC17683.pdf</t>
        </is>
      </c>
      <c r="U1313" t="inlineStr">
        <is>
          <t>No</t>
        </is>
      </c>
      <c r="V1313" t="inlineStr">
        <is>
          <t>Bot tarafindan tespit edildi (2026-07-01)</t>
        </is>
      </c>
    </row>
    <row r="1314">
      <c r="A1314" t="inlineStr">
        <is>
          <t>T-1118</t>
        </is>
      </c>
      <c r="B1314" t="inlineStr">
        <is>
          <t>Indraprastha Gas (IGL)</t>
        </is>
      </c>
      <c r="C1314" t="inlineStr">
        <is>
          <t>Indraprastha Gas (IGL)</t>
        </is>
      </c>
      <c r="F1314" t="inlineStr">
        <is>
          <t>New Lead</t>
        </is>
      </c>
      <c r="H1314" t="inlineStr">
        <is>
          <t>View Tender</t>
        </is>
      </c>
      <c r="K1314" t="inlineStr">
        <is>
          <t>Not found</t>
        </is>
      </c>
      <c r="L1314" t="inlineStr">
        <is>
          <t>Unknown</t>
        </is>
      </c>
      <c r="T1314" t="inlineStr">
        <is>
          <t>https://tenders.iglonline.net/tenderDetail/204/Active Tenders And Corrigendum-Addendum</t>
        </is>
      </c>
      <c r="U1314" t="inlineStr">
        <is>
          <t>No</t>
        </is>
      </c>
      <c r="V1314" t="inlineStr">
        <is>
          <t>Bot tarafindan tespit edildi (2026-07-01)</t>
        </is>
      </c>
    </row>
    <row r="1315">
      <c r="A1315" t="inlineStr">
        <is>
          <t>T-1119</t>
        </is>
      </c>
      <c r="B1315" t="inlineStr">
        <is>
          <t>Indraprastha Gas (IGL)</t>
        </is>
      </c>
      <c r="C1315" t="inlineStr">
        <is>
          <t>Indraprastha Gas (IGL)</t>
        </is>
      </c>
      <c r="F1315" t="inlineStr">
        <is>
          <t>New Lead</t>
        </is>
      </c>
      <c r="H1315" t="inlineStr">
        <is>
          <t>Reply_Pre_bid_Queries_CC17680.pdf</t>
        </is>
      </c>
      <c r="K1315" t="inlineStr">
        <is>
          <t>Not found</t>
        </is>
      </c>
      <c r="L1315" t="inlineStr">
        <is>
          <t>Unknown</t>
        </is>
      </c>
      <c r="T1315" t="inlineStr">
        <is>
          <t>https://tenders.iglonline.net/uploads/tender/Reply_Pre_bid_Queries_CC17680.pdf</t>
        </is>
      </c>
      <c r="U1315" t="inlineStr">
        <is>
          <t>No</t>
        </is>
      </c>
      <c r="V1315" t="inlineStr">
        <is>
          <t>Bot tarafindan tespit edildi (2026-07-01)</t>
        </is>
      </c>
    </row>
    <row r="1316">
      <c r="A1316" t="inlineStr">
        <is>
          <t>T-1120</t>
        </is>
      </c>
      <c r="B1316" t="inlineStr">
        <is>
          <t>Indraprastha Gas (IGL)</t>
        </is>
      </c>
      <c r="C1316" t="inlineStr">
        <is>
          <t>Indraprastha Gas (IGL)</t>
        </is>
      </c>
      <c r="F1316" t="inlineStr">
        <is>
          <t>New Lead</t>
        </is>
      </c>
      <c r="H1316" t="inlineStr">
        <is>
          <t>Corrigendum_I_(6).pdf</t>
        </is>
      </c>
      <c r="K1316" t="inlineStr">
        <is>
          <t>Not found</t>
        </is>
      </c>
      <c r="L1316" t="inlineStr">
        <is>
          <t>Unknown</t>
        </is>
      </c>
      <c r="T1316" t="inlineStr">
        <is>
          <t>https://tenders.iglonline.net/uploads/tender/Corrigendum_I_(6).pdf</t>
        </is>
      </c>
      <c r="U1316" t="inlineStr">
        <is>
          <t>No</t>
        </is>
      </c>
      <c r="V1316" t="inlineStr">
        <is>
          <t>Bot tarafindan tespit edildi (2026-07-01)</t>
        </is>
      </c>
    </row>
    <row r="1317">
      <c r="A1317" t="inlineStr">
        <is>
          <t>T-1121</t>
        </is>
      </c>
      <c r="B1317" t="inlineStr">
        <is>
          <t>Indraprastha Gas (IGL)</t>
        </is>
      </c>
      <c r="C1317" t="inlineStr">
        <is>
          <t>Indraprastha Gas (IGL)</t>
        </is>
      </c>
      <c r="F1317" t="inlineStr">
        <is>
          <t>New Lead</t>
        </is>
      </c>
      <c r="H1317" t="inlineStr">
        <is>
          <t>View Tender</t>
        </is>
      </c>
      <c r="K1317" t="inlineStr">
        <is>
          <t>Not found</t>
        </is>
      </c>
      <c r="L1317" t="inlineStr">
        <is>
          <t>Unknown</t>
        </is>
      </c>
      <c r="T1317" t="inlineStr">
        <is>
          <t>https://tenders.iglonline.net/tenderDetail/203/Active Tenders And Corrigendum-Addendum</t>
        </is>
      </c>
      <c r="U1317" t="inlineStr">
        <is>
          <t>No</t>
        </is>
      </c>
      <c r="V1317" t="inlineStr">
        <is>
          <t>Bot tarafindan tespit edildi (2026-07-01)</t>
        </is>
      </c>
    </row>
    <row r="1318">
      <c r="A1318" t="inlineStr">
        <is>
          <t>T-1122</t>
        </is>
      </c>
      <c r="B1318" t="inlineStr">
        <is>
          <t>Indraprastha Gas (IGL)</t>
        </is>
      </c>
      <c r="C1318" t="inlineStr">
        <is>
          <t>Indraprastha Gas (IGL)</t>
        </is>
      </c>
      <c r="F1318" t="inlineStr">
        <is>
          <t>New Lead</t>
        </is>
      </c>
      <c r="H1318" t="inlineStr">
        <is>
          <t>Corrigendum_I_CC17702.pdf</t>
        </is>
      </c>
      <c r="K1318" t="inlineStr">
        <is>
          <t>Not found</t>
        </is>
      </c>
      <c r="L1318" t="inlineStr">
        <is>
          <t>Unknown</t>
        </is>
      </c>
      <c r="T1318" t="inlineStr">
        <is>
          <t>https://tenders.iglonline.net/uploads/tender/Corrigendum_I_CC17702.pdf</t>
        </is>
      </c>
      <c r="U1318" t="inlineStr">
        <is>
          <t>No</t>
        </is>
      </c>
      <c r="V1318" t="inlineStr">
        <is>
          <t>Bot tarafindan tespit edildi (2026-07-01)</t>
        </is>
      </c>
    </row>
    <row r="1319">
      <c r="A1319" t="inlineStr">
        <is>
          <t>T-1123</t>
        </is>
      </c>
      <c r="B1319" t="inlineStr">
        <is>
          <t>Indraprastha Gas (IGL)</t>
        </is>
      </c>
      <c r="C1319" t="inlineStr">
        <is>
          <t>Indraprastha Gas (IGL)</t>
        </is>
      </c>
      <c r="F1319" t="inlineStr">
        <is>
          <t>New Lead</t>
        </is>
      </c>
      <c r="H1319" t="inlineStr">
        <is>
          <t>View Tender</t>
        </is>
      </c>
      <c r="K1319" t="inlineStr">
        <is>
          <t>Not found</t>
        </is>
      </c>
      <c r="L1319" t="inlineStr">
        <is>
          <t>Unknown</t>
        </is>
      </c>
      <c r="T1319" t="inlineStr">
        <is>
          <t>https://tenders.iglonline.net/tenderDetail/202/Active Tenders And Corrigendum-Addendum</t>
        </is>
      </c>
      <c r="U1319" t="inlineStr">
        <is>
          <t>No</t>
        </is>
      </c>
      <c r="V1319" t="inlineStr">
        <is>
          <t>Bot tarafindan tespit edildi (2026-07-01)</t>
        </is>
      </c>
    </row>
    <row r="1320">
      <c r="A1320" t="inlineStr">
        <is>
          <t>T-1124</t>
        </is>
      </c>
      <c r="B1320" t="inlineStr">
        <is>
          <t>Indraprastha Gas (IGL)</t>
        </is>
      </c>
      <c r="C1320" t="inlineStr">
        <is>
          <t>Indraprastha Gas (IGL)</t>
        </is>
      </c>
      <c r="F1320" t="inlineStr">
        <is>
          <t>New Lead</t>
        </is>
      </c>
      <c r="H1320" t="inlineStr">
        <is>
          <t>Corrigendum-I__CC17695.pdf</t>
        </is>
      </c>
      <c r="K1320" t="inlineStr">
        <is>
          <t>Not found</t>
        </is>
      </c>
      <c r="L1320" t="inlineStr">
        <is>
          <t>Unknown</t>
        </is>
      </c>
      <c r="T1320" t="inlineStr">
        <is>
          <t>https://tenders.iglonline.net/uploads/tender/Corrigendum-I__CC17695.pdf</t>
        </is>
      </c>
      <c r="U1320" t="inlineStr">
        <is>
          <t>No</t>
        </is>
      </c>
      <c r="V1320" t="inlineStr">
        <is>
          <t>Bot tarafindan tespit edildi (2026-07-01)</t>
        </is>
      </c>
    </row>
    <row r="1321">
      <c r="A1321" t="inlineStr">
        <is>
          <t>T-1125</t>
        </is>
      </c>
      <c r="B1321" t="inlineStr">
        <is>
          <t>Indraprastha Gas (IGL)</t>
        </is>
      </c>
      <c r="C1321" t="inlineStr">
        <is>
          <t>Indraprastha Gas (IGL)</t>
        </is>
      </c>
      <c r="F1321" t="inlineStr">
        <is>
          <t>New Lead</t>
        </is>
      </c>
      <c r="H1321" t="inlineStr">
        <is>
          <t>Corrigendum-II__CC17695.pdf</t>
        </is>
      </c>
      <c r="K1321" t="inlineStr">
        <is>
          <t>Not found</t>
        </is>
      </c>
      <c r="L1321" t="inlineStr">
        <is>
          <t>Unknown</t>
        </is>
      </c>
      <c r="T1321" t="inlineStr">
        <is>
          <t>https://tenders.iglonline.net/uploads/tender/Corrigendum-II__CC17695.pdf</t>
        </is>
      </c>
      <c r="U1321" t="inlineStr">
        <is>
          <t>No</t>
        </is>
      </c>
      <c r="V1321" t="inlineStr">
        <is>
          <t>Bot tarafindan tespit edildi (2026-07-01)</t>
        </is>
      </c>
    </row>
    <row r="1322">
      <c r="A1322" t="inlineStr">
        <is>
          <t>T-1126</t>
        </is>
      </c>
      <c r="B1322" t="inlineStr">
        <is>
          <t>Indraprastha Gas (IGL)</t>
        </is>
      </c>
      <c r="C1322" t="inlineStr">
        <is>
          <t>Indraprastha Gas (IGL)</t>
        </is>
      </c>
      <c r="F1322" t="inlineStr">
        <is>
          <t>New Lead</t>
        </is>
      </c>
      <c r="H1322" t="inlineStr">
        <is>
          <t>View Tender</t>
        </is>
      </c>
      <c r="K1322" t="inlineStr">
        <is>
          <t>Not found</t>
        </is>
      </c>
      <c r="L1322" t="inlineStr">
        <is>
          <t>Unknown</t>
        </is>
      </c>
      <c r="T1322" t="inlineStr">
        <is>
          <t>https://tenders.iglonline.net/tenderDetail/201/Active Tenders And Corrigendum-Addendum</t>
        </is>
      </c>
      <c r="U1322" t="inlineStr">
        <is>
          <t>No</t>
        </is>
      </c>
      <c r="V1322" t="inlineStr">
        <is>
          <t>Bot tarafindan tespit edildi (2026-07-01)</t>
        </is>
      </c>
    </row>
    <row r="1323">
      <c r="A1323" t="inlineStr">
        <is>
          <t>T-1127</t>
        </is>
      </c>
      <c r="B1323" t="inlineStr">
        <is>
          <t>Indraprastha Gas (IGL)</t>
        </is>
      </c>
      <c r="C1323" t="inlineStr">
        <is>
          <t>Indraprastha Gas (IGL)</t>
        </is>
      </c>
      <c r="F1323" t="inlineStr">
        <is>
          <t>New Lead</t>
        </is>
      </c>
      <c r="H1323" t="inlineStr">
        <is>
          <t>CORRIGENDUM_1_(1).pdf</t>
        </is>
      </c>
      <c r="K1323" t="inlineStr">
        <is>
          <t>Not found</t>
        </is>
      </c>
      <c r="L1323" t="inlineStr">
        <is>
          <t>Unknown</t>
        </is>
      </c>
      <c r="T1323" t="inlineStr">
        <is>
          <t>https://tenders.iglonline.net/uploads/tender/CORRIGENDUM_1_(1).pdf</t>
        </is>
      </c>
      <c r="U1323" t="inlineStr">
        <is>
          <t>No</t>
        </is>
      </c>
      <c r="V1323" t="inlineStr">
        <is>
          <t>Bot tarafindan tespit edildi (2026-07-01)</t>
        </is>
      </c>
    </row>
    <row r="1324">
      <c r="A1324" t="inlineStr">
        <is>
          <t>T-1128</t>
        </is>
      </c>
      <c r="B1324" t="inlineStr">
        <is>
          <t>Indraprastha Gas (IGL)</t>
        </is>
      </c>
      <c r="C1324" t="inlineStr">
        <is>
          <t>Indraprastha Gas (IGL)</t>
        </is>
      </c>
      <c r="F1324" t="inlineStr">
        <is>
          <t>New Lead</t>
        </is>
      </c>
      <c r="H1324" t="inlineStr">
        <is>
          <t>Replies_to_Pre_bid_queries_consolidated__DR_hosting.pdf</t>
        </is>
      </c>
      <c r="K1324" t="inlineStr">
        <is>
          <t>Not found</t>
        </is>
      </c>
      <c r="L1324" t="inlineStr">
        <is>
          <t>Unknown</t>
        </is>
      </c>
      <c r="T1324" t="inlineStr">
        <is>
          <t>https://tenders.iglonline.net/uploads/tender/Replies_to_Pre_bid_queries_consolidated__DR_hosting.pdf</t>
        </is>
      </c>
      <c r="U1324" t="inlineStr">
        <is>
          <t>No</t>
        </is>
      </c>
      <c r="V1324" t="inlineStr">
        <is>
          <t>Bot tarafindan tespit edildi (2026-07-01)</t>
        </is>
      </c>
    </row>
    <row r="1325">
      <c r="A1325" t="inlineStr">
        <is>
          <t>T-1129</t>
        </is>
      </c>
      <c r="B1325" t="inlineStr">
        <is>
          <t>Indraprastha Gas (IGL)</t>
        </is>
      </c>
      <c r="C1325" t="inlineStr">
        <is>
          <t>Indraprastha Gas (IGL)</t>
        </is>
      </c>
      <c r="F1325" t="inlineStr">
        <is>
          <t>New Lead</t>
        </is>
      </c>
      <c r="H1325" t="inlineStr">
        <is>
          <t>CORRIGENDUM_3_CM17635.pdf</t>
        </is>
      </c>
      <c r="K1325" t="inlineStr">
        <is>
          <t>Not found</t>
        </is>
      </c>
      <c r="L1325" t="inlineStr">
        <is>
          <t>Unknown</t>
        </is>
      </c>
      <c r="T1325" t="inlineStr">
        <is>
          <t>https://tenders.iglonline.net/uploads/tender/CORRIGENDUM_3_CM17635.pdf</t>
        </is>
      </c>
      <c r="U1325" t="inlineStr">
        <is>
          <t>No</t>
        </is>
      </c>
      <c r="V1325" t="inlineStr">
        <is>
          <t>Bot tarafindan tespit edildi (2026-07-01)</t>
        </is>
      </c>
    </row>
    <row r="1326">
      <c r="A1326" t="inlineStr">
        <is>
          <t>T-1130</t>
        </is>
      </c>
      <c r="B1326" t="inlineStr">
        <is>
          <t>Indraprastha Gas (IGL)</t>
        </is>
      </c>
      <c r="C1326" t="inlineStr">
        <is>
          <t>Indraprastha Gas (IGL)</t>
        </is>
      </c>
      <c r="F1326" t="inlineStr">
        <is>
          <t>New Lead</t>
        </is>
      </c>
      <c r="H1326" t="inlineStr">
        <is>
          <t>View Tender</t>
        </is>
      </c>
      <c r="K1326" t="inlineStr">
        <is>
          <t>Not found</t>
        </is>
      </c>
      <c r="L1326" t="inlineStr">
        <is>
          <t>Unknown</t>
        </is>
      </c>
      <c r="T1326" t="inlineStr">
        <is>
          <t>https://tenders.iglonline.net/tenderDetail/200/Active Tenders And Corrigendum-Addendum</t>
        </is>
      </c>
      <c r="U1326" t="inlineStr">
        <is>
          <t>No</t>
        </is>
      </c>
      <c r="V1326" t="inlineStr">
        <is>
          <t>Bot tarafindan tespit edildi (2026-07-01)</t>
        </is>
      </c>
    </row>
    <row r="1327">
      <c r="A1327" t="inlineStr">
        <is>
          <t>T-1131</t>
        </is>
      </c>
      <c r="B1327" t="inlineStr">
        <is>
          <t>Indraprastha Gas (IGL)</t>
        </is>
      </c>
      <c r="C1327" t="inlineStr">
        <is>
          <t>Indraprastha Gas (IGL)</t>
        </is>
      </c>
      <c r="F1327" t="inlineStr">
        <is>
          <t>New Lead</t>
        </is>
      </c>
      <c r="H1327" t="inlineStr">
        <is>
          <t>Corrigendum_I_CP17626.pdf</t>
        </is>
      </c>
      <c r="K1327" t="inlineStr">
        <is>
          <t>Not found</t>
        </is>
      </c>
      <c r="L1327" t="inlineStr">
        <is>
          <t>Unknown</t>
        </is>
      </c>
      <c r="T1327" t="inlineStr">
        <is>
          <t>https://tenders.iglonline.net/uploads/tender/Corrigendum_I_CP17626.pdf</t>
        </is>
      </c>
      <c r="U1327" t="inlineStr">
        <is>
          <t>No</t>
        </is>
      </c>
      <c r="V1327" t="inlineStr">
        <is>
          <t>Bot tarafindan tespit edildi (2026-07-01)</t>
        </is>
      </c>
    </row>
    <row r="1328">
      <c r="A1328" t="inlineStr">
        <is>
          <t>T-1132</t>
        </is>
      </c>
      <c r="B1328" t="inlineStr">
        <is>
          <t>Indraprastha Gas (IGL)</t>
        </is>
      </c>
      <c r="C1328" t="inlineStr">
        <is>
          <t>Indraprastha Gas (IGL)</t>
        </is>
      </c>
      <c r="F1328" t="inlineStr">
        <is>
          <t>New Lead</t>
        </is>
      </c>
      <c r="H1328" t="inlineStr">
        <is>
          <t>Corrigendum_II_CP17626.pdf</t>
        </is>
      </c>
      <c r="K1328" t="inlineStr">
        <is>
          <t>Not found</t>
        </is>
      </c>
      <c r="L1328" t="inlineStr">
        <is>
          <t>Unknown</t>
        </is>
      </c>
      <c r="T1328" t="inlineStr">
        <is>
          <t>https://tenders.iglonline.net/uploads/tender/Corrigendum_II_CP17626.pdf</t>
        </is>
      </c>
      <c r="U1328" t="inlineStr">
        <is>
          <t>No</t>
        </is>
      </c>
      <c r="V1328" t="inlineStr">
        <is>
          <t>Bot tarafindan tespit edildi (2026-07-01)</t>
        </is>
      </c>
    </row>
    <row r="1329">
      <c r="A1329" t="inlineStr">
        <is>
          <t>T-1133</t>
        </is>
      </c>
      <c r="B1329" t="inlineStr">
        <is>
          <t>Indraprastha Gas (IGL)</t>
        </is>
      </c>
      <c r="C1329" t="inlineStr">
        <is>
          <t>Indraprastha Gas (IGL)</t>
        </is>
      </c>
      <c r="F1329" t="inlineStr">
        <is>
          <t>New Lead</t>
        </is>
      </c>
      <c r="H1329" t="inlineStr">
        <is>
          <t>View Tender</t>
        </is>
      </c>
      <c r="K1329" t="inlineStr">
        <is>
          <t>Not found</t>
        </is>
      </c>
      <c r="L1329" t="inlineStr">
        <is>
          <t>Unknown</t>
        </is>
      </c>
      <c r="T1329" t="inlineStr">
        <is>
          <t>https://tenders.iglonline.net/tenderDetail/199/Active Tenders And Corrigendum-Addendum</t>
        </is>
      </c>
      <c r="U1329" t="inlineStr">
        <is>
          <t>No</t>
        </is>
      </c>
      <c r="V1329" t="inlineStr">
        <is>
          <t>Bot tarafindan tespit edildi (2026-07-01)</t>
        </is>
      </c>
    </row>
    <row r="1330">
      <c r="A1330" t="inlineStr">
        <is>
          <t>T-1134</t>
        </is>
      </c>
      <c r="B1330" t="inlineStr">
        <is>
          <t>Indraprastha Gas (IGL)</t>
        </is>
      </c>
      <c r="C1330" t="inlineStr">
        <is>
          <t>Indraprastha Gas (IGL)</t>
        </is>
      </c>
      <c r="F1330" t="inlineStr">
        <is>
          <t>New Lead</t>
        </is>
      </c>
      <c r="H1330" t="inlineStr">
        <is>
          <t>Corrigendum_I2.pdf</t>
        </is>
      </c>
      <c r="K1330" t="inlineStr">
        <is>
          <t>Not found</t>
        </is>
      </c>
      <c r="L1330" t="inlineStr">
        <is>
          <t>Unknown</t>
        </is>
      </c>
      <c r="T1330" t="inlineStr">
        <is>
          <t>https://tenders.iglonline.net/uploads/tender/Corrigendum_I2.pdf</t>
        </is>
      </c>
      <c r="U1330" t="inlineStr">
        <is>
          <t>No</t>
        </is>
      </c>
      <c r="V1330" t="inlineStr">
        <is>
          <t>Bot tarafindan tespit edildi (2026-07-01)</t>
        </is>
      </c>
    </row>
    <row r="1331">
      <c r="A1331" t="inlineStr">
        <is>
          <t>T-1135</t>
        </is>
      </c>
      <c r="B1331" t="inlineStr">
        <is>
          <t>Indraprastha Gas (IGL)</t>
        </is>
      </c>
      <c r="C1331" t="inlineStr">
        <is>
          <t>Indraprastha Gas (IGL)</t>
        </is>
      </c>
      <c r="F1331" t="inlineStr">
        <is>
          <t>New Lead</t>
        </is>
      </c>
      <c r="H1331" t="inlineStr">
        <is>
          <t>Corrigendum_II___.pdf</t>
        </is>
      </c>
      <c r="K1331" t="inlineStr">
        <is>
          <t>Not found</t>
        </is>
      </c>
      <c r="L1331" t="inlineStr">
        <is>
          <t>Unknown</t>
        </is>
      </c>
      <c r="T1331" t="inlineStr">
        <is>
          <t>https://tenders.iglonline.net/uploads/tender/Corrigendum_II___.pdf</t>
        </is>
      </c>
      <c r="U1331" t="inlineStr">
        <is>
          <t>No</t>
        </is>
      </c>
      <c r="V1331" t="inlineStr">
        <is>
          <t>Bot tarafindan tespit edildi (2026-07-01)</t>
        </is>
      </c>
    </row>
    <row r="1332">
      <c r="A1332" t="inlineStr">
        <is>
          <t>T-1136</t>
        </is>
      </c>
      <c r="B1332" t="inlineStr">
        <is>
          <t>Indraprastha Gas (IGL)</t>
        </is>
      </c>
      <c r="C1332" t="inlineStr">
        <is>
          <t>Indraprastha Gas (IGL)</t>
        </is>
      </c>
      <c r="F1332" t="inlineStr">
        <is>
          <t>New Lead</t>
        </is>
      </c>
      <c r="H1332" t="inlineStr">
        <is>
          <t>View Tender</t>
        </is>
      </c>
      <c r="K1332" t="inlineStr">
        <is>
          <t>Not found</t>
        </is>
      </c>
      <c r="L1332" t="inlineStr">
        <is>
          <t>Unknown</t>
        </is>
      </c>
      <c r="T1332" t="inlineStr">
        <is>
          <t>https://tenders.iglonline.net/tenderDetail/198/Active Tenders And Corrigendum-Addendum</t>
        </is>
      </c>
      <c r="U1332" t="inlineStr">
        <is>
          <t>No</t>
        </is>
      </c>
      <c r="V1332" t="inlineStr">
        <is>
          <t>Bot tarafindan tespit edildi (2026-07-01)</t>
        </is>
      </c>
    </row>
    <row r="1333">
      <c r="A1333" t="inlineStr">
        <is>
          <t>T-1137</t>
        </is>
      </c>
      <c r="B1333" t="inlineStr">
        <is>
          <t>Indraprastha Gas (IGL)</t>
        </is>
      </c>
      <c r="C1333" t="inlineStr">
        <is>
          <t>Indraprastha Gas (IGL)</t>
        </is>
      </c>
      <c r="F1333" t="inlineStr">
        <is>
          <t>New Lead</t>
        </is>
      </c>
      <c r="H1333" t="inlineStr">
        <is>
          <t>Corrigendum_1_CP17691.pdf</t>
        </is>
      </c>
      <c r="K1333" t="inlineStr">
        <is>
          <t>Not found</t>
        </is>
      </c>
      <c r="L1333" t="inlineStr">
        <is>
          <t>Unknown</t>
        </is>
      </c>
      <c r="T1333" t="inlineStr">
        <is>
          <t>https://tenders.iglonline.net/uploads/tender/Corrigendum_1_CP17691.pdf</t>
        </is>
      </c>
      <c r="U1333" t="inlineStr">
        <is>
          <t>No</t>
        </is>
      </c>
      <c r="V1333" t="inlineStr">
        <is>
          <t>Bot tarafindan tespit edildi (2026-07-01)</t>
        </is>
      </c>
    </row>
    <row r="1334">
      <c r="A1334" t="inlineStr">
        <is>
          <t>T-1138</t>
        </is>
      </c>
      <c r="B1334" t="inlineStr">
        <is>
          <t>Indraprastha Gas (IGL)</t>
        </is>
      </c>
      <c r="C1334" t="inlineStr">
        <is>
          <t>Indraprastha Gas (IGL)</t>
        </is>
      </c>
      <c r="F1334" t="inlineStr">
        <is>
          <t>New Lead</t>
        </is>
      </c>
      <c r="H1334" t="inlineStr">
        <is>
          <t>Corrigendum_2_CP17691.pdf</t>
        </is>
      </c>
      <c r="K1334" t="inlineStr">
        <is>
          <t>Not found</t>
        </is>
      </c>
      <c r="L1334" t="inlineStr">
        <is>
          <t>Unknown</t>
        </is>
      </c>
      <c r="T1334" t="inlineStr">
        <is>
          <t>https://tenders.iglonline.net/uploads/tender/Corrigendum_2_CP17691.pdf</t>
        </is>
      </c>
      <c r="U1334" t="inlineStr">
        <is>
          <t>No</t>
        </is>
      </c>
      <c r="V1334" t="inlineStr">
        <is>
          <t>Bot tarafindan tespit edildi (2026-07-01)</t>
        </is>
      </c>
    </row>
    <row r="1335">
      <c r="A1335" t="inlineStr">
        <is>
          <t>T-1139</t>
        </is>
      </c>
      <c r="B1335" t="inlineStr">
        <is>
          <t>Indraprastha Gas (IGL)</t>
        </is>
      </c>
      <c r="C1335" t="inlineStr">
        <is>
          <t>Indraprastha Gas (IGL)</t>
        </is>
      </c>
      <c r="F1335" t="inlineStr">
        <is>
          <t>New Lead</t>
        </is>
      </c>
      <c r="H1335" t="inlineStr">
        <is>
          <t>RTBQ_CP17691.pdf</t>
        </is>
      </c>
      <c r="K1335" t="inlineStr">
        <is>
          <t>Not found</t>
        </is>
      </c>
      <c r="L1335" t="inlineStr">
        <is>
          <t>Unknown</t>
        </is>
      </c>
      <c r="T1335" t="inlineStr">
        <is>
          <t>https://tenders.iglonline.net/uploads/tender/RTBQ_CP17691.pdf</t>
        </is>
      </c>
      <c r="U1335" t="inlineStr">
        <is>
          <t>No</t>
        </is>
      </c>
      <c r="V1335" t="inlineStr">
        <is>
          <t>Bot tarafindan tespit edildi (2026-07-01)</t>
        </is>
      </c>
    </row>
    <row r="1336">
      <c r="A1336" t="inlineStr">
        <is>
          <t>T-1140</t>
        </is>
      </c>
      <c r="B1336" t="inlineStr">
        <is>
          <t>Indraprastha Gas (IGL)</t>
        </is>
      </c>
      <c r="C1336" t="inlineStr">
        <is>
          <t>Indraprastha Gas (IGL)</t>
        </is>
      </c>
      <c r="F1336" t="inlineStr">
        <is>
          <t>New Lead</t>
        </is>
      </c>
      <c r="H1336" t="inlineStr">
        <is>
          <t>Corrigendum_3_CP17691.pdf</t>
        </is>
      </c>
      <c r="K1336" t="inlineStr">
        <is>
          <t>Not found</t>
        </is>
      </c>
      <c r="L1336" t="inlineStr">
        <is>
          <t>Unknown</t>
        </is>
      </c>
      <c r="T1336" t="inlineStr">
        <is>
          <t>https://tenders.iglonline.net/uploads/tender/Corrigendum_3_CP17691.pdf</t>
        </is>
      </c>
      <c r="U1336" t="inlineStr">
        <is>
          <t>No</t>
        </is>
      </c>
      <c r="V1336" t="inlineStr">
        <is>
          <t>Bot tarafindan tespit edildi (2026-07-01)</t>
        </is>
      </c>
    </row>
    <row r="1337">
      <c r="A1337" t="inlineStr">
        <is>
          <t>T-1141</t>
        </is>
      </c>
      <c r="B1337" t="inlineStr">
        <is>
          <t>Indraprastha Gas (IGL)</t>
        </is>
      </c>
      <c r="C1337" t="inlineStr">
        <is>
          <t>Indraprastha Gas (IGL)</t>
        </is>
      </c>
      <c r="F1337" t="inlineStr">
        <is>
          <t>New Lead</t>
        </is>
      </c>
      <c r="H1337" t="inlineStr">
        <is>
          <t>View Tender</t>
        </is>
      </c>
      <c r="K1337" t="inlineStr">
        <is>
          <t>Not found</t>
        </is>
      </c>
      <c r="L1337" t="inlineStr">
        <is>
          <t>Unknown</t>
        </is>
      </c>
      <c r="T1337" t="inlineStr">
        <is>
          <t>https://tenders.iglonline.net/tenderDetail/197/Active Tenders And Corrigendum-Addendum</t>
        </is>
      </c>
      <c r="U1337" t="inlineStr">
        <is>
          <t>No</t>
        </is>
      </c>
      <c r="V1337" t="inlineStr">
        <is>
          <t>Bot tarafindan tespit edildi (2026-07-01)</t>
        </is>
      </c>
    </row>
    <row r="1338">
      <c r="A1338" t="inlineStr">
        <is>
          <t>T-1142</t>
        </is>
      </c>
      <c r="B1338" t="inlineStr">
        <is>
          <t>Indraprastha Gas (IGL)</t>
        </is>
      </c>
      <c r="C1338" t="inlineStr">
        <is>
          <t>Indraprastha Gas (IGL)</t>
        </is>
      </c>
      <c r="F1338" t="inlineStr">
        <is>
          <t>New Lead</t>
        </is>
      </c>
      <c r="H1338" t="inlineStr">
        <is>
          <t>Corrigendum_1_CP17636.pdf</t>
        </is>
      </c>
      <c r="K1338" t="inlineStr">
        <is>
          <t>Not found</t>
        </is>
      </c>
      <c r="L1338" t="inlineStr">
        <is>
          <t>Unknown</t>
        </is>
      </c>
      <c r="T1338" t="inlineStr">
        <is>
          <t>https://tenders.iglonline.net/uploads/tender/Corrigendum_1_CP17636.pdf</t>
        </is>
      </c>
      <c r="U1338" t="inlineStr">
        <is>
          <t>No</t>
        </is>
      </c>
      <c r="V1338" t="inlineStr">
        <is>
          <t>Bot tarafindan tespit edildi (2026-07-01)</t>
        </is>
      </c>
    </row>
    <row r="1339">
      <c r="A1339" t="inlineStr">
        <is>
          <t>T-1143</t>
        </is>
      </c>
      <c r="B1339" t="inlineStr">
        <is>
          <t>Indraprastha Gas (IGL)</t>
        </is>
      </c>
      <c r="C1339" t="inlineStr">
        <is>
          <t>Indraprastha Gas (IGL)</t>
        </is>
      </c>
      <c r="F1339" t="inlineStr">
        <is>
          <t>New Lead</t>
        </is>
      </c>
      <c r="H1339" t="inlineStr">
        <is>
          <t>Corrigendum_2_CP17636.pdf</t>
        </is>
      </c>
      <c r="K1339" t="inlineStr">
        <is>
          <t>Not found</t>
        </is>
      </c>
      <c r="L1339" t="inlineStr">
        <is>
          <t>Unknown</t>
        </is>
      </c>
      <c r="T1339" t="inlineStr">
        <is>
          <t>https://tenders.iglonline.net/uploads/tender/Corrigendum_2_CP17636.pdf</t>
        </is>
      </c>
      <c r="U1339" t="inlineStr">
        <is>
          <t>No</t>
        </is>
      </c>
      <c r="V1339" t="inlineStr">
        <is>
          <t>Bot tarafindan tespit edildi (2026-07-01)</t>
        </is>
      </c>
    </row>
    <row r="1340">
      <c r="A1340" t="inlineStr">
        <is>
          <t>T-1144</t>
        </is>
      </c>
      <c r="B1340" t="inlineStr">
        <is>
          <t>Indraprastha Gas (IGL)</t>
        </is>
      </c>
      <c r="C1340" t="inlineStr">
        <is>
          <t>Indraprastha Gas (IGL)</t>
        </is>
      </c>
      <c r="F1340" t="inlineStr">
        <is>
          <t>New Lead</t>
        </is>
      </c>
      <c r="H1340" t="inlineStr">
        <is>
          <t>Corrigendum_3_CP17636.pdf</t>
        </is>
      </c>
      <c r="K1340" t="inlineStr">
        <is>
          <t>Not found</t>
        </is>
      </c>
      <c r="L1340" t="inlineStr">
        <is>
          <t>Unknown</t>
        </is>
      </c>
      <c r="T1340" t="inlineStr">
        <is>
          <t>https://tenders.iglonline.net/uploads/tender/Corrigendum_3_CP17636.pdf</t>
        </is>
      </c>
      <c r="U1340" t="inlineStr">
        <is>
          <t>No</t>
        </is>
      </c>
      <c r="V1340" t="inlineStr">
        <is>
          <t>Bot tarafindan tespit edildi (2026-07-01)</t>
        </is>
      </c>
    </row>
    <row r="1341">
      <c r="A1341" t="inlineStr">
        <is>
          <t>T-1145</t>
        </is>
      </c>
      <c r="B1341" t="inlineStr">
        <is>
          <t>Indraprastha Gas (IGL)</t>
        </is>
      </c>
      <c r="C1341" t="inlineStr">
        <is>
          <t>Indraprastha Gas (IGL)</t>
        </is>
      </c>
      <c r="F1341" t="inlineStr">
        <is>
          <t>New Lead</t>
        </is>
      </c>
      <c r="H1341" t="inlineStr">
        <is>
          <t>RTBQ_CP17636.pdf</t>
        </is>
      </c>
      <c r="K1341" t="inlineStr">
        <is>
          <t>Not found</t>
        </is>
      </c>
      <c r="L1341" t="inlineStr">
        <is>
          <t>Unknown</t>
        </is>
      </c>
      <c r="T1341" t="inlineStr">
        <is>
          <t>https://tenders.iglonline.net/uploads/tender/RTBQ_CP17636.pdf</t>
        </is>
      </c>
      <c r="U1341" t="inlineStr">
        <is>
          <t>No</t>
        </is>
      </c>
      <c r="V1341" t="inlineStr">
        <is>
          <t>Bot tarafindan tespit edildi (2026-07-01)</t>
        </is>
      </c>
    </row>
    <row r="1342">
      <c r="A1342" t="inlineStr">
        <is>
          <t>T-1146</t>
        </is>
      </c>
      <c r="B1342" t="inlineStr">
        <is>
          <t>Indraprastha Gas (IGL)</t>
        </is>
      </c>
      <c r="C1342" t="inlineStr">
        <is>
          <t>Indraprastha Gas (IGL)</t>
        </is>
      </c>
      <c r="F1342" t="inlineStr">
        <is>
          <t>New Lead</t>
        </is>
      </c>
      <c r="H1342" t="inlineStr">
        <is>
          <t>Corrigendum_4_CP17636.pdf</t>
        </is>
      </c>
      <c r="K1342" t="inlineStr">
        <is>
          <t>Not found</t>
        </is>
      </c>
      <c r="L1342" t="inlineStr">
        <is>
          <t>Unknown</t>
        </is>
      </c>
      <c r="T1342" t="inlineStr">
        <is>
          <t>https://tenders.iglonline.net/uploads/tender/Corrigendum_4_CP17636.pdf</t>
        </is>
      </c>
      <c r="U1342" t="inlineStr">
        <is>
          <t>No</t>
        </is>
      </c>
      <c r="V1342" t="inlineStr">
        <is>
          <t>Bot tarafindan tespit edildi (2026-07-01)</t>
        </is>
      </c>
    </row>
    <row r="1343">
      <c r="A1343" t="inlineStr">
        <is>
          <t>T-1147</t>
        </is>
      </c>
      <c r="B1343" t="inlineStr">
        <is>
          <t>Indraprastha Gas (IGL)</t>
        </is>
      </c>
      <c r="C1343" t="inlineStr">
        <is>
          <t>Indraprastha Gas (IGL)</t>
        </is>
      </c>
      <c r="F1343" t="inlineStr">
        <is>
          <t>New Lead</t>
        </is>
      </c>
      <c r="H1343" t="inlineStr">
        <is>
          <t>Corrigendum_5_CP17636.pdf</t>
        </is>
      </c>
      <c r="K1343" t="inlineStr">
        <is>
          <t>Not found</t>
        </is>
      </c>
      <c r="L1343" t="inlineStr">
        <is>
          <t>Unknown</t>
        </is>
      </c>
      <c r="T1343" t="inlineStr">
        <is>
          <t>https://tenders.iglonline.net/uploads/tender/Corrigendum_5_CP17636.pdf</t>
        </is>
      </c>
      <c r="U1343" t="inlineStr">
        <is>
          <t>No</t>
        </is>
      </c>
      <c r="V1343" t="inlineStr">
        <is>
          <t>Bot tarafindan tespit edildi (2026-07-01)</t>
        </is>
      </c>
    </row>
    <row r="1344">
      <c r="A1344" t="inlineStr">
        <is>
          <t>T-1148</t>
        </is>
      </c>
      <c r="B1344" t="inlineStr">
        <is>
          <t>Indraprastha Gas (IGL)</t>
        </is>
      </c>
      <c r="C1344" t="inlineStr">
        <is>
          <t>Indraprastha Gas (IGL)</t>
        </is>
      </c>
      <c r="F1344" t="inlineStr">
        <is>
          <t>New Lead</t>
        </is>
      </c>
      <c r="H1344" t="inlineStr">
        <is>
          <t>RTBQ_CP17636_2.pdf</t>
        </is>
      </c>
      <c r="K1344" t="inlineStr">
        <is>
          <t>Not found</t>
        </is>
      </c>
      <c r="L1344" t="inlineStr">
        <is>
          <t>Unknown</t>
        </is>
      </c>
      <c r="T1344" t="inlineStr">
        <is>
          <t>https://tenders.iglonline.net/uploads/tender/RTBQ_CP17636_2.pdf</t>
        </is>
      </c>
      <c r="U1344" t="inlineStr">
        <is>
          <t>No</t>
        </is>
      </c>
      <c r="V1344" t="inlineStr">
        <is>
          <t>Bot tarafindan tespit edildi (2026-07-01)</t>
        </is>
      </c>
    </row>
    <row r="1345">
      <c r="A1345" t="inlineStr">
        <is>
          <t>T-1149</t>
        </is>
      </c>
      <c r="B1345" t="inlineStr">
        <is>
          <t>Indraprastha Gas (IGL)</t>
        </is>
      </c>
      <c r="C1345" t="inlineStr">
        <is>
          <t>Indraprastha Gas (IGL)</t>
        </is>
      </c>
      <c r="F1345" t="inlineStr">
        <is>
          <t>New Lead</t>
        </is>
      </c>
      <c r="H1345" t="inlineStr">
        <is>
          <t>Corrigendum_6_CP17636.pdf</t>
        </is>
      </c>
      <c r="K1345" t="inlineStr">
        <is>
          <t>Not found</t>
        </is>
      </c>
      <c r="L1345" t="inlineStr">
        <is>
          <t>Unknown</t>
        </is>
      </c>
      <c r="T1345" t="inlineStr">
        <is>
          <t>https://tenders.iglonline.net/uploads/tender/Corrigendum_6_CP17636.pdf</t>
        </is>
      </c>
      <c r="U1345" t="inlineStr">
        <is>
          <t>No</t>
        </is>
      </c>
      <c r="V1345" t="inlineStr">
        <is>
          <t>Bot tarafindan tespit edildi (2026-07-01)</t>
        </is>
      </c>
    </row>
    <row r="1346">
      <c r="A1346" t="inlineStr">
        <is>
          <t>T-1150</t>
        </is>
      </c>
      <c r="B1346" t="inlineStr">
        <is>
          <t>Indraprastha Gas (IGL)</t>
        </is>
      </c>
      <c r="C1346" t="inlineStr">
        <is>
          <t>Indraprastha Gas (IGL)</t>
        </is>
      </c>
      <c r="F1346" t="inlineStr">
        <is>
          <t>New Lead</t>
        </is>
      </c>
      <c r="H1346" t="inlineStr">
        <is>
          <t>View Tender</t>
        </is>
      </c>
      <c r="K1346" t="inlineStr">
        <is>
          <t>Not found</t>
        </is>
      </c>
      <c r="L1346" t="inlineStr">
        <is>
          <t>Unknown</t>
        </is>
      </c>
      <c r="T1346" t="inlineStr">
        <is>
          <t>https://tenders.iglonline.net/tenderDetail/196/Active Tenders And Corrigendum-Addendum</t>
        </is>
      </c>
      <c r="U1346" t="inlineStr">
        <is>
          <t>No</t>
        </is>
      </c>
      <c r="V1346" t="inlineStr">
        <is>
          <t>Bot tarafindan tespit edildi (2026-07-01)</t>
        </is>
      </c>
    </row>
    <row r="1347">
      <c r="A1347" t="inlineStr">
        <is>
          <t>T-1151</t>
        </is>
      </c>
      <c r="B1347" t="inlineStr">
        <is>
          <t>Indraprastha Gas (IGL)</t>
        </is>
      </c>
      <c r="C1347" t="inlineStr">
        <is>
          <t>Indraprastha Gas (IGL)</t>
        </is>
      </c>
      <c r="F1347" t="inlineStr">
        <is>
          <t>New Lead</t>
        </is>
      </c>
      <c r="H1347" t="inlineStr">
        <is>
          <t>Corrigendum_I__.pdf</t>
        </is>
      </c>
      <c r="K1347" t="inlineStr">
        <is>
          <t>Not found</t>
        </is>
      </c>
      <c r="L1347" t="inlineStr">
        <is>
          <t>Unknown</t>
        </is>
      </c>
      <c r="T1347" t="inlineStr">
        <is>
          <t>https://tenders.iglonline.net/uploads/tender/Corrigendum_I__.pdf</t>
        </is>
      </c>
      <c r="U1347" t="inlineStr">
        <is>
          <t>No</t>
        </is>
      </c>
      <c r="V1347" t="inlineStr">
        <is>
          <t>Bot tarafindan tespit edildi (2026-07-01)</t>
        </is>
      </c>
    </row>
    <row r="1348">
      <c r="A1348" t="inlineStr">
        <is>
          <t>T-1152</t>
        </is>
      </c>
      <c r="B1348" t="inlineStr">
        <is>
          <t>Indraprastha Gas (IGL)</t>
        </is>
      </c>
      <c r="C1348" t="inlineStr">
        <is>
          <t>Indraprastha Gas (IGL)</t>
        </is>
      </c>
      <c r="F1348" t="inlineStr">
        <is>
          <t>New Lead</t>
        </is>
      </c>
      <c r="H1348" t="inlineStr">
        <is>
          <t>View Tender</t>
        </is>
      </c>
      <c r="K1348" t="inlineStr">
        <is>
          <t>Not found</t>
        </is>
      </c>
      <c r="L1348" t="inlineStr">
        <is>
          <t>Unknown</t>
        </is>
      </c>
      <c r="T1348" t="inlineStr">
        <is>
          <t>https://tenders.iglonline.net/tenderDetail/195/Active Tenders And Corrigendum-Addendum</t>
        </is>
      </c>
      <c r="U1348" t="inlineStr">
        <is>
          <t>No</t>
        </is>
      </c>
      <c r="V1348" t="inlineStr">
        <is>
          <t>Bot tarafindan tespit edildi (2026-07-01)</t>
        </is>
      </c>
    </row>
    <row r="1349">
      <c r="A1349" t="inlineStr">
        <is>
          <t>T-1153</t>
        </is>
      </c>
      <c r="B1349" t="inlineStr">
        <is>
          <t>Indraprastha Gas (IGL)</t>
        </is>
      </c>
      <c r="C1349" t="inlineStr">
        <is>
          <t>Indraprastha Gas (IGL)</t>
        </is>
      </c>
      <c r="F1349" t="inlineStr">
        <is>
          <t>New Lead</t>
        </is>
      </c>
      <c r="H1349" t="inlineStr">
        <is>
          <t>Corrigendum_I_CM17679.pdf</t>
        </is>
      </c>
      <c r="K1349" t="inlineStr">
        <is>
          <t>Not found</t>
        </is>
      </c>
      <c r="L1349" t="inlineStr">
        <is>
          <t>Unknown</t>
        </is>
      </c>
      <c r="T1349" t="inlineStr">
        <is>
          <t>https://tenders.iglonline.net/uploads/tender/Corrigendum_I_CM17679.pdf</t>
        </is>
      </c>
      <c r="U1349" t="inlineStr">
        <is>
          <t>No</t>
        </is>
      </c>
      <c r="V1349" t="inlineStr">
        <is>
          <t>Bot tarafindan tespit edildi (2026-07-01)</t>
        </is>
      </c>
    </row>
    <row r="1350">
      <c r="A1350" t="inlineStr">
        <is>
          <t>T-1154</t>
        </is>
      </c>
      <c r="B1350" t="inlineStr">
        <is>
          <t>Indraprastha Gas (IGL)</t>
        </is>
      </c>
      <c r="C1350" t="inlineStr">
        <is>
          <t>Indraprastha Gas (IGL)</t>
        </is>
      </c>
      <c r="F1350" t="inlineStr">
        <is>
          <t>New Lead</t>
        </is>
      </c>
      <c r="H1350" t="inlineStr">
        <is>
          <t>Corrigendum_II__.pdf</t>
        </is>
      </c>
      <c r="K1350" t="inlineStr">
        <is>
          <t>Not found</t>
        </is>
      </c>
      <c r="L1350" t="inlineStr">
        <is>
          <t>Unknown</t>
        </is>
      </c>
      <c r="T1350" t="inlineStr">
        <is>
          <t>https://tenders.iglonline.net/uploads/tender/Corrigendum_II__.pdf</t>
        </is>
      </c>
      <c r="U1350" t="inlineStr">
        <is>
          <t>No</t>
        </is>
      </c>
      <c r="V1350" t="inlineStr">
        <is>
          <t>Bot tarafindan tespit edildi (2026-07-01)</t>
        </is>
      </c>
    </row>
    <row r="1351">
      <c r="A1351" t="inlineStr">
        <is>
          <t>T-1155</t>
        </is>
      </c>
      <c r="B1351" t="inlineStr">
        <is>
          <t>Indraprastha Gas (IGL)</t>
        </is>
      </c>
      <c r="C1351" t="inlineStr">
        <is>
          <t>Indraprastha Gas (IGL)</t>
        </is>
      </c>
      <c r="F1351" t="inlineStr">
        <is>
          <t>New Lead</t>
        </is>
      </c>
      <c r="H1351" t="inlineStr">
        <is>
          <t>View Tender</t>
        </is>
      </c>
      <c r="K1351" t="inlineStr">
        <is>
          <t>Not found</t>
        </is>
      </c>
      <c r="L1351" t="inlineStr">
        <is>
          <t>Unknown</t>
        </is>
      </c>
      <c r="T1351" t="inlineStr">
        <is>
          <t>https://tenders.iglonline.net/tenderDetail/194/Active Tenders And Corrigendum-Addendum</t>
        </is>
      </c>
      <c r="U1351" t="inlineStr">
        <is>
          <t>No</t>
        </is>
      </c>
      <c r="V1351" t="inlineStr">
        <is>
          <t>Bot tarafindan tespit edildi (2026-07-01)</t>
        </is>
      </c>
    </row>
    <row r="1352">
      <c r="A1352" t="inlineStr">
        <is>
          <t>T-1156</t>
        </is>
      </c>
      <c r="B1352" t="inlineStr">
        <is>
          <t>Indraprastha Gas (IGL)</t>
        </is>
      </c>
      <c r="C1352" t="inlineStr">
        <is>
          <t>Indraprastha Gas (IGL)</t>
        </is>
      </c>
      <c r="F1352" t="inlineStr">
        <is>
          <t>New Lead</t>
        </is>
      </c>
      <c r="H1352" t="inlineStr">
        <is>
          <t>Corrigendum__1_.pdf</t>
        </is>
      </c>
      <c r="K1352" t="inlineStr">
        <is>
          <t>Not found</t>
        </is>
      </c>
      <c r="L1352" t="inlineStr">
        <is>
          <t>Unknown</t>
        </is>
      </c>
      <c r="T1352" t="inlineStr">
        <is>
          <t>https://tenders.iglonline.net/uploads/tender/Corrigendum__1_.pdf</t>
        </is>
      </c>
      <c r="U1352" t="inlineStr">
        <is>
          <t>No</t>
        </is>
      </c>
      <c r="V1352" t="inlineStr">
        <is>
          <t>Bot tarafindan tespit edildi (2026-07-01)</t>
        </is>
      </c>
    </row>
    <row r="1353">
      <c r="A1353" t="inlineStr">
        <is>
          <t>T-1157</t>
        </is>
      </c>
      <c r="B1353" t="inlineStr">
        <is>
          <t>Indraprastha Gas (IGL)</t>
        </is>
      </c>
      <c r="C1353" t="inlineStr">
        <is>
          <t>Indraprastha Gas (IGL)</t>
        </is>
      </c>
      <c r="F1353" t="inlineStr">
        <is>
          <t>New Lead</t>
        </is>
      </c>
      <c r="H1353" t="inlineStr">
        <is>
          <t>Replies_to_Bidder_Queries_CP17654.pdf</t>
        </is>
      </c>
      <c r="K1353" t="inlineStr">
        <is>
          <t>Not found</t>
        </is>
      </c>
      <c r="L1353" t="inlineStr">
        <is>
          <t>Unknown</t>
        </is>
      </c>
      <c r="T1353" t="inlineStr">
        <is>
          <t>https://tenders.iglonline.net/uploads/tender/Replies_to_Bidder_Queries_CP17654.pdf</t>
        </is>
      </c>
      <c r="U1353" t="inlineStr">
        <is>
          <t>No</t>
        </is>
      </c>
      <c r="V1353" t="inlineStr">
        <is>
          <t>Bot tarafindan tespit edildi (2026-07-01)</t>
        </is>
      </c>
    </row>
    <row r="1354">
      <c r="A1354" t="inlineStr">
        <is>
          <t>T-1158</t>
        </is>
      </c>
      <c r="B1354" t="inlineStr">
        <is>
          <t>Indraprastha Gas (IGL)</t>
        </is>
      </c>
      <c r="C1354" t="inlineStr">
        <is>
          <t>Indraprastha Gas (IGL)</t>
        </is>
      </c>
      <c r="F1354" t="inlineStr">
        <is>
          <t>New Lead</t>
        </is>
      </c>
      <c r="H1354" t="inlineStr">
        <is>
          <t>Replies_to_Bidder_Queries_CP176541.pdf</t>
        </is>
      </c>
      <c r="K1354" t="inlineStr">
        <is>
          <t>Not found</t>
        </is>
      </c>
      <c r="L1354" t="inlineStr">
        <is>
          <t>Unknown</t>
        </is>
      </c>
      <c r="T1354" t="inlineStr">
        <is>
          <t>https://tenders.iglonline.net/uploads/tender/Replies_to_Bidder_Queries_CP176541.pdf</t>
        </is>
      </c>
      <c r="U1354" t="inlineStr">
        <is>
          <t>No</t>
        </is>
      </c>
      <c r="V1354" t="inlineStr">
        <is>
          <t>Bot tarafindan tespit edildi (2026-07-01)</t>
        </is>
      </c>
    </row>
    <row r="1355">
      <c r="A1355" t="inlineStr">
        <is>
          <t>T-1159</t>
        </is>
      </c>
      <c r="B1355" t="inlineStr">
        <is>
          <t>Indraprastha Gas (IGL)</t>
        </is>
      </c>
      <c r="C1355" t="inlineStr">
        <is>
          <t>Indraprastha Gas (IGL)</t>
        </is>
      </c>
      <c r="F1355" t="inlineStr">
        <is>
          <t>New Lead</t>
        </is>
      </c>
      <c r="H1355" t="inlineStr">
        <is>
          <t>View Tender</t>
        </is>
      </c>
      <c r="K1355" t="inlineStr">
        <is>
          <t>Not found</t>
        </is>
      </c>
      <c r="L1355" t="inlineStr">
        <is>
          <t>Unknown</t>
        </is>
      </c>
      <c r="T1355" t="inlineStr">
        <is>
          <t>https://tenders.iglonline.net/tenderDetail/193/Active Tenders And Corrigendum-Addendum</t>
        </is>
      </c>
      <c r="U1355" t="inlineStr">
        <is>
          <t>No</t>
        </is>
      </c>
      <c r="V1355" t="inlineStr">
        <is>
          <t>Bot tarafindan tespit edildi (2026-07-01)</t>
        </is>
      </c>
    </row>
    <row r="1356">
      <c r="A1356" t="inlineStr">
        <is>
          <t>T-1160</t>
        </is>
      </c>
      <c r="B1356" t="inlineStr">
        <is>
          <t>Indraprastha Gas (IGL)</t>
        </is>
      </c>
      <c r="C1356" t="inlineStr">
        <is>
          <t>Indraprastha Gas (IGL)</t>
        </is>
      </c>
      <c r="F1356" t="inlineStr">
        <is>
          <t>New Lead</t>
        </is>
      </c>
      <c r="H1356" t="inlineStr">
        <is>
          <t>Corrigendum_I_.pdf</t>
        </is>
      </c>
      <c r="K1356" t="inlineStr">
        <is>
          <t>Not found</t>
        </is>
      </c>
      <c r="L1356" t="inlineStr">
        <is>
          <t>Unknown</t>
        </is>
      </c>
      <c r="T1356" t="inlineStr">
        <is>
          <t>https://tenders.iglonline.net/uploads/tender/Corrigendum_I_.pdf</t>
        </is>
      </c>
      <c r="U1356" t="inlineStr">
        <is>
          <t>No</t>
        </is>
      </c>
      <c r="V1356" t="inlineStr">
        <is>
          <t>Bot tarafindan tespit edildi (2026-07-01)</t>
        </is>
      </c>
    </row>
    <row r="1357">
      <c r="A1357" t="inlineStr">
        <is>
          <t>T-1161</t>
        </is>
      </c>
      <c r="B1357" t="inlineStr">
        <is>
          <t>Indraprastha Gas (IGL)</t>
        </is>
      </c>
      <c r="C1357" t="inlineStr">
        <is>
          <t>Indraprastha Gas (IGL)</t>
        </is>
      </c>
      <c r="F1357" t="inlineStr">
        <is>
          <t>New Lead</t>
        </is>
      </c>
      <c r="H1357" t="inlineStr">
        <is>
          <t>View Tender</t>
        </is>
      </c>
      <c r="K1357" t="inlineStr">
        <is>
          <t>Not found</t>
        </is>
      </c>
      <c r="L1357" t="inlineStr">
        <is>
          <t>Unknown</t>
        </is>
      </c>
      <c r="T1357" t="inlineStr">
        <is>
          <t>https://tenders.iglonline.net/tenderDetail/192/Active Tenders And Corrigendum-Addendum</t>
        </is>
      </c>
      <c r="U1357" t="inlineStr">
        <is>
          <t>No</t>
        </is>
      </c>
      <c r="V1357" t="inlineStr">
        <is>
          <t>Bot tarafindan tespit edildi (2026-07-01)</t>
        </is>
      </c>
    </row>
    <row r="1358">
      <c r="A1358" t="inlineStr">
        <is>
          <t>T-1162</t>
        </is>
      </c>
      <c r="B1358" t="inlineStr">
        <is>
          <t>Indraprastha Gas (IGL)</t>
        </is>
      </c>
      <c r="C1358" t="inlineStr">
        <is>
          <t>Indraprastha Gas (IGL)</t>
        </is>
      </c>
      <c r="F1358" t="inlineStr">
        <is>
          <t>New Lead</t>
        </is>
      </c>
      <c r="H1358" t="inlineStr">
        <is>
          <t>Corrigendum_I_(4).pdf</t>
        </is>
      </c>
      <c r="K1358" t="inlineStr">
        <is>
          <t>Not found</t>
        </is>
      </c>
      <c r="L1358" t="inlineStr">
        <is>
          <t>Unknown</t>
        </is>
      </c>
      <c r="T1358" t="inlineStr">
        <is>
          <t>https://tenders.iglonline.net/uploads/tender/Corrigendum_I_(4).pdf</t>
        </is>
      </c>
      <c r="U1358" t="inlineStr">
        <is>
          <t>No</t>
        </is>
      </c>
      <c r="V1358" t="inlineStr">
        <is>
          <t>Bot tarafindan tespit edildi (2026-07-01)</t>
        </is>
      </c>
    </row>
    <row r="1359">
      <c r="A1359" t="inlineStr">
        <is>
          <t>T-1163</t>
        </is>
      </c>
      <c r="B1359" t="inlineStr">
        <is>
          <t>Indraprastha Gas (IGL)</t>
        </is>
      </c>
      <c r="C1359" t="inlineStr">
        <is>
          <t>Indraprastha Gas (IGL)</t>
        </is>
      </c>
      <c r="F1359" t="inlineStr">
        <is>
          <t>New Lead</t>
        </is>
      </c>
      <c r="H1359" t="inlineStr">
        <is>
          <t>Corrigendum_II_(5).pdf</t>
        </is>
      </c>
      <c r="K1359" t="inlineStr">
        <is>
          <t>Not found</t>
        </is>
      </c>
      <c r="L1359" t="inlineStr">
        <is>
          <t>Unknown</t>
        </is>
      </c>
      <c r="T1359" t="inlineStr">
        <is>
          <t>https://tenders.iglonline.net/uploads/tender/Corrigendum_II_(5).pdf</t>
        </is>
      </c>
      <c r="U1359" t="inlineStr">
        <is>
          <t>No</t>
        </is>
      </c>
      <c r="V1359" t="inlineStr">
        <is>
          <t>Bot tarafindan tespit edildi (2026-07-01)</t>
        </is>
      </c>
    </row>
    <row r="1360">
      <c r="A1360" t="inlineStr">
        <is>
          <t>T-1164</t>
        </is>
      </c>
      <c r="B1360" t="inlineStr">
        <is>
          <t>Indraprastha Gas (IGL)</t>
        </is>
      </c>
      <c r="C1360" t="inlineStr">
        <is>
          <t>Indraprastha Gas (IGL)</t>
        </is>
      </c>
      <c r="F1360" t="inlineStr">
        <is>
          <t>New Lead</t>
        </is>
      </c>
      <c r="H1360" t="inlineStr">
        <is>
          <t>CORRIGENDUM-IV.pdf</t>
        </is>
      </c>
      <c r="K1360" t="inlineStr">
        <is>
          <t>Not found</t>
        </is>
      </c>
      <c r="L1360" t="inlineStr">
        <is>
          <t>Unknown</t>
        </is>
      </c>
      <c r="T1360" t="inlineStr">
        <is>
          <t>https://tenders.iglonline.net/uploads/tender/CORRIGENDUM-IV.pdf</t>
        </is>
      </c>
      <c r="U1360" t="inlineStr">
        <is>
          <t>No</t>
        </is>
      </c>
      <c r="V1360" t="inlineStr">
        <is>
          <t>Bot tarafindan tespit edildi (2026-07-01)</t>
        </is>
      </c>
    </row>
    <row r="1361">
      <c r="A1361" t="inlineStr">
        <is>
          <t>T-1165</t>
        </is>
      </c>
      <c r="B1361" t="inlineStr">
        <is>
          <t>Indraprastha Gas (IGL)</t>
        </is>
      </c>
      <c r="C1361" t="inlineStr">
        <is>
          <t>Indraprastha Gas (IGL)</t>
        </is>
      </c>
      <c r="F1361" t="inlineStr">
        <is>
          <t>New Lead</t>
        </is>
      </c>
      <c r="H1361" t="inlineStr">
        <is>
          <t>RTBQ_2_CC17655.pdf</t>
        </is>
      </c>
      <c r="K1361" t="inlineStr">
        <is>
          <t>Not found</t>
        </is>
      </c>
      <c r="L1361" t="inlineStr">
        <is>
          <t>Unknown</t>
        </is>
      </c>
      <c r="T1361" t="inlineStr">
        <is>
          <t>https://tenders.iglonline.net/uploads/tender/RTBQ_2_CC17655.pdf</t>
        </is>
      </c>
      <c r="U1361" t="inlineStr">
        <is>
          <t>No</t>
        </is>
      </c>
      <c r="V1361" t="inlineStr">
        <is>
          <t>Bot tarafindan tespit edildi (2026-07-01)</t>
        </is>
      </c>
    </row>
    <row r="1362">
      <c r="A1362" t="inlineStr">
        <is>
          <t>T-1166</t>
        </is>
      </c>
      <c r="B1362" t="inlineStr">
        <is>
          <t>Indraprastha Gas (IGL)</t>
        </is>
      </c>
      <c r="C1362" t="inlineStr">
        <is>
          <t>Indraprastha Gas (IGL)</t>
        </is>
      </c>
      <c r="F1362" t="inlineStr">
        <is>
          <t>New Lead</t>
        </is>
      </c>
      <c r="H1362" t="inlineStr">
        <is>
          <t>View Tender</t>
        </is>
      </c>
      <c r="K1362" t="inlineStr">
        <is>
          <t>Not found</t>
        </is>
      </c>
      <c r="L1362" t="inlineStr">
        <is>
          <t>Unknown</t>
        </is>
      </c>
      <c r="T1362" t="inlineStr">
        <is>
          <t>https://tenders.iglonline.net/tenderDetail/191/Active Tenders And Corrigendum-Addendum</t>
        </is>
      </c>
      <c r="U1362" t="inlineStr">
        <is>
          <t>No</t>
        </is>
      </c>
      <c r="V1362" t="inlineStr">
        <is>
          <t>Bot tarafindan tespit edildi (2026-07-01)</t>
        </is>
      </c>
    </row>
    <row r="1363">
      <c r="A1363" t="inlineStr">
        <is>
          <t>T-1167</t>
        </is>
      </c>
      <c r="B1363" t="inlineStr">
        <is>
          <t>Indraprastha Gas (IGL)</t>
        </is>
      </c>
      <c r="C1363" t="inlineStr">
        <is>
          <t>Indraprastha Gas (IGL)</t>
        </is>
      </c>
      <c r="F1363" t="inlineStr">
        <is>
          <t>New Lead</t>
        </is>
      </c>
      <c r="H1363" t="inlineStr">
        <is>
          <t>Prebid_reply_CC17662.pdf</t>
        </is>
      </c>
      <c r="K1363" t="inlineStr">
        <is>
          <t>Not found</t>
        </is>
      </c>
      <c r="L1363" t="inlineStr">
        <is>
          <t>Unknown</t>
        </is>
      </c>
      <c r="T1363" t="inlineStr">
        <is>
          <t>https://tenders.iglonline.net/uploads/tender/Prebid_reply_CC17662.pdf</t>
        </is>
      </c>
      <c r="U1363" t="inlineStr">
        <is>
          <t>No</t>
        </is>
      </c>
      <c r="V1363" t="inlineStr">
        <is>
          <t>Bot tarafindan tespit edildi (2026-07-01)</t>
        </is>
      </c>
    </row>
    <row r="1364">
      <c r="A1364" t="inlineStr">
        <is>
          <t>T-1168</t>
        </is>
      </c>
      <c r="B1364" t="inlineStr">
        <is>
          <t>Indraprastha Gas (IGL)</t>
        </is>
      </c>
      <c r="C1364" t="inlineStr">
        <is>
          <t>Indraprastha Gas (IGL)</t>
        </is>
      </c>
      <c r="F1364" t="inlineStr">
        <is>
          <t>New Lead</t>
        </is>
      </c>
      <c r="H1364" t="inlineStr">
        <is>
          <t>Corrigendum_-I_CC17662.pdf</t>
        </is>
      </c>
      <c r="K1364" t="inlineStr">
        <is>
          <t>Not found</t>
        </is>
      </c>
      <c r="L1364" t="inlineStr">
        <is>
          <t>Unknown</t>
        </is>
      </c>
      <c r="T1364" t="inlineStr">
        <is>
          <t>https://tenders.iglonline.net/uploads/tender/Corrigendum_-I_CC17662.pdf</t>
        </is>
      </c>
      <c r="U1364" t="inlineStr">
        <is>
          <t>No</t>
        </is>
      </c>
      <c r="V1364" t="inlineStr">
        <is>
          <t>Bot tarafindan tespit edildi (2026-07-01)</t>
        </is>
      </c>
    </row>
    <row r="1365">
      <c r="A1365" t="inlineStr">
        <is>
          <t>T-1169</t>
        </is>
      </c>
      <c r="B1365" t="inlineStr">
        <is>
          <t>Indraprastha Gas (IGL)</t>
        </is>
      </c>
      <c r="C1365" t="inlineStr">
        <is>
          <t>Indraprastha Gas (IGL)</t>
        </is>
      </c>
      <c r="F1365" t="inlineStr">
        <is>
          <t>New Lead</t>
        </is>
      </c>
      <c r="H1365" t="inlineStr">
        <is>
          <t>Corrigendum_CANCEL.pdf</t>
        </is>
      </c>
      <c r="K1365" t="inlineStr">
        <is>
          <t>Not found</t>
        </is>
      </c>
      <c r="L1365" t="inlineStr">
        <is>
          <t>Unknown</t>
        </is>
      </c>
      <c r="T1365" t="inlineStr">
        <is>
          <t>https://tenders.iglonline.net/uploads/tender/Corrigendum_CANCEL.pdf</t>
        </is>
      </c>
      <c r="U1365" t="inlineStr">
        <is>
          <t>No</t>
        </is>
      </c>
      <c r="V1365" t="inlineStr">
        <is>
          <t>Bot tarafindan tespit edildi (2026-07-01)</t>
        </is>
      </c>
    </row>
    <row r="1366">
      <c r="A1366" t="inlineStr">
        <is>
          <t>T-1170</t>
        </is>
      </c>
      <c r="B1366" t="inlineStr">
        <is>
          <t>Indraprastha Gas (IGL)</t>
        </is>
      </c>
      <c r="C1366" t="inlineStr">
        <is>
          <t>Indraprastha Gas (IGL)</t>
        </is>
      </c>
      <c r="F1366" t="inlineStr">
        <is>
          <t>New Lead</t>
        </is>
      </c>
      <c r="H1366" t="inlineStr">
        <is>
          <t>View Tender</t>
        </is>
      </c>
      <c r="K1366" t="inlineStr">
        <is>
          <t>Not found</t>
        </is>
      </c>
      <c r="L1366" t="inlineStr">
        <is>
          <t>Unknown</t>
        </is>
      </c>
      <c r="T1366" t="inlineStr">
        <is>
          <t>https://tenders.iglonline.net/tenderDetail/190/Active Tenders And Corrigendum-Addendum</t>
        </is>
      </c>
      <c r="U1366" t="inlineStr">
        <is>
          <t>No</t>
        </is>
      </c>
      <c r="V1366" t="inlineStr">
        <is>
          <t>Bot tarafindan tespit edildi (2026-07-01)</t>
        </is>
      </c>
    </row>
    <row r="1367">
      <c r="A1367" t="inlineStr">
        <is>
          <t>T-1171</t>
        </is>
      </c>
      <c r="B1367" t="inlineStr">
        <is>
          <t>Indraprastha Gas (IGL)</t>
        </is>
      </c>
      <c r="C1367" t="inlineStr">
        <is>
          <t>Indraprastha Gas (IGL)</t>
        </is>
      </c>
      <c r="F1367" t="inlineStr">
        <is>
          <t>New Lead</t>
        </is>
      </c>
      <c r="H1367" t="inlineStr">
        <is>
          <t>Corrigendum_1_CP17649.pdf</t>
        </is>
      </c>
      <c r="K1367" t="inlineStr">
        <is>
          <t>Not found</t>
        </is>
      </c>
      <c r="L1367" t="inlineStr">
        <is>
          <t>Unknown</t>
        </is>
      </c>
      <c r="T1367" t="inlineStr">
        <is>
          <t>https://tenders.iglonline.net/uploads/tender/Corrigendum_1_CP17649.pdf</t>
        </is>
      </c>
      <c r="U1367" t="inlineStr">
        <is>
          <t>No</t>
        </is>
      </c>
      <c r="V1367" t="inlineStr">
        <is>
          <t>Bot tarafindan tespit edildi (2026-07-01)</t>
        </is>
      </c>
    </row>
    <row r="1368">
      <c r="A1368" t="inlineStr">
        <is>
          <t>T-1172</t>
        </is>
      </c>
      <c r="B1368" t="inlineStr">
        <is>
          <t>Indraprastha Gas (IGL)</t>
        </is>
      </c>
      <c r="C1368" t="inlineStr">
        <is>
          <t>Indraprastha Gas (IGL)</t>
        </is>
      </c>
      <c r="F1368" t="inlineStr">
        <is>
          <t>New Lead</t>
        </is>
      </c>
      <c r="H1368" t="inlineStr">
        <is>
          <t>RTBQ_CP17649.pdf</t>
        </is>
      </c>
      <c r="K1368" t="inlineStr">
        <is>
          <t>Not found</t>
        </is>
      </c>
      <c r="L1368" t="inlineStr">
        <is>
          <t>Unknown</t>
        </is>
      </c>
      <c r="T1368" t="inlineStr">
        <is>
          <t>https://tenders.iglonline.net/uploads/tender/RTBQ_CP17649.pdf</t>
        </is>
      </c>
      <c r="U1368" t="inlineStr">
        <is>
          <t>No</t>
        </is>
      </c>
      <c r="V1368" t="inlineStr">
        <is>
          <t>Bot tarafindan tespit edildi (2026-07-01)</t>
        </is>
      </c>
    </row>
    <row r="1369">
      <c r="A1369" t="inlineStr">
        <is>
          <t>T-1173</t>
        </is>
      </c>
      <c r="B1369" t="inlineStr">
        <is>
          <t>Indraprastha Gas (IGL)</t>
        </is>
      </c>
      <c r="C1369" t="inlineStr">
        <is>
          <t>Indraprastha Gas (IGL)</t>
        </is>
      </c>
      <c r="F1369" t="inlineStr">
        <is>
          <t>New Lead</t>
        </is>
      </c>
      <c r="H1369" t="inlineStr">
        <is>
          <t>Corrigendum_2_CP17649.pdf</t>
        </is>
      </c>
      <c r="K1369" t="inlineStr">
        <is>
          <t>Not found</t>
        </is>
      </c>
      <c r="L1369" t="inlineStr">
        <is>
          <t>Unknown</t>
        </is>
      </c>
      <c r="T1369" t="inlineStr">
        <is>
          <t>https://tenders.iglonline.net/uploads/tender/Corrigendum_2_CP17649.pdf</t>
        </is>
      </c>
      <c r="U1369" t="inlineStr">
        <is>
          <t>No</t>
        </is>
      </c>
      <c r="V1369" t="inlineStr">
        <is>
          <t>Bot tarafindan tespit edildi (2026-07-01)</t>
        </is>
      </c>
    </row>
    <row r="1370">
      <c r="A1370" t="inlineStr">
        <is>
          <t>T-1174</t>
        </is>
      </c>
      <c r="B1370" t="inlineStr">
        <is>
          <t>Indraprastha Gas (IGL)</t>
        </is>
      </c>
      <c r="C1370" t="inlineStr">
        <is>
          <t>Indraprastha Gas (IGL)</t>
        </is>
      </c>
      <c r="F1370" t="inlineStr">
        <is>
          <t>New Lead</t>
        </is>
      </c>
      <c r="H1370" t="inlineStr">
        <is>
          <t>View Tender</t>
        </is>
      </c>
      <c r="K1370" t="inlineStr">
        <is>
          <t>Not found</t>
        </is>
      </c>
      <c r="L1370" t="inlineStr">
        <is>
          <t>Unknown</t>
        </is>
      </c>
      <c r="T1370" t="inlineStr">
        <is>
          <t>https://tenders.iglonline.net/tenderDetail/189/Active Tenders And Corrigendum-Addendum</t>
        </is>
      </c>
      <c r="U1370" t="inlineStr">
        <is>
          <t>No</t>
        </is>
      </c>
      <c r="V1370" t="inlineStr">
        <is>
          <t>Bot tarafindan tespit edildi (2026-07-01)</t>
        </is>
      </c>
    </row>
    <row r="1371">
      <c r="A1371" t="inlineStr">
        <is>
          <t>T-1175</t>
        </is>
      </c>
      <c r="B1371" t="inlineStr">
        <is>
          <t>Indraprastha Gas (IGL)</t>
        </is>
      </c>
      <c r="C1371" t="inlineStr">
        <is>
          <t>Indraprastha Gas (IGL)</t>
        </is>
      </c>
      <c r="F1371" t="inlineStr">
        <is>
          <t>New Lead</t>
        </is>
      </c>
      <c r="H1371" t="inlineStr">
        <is>
          <t>View Tender</t>
        </is>
      </c>
      <c r="K1371" t="inlineStr">
        <is>
          <t>Not found</t>
        </is>
      </c>
      <c r="L1371" t="inlineStr">
        <is>
          <t>Unknown</t>
        </is>
      </c>
      <c r="T1371" t="inlineStr">
        <is>
          <t>https://tenders.iglonline.net/tenderDetail/188/Active Tenders And Corrigendum-Addendum</t>
        </is>
      </c>
      <c r="U1371" t="inlineStr">
        <is>
          <t>No</t>
        </is>
      </c>
      <c r="V1371" t="inlineStr">
        <is>
          <t>Bot tarafindan tespit edildi (2026-07-01)</t>
        </is>
      </c>
    </row>
    <row r="1372">
      <c r="A1372" t="inlineStr">
        <is>
          <t>T-1176</t>
        </is>
      </c>
      <c r="B1372" t="inlineStr">
        <is>
          <t>Indraprastha Gas (IGL)</t>
        </is>
      </c>
      <c r="C1372" t="inlineStr">
        <is>
          <t>Indraprastha Gas (IGL)</t>
        </is>
      </c>
      <c r="F1372" t="inlineStr">
        <is>
          <t>New Lead</t>
        </is>
      </c>
      <c r="H1372" t="inlineStr">
        <is>
          <t>RTBQ_CP17651.pdf</t>
        </is>
      </c>
      <c r="K1372" t="inlineStr">
        <is>
          <t>Not found</t>
        </is>
      </c>
      <c r="L1372" t="inlineStr">
        <is>
          <t>Unknown</t>
        </is>
      </c>
      <c r="T1372" t="inlineStr">
        <is>
          <t>https://tenders.iglonline.net/uploads/tender/RTBQ_CP17651.pdf</t>
        </is>
      </c>
      <c r="U1372" t="inlineStr">
        <is>
          <t>No</t>
        </is>
      </c>
      <c r="V1372" t="inlineStr">
        <is>
          <t>Bot tarafindan tespit edildi (2026-07-01)</t>
        </is>
      </c>
    </row>
    <row r="1373">
      <c r="A1373" t="inlineStr">
        <is>
          <t>T-1177</t>
        </is>
      </c>
      <c r="B1373" t="inlineStr">
        <is>
          <t>Indraprastha Gas (IGL)</t>
        </is>
      </c>
      <c r="C1373" t="inlineStr">
        <is>
          <t>Indraprastha Gas (IGL)</t>
        </is>
      </c>
      <c r="F1373" t="inlineStr">
        <is>
          <t>New Lead</t>
        </is>
      </c>
      <c r="H1373" t="inlineStr">
        <is>
          <t>Corrigendum_I_CC17651.pdf</t>
        </is>
      </c>
      <c r="K1373" t="inlineStr">
        <is>
          <t>Not found</t>
        </is>
      </c>
      <c r="L1373" t="inlineStr">
        <is>
          <t>Unknown</t>
        </is>
      </c>
      <c r="T1373" t="inlineStr">
        <is>
          <t>https://tenders.iglonline.net/uploads/tender/Corrigendum_I_CC17651.pdf</t>
        </is>
      </c>
      <c r="U1373" t="inlineStr">
        <is>
          <t>No</t>
        </is>
      </c>
      <c r="V1373" t="inlineStr">
        <is>
          <t>Bot tarafindan tespit edildi (2026-07-01)</t>
        </is>
      </c>
    </row>
    <row r="1374">
      <c r="A1374" t="inlineStr">
        <is>
          <t>T-1178</t>
        </is>
      </c>
      <c r="B1374" t="inlineStr">
        <is>
          <t>Indraprastha Gas (IGL)</t>
        </is>
      </c>
      <c r="C1374" t="inlineStr">
        <is>
          <t>Indraprastha Gas (IGL)</t>
        </is>
      </c>
      <c r="F1374" t="inlineStr">
        <is>
          <t>New Lead</t>
        </is>
      </c>
      <c r="H1374" t="inlineStr">
        <is>
          <t>View Tender</t>
        </is>
      </c>
      <c r="K1374" t="inlineStr">
        <is>
          <t>Not found</t>
        </is>
      </c>
      <c r="L1374" t="inlineStr">
        <is>
          <t>Unknown</t>
        </is>
      </c>
      <c r="T1374" t="inlineStr">
        <is>
          <t>https://tenders.iglonline.net/tenderDetail/187/Active Tenders And Corrigendum-Addendum</t>
        </is>
      </c>
      <c r="U1374" t="inlineStr">
        <is>
          <t>No</t>
        </is>
      </c>
      <c r="V1374" t="inlineStr">
        <is>
          <t>Bot tarafindan tespit edildi (2026-07-01)</t>
        </is>
      </c>
    </row>
    <row r="1375">
      <c r="A1375" t="inlineStr">
        <is>
          <t>T-1179</t>
        </is>
      </c>
      <c r="B1375" t="inlineStr">
        <is>
          <t>Indraprastha Gas (IGL)</t>
        </is>
      </c>
      <c r="C1375" t="inlineStr">
        <is>
          <t>Indraprastha Gas (IGL)</t>
        </is>
      </c>
      <c r="F1375" t="inlineStr">
        <is>
          <t>New Lead</t>
        </is>
      </c>
      <c r="H1375" t="inlineStr">
        <is>
          <t>Corrigendum_1_CP17660.pdf</t>
        </is>
      </c>
      <c r="K1375" t="inlineStr">
        <is>
          <t>Not found</t>
        </is>
      </c>
      <c r="L1375" t="inlineStr">
        <is>
          <t>Unknown</t>
        </is>
      </c>
      <c r="T1375" t="inlineStr">
        <is>
          <t>https://tenders.iglonline.net/uploads/tender/Corrigendum_1_CP17660.pdf</t>
        </is>
      </c>
      <c r="U1375" t="inlineStr">
        <is>
          <t>No</t>
        </is>
      </c>
      <c r="V1375" t="inlineStr">
        <is>
          <t>Bot tarafindan tespit edildi (2026-07-01)</t>
        </is>
      </c>
    </row>
    <row r="1376">
      <c r="A1376" t="inlineStr">
        <is>
          <t>T-1180</t>
        </is>
      </c>
      <c r="B1376" t="inlineStr">
        <is>
          <t>Indraprastha Gas (IGL)</t>
        </is>
      </c>
      <c r="C1376" t="inlineStr">
        <is>
          <t>Indraprastha Gas (IGL)</t>
        </is>
      </c>
      <c r="F1376" t="inlineStr">
        <is>
          <t>New Lead</t>
        </is>
      </c>
      <c r="H1376" t="inlineStr">
        <is>
          <t>Corrigendum_2_CP17660.pdf</t>
        </is>
      </c>
      <c r="K1376" t="inlineStr">
        <is>
          <t>Not found</t>
        </is>
      </c>
      <c r="L1376" t="inlineStr">
        <is>
          <t>Unknown</t>
        </is>
      </c>
      <c r="T1376" t="inlineStr">
        <is>
          <t>https://tenders.iglonline.net/uploads/tender/Corrigendum_2_CP17660.pdf</t>
        </is>
      </c>
      <c r="U1376" t="inlineStr">
        <is>
          <t>No</t>
        </is>
      </c>
      <c r="V1376" t="inlineStr">
        <is>
          <t>Bot tarafindan tespit edildi (2026-07-01)</t>
        </is>
      </c>
    </row>
    <row r="1377">
      <c r="A1377" t="inlineStr">
        <is>
          <t>T-1181</t>
        </is>
      </c>
      <c r="B1377" t="inlineStr">
        <is>
          <t>Indraprastha Gas (IGL)</t>
        </is>
      </c>
      <c r="C1377" t="inlineStr">
        <is>
          <t>Indraprastha Gas (IGL)</t>
        </is>
      </c>
      <c r="F1377" t="inlineStr">
        <is>
          <t>New Lead</t>
        </is>
      </c>
      <c r="H1377" t="inlineStr">
        <is>
          <t>View Tender</t>
        </is>
      </c>
      <c r="K1377" t="inlineStr">
        <is>
          <t>Not found</t>
        </is>
      </c>
      <c r="L1377" t="inlineStr">
        <is>
          <t>Unknown</t>
        </is>
      </c>
      <c r="T1377" t="inlineStr">
        <is>
          <t>https://tenders.iglonline.net/tenderDetail/186/Active Tenders And Corrigendum-Addendum</t>
        </is>
      </c>
      <c r="U1377" t="inlineStr">
        <is>
          <t>No</t>
        </is>
      </c>
      <c r="V1377" t="inlineStr">
        <is>
          <t>Bot tarafindan tespit edildi (2026-07-01)</t>
        </is>
      </c>
    </row>
    <row r="1378">
      <c r="A1378" t="inlineStr">
        <is>
          <t>T-1182</t>
        </is>
      </c>
      <c r="B1378" t="inlineStr">
        <is>
          <t>Indraprastha Gas (IGL)</t>
        </is>
      </c>
      <c r="C1378" t="inlineStr">
        <is>
          <t>Indraprastha Gas (IGL)</t>
        </is>
      </c>
      <c r="F1378" t="inlineStr">
        <is>
          <t>New Lead</t>
        </is>
      </c>
      <c r="H1378" t="inlineStr">
        <is>
          <t>Notice_for_cancellation_CC16881.pdf</t>
        </is>
      </c>
      <c r="K1378" t="inlineStr">
        <is>
          <t>Not found</t>
        </is>
      </c>
      <c r="L1378" t="inlineStr">
        <is>
          <t>Unknown</t>
        </is>
      </c>
      <c r="T1378" t="inlineStr">
        <is>
          <t>https://tenders.iglonline.net/uploads/tender/Notice_for_cancellation_CC16881.pdf</t>
        </is>
      </c>
      <c r="U1378" t="inlineStr">
        <is>
          <t>No</t>
        </is>
      </c>
      <c r="V1378" t="inlineStr">
        <is>
          <t>Bot tarafindan tespit edildi (2026-07-01)</t>
        </is>
      </c>
    </row>
    <row r="1379">
      <c r="A1379" t="inlineStr">
        <is>
          <t>T-1183</t>
        </is>
      </c>
      <c r="B1379" t="inlineStr">
        <is>
          <t>Indraprastha Gas (IGL)</t>
        </is>
      </c>
      <c r="C1379" t="inlineStr">
        <is>
          <t>Indraprastha Gas (IGL)</t>
        </is>
      </c>
      <c r="F1379" t="inlineStr">
        <is>
          <t>New Lead</t>
        </is>
      </c>
      <c r="H1379" t="inlineStr">
        <is>
          <t>CC16881_dated_24_02_2022_TID_10857_Corrigendum_2.pdf</t>
        </is>
      </c>
      <c r="K1379" t="inlineStr">
        <is>
          <t>Not found</t>
        </is>
      </c>
      <c r="L1379" t="inlineStr">
        <is>
          <t>Unknown</t>
        </is>
      </c>
      <c r="T1379" t="inlineStr">
        <is>
          <t>https://tenders.iglonline.net/uploads/tender/CC16881_dated_24_02_2022_TID_10857_Corrigendum_2.pdf</t>
        </is>
      </c>
      <c r="U1379" t="inlineStr">
        <is>
          <t>No</t>
        </is>
      </c>
      <c r="V1379" t="inlineStr">
        <is>
          <t>Bot tarafindan tespit edildi (2026-07-01)</t>
        </is>
      </c>
    </row>
    <row r="1380">
      <c r="A1380" t="inlineStr">
        <is>
          <t>T-1184</t>
        </is>
      </c>
      <c r="B1380" t="inlineStr">
        <is>
          <t>Indraprastha Gas (IGL)</t>
        </is>
      </c>
      <c r="C1380" t="inlineStr">
        <is>
          <t>Indraprastha Gas (IGL)</t>
        </is>
      </c>
      <c r="F1380" t="inlineStr">
        <is>
          <t>New Lead</t>
        </is>
      </c>
      <c r="H1380" t="inlineStr">
        <is>
          <t>CC16881_dated_24_02_2022_TID_10857_Corrigendum_1.pdf</t>
        </is>
      </c>
      <c r="K1380" t="inlineStr">
        <is>
          <t>Not found</t>
        </is>
      </c>
      <c r="L1380" t="inlineStr">
        <is>
          <t>Unknown</t>
        </is>
      </c>
      <c r="T1380" t="inlineStr">
        <is>
          <t>https://tenders.iglonline.net/uploads/tender/CC16881_dated_24_02_2022_TID_10857_Corrigendum_1.pdf</t>
        </is>
      </c>
      <c r="U1380" t="inlineStr">
        <is>
          <t>No</t>
        </is>
      </c>
      <c r="V1380" t="inlineStr">
        <is>
          <t>Bot tarafindan tespit edildi (2026-07-01)</t>
        </is>
      </c>
    </row>
    <row r="1381">
      <c r="A1381" t="inlineStr">
        <is>
          <t>T-1185</t>
        </is>
      </c>
      <c r="B1381" t="inlineStr">
        <is>
          <t>Indraprastha Gas (IGL)</t>
        </is>
      </c>
      <c r="C1381" t="inlineStr">
        <is>
          <t>Indraprastha Gas (IGL)</t>
        </is>
      </c>
      <c r="F1381" t="inlineStr">
        <is>
          <t>New Lead</t>
        </is>
      </c>
      <c r="H1381" t="inlineStr">
        <is>
          <t>View Tender</t>
        </is>
      </c>
      <c r="K1381" t="inlineStr">
        <is>
          <t>Not found</t>
        </is>
      </c>
      <c r="L1381" t="inlineStr">
        <is>
          <t>Unknown</t>
        </is>
      </c>
      <c r="T1381" t="inlineStr">
        <is>
          <t>https://tenders.iglonline.net/tenderDetail/185/Active Tenders And Corrigendum-Addendum</t>
        </is>
      </c>
      <c r="U1381" t="inlineStr">
        <is>
          <t>No</t>
        </is>
      </c>
      <c r="V1381" t="inlineStr">
        <is>
          <t>Bot tarafindan tespit edildi (2026-07-01)</t>
        </is>
      </c>
    </row>
    <row r="1382">
      <c r="A1382" t="inlineStr">
        <is>
          <t>T-1186</t>
        </is>
      </c>
      <c r="B1382" t="inlineStr">
        <is>
          <t>Indraprastha Gas (IGL)</t>
        </is>
      </c>
      <c r="C1382" t="inlineStr">
        <is>
          <t>Indraprastha Gas (IGL)</t>
        </is>
      </c>
      <c r="F1382" t="inlineStr">
        <is>
          <t>New Lead</t>
        </is>
      </c>
      <c r="H1382" t="inlineStr">
        <is>
          <t>View Tender</t>
        </is>
      </c>
      <c r="K1382" t="inlineStr">
        <is>
          <t>Not found</t>
        </is>
      </c>
      <c r="L1382" t="inlineStr">
        <is>
          <t>Unknown</t>
        </is>
      </c>
      <c r="T1382" t="inlineStr">
        <is>
          <t>https://tenders.iglonline.net/tenderDetail/184/Active Tenders And Corrigendum-Addendum</t>
        </is>
      </c>
      <c r="U1382" t="inlineStr">
        <is>
          <t>No</t>
        </is>
      </c>
      <c r="V1382" t="inlineStr">
        <is>
          <t>Bot tarafindan tespit edildi (2026-07-01)</t>
        </is>
      </c>
    </row>
    <row r="1383">
      <c r="A1383" t="inlineStr">
        <is>
          <t>T-1187</t>
        </is>
      </c>
      <c r="B1383" t="inlineStr">
        <is>
          <t>Indraprastha Gas (IGL)</t>
        </is>
      </c>
      <c r="C1383" t="inlineStr">
        <is>
          <t>Indraprastha Gas (IGL)</t>
        </is>
      </c>
      <c r="F1383" t="inlineStr">
        <is>
          <t>New Lead</t>
        </is>
      </c>
      <c r="H1383" t="inlineStr">
        <is>
          <t>CC17567.pdf</t>
        </is>
      </c>
      <c r="K1383" t="inlineStr">
        <is>
          <t>Not found</t>
        </is>
      </c>
      <c r="L1383" t="inlineStr">
        <is>
          <t>Unknown</t>
        </is>
      </c>
      <c r="T1383" t="inlineStr">
        <is>
          <t>https://tenders.iglonline.net/uploads/tender/CC17567.pdf</t>
        </is>
      </c>
      <c r="U1383" t="inlineStr">
        <is>
          <t>No</t>
        </is>
      </c>
      <c r="V1383" t="inlineStr">
        <is>
          <t>Bot tarafindan tespit edildi (2026-07-01)</t>
        </is>
      </c>
    </row>
    <row r="1384">
      <c r="A1384" t="inlineStr">
        <is>
          <t>T-1188</t>
        </is>
      </c>
      <c r="B1384" t="inlineStr">
        <is>
          <t>Indraprastha Gas (IGL)</t>
        </is>
      </c>
      <c r="C1384" t="inlineStr">
        <is>
          <t>Indraprastha Gas (IGL)</t>
        </is>
      </c>
      <c r="F1384" t="inlineStr">
        <is>
          <t>New Lead</t>
        </is>
      </c>
      <c r="H1384" t="inlineStr">
        <is>
          <t>View Tender</t>
        </is>
      </c>
      <c r="K1384" t="inlineStr">
        <is>
          <t>Not found</t>
        </is>
      </c>
      <c r="L1384" t="inlineStr">
        <is>
          <t>Unknown</t>
        </is>
      </c>
      <c r="T1384" t="inlineStr">
        <is>
          <t>https://tenders.iglonline.net/tenderDetail/183/Active Tenders And Corrigendum-Addendum</t>
        </is>
      </c>
      <c r="U1384" t="inlineStr">
        <is>
          <t>No</t>
        </is>
      </c>
      <c r="V1384" t="inlineStr">
        <is>
          <t>Bot tarafindan tespit edildi (2026-07-01)</t>
        </is>
      </c>
    </row>
    <row r="1385">
      <c r="A1385" t="inlineStr">
        <is>
          <t>T-1189</t>
        </is>
      </c>
      <c r="B1385" t="inlineStr">
        <is>
          <t>Indraprastha Gas (IGL)</t>
        </is>
      </c>
      <c r="C1385" t="inlineStr">
        <is>
          <t>Indraprastha Gas (IGL)</t>
        </is>
      </c>
      <c r="F1385" t="inlineStr">
        <is>
          <t>New Lead</t>
        </is>
      </c>
      <c r="H1385" t="inlineStr">
        <is>
          <t>RTBQ_CP17631.pdf</t>
        </is>
      </c>
      <c r="K1385" t="inlineStr">
        <is>
          <t>Not found</t>
        </is>
      </c>
      <c r="L1385" t="inlineStr">
        <is>
          <t>Unknown</t>
        </is>
      </c>
      <c r="T1385" t="inlineStr">
        <is>
          <t>https://tenders.iglonline.net/uploads/tender/RTBQ_CP17631.pdf</t>
        </is>
      </c>
      <c r="U1385" t="inlineStr">
        <is>
          <t>No</t>
        </is>
      </c>
      <c r="V1385" t="inlineStr">
        <is>
          <t>Bot tarafindan tespit edildi (2026-07-01)</t>
        </is>
      </c>
    </row>
    <row r="1386">
      <c r="A1386" t="inlineStr">
        <is>
          <t>T-1190</t>
        </is>
      </c>
      <c r="B1386" t="inlineStr">
        <is>
          <t>Indraprastha Gas (IGL)</t>
        </is>
      </c>
      <c r="C1386" t="inlineStr">
        <is>
          <t>Indraprastha Gas (IGL)</t>
        </is>
      </c>
      <c r="F1386" t="inlineStr">
        <is>
          <t>New Lead</t>
        </is>
      </c>
      <c r="H1386" t="inlineStr">
        <is>
          <t>Corrigendum_1_CP17631.pdf</t>
        </is>
      </c>
      <c r="K1386" t="inlineStr">
        <is>
          <t>Not found</t>
        </is>
      </c>
      <c r="L1386" t="inlineStr">
        <is>
          <t>Unknown</t>
        </is>
      </c>
      <c r="T1386" t="inlineStr">
        <is>
          <t>https://tenders.iglonline.net/uploads/tender/Corrigendum_1_CP17631.pdf</t>
        </is>
      </c>
      <c r="U1386" t="inlineStr">
        <is>
          <t>No</t>
        </is>
      </c>
      <c r="V1386" t="inlineStr">
        <is>
          <t>Bot tarafindan tespit edildi (2026-07-01)</t>
        </is>
      </c>
    </row>
    <row r="1387">
      <c r="A1387" t="inlineStr">
        <is>
          <t>T-1191</t>
        </is>
      </c>
      <c r="B1387" t="inlineStr">
        <is>
          <t>Indraprastha Gas (IGL)</t>
        </is>
      </c>
      <c r="C1387" t="inlineStr">
        <is>
          <t>Indraprastha Gas (IGL)</t>
        </is>
      </c>
      <c r="F1387" t="inlineStr">
        <is>
          <t>New Lead</t>
        </is>
      </c>
      <c r="H1387" t="inlineStr">
        <is>
          <t>Corrigendum_2_CP17631.pdf</t>
        </is>
      </c>
      <c r="K1387" t="inlineStr">
        <is>
          <t>Not found</t>
        </is>
      </c>
      <c r="L1387" t="inlineStr">
        <is>
          <t>Unknown</t>
        </is>
      </c>
      <c r="T1387" t="inlineStr">
        <is>
          <t>https://tenders.iglonline.net/uploads/tender/Corrigendum_2_CP17631.pdf</t>
        </is>
      </c>
      <c r="U1387" t="inlineStr">
        <is>
          <t>No</t>
        </is>
      </c>
      <c r="V1387" t="inlineStr">
        <is>
          <t>Bot tarafindan tespit edildi (2026-07-01)</t>
        </is>
      </c>
    </row>
    <row r="1388">
      <c r="A1388" t="inlineStr">
        <is>
          <t>T-1192</t>
        </is>
      </c>
      <c r="B1388" t="inlineStr">
        <is>
          <t>Indraprastha Gas (IGL)</t>
        </is>
      </c>
      <c r="C1388" t="inlineStr">
        <is>
          <t>Indraprastha Gas (IGL)</t>
        </is>
      </c>
      <c r="F1388" t="inlineStr">
        <is>
          <t>New Lead</t>
        </is>
      </c>
      <c r="H1388" t="inlineStr">
        <is>
          <t>Corrigendum_3_CP17631.pdf</t>
        </is>
      </c>
      <c r="K1388" t="inlineStr">
        <is>
          <t>Not found</t>
        </is>
      </c>
      <c r="L1388" t="inlineStr">
        <is>
          <t>Unknown</t>
        </is>
      </c>
      <c r="T1388" t="inlineStr">
        <is>
          <t>https://tenders.iglonline.net/uploads/tender/Corrigendum_3_CP17631.pdf</t>
        </is>
      </c>
      <c r="U1388" t="inlineStr">
        <is>
          <t>No</t>
        </is>
      </c>
      <c r="V1388" t="inlineStr">
        <is>
          <t>Bot tarafindan tespit edildi (2026-07-01)</t>
        </is>
      </c>
    </row>
    <row r="1389">
      <c r="A1389" t="inlineStr">
        <is>
          <t>T-1193</t>
        </is>
      </c>
      <c r="B1389" t="inlineStr">
        <is>
          <t>Indraprastha Gas (IGL)</t>
        </is>
      </c>
      <c r="C1389" t="inlineStr">
        <is>
          <t>Indraprastha Gas (IGL)</t>
        </is>
      </c>
      <c r="F1389" t="inlineStr">
        <is>
          <t>New Lead</t>
        </is>
      </c>
      <c r="H1389" t="inlineStr">
        <is>
          <t>Corrigendum_4_CP17631.pdf</t>
        </is>
      </c>
      <c r="K1389" t="inlineStr">
        <is>
          <t>Not found</t>
        </is>
      </c>
      <c r="L1389" t="inlineStr">
        <is>
          <t>Unknown</t>
        </is>
      </c>
      <c r="T1389" t="inlineStr">
        <is>
          <t>https://tenders.iglonline.net/uploads/tender/Corrigendum_4_CP17631.pdf</t>
        </is>
      </c>
      <c r="U1389" t="inlineStr">
        <is>
          <t>No</t>
        </is>
      </c>
      <c r="V1389" t="inlineStr">
        <is>
          <t>Bot tarafindan tespit edildi (2026-07-01)</t>
        </is>
      </c>
    </row>
    <row r="1390">
      <c r="A1390" t="inlineStr">
        <is>
          <t>T-1194</t>
        </is>
      </c>
      <c r="B1390" t="inlineStr">
        <is>
          <t>Indraprastha Gas (IGL)</t>
        </is>
      </c>
      <c r="C1390" t="inlineStr">
        <is>
          <t>Indraprastha Gas (IGL)</t>
        </is>
      </c>
      <c r="F1390" t="inlineStr">
        <is>
          <t>New Lead</t>
        </is>
      </c>
      <c r="H1390" t="inlineStr">
        <is>
          <t>Corrigendum_5_CP17631.pdf</t>
        </is>
      </c>
      <c r="K1390" t="inlineStr">
        <is>
          <t>Not found</t>
        </is>
      </c>
      <c r="L1390" t="inlineStr">
        <is>
          <t>Unknown</t>
        </is>
      </c>
      <c r="T1390" t="inlineStr">
        <is>
          <t>https://tenders.iglonline.net/uploads/tender/Corrigendum_5_CP17631.pdf</t>
        </is>
      </c>
      <c r="U1390" t="inlineStr">
        <is>
          <t>No</t>
        </is>
      </c>
      <c r="V1390" t="inlineStr">
        <is>
          <t>Bot tarafindan tespit edildi (2026-07-01)</t>
        </is>
      </c>
    </row>
    <row r="1391">
      <c r="A1391" t="inlineStr">
        <is>
          <t>T-1195</t>
        </is>
      </c>
      <c r="B1391" t="inlineStr">
        <is>
          <t>Indraprastha Gas (IGL)</t>
        </is>
      </c>
      <c r="C1391" t="inlineStr">
        <is>
          <t>Indraprastha Gas (IGL)</t>
        </is>
      </c>
      <c r="F1391" t="inlineStr">
        <is>
          <t>New Lead</t>
        </is>
      </c>
      <c r="H1391" t="inlineStr">
        <is>
          <t>Cancellation_Notice_CP17631.pdf</t>
        </is>
      </c>
      <c r="K1391" t="inlineStr">
        <is>
          <t>Not found</t>
        </is>
      </c>
      <c r="L1391" t="inlineStr">
        <is>
          <t>Unknown</t>
        </is>
      </c>
      <c r="T1391" t="inlineStr">
        <is>
          <t>https://tenders.iglonline.net/uploads/tender/Cancellation_Notice_CP17631.pdf</t>
        </is>
      </c>
      <c r="U1391" t="inlineStr">
        <is>
          <t>No</t>
        </is>
      </c>
      <c r="V1391" t="inlineStr">
        <is>
          <t>Bot tarafindan tespit edildi (2026-07-01)</t>
        </is>
      </c>
    </row>
    <row r="1392">
      <c r="A1392" t="inlineStr">
        <is>
          <t>T-1196</t>
        </is>
      </c>
      <c r="B1392" t="inlineStr">
        <is>
          <t>Indraprastha Gas (IGL)</t>
        </is>
      </c>
      <c r="C1392" t="inlineStr">
        <is>
          <t>Indraprastha Gas (IGL)</t>
        </is>
      </c>
      <c r="F1392" t="inlineStr">
        <is>
          <t>New Lead</t>
        </is>
      </c>
      <c r="H1392" t="inlineStr">
        <is>
          <t>View Tender</t>
        </is>
      </c>
      <c r="K1392" t="inlineStr">
        <is>
          <t>Not found</t>
        </is>
      </c>
      <c r="L1392" t="inlineStr">
        <is>
          <t>Unknown</t>
        </is>
      </c>
      <c r="T1392" t="inlineStr">
        <is>
          <t>https://tenders.iglonline.net/tenderDetail/182/Active Tenders And Corrigendum-Addendum</t>
        </is>
      </c>
      <c r="U1392" t="inlineStr">
        <is>
          <t>No</t>
        </is>
      </c>
      <c r="V1392" t="inlineStr">
        <is>
          <t>Bot tarafindan tespit edildi (2026-07-01)</t>
        </is>
      </c>
    </row>
    <row r="1393">
      <c r="A1393" t="inlineStr">
        <is>
          <t>T-1197</t>
        </is>
      </c>
      <c r="B1393" t="inlineStr">
        <is>
          <t>Indraprastha Gas (IGL)</t>
        </is>
      </c>
      <c r="C1393" t="inlineStr">
        <is>
          <t>Indraprastha Gas (IGL)</t>
        </is>
      </c>
      <c r="F1393" t="inlineStr">
        <is>
          <t>New Lead</t>
        </is>
      </c>
      <c r="H1393" t="inlineStr">
        <is>
          <t>Corrigendum_1__.pdf</t>
        </is>
      </c>
      <c r="K1393" t="inlineStr">
        <is>
          <t>Not found</t>
        </is>
      </c>
      <c r="L1393" t="inlineStr">
        <is>
          <t>Unknown</t>
        </is>
      </c>
      <c r="T1393" t="inlineStr">
        <is>
          <t>https://tenders.iglonline.net/uploads/tender/Corrigendum_1__.pdf</t>
        </is>
      </c>
      <c r="U1393" t="inlineStr">
        <is>
          <t>No</t>
        </is>
      </c>
      <c r="V1393" t="inlineStr">
        <is>
          <t>Bot tarafindan tespit edildi (2026-07-01)</t>
        </is>
      </c>
    </row>
    <row r="1394">
      <c r="A1394" t="inlineStr">
        <is>
          <t>T-1198</t>
        </is>
      </c>
      <c r="B1394" t="inlineStr">
        <is>
          <t>Indraprastha Gas (IGL)</t>
        </is>
      </c>
      <c r="C1394" t="inlineStr">
        <is>
          <t>Indraprastha Gas (IGL)</t>
        </is>
      </c>
      <c r="F1394" t="inlineStr">
        <is>
          <t>New Lead</t>
        </is>
      </c>
      <c r="H1394" t="inlineStr">
        <is>
          <t>CORRIGENDUM_2_1.pdf</t>
        </is>
      </c>
      <c r="K1394" t="inlineStr">
        <is>
          <t>Not found</t>
        </is>
      </c>
      <c r="L1394" t="inlineStr">
        <is>
          <t>Unknown</t>
        </is>
      </c>
      <c r="T1394" t="inlineStr">
        <is>
          <t>https://tenders.iglonline.net/uploads/tender/CORRIGENDUM_2_1.pdf</t>
        </is>
      </c>
      <c r="U1394" t="inlineStr">
        <is>
          <t>No</t>
        </is>
      </c>
      <c r="V1394" t="inlineStr">
        <is>
          <t>Bot tarafindan tespit edildi (2026-07-01)</t>
        </is>
      </c>
    </row>
    <row r="1395">
      <c r="A1395" t="inlineStr">
        <is>
          <t>T-1199</t>
        </is>
      </c>
      <c r="B1395" t="inlineStr">
        <is>
          <t>Indraprastha Gas (IGL)</t>
        </is>
      </c>
      <c r="C1395" t="inlineStr">
        <is>
          <t>Indraprastha Gas (IGL)</t>
        </is>
      </c>
      <c r="F1395" t="inlineStr">
        <is>
          <t>New Lead</t>
        </is>
      </c>
      <c r="H1395" t="inlineStr">
        <is>
          <t>Corrigendum3_.pdf</t>
        </is>
      </c>
      <c r="K1395" t="inlineStr">
        <is>
          <t>Not found</t>
        </is>
      </c>
      <c r="L1395" t="inlineStr">
        <is>
          <t>Unknown</t>
        </is>
      </c>
      <c r="T1395" t="inlineStr">
        <is>
          <t>https://tenders.iglonline.net/uploads/tender/Corrigendum3_.pdf</t>
        </is>
      </c>
      <c r="U1395" t="inlineStr">
        <is>
          <t>No</t>
        </is>
      </c>
      <c r="V1395" t="inlineStr">
        <is>
          <t>Bot tarafindan tespit edildi (2026-07-01)</t>
        </is>
      </c>
    </row>
    <row r="1396">
      <c r="A1396" t="inlineStr">
        <is>
          <t>T-1200</t>
        </is>
      </c>
      <c r="B1396" t="inlineStr">
        <is>
          <t>Indraprastha Gas (IGL)</t>
        </is>
      </c>
      <c r="C1396" t="inlineStr">
        <is>
          <t>Indraprastha Gas (IGL)</t>
        </is>
      </c>
      <c r="F1396" t="inlineStr">
        <is>
          <t>New Lead</t>
        </is>
      </c>
      <c r="H1396" t="inlineStr">
        <is>
          <t>CORRIGENDUM_4__.pdf</t>
        </is>
      </c>
      <c r="K1396" t="inlineStr">
        <is>
          <t>Not found</t>
        </is>
      </c>
      <c r="L1396" t="inlineStr">
        <is>
          <t>Unknown</t>
        </is>
      </c>
      <c r="T1396" t="inlineStr">
        <is>
          <t>https://tenders.iglonline.net/uploads/tender/CORRIGENDUM_4__.pdf</t>
        </is>
      </c>
      <c r="U1396" t="inlineStr">
        <is>
          <t>No</t>
        </is>
      </c>
      <c r="V1396" t="inlineStr">
        <is>
          <t>Bot tarafindan tespit edildi (2026-07-01)</t>
        </is>
      </c>
    </row>
    <row r="1397">
      <c r="A1397" t="inlineStr">
        <is>
          <t>T-1201</t>
        </is>
      </c>
      <c r="B1397" t="inlineStr">
        <is>
          <t>Indraprastha Gas (IGL)</t>
        </is>
      </c>
      <c r="C1397" t="inlineStr">
        <is>
          <t>Indraprastha Gas (IGL)</t>
        </is>
      </c>
      <c r="F1397" t="inlineStr">
        <is>
          <t>New Lead</t>
        </is>
      </c>
      <c r="H1397" t="inlineStr">
        <is>
          <t>View Tender</t>
        </is>
      </c>
      <c r="K1397" t="inlineStr">
        <is>
          <t>Not found</t>
        </is>
      </c>
      <c r="L1397" t="inlineStr">
        <is>
          <t>Unknown</t>
        </is>
      </c>
      <c r="T1397" t="inlineStr">
        <is>
          <t>https://tenders.iglonline.net/tenderDetail/181/Active Tenders And Corrigendum-Addendum</t>
        </is>
      </c>
      <c r="U1397" t="inlineStr">
        <is>
          <t>No</t>
        </is>
      </c>
      <c r="V1397" t="inlineStr">
        <is>
          <t>Bot tarafindan tespit edildi (2026-07-01)</t>
        </is>
      </c>
    </row>
    <row r="1398">
      <c r="A1398" t="inlineStr">
        <is>
          <t>T-1202</t>
        </is>
      </c>
      <c r="B1398" t="inlineStr">
        <is>
          <t>Indraprastha Gas (IGL)</t>
        </is>
      </c>
      <c r="C1398" t="inlineStr">
        <is>
          <t>Indraprastha Gas (IGL)</t>
        </is>
      </c>
      <c r="F1398" t="inlineStr">
        <is>
          <t>New Lead</t>
        </is>
      </c>
      <c r="H1398" t="inlineStr">
        <is>
          <t>View Tender</t>
        </is>
      </c>
      <c r="K1398" t="inlineStr">
        <is>
          <t>Not found</t>
        </is>
      </c>
      <c r="L1398" t="inlineStr">
        <is>
          <t>Unknown</t>
        </is>
      </c>
      <c r="T1398" t="inlineStr">
        <is>
          <t>https://tenders.iglonline.net/tenderDetail/180/Active Tenders And Corrigendum-Addendum</t>
        </is>
      </c>
      <c r="U1398" t="inlineStr">
        <is>
          <t>No</t>
        </is>
      </c>
      <c r="V1398" t="inlineStr">
        <is>
          <t>Bot tarafindan tespit edildi (2026-07-01)</t>
        </is>
      </c>
    </row>
    <row r="1399">
      <c r="A1399" t="inlineStr">
        <is>
          <t>T-1203</t>
        </is>
      </c>
      <c r="B1399" t="inlineStr">
        <is>
          <t>Indraprastha Gas (IGL)</t>
        </is>
      </c>
      <c r="C1399" t="inlineStr">
        <is>
          <t>Indraprastha Gas (IGL)</t>
        </is>
      </c>
      <c r="F1399" t="inlineStr">
        <is>
          <t>New Lead</t>
        </is>
      </c>
      <c r="H1399" t="inlineStr">
        <is>
          <t>Corrigendum-I_(3).pdf</t>
        </is>
      </c>
      <c r="K1399" t="inlineStr">
        <is>
          <t>Not found</t>
        </is>
      </c>
      <c r="L1399" t="inlineStr">
        <is>
          <t>Unknown</t>
        </is>
      </c>
      <c r="T1399" t="inlineStr">
        <is>
          <t>https://tenders.iglonline.net/uploads/tender/Corrigendum-I_(3).pdf</t>
        </is>
      </c>
      <c r="U1399" t="inlineStr">
        <is>
          <t>No</t>
        </is>
      </c>
      <c r="V1399" t="inlineStr">
        <is>
          <t>Bot tarafindan tespit edildi (2026-07-01)</t>
        </is>
      </c>
    </row>
    <row r="1400">
      <c r="A1400" t="inlineStr">
        <is>
          <t>T-1204</t>
        </is>
      </c>
      <c r="B1400" t="inlineStr">
        <is>
          <t>Indraprastha Gas (IGL)</t>
        </is>
      </c>
      <c r="C1400" t="inlineStr">
        <is>
          <t>Indraprastha Gas (IGL)</t>
        </is>
      </c>
      <c r="F1400" t="inlineStr">
        <is>
          <t>New Lead</t>
        </is>
      </c>
      <c r="H1400" t="inlineStr">
        <is>
          <t>Corrigendum-II_(2).pdf</t>
        </is>
      </c>
      <c r="K1400" t="inlineStr">
        <is>
          <t>Not found</t>
        </is>
      </c>
      <c r="L1400" t="inlineStr">
        <is>
          <t>Unknown</t>
        </is>
      </c>
      <c r="T1400" t="inlineStr">
        <is>
          <t>https://tenders.iglonline.net/uploads/tender/Corrigendum-II_(2).pdf</t>
        </is>
      </c>
      <c r="U1400" t="inlineStr">
        <is>
          <t>No</t>
        </is>
      </c>
      <c r="V1400" t="inlineStr">
        <is>
          <t>Bot tarafindan tespit edildi (2026-07-01)</t>
        </is>
      </c>
    </row>
    <row r="1401">
      <c r="A1401" t="inlineStr">
        <is>
          <t>T-1205</t>
        </is>
      </c>
      <c r="B1401" t="inlineStr">
        <is>
          <t>Indraprastha Gas (IGL)</t>
        </is>
      </c>
      <c r="C1401" t="inlineStr">
        <is>
          <t>Indraprastha Gas (IGL)</t>
        </is>
      </c>
      <c r="F1401" t="inlineStr">
        <is>
          <t>New Lead</t>
        </is>
      </c>
      <c r="H1401" t="inlineStr">
        <is>
          <t>Corrigendum-CC17564.pdf</t>
        </is>
      </c>
      <c r="K1401" t="inlineStr">
        <is>
          <t>Not found</t>
        </is>
      </c>
      <c r="L1401" t="inlineStr">
        <is>
          <t>Unknown</t>
        </is>
      </c>
      <c r="T1401" t="inlineStr">
        <is>
          <t>https://tenders.iglonline.net/uploads/tender/Corrigendum-CC17564.pdf</t>
        </is>
      </c>
      <c r="U1401" t="inlineStr">
        <is>
          <t>No</t>
        </is>
      </c>
      <c r="V1401" t="inlineStr">
        <is>
          <t>Bot tarafindan tespit edildi (2026-07-01)</t>
        </is>
      </c>
    </row>
    <row r="1402">
      <c r="A1402" t="inlineStr">
        <is>
          <t>T-1206</t>
        </is>
      </c>
      <c r="B1402" t="inlineStr">
        <is>
          <t>Indraprastha Gas (IGL)</t>
        </is>
      </c>
      <c r="C1402" t="inlineStr">
        <is>
          <t>Indraprastha Gas (IGL)</t>
        </is>
      </c>
      <c r="F1402" t="inlineStr">
        <is>
          <t>New Lead</t>
        </is>
      </c>
      <c r="H1402" t="inlineStr">
        <is>
          <t>View Tender</t>
        </is>
      </c>
      <c r="K1402" t="inlineStr">
        <is>
          <t>Not found</t>
        </is>
      </c>
      <c r="L1402" t="inlineStr">
        <is>
          <t>Unknown</t>
        </is>
      </c>
      <c r="T1402" t="inlineStr">
        <is>
          <t>https://tenders.iglonline.net/tenderDetail/179/Active Tenders And Corrigendum-Addendum</t>
        </is>
      </c>
      <c r="U1402" t="inlineStr">
        <is>
          <t>No</t>
        </is>
      </c>
      <c r="V1402" t="inlineStr">
        <is>
          <t>Bot tarafindan tespit edildi (2026-07-01)</t>
        </is>
      </c>
    </row>
    <row r="1403">
      <c r="A1403" t="inlineStr">
        <is>
          <t>T-1207</t>
        </is>
      </c>
      <c r="B1403" t="inlineStr">
        <is>
          <t>Indraprastha Gas (IGL)</t>
        </is>
      </c>
      <c r="C1403" t="inlineStr">
        <is>
          <t>Indraprastha Gas (IGL)</t>
        </is>
      </c>
      <c r="F1403" t="inlineStr">
        <is>
          <t>New Lead</t>
        </is>
      </c>
      <c r="H1403" t="inlineStr">
        <is>
          <t>Reply_Cyber_Insurance_Policy_Pre_Bid.pdf</t>
        </is>
      </c>
      <c r="K1403" t="inlineStr">
        <is>
          <t>Not found</t>
        </is>
      </c>
      <c r="L1403" t="inlineStr">
        <is>
          <t>Unknown</t>
        </is>
      </c>
      <c r="T1403" t="inlineStr">
        <is>
          <t>https://tenders.iglonline.net/uploads/tender/Reply_Cyber_Insurance_Policy_Pre_Bid.pdf</t>
        </is>
      </c>
      <c r="U1403" t="inlineStr">
        <is>
          <t>No</t>
        </is>
      </c>
      <c r="V1403" t="inlineStr">
        <is>
          <t>Bot tarafindan tespit edildi (2026-07-01)</t>
        </is>
      </c>
    </row>
    <row r="1404">
      <c r="A1404" t="inlineStr">
        <is>
          <t>T-1208</t>
        </is>
      </c>
      <c r="B1404" t="inlineStr">
        <is>
          <t>Indraprastha Gas (IGL)</t>
        </is>
      </c>
      <c r="C1404" t="inlineStr">
        <is>
          <t>Indraprastha Gas (IGL)</t>
        </is>
      </c>
      <c r="F1404" t="inlineStr">
        <is>
          <t>New Lead</t>
        </is>
      </c>
      <c r="H1404" t="inlineStr">
        <is>
          <t>CORRIGENDUM_II.pdf</t>
        </is>
      </c>
      <c r="K1404" t="inlineStr">
        <is>
          <t>Not found</t>
        </is>
      </c>
      <c r="L1404" t="inlineStr">
        <is>
          <t>Unknown</t>
        </is>
      </c>
      <c r="T1404" t="inlineStr">
        <is>
          <t>https://tenders.iglonline.net/uploads/tender/CORRIGENDUM_II.pdf</t>
        </is>
      </c>
      <c r="U1404" t="inlineStr">
        <is>
          <t>No</t>
        </is>
      </c>
      <c r="V1404" t="inlineStr">
        <is>
          <t>Bot tarafindan tespit edildi (2026-07-01)</t>
        </is>
      </c>
    </row>
    <row r="1405">
      <c r="A1405" t="inlineStr">
        <is>
          <t>T-1209</t>
        </is>
      </c>
      <c r="B1405" t="inlineStr">
        <is>
          <t>Indraprastha Gas (IGL)</t>
        </is>
      </c>
      <c r="C1405" t="inlineStr">
        <is>
          <t>Indraprastha Gas (IGL)</t>
        </is>
      </c>
      <c r="F1405" t="inlineStr">
        <is>
          <t>New Lead</t>
        </is>
      </c>
      <c r="H1405" t="inlineStr">
        <is>
          <t>CORRIGENDUM_3.pdf</t>
        </is>
      </c>
      <c r="K1405" t="inlineStr">
        <is>
          <t>Not found</t>
        </is>
      </c>
      <c r="L1405" t="inlineStr">
        <is>
          <t>Unknown</t>
        </is>
      </c>
      <c r="T1405" t="inlineStr">
        <is>
          <t>https://tenders.iglonline.net/uploads/tender/CORRIGENDUM_3.pdf</t>
        </is>
      </c>
      <c r="U1405" t="inlineStr">
        <is>
          <t>No</t>
        </is>
      </c>
      <c r="V1405" t="inlineStr">
        <is>
          <t>Bot tarafindan tespit edildi (2026-07-01)</t>
        </is>
      </c>
    </row>
    <row r="1406">
      <c r="A1406" t="inlineStr">
        <is>
          <t>T-1210</t>
        </is>
      </c>
      <c r="B1406" t="inlineStr">
        <is>
          <t>Indraprastha Gas (IGL)</t>
        </is>
      </c>
      <c r="C1406" t="inlineStr">
        <is>
          <t>Indraprastha Gas (IGL)</t>
        </is>
      </c>
      <c r="F1406" t="inlineStr">
        <is>
          <t>New Lead</t>
        </is>
      </c>
      <c r="H1406" t="inlineStr">
        <is>
          <t>Notification_Tender_cancellation_CYBER_INSURANCE.pdf</t>
        </is>
      </c>
      <c r="K1406" t="inlineStr">
        <is>
          <t>Not found</t>
        </is>
      </c>
      <c r="L1406" t="inlineStr">
        <is>
          <t>Unknown</t>
        </is>
      </c>
      <c r="T1406" t="inlineStr">
        <is>
          <t>https://tenders.iglonline.net/uploads/tender/Notification_Tender_cancellation_CYBER_INSURANCE.pdf</t>
        </is>
      </c>
      <c r="U1406" t="inlineStr">
        <is>
          <t>No</t>
        </is>
      </c>
      <c r="V1406" t="inlineStr">
        <is>
          <t>Bot tarafindan tespit edildi (2026-07-01)</t>
        </is>
      </c>
    </row>
    <row r="1407">
      <c r="A1407" t="inlineStr">
        <is>
          <t>T-1211</t>
        </is>
      </c>
      <c r="B1407" t="inlineStr">
        <is>
          <t>Indraprastha Gas (IGL)</t>
        </is>
      </c>
      <c r="C1407" t="inlineStr">
        <is>
          <t>Indraprastha Gas (IGL)</t>
        </is>
      </c>
      <c r="F1407" t="inlineStr">
        <is>
          <t>New Lead</t>
        </is>
      </c>
      <c r="H1407" t="inlineStr">
        <is>
          <t>View Tender</t>
        </is>
      </c>
      <c r="K1407" t="inlineStr">
        <is>
          <t>Not found</t>
        </is>
      </c>
      <c r="L1407" t="inlineStr">
        <is>
          <t>Unknown</t>
        </is>
      </c>
      <c r="T1407" t="inlineStr">
        <is>
          <t>https://tenders.iglonline.net/tenderDetail/178/Active Tenders And Corrigendum-Addendum</t>
        </is>
      </c>
      <c r="U1407" t="inlineStr">
        <is>
          <t>No</t>
        </is>
      </c>
      <c r="V1407" t="inlineStr">
        <is>
          <t>Bot tarafindan tespit edildi (2026-07-01)</t>
        </is>
      </c>
    </row>
    <row r="1408">
      <c r="A1408" t="inlineStr">
        <is>
          <t>T-1212</t>
        </is>
      </c>
      <c r="B1408" t="inlineStr">
        <is>
          <t>Indraprastha Gas (IGL)</t>
        </is>
      </c>
      <c r="C1408" t="inlineStr">
        <is>
          <t>Indraprastha Gas (IGL)</t>
        </is>
      </c>
      <c r="F1408" t="inlineStr">
        <is>
          <t>New Lead</t>
        </is>
      </c>
      <c r="H1408" t="inlineStr">
        <is>
          <t>Corrigendum_I_(3).pdf</t>
        </is>
      </c>
      <c r="K1408" t="inlineStr">
        <is>
          <t>Not found</t>
        </is>
      </c>
      <c r="L1408" t="inlineStr">
        <is>
          <t>Unknown</t>
        </is>
      </c>
      <c r="T1408" t="inlineStr">
        <is>
          <t>https://tenders.iglonline.net/uploads/tender/Corrigendum_I_(3).pdf</t>
        </is>
      </c>
      <c r="U1408" t="inlineStr">
        <is>
          <t>No</t>
        </is>
      </c>
      <c r="V1408" t="inlineStr">
        <is>
          <t>Bot tarafindan tespit edildi (2026-07-01)</t>
        </is>
      </c>
    </row>
    <row r="1409">
      <c r="A1409" t="inlineStr">
        <is>
          <t>T-1213</t>
        </is>
      </c>
      <c r="B1409" t="inlineStr">
        <is>
          <t>Indraprastha Gas (IGL)</t>
        </is>
      </c>
      <c r="C1409" t="inlineStr">
        <is>
          <t>Indraprastha Gas (IGL)</t>
        </is>
      </c>
      <c r="F1409" t="inlineStr">
        <is>
          <t>New Lead</t>
        </is>
      </c>
      <c r="H1409" t="inlineStr">
        <is>
          <t>Corrigendum_II_(4).pdf</t>
        </is>
      </c>
      <c r="K1409" t="inlineStr">
        <is>
          <t>Not found</t>
        </is>
      </c>
      <c r="L1409" t="inlineStr">
        <is>
          <t>Unknown</t>
        </is>
      </c>
      <c r="T1409" t="inlineStr">
        <is>
          <t>https://tenders.iglonline.net/uploads/tender/Corrigendum_II_(4).pdf</t>
        </is>
      </c>
      <c r="U1409" t="inlineStr">
        <is>
          <t>No</t>
        </is>
      </c>
      <c r="V1409" t="inlineStr">
        <is>
          <t>Bot tarafindan tespit edildi (2026-07-01)</t>
        </is>
      </c>
    </row>
    <row r="1410">
      <c r="A1410" t="inlineStr">
        <is>
          <t>T-1214</t>
        </is>
      </c>
      <c r="B1410" t="inlineStr">
        <is>
          <t>Indraprastha Gas (IGL)</t>
        </is>
      </c>
      <c r="C1410" t="inlineStr">
        <is>
          <t>Indraprastha Gas (IGL)</t>
        </is>
      </c>
      <c r="F1410" t="inlineStr">
        <is>
          <t>New Lead</t>
        </is>
      </c>
      <c r="H1410" t="inlineStr">
        <is>
          <t>Corrigendum_III_(1).pdf</t>
        </is>
      </c>
      <c r="K1410" t="inlineStr">
        <is>
          <t>Not found</t>
        </is>
      </c>
      <c r="L1410" t="inlineStr">
        <is>
          <t>Unknown</t>
        </is>
      </c>
      <c r="T1410" t="inlineStr">
        <is>
          <t>https://tenders.iglonline.net/uploads/tender/Corrigendum_III_(1).pdf</t>
        </is>
      </c>
      <c r="U1410" t="inlineStr">
        <is>
          <t>No</t>
        </is>
      </c>
      <c r="V1410" t="inlineStr">
        <is>
          <t>Bot tarafindan tespit edildi (2026-07-01)</t>
        </is>
      </c>
    </row>
    <row r="1411">
      <c r="A1411" t="inlineStr">
        <is>
          <t>T-1215</t>
        </is>
      </c>
      <c r="B1411" t="inlineStr">
        <is>
          <t>Indraprastha Gas (IGL)</t>
        </is>
      </c>
      <c r="C1411" t="inlineStr">
        <is>
          <t>Indraprastha Gas (IGL)</t>
        </is>
      </c>
      <c r="F1411" t="inlineStr">
        <is>
          <t>New Lead</t>
        </is>
      </c>
      <c r="H1411" t="inlineStr">
        <is>
          <t>Corrigendum_IV_(1).pdf</t>
        </is>
      </c>
      <c r="K1411" t="inlineStr">
        <is>
          <t>Not found</t>
        </is>
      </c>
      <c r="L1411" t="inlineStr">
        <is>
          <t>Unknown</t>
        </is>
      </c>
      <c r="T1411" t="inlineStr">
        <is>
          <t>https://tenders.iglonline.net/uploads/tender/Corrigendum_IV_(1).pdf</t>
        </is>
      </c>
      <c r="U1411" t="inlineStr">
        <is>
          <t>No</t>
        </is>
      </c>
      <c r="V1411" t="inlineStr">
        <is>
          <t>Bot tarafindan tespit edildi (2026-07-01)</t>
        </is>
      </c>
    </row>
    <row r="1412">
      <c r="A1412" t="inlineStr">
        <is>
          <t>T-1216</t>
        </is>
      </c>
      <c r="B1412" t="inlineStr">
        <is>
          <t>Indraprastha Gas (IGL)</t>
        </is>
      </c>
      <c r="C1412" t="inlineStr">
        <is>
          <t>Indraprastha Gas (IGL)</t>
        </is>
      </c>
      <c r="F1412" t="inlineStr">
        <is>
          <t>New Lead</t>
        </is>
      </c>
      <c r="H1412" t="inlineStr">
        <is>
          <t>Corrigendum_V.pdf</t>
        </is>
      </c>
      <c r="K1412" t="inlineStr">
        <is>
          <t>Not found</t>
        </is>
      </c>
      <c r="L1412" t="inlineStr">
        <is>
          <t>Unknown</t>
        </is>
      </c>
      <c r="T1412" t="inlineStr">
        <is>
          <t>https://tenders.iglonline.net/uploads/tender/Corrigendum_V.pdf</t>
        </is>
      </c>
      <c r="U1412" t="inlineStr">
        <is>
          <t>No</t>
        </is>
      </c>
      <c r="V1412" t="inlineStr">
        <is>
          <t>Bot tarafindan tespit edildi (2026-07-01)</t>
        </is>
      </c>
    </row>
    <row r="1413">
      <c r="A1413" t="inlineStr">
        <is>
          <t>T-1217</t>
        </is>
      </c>
      <c r="B1413" t="inlineStr">
        <is>
          <t>Indraprastha Gas (IGL)</t>
        </is>
      </c>
      <c r="C1413" t="inlineStr">
        <is>
          <t>Indraprastha Gas (IGL)</t>
        </is>
      </c>
      <c r="F1413" t="inlineStr">
        <is>
          <t>New Lead</t>
        </is>
      </c>
      <c r="H1413" t="inlineStr">
        <is>
          <t>View Tender</t>
        </is>
      </c>
      <c r="K1413" t="inlineStr">
        <is>
          <t>Not found</t>
        </is>
      </c>
      <c r="L1413" t="inlineStr">
        <is>
          <t>Unknown</t>
        </is>
      </c>
      <c r="T1413" t="inlineStr">
        <is>
          <t>https://tenders.iglonline.net/tenderDetail/177/Active Tenders And Corrigendum-Addendum</t>
        </is>
      </c>
      <c r="U1413" t="inlineStr">
        <is>
          <t>No</t>
        </is>
      </c>
      <c r="V1413" t="inlineStr">
        <is>
          <t>Bot tarafindan tespit edildi (2026-07-01)</t>
        </is>
      </c>
    </row>
    <row r="1414">
      <c r="A1414" t="inlineStr">
        <is>
          <t>T-1218</t>
        </is>
      </c>
      <c r="B1414" t="inlineStr">
        <is>
          <t>Indraprastha Gas (IGL)</t>
        </is>
      </c>
      <c r="C1414" t="inlineStr">
        <is>
          <t>Indraprastha Gas (IGL)</t>
        </is>
      </c>
      <c r="F1414" t="inlineStr">
        <is>
          <t>New Lead</t>
        </is>
      </c>
      <c r="H1414" t="inlineStr">
        <is>
          <t>RTBQ_CP17591.pdf</t>
        </is>
      </c>
      <c r="K1414" t="inlineStr">
        <is>
          <t>Not found</t>
        </is>
      </c>
      <c r="L1414" t="inlineStr">
        <is>
          <t>Unknown</t>
        </is>
      </c>
      <c r="T1414" t="inlineStr">
        <is>
          <t>https://tenders.iglonline.net/uploads/tender/RTBQ_CP17591.pdf</t>
        </is>
      </c>
      <c r="U1414" t="inlineStr">
        <is>
          <t>No</t>
        </is>
      </c>
      <c r="V1414" t="inlineStr">
        <is>
          <t>Bot tarafindan tespit edildi (2026-07-01)</t>
        </is>
      </c>
    </row>
    <row r="1415">
      <c r="A1415" t="inlineStr">
        <is>
          <t>T-1219</t>
        </is>
      </c>
      <c r="B1415" t="inlineStr">
        <is>
          <t>Indraprastha Gas (IGL)</t>
        </is>
      </c>
      <c r="C1415" t="inlineStr">
        <is>
          <t>Indraprastha Gas (IGL)</t>
        </is>
      </c>
      <c r="F1415" t="inlineStr">
        <is>
          <t>New Lead</t>
        </is>
      </c>
      <c r="H1415" t="inlineStr">
        <is>
          <t>Corrigendum_1_CP17591.pdf</t>
        </is>
      </c>
      <c r="K1415" t="inlineStr">
        <is>
          <t>Not found</t>
        </is>
      </c>
      <c r="L1415" t="inlineStr">
        <is>
          <t>Unknown</t>
        </is>
      </c>
      <c r="T1415" t="inlineStr">
        <is>
          <t>https://tenders.iglonline.net/uploads/tender/Corrigendum_1_CP17591.pdf</t>
        </is>
      </c>
      <c r="U1415" t="inlineStr">
        <is>
          <t>No</t>
        </is>
      </c>
      <c r="V1415" t="inlineStr">
        <is>
          <t>Bot tarafindan tespit edildi (2026-07-01)</t>
        </is>
      </c>
    </row>
    <row r="1416">
      <c r="A1416" t="inlineStr">
        <is>
          <t>T-1220</t>
        </is>
      </c>
      <c r="B1416" t="inlineStr">
        <is>
          <t>Indraprastha Gas (IGL)</t>
        </is>
      </c>
      <c r="C1416" t="inlineStr">
        <is>
          <t>Indraprastha Gas (IGL)</t>
        </is>
      </c>
      <c r="F1416" t="inlineStr">
        <is>
          <t>New Lead</t>
        </is>
      </c>
      <c r="H1416" t="inlineStr">
        <is>
          <t>View Tender</t>
        </is>
      </c>
      <c r="K1416" t="inlineStr">
        <is>
          <t>Not found</t>
        </is>
      </c>
      <c r="L1416" t="inlineStr">
        <is>
          <t>Unknown</t>
        </is>
      </c>
      <c r="T1416" t="inlineStr">
        <is>
          <t>https://tenders.iglonline.net/tenderDetail/176/Active Tenders And Corrigendum-Addendum</t>
        </is>
      </c>
      <c r="U1416" t="inlineStr">
        <is>
          <t>No</t>
        </is>
      </c>
      <c r="V1416" t="inlineStr">
        <is>
          <t>Bot tarafindan tespit edildi (2026-07-01)</t>
        </is>
      </c>
    </row>
    <row r="1417">
      <c r="A1417" t="inlineStr">
        <is>
          <t>T-1221</t>
        </is>
      </c>
      <c r="B1417" t="inlineStr">
        <is>
          <t>Indraprastha Gas (IGL)</t>
        </is>
      </c>
      <c r="C1417" t="inlineStr">
        <is>
          <t>Indraprastha Gas (IGL)</t>
        </is>
      </c>
      <c r="D1417" t="inlineStr">
        <is>
          <t>IGL/ET2/CP/CM17577</t>
        </is>
      </c>
      <c r="F1417" t="inlineStr">
        <is>
          <t>New Lead</t>
        </is>
      </c>
      <c r="G1417" t="inlineStr">
        <is>
          <t>Gas-related / review</t>
        </is>
      </c>
      <c r="H1417" t="inlineStr">
        <is>
          <t>CORRIGENDUM_12.pdf</t>
        </is>
      </c>
      <c r="K1417" t="inlineStr">
        <is>
          <t>Not found</t>
        </is>
      </c>
      <c r="L1417" t="inlineStr">
        <is>
          <t>Unknown</t>
        </is>
      </c>
      <c r="T1417" t="inlineStr">
        <is>
          <t>https://tenders.iglonline.net/uploads/tender/CORRIGENDUM_12.pdf</t>
        </is>
      </c>
      <c r="U1417" t="inlineStr">
        <is>
          <t>No</t>
        </is>
      </c>
      <c r="V1417" t="inlineStr">
        <is>
          <t>Bot tarafindan tespit edildi (2026-07-01); Bot tespit/zenginlestirme (2026-07-01); meta:score=55;priority=Medium;source_type=html_table;closing_date=;equipment=Gas-related / review;reasons=equipment:Gas-related / review,document source,quantity signal</t>
        </is>
      </c>
    </row>
    <row r="1418">
      <c r="A1418" t="inlineStr">
        <is>
          <t>T-1222</t>
        </is>
      </c>
      <c r="B1418" t="inlineStr">
        <is>
          <t>Indraprastha Gas (IGL)</t>
        </is>
      </c>
      <c r="C1418" t="inlineStr">
        <is>
          <t>Indraprastha Gas (IGL)</t>
        </is>
      </c>
      <c r="F1418" t="inlineStr">
        <is>
          <t>New Lead</t>
        </is>
      </c>
      <c r="H1418" t="inlineStr">
        <is>
          <t>View Tender</t>
        </is>
      </c>
      <c r="K1418" t="inlineStr">
        <is>
          <t>Not found</t>
        </is>
      </c>
      <c r="L1418" t="inlineStr">
        <is>
          <t>Unknown</t>
        </is>
      </c>
      <c r="T1418" t="inlineStr">
        <is>
          <t>https://tenders.iglonline.net/tenderDetail/175/Active Tenders And Corrigendum-Addendum</t>
        </is>
      </c>
      <c r="U1418" t="inlineStr">
        <is>
          <t>No</t>
        </is>
      </c>
      <c r="V1418" t="inlineStr">
        <is>
          <t>Bot tarafindan tespit edildi (2026-07-01)</t>
        </is>
      </c>
    </row>
    <row r="1419">
      <c r="A1419" t="inlineStr">
        <is>
          <t>T-1223</t>
        </is>
      </c>
      <c r="B1419" t="inlineStr">
        <is>
          <t>Indraprastha Gas (IGL)</t>
        </is>
      </c>
      <c r="C1419" t="inlineStr">
        <is>
          <t>Indraprastha Gas (IGL)</t>
        </is>
      </c>
      <c r="F1419" t="inlineStr">
        <is>
          <t>New Lead</t>
        </is>
      </c>
      <c r="H1419" t="inlineStr">
        <is>
          <t>Corrigendum_-_I1.pdf</t>
        </is>
      </c>
      <c r="K1419" t="inlineStr">
        <is>
          <t>Not found</t>
        </is>
      </c>
      <c r="L1419" t="inlineStr">
        <is>
          <t>Unknown</t>
        </is>
      </c>
      <c r="T1419" t="inlineStr">
        <is>
          <t>https://tenders.iglonline.net/uploads/tender/Corrigendum_-_I1.pdf</t>
        </is>
      </c>
      <c r="U1419" t="inlineStr">
        <is>
          <t>No</t>
        </is>
      </c>
      <c r="V1419" t="inlineStr">
        <is>
          <t>Bot tarafindan tespit edildi (2026-07-01)</t>
        </is>
      </c>
    </row>
    <row r="1420">
      <c r="A1420" t="inlineStr">
        <is>
          <t>T-1224</t>
        </is>
      </c>
      <c r="B1420" t="inlineStr">
        <is>
          <t>Indraprastha Gas (IGL)</t>
        </is>
      </c>
      <c r="C1420" t="inlineStr">
        <is>
          <t>Indraprastha Gas (IGL)</t>
        </is>
      </c>
      <c r="F1420" t="inlineStr">
        <is>
          <t>New Lead</t>
        </is>
      </c>
      <c r="H1420" t="inlineStr">
        <is>
          <t>CORRIGENDUM_CM17537.pdf</t>
        </is>
      </c>
      <c r="K1420" t="inlineStr">
        <is>
          <t>Not found</t>
        </is>
      </c>
      <c r="L1420" t="inlineStr">
        <is>
          <t>Unknown</t>
        </is>
      </c>
      <c r="T1420" t="inlineStr">
        <is>
          <t>https://tenders.iglonline.net/uploads/tender/CORRIGENDUM_CM17537.pdf</t>
        </is>
      </c>
      <c r="U1420" t="inlineStr">
        <is>
          <t>No</t>
        </is>
      </c>
      <c r="V1420" t="inlineStr">
        <is>
          <t>Bot tarafindan tespit edildi (2026-07-01)</t>
        </is>
      </c>
    </row>
    <row r="1421">
      <c r="A1421" t="inlineStr">
        <is>
          <t>T-1225</t>
        </is>
      </c>
      <c r="B1421" t="inlineStr">
        <is>
          <t>Indraprastha Gas (IGL)</t>
        </is>
      </c>
      <c r="C1421" t="inlineStr">
        <is>
          <t>Indraprastha Gas (IGL)</t>
        </is>
      </c>
      <c r="F1421" t="inlineStr">
        <is>
          <t>New Lead</t>
        </is>
      </c>
      <c r="H1421" t="inlineStr">
        <is>
          <t>View Tender</t>
        </is>
      </c>
      <c r="K1421" t="inlineStr">
        <is>
          <t>Not found</t>
        </is>
      </c>
      <c r="L1421" t="inlineStr">
        <is>
          <t>Unknown</t>
        </is>
      </c>
      <c r="T1421" t="inlineStr">
        <is>
          <t>https://tenders.iglonline.net/tenderDetail/174/Active Tenders And Corrigendum-Addendum</t>
        </is>
      </c>
      <c r="U1421" t="inlineStr">
        <is>
          <t>No</t>
        </is>
      </c>
      <c r="V1421" t="inlineStr">
        <is>
          <t>Bot tarafindan tespit edildi (2026-07-01)</t>
        </is>
      </c>
    </row>
    <row r="1422">
      <c r="A1422" t="inlineStr">
        <is>
          <t>T-1226</t>
        </is>
      </c>
      <c r="B1422" t="inlineStr">
        <is>
          <t>Indraprastha Gas (IGL)</t>
        </is>
      </c>
      <c r="C1422" t="inlineStr">
        <is>
          <t>Indraprastha Gas (IGL)</t>
        </is>
      </c>
      <c r="F1422" t="inlineStr">
        <is>
          <t>New Lead</t>
        </is>
      </c>
      <c r="H1422" t="inlineStr">
        <is>
          <t>Corrigendum_-_I.pdf</t>
        </is>
      </c>
      <c r="K1422" t="inlineStr">
        <is>
          <t>Not found</t>
        </is>
      </c>
      <c r="L1422" t="inlineStr">
        <is>
          <t>Unknown</t>
        </is>
      </c>
      <c r="T1422" t="inlineStr">
        <is>
          <t>https://tenders.iglonline.net/uploads/tender/Corrigendum_-_I.pdf</t>
        </is>
      </c>
      <c r="U1422" t="inlineStr">
        <is>
          <t>No</t>
        </is>
      </c>
      <c r="V1422" t="inlineStr">
        <is>
          <t>Bot tarafindan tespit edildi (2026-07-01)</t>
        </is>
      </c>
    </row>
    <row r="1423">
      <c r="A1423" t="inlineStr">
        <is>
          <t>T-1227</t>
        </is>
      </c>
      <c r="B1423" t="inlineStr">
        <is>
          <t>Indraprastha Gas (IGL)</t>
        </is>
      </c>
      <c r="C1423" t="inlineStr">
        <is>
          <t>Indraprastha Gas (IGL)</t>
        </is>
      </c>
      <c r="F1423" t="inlineStr">
        <is>
          <t>New Lead</t>
        </is>
      </c>
      <c r="H1423" t="inlineStr">
        <is>
          <t>Corrigendum_-II__CC17565.pdf</t>
        </is>
      </c>
      <c r="K1423" t="inlineStr">
        <is>
          <t>Not found</t>
        </is>
      </c>
      <c r="L1423" t="inlineStr">
        <is>
          <t>Unknown</t>
        </is>
      </c>
      <c r="T1423" t="inlineStr">
        <is>
          <t>https://tenders.iglonline.net/uploads/tender/Corrigendum_-II__CC17565.pdf</t>
        </is>
      </c>
      <c r="U1423" t="inlineStr">
        <is>
          <t>No</t>
        </is>
      </c>
      <c r="V1423" t="inlineStr">
        <is>
          <t>Bot tarafindan tespit edildi (2026-07-01)</t>
        </is>
      </c>
    </row>
    <row r="1424">
      <c r="A1424" t="inlineStr">
        <is>
          <t>T-1228</t>
        </is>
      </c>
      <c r="B1424" t="inlineStr">
        <is>
          <t>Indraprastha Gas (IGL)</t>
        </is>
      </c>
      <c r="C1424" t="inlineStr">
        <is>
          <t>Indraprastha Gas (IGL)</t>
        </is>
      </c>
      <c r="F1424" t="inlineStr">
        <is>
          <t>New Lead</t>
        </is>
      </c>
      <c r="H1424" t="inlineStr">
        <is>
          <t>View Tender</t>
        </is>
      </c>
      <c r="K1424" t="inlineStr">
        <is>
          <t>Not found</t>
        </is>
      </c>
      <c r="L1424" t="inlineStr">
        <is>
          <t>Unknown</t>
        </is>
      </c>
      <c r="T1424" t="inlineStr">
        <is>
          <t>https://tenders.iglonline.net/tenderDetail/173/Active Tenders And Corrigendum-Addendum</t>
        </is>
      </c>
      <c r="U1424" t="inlineStr">
        <is>
          <t>No</t>
        </is>
      </c>
      <c r="V1424" t="inlineStr">
        <is>
          <t>Bot tarafindan tespit edildi (2026-07-01)</t>
        </is>
      </c>
    </row>
    <row r="1425">
      <c r="A1425" t="inlineStr">
        <is>
          <t>T-1229</t>
        </is>
      </c>
      <c r="B1425" t="inlineStr">
        <is>
          <t>Indraprastha Gas (IGL)</t>
        </is>
      </c>
      <c r="C1425" t="inlineStr">
        <is>
          <t>Indraprastha Gas (IGL)</t>
        </is>
      </c>
      <c r="F1425" t="inlineStr">
        <is>
          <t>New Lead</t>
        </is>
      </c>
      <c r="H1425" t="inlineStr">
        <is>
          <t>Corrigendum_I_(1).pdf</t>
        </is>
      </c>
      <c r="K1425" t="inlineStr">
        <is>
          <t>Not found</t>
        </is>
      </c>
      <c r="L1425" t="inlineStr">
        <is>
          <t>Unknown</t>
        </is>
      </c>
      <c r="T1425" t="inlineStr">
        <is>
          <t>https://tenders.iglonline.net/uploads/tender/Corrigendum_I_(1).pdf</t>
        </is>
      </c>
      <c r="U1425" t="inlineStr">
        <is>
          <t>No</t>
        </is>
      </c>
      <c r="V1425" t="inlineStr">
        <is>
          <t>Bot tarafindan tespit edildi (2026-07-01)</t>
        </is>
      </c>
    </row>
    <row r="1426">
      <c r="A1426" t="inlineStr">
        <is>
          <t>T-1230</t>
        </is>
      </c>
      <c r="B1426" t="inlineStr">
        <is>
          <t>Indraprastha Gas (IGL)</t>
        </is>
      </c>
      <c r="C1426" t="inlineStr">
        <is>
          <t>Indraprastha Gas (IGL)</t>
        </is>
      </c>
      <c r="F1426" t="inlineStr">
        <is>
          <t>New Lead</t>
        </is>
      </c>
      <c r="H1426" t="inlineStr">
        <is>
          <t>Corrigendum_II_(3).pdf</t>
        </is>
      </c>
      <c r="K1426" t="inlineStr">
        <is>
          <t>Not found</t>
        </is>
      </c>
      <c r="L1426" t="inlineStr">
        <is>
          <t>Unknown</t>
        </is>
      </c>
      <c r="T1426" t="inlineStr">
        <is>
          <t>https://tenders.iglonline.net/uploads/tender/Corrigendum_II_(3).pdf</t>
        </is>
      </c>
      <c r="U1426" t="inlineStr">
        <is>
          <t>No</t>
        </is>
      </c>
      <c r="V1426" t="inlineStr">
        <is>
          <t>Bot tarafindan tespit edildi (2026-07-01)</t>
        </is>
      </c>
    </row>
    <row r="1427">
      <c r="A1427" t="inlineStr">
        <is>
          <t>T-1231</t>
        </is>
      </c>
      <c r="B1427" t="inlineStr">
        <is>
          <t>Indraprastha Gas (IGL)</t>
        </is>
      </c>
      <c r="C1427" t="inlineStr">
        <is>
          <t>Indraprastha Gas (IGL)</t>
        </is>
      </c>
      <c r="F1427" t="inlineStr">
        <is>
          <t>New Lead</t>
        </is>
      </c>
      <c r="H1427" t="inlineStr">
        <is>
          <t>Corrigendum_III1.pdf</t>
        </is>
      </c>
      <c r="K1427" t="inlineStr">
        <is>
          <t>Not found</t>
        </is>
      </c>
      <c r="L1427" t="inlineStr">
        <is>
          <t>Unknown</t>
        </is>
      </c>
      <c r="T1427" t="inlineStr">
        <is>
          <t>https://tenders.iglonline.net/uploads/tender/Corrigendum_III1.pdf</t>
        </is>
      </c>
      <c r="U1427" t="inlineStr">
        <is>
          <t>No</t>
        </is>
      </c>
      <c r="V1427" t="inlineStr">
        <is>
          <t>Bot tarafindan tespit edildi (2026-07-01)</t>
        </is>
      </c>
    </row>
    <row r="1428">
      <c r="A1428" t="inlineStr">
        <is>
          <t>T-1232</t>
        </is>
      </c>
      <c r="B1428" t="inlineStr">
        <is>
          <t>Indraprastha Gas (IGL)</t>
        </is>
      </c>
      <c r="C1428" t="inlineStr">
        <is>
          <t>Indraprastha Gas (IGL)</t>
        </is>
      </c>
      <c r="F1428" t="inlineStr">
        <is>
          <t>New Lead</t>
        </is>
      </c>
      <c r="H1428" t="inlineStr">
        <is>
          <t>RTBQ_CC17582.pdf</t>
        </is>
      </c>
      <c r="K1428" t="inlineStr">
        <is>
          <t>Not found</t>
        </is>
      </c>
      <c r="L1428" t="inlineStr">
        <is>
          <t>Unknown</t>
        </is>
      </c>
      <c r="T1428" t="inlineStr">
        <is>
          <t>https://tenders.iglonline.net/uploads/tender/RTBQ_CC17582.pdf</t>
        </is>
      </c>
      <c r="U1428" t="inlineStr">
        <is>
          <t>No</t>
        </is>
      </c>
      <c r="V1428" t="inlineStr">
        <is>
          <t>Bot tarafindan tespit edildi (2026-07-01)</t>
        </is>
      </c>
    </row>
    <row r="1429">
      <c r="A1429" t="inlineStr">
        <is>
          <t>T-1233</t>
        </is>
      </c>
      <c r="B1429" t="inlineStr">
        <is>
          <t>Indraprastha Gas (IGL)</t>
        </is>
      </c>
      <c r="C1429" t="inlineStr">
        <is>
          <t>Indraprastha Gas (IGL)</t>
        </is>
      </c>
      <c r="F1429" t="inlineStr">
        <is>
          <t>New Lead</t>
        </is>
      </c>
      <c r="H1429" t="inlineStr">
        <is>
          <t>Corrigendum_IV.pdf</t>
        </is>
      </c>
      <c r="K1429" t="inlineStr">
        <is>
          <t>Not found</t>
        </is>
      </c>
      <c r="L1429" t="inlineStr">
        <is>
          <t>Unknown</t>
        </is>
      </c>
      <c r="T1429" t="inlineStr">
        <is>
          <t>https://tenders.iglonline.net/uploads/tender/Corrigendum_IV.pdf</t>
        </is>
      </c>
      <c r="U1429" t="inlineStr">
        <is>
          <t>No</t>
        </is>
      </c>
      <c r="V1429" t="inlineStr">
        <is>
          <t>Bot tarafindan tespit edildi (2026-07-01)</t>
        </is>
      </c>
    </row>
    <row r="1430">
      <c r="A1430" t="inlineStr">
        <is>
          <t>T-1234</t>
        </is>
      </c>
      <c r="B1430" t="inlineStr">
        <is>
          <t>Indraprastha Gas (IGL)</t>
        </is>
      </c>
      <c r="C1430" t="inlineStr">
        <is>
          <t>Indraprastha Gas (IGL)</t>
        </is>
      </c>
      <c r="F1430" t="inlineStr">
        <is>
          <t>New Lead</t>
        </is>
      </c>
      <c r="H1430" t="inlineStr">
        <is>
          <t>View Tender</t>
        </is>
      </c>
      <c r="K1430" t="inlineStr">
        <is>
          <t>Not found</t>
        </is>
      </c>
      <c r="L1430" t="inlineStr">
        <is>
          <t>Unknown</t>
        </is>
      </c>
      <c r="T1430" t="inlineStr">
        <is>
          <t>https://tenders.iglonline.net/tenderDetail/172/Active Tenders And Corrigendum-Addendum</t>
        </is>
      </c>
      <c r="U1430" t="inlineStr">
        <is>
          <t>No</t>
        </is>
      </c>
      <c r="V1430" t="inlineStr">
        <is>
          <t>Bot tarafindan tespit edildi (2026-07-01)</t>
        </is>
      </c>
    </row>
    <row r="1431">
      <c r="A1431" t="inlineStr">
        <is>
          <t>T-1235</t>
        </is>
      </c>
      <c r="B1431" t="inlineStr">
        <is>
          <t>Indraprastha Gas (IGL)</t>
        </is>
      </c>
      <c r="C1431" t="inlineStr">
        <is>
          <t>Indraprastha Gas (IGL)</t>
        </is>
      </c>
      <c r="F1431" t="inlineStr">
        <is>
          <t>New Lead</t>
        </is>
      </c>
      <c r="H1431" t="inlineStr">
        <is>
          <t>Corrigendum_1_CP17572.pdf</t>
        </is>
      </c>
      <c r="K1431" t="inlineStr">
        <is>
          <t>Not found</t>
        </is>
      </c>
      <c r="L1431" t="inlineStr">
        <is>
          <t>Unknown</t>
        </is>
      </c>
      <c r="T1431" t="inlineStr">
        <is>
          <t>https://tenders.iglonline.net/uploads/tender/Corrigendum_1_CP17572.pdf</t>
        </is>
      </c>
      <c r="U1431" t="inlineStr">
        <is>
          <t>No</t>
        </is>
      </c>
      <c r="V1431" t="inlineStr">
        <is>
          <t>Bot tarafindan tespit edildi (2026-07-01)</t>
        </is>
      </c>
    </row>
    <row r="1432">
      <c r="A1432" t="inlineStr">
        <is>
          <t>T-1236</t>
        </is>
      </c>
      <c r="B1432" t="inlineStr">
        <is>
          <t>Indraprastha Gas (IGL)</t>
        </is>
      </c>
      <c r="C1432" t="inlineStr">
        <is>
          <t>Indraprastha Gas (IGL)</t>
        </is>
      </c>
      <c r="F1432" t="inlineStr">
        <is>
          <t>New Lead</t>
        </is>
      </c>
      <c r="H1432" t="inlineStr">
        <is>
          <t>Corrigendum_2_CP17572.pdf</t>
        </is>
      </c>
      <c r="K1432" t="inlineStr">
        <is>
          <t>Not found</t>
        </is>
      </c>
      <c r="L1432" t="inlineStr">
        <is>
          <t>Unknown</t>
        </is>
      </c>
      <c r="T1432" t="inlineStr">
        <is>
          <t>https://tenders.iglonline.net/uploads/tender/Corrigendum_2_CP17572.pdf</t>
        </is>
      </c>
      <c r="U1432" t="inlineStr">
        <is>
          <t>No</t>
        </is>
      </c>
      <c r="V1432" t="inlineStr">
        <is>
          <t>Bot tarafindan tespit edildi (2026-07-01)</t>
        </is>
      </c>
    </row>
    <row r="1433">
      <c r="A1433" t="inlineStr">
        <is>
          <t>T-1237</t>
        </is>
      </c>
      <c r="B1433" t="inlineStr">
        <is>
          <t>Indraprastha Gas (IGL)</t>
        </is>
      </c>
      <c r="C1433" t="inlineStr">
        <is>
          <t>Indraprastha Gas (IGL)</t>
        </is>
      </c>
      <c r="F1433" t="inlineStr">
        <is>
          <t>New Lead</t>
        </is>
      </c>
      <c r="H1433" t="inlineStr">
        <is>
          <t>Corrigendum_3_CP17572.pdf</t>
        </is>
      </c>
      <c r="K1433" t="inlineStr">
        <is>
          <t>Not found</t>
        </is>
      </c>
      <c r="L1433" t="inlineStr">
        <is>
          <t>Unknown</t>
        </is>
      </c>
      <c r="T1433" t="inlineStr">
        <is>
          <t>https://tenders.iglonline.net/uploads/tender/Corrigendum_3_CP17572.pdf</t>
        </is>
      </c>
      <c r="U1433" t="inlineStr">
        <is>
          <t>No</t>
        </is>
      </c>
      <c r="V1433" t="inlineStr">
        <is>
          <t>Bot tarafindan tespit edildi (2026-07-01)</t>
        </is>
      </c>
    </row>
    <row r="1434">
      <c r="A1434" t="inlineStr">
        <is>
          <t>T-1238</t>
        </is>
      </c>
      <c r="B1434" t="inlineStr">
        <is>
          <t>Indraprastha Gas (IGL)</t>
        </is>
      </c>
      <c r="C1434" t="inlineStr">
        <is>
          <t>Indraprastha Gas (IGL)</t>
        </is>
      </c>
      <c r="F1434" t="inlineStr">
        <is>
          <t>New Lead</t>
        </is>
      </c>
      <c r="H1434" t="inlineStr">
        <is>
          <t>Corrigendum_4_CP17572.pdf</t>
        </is>
      </c>
      <c r="K1434" t="inlineStr">
        <is>
          <t>Not found</t>
        </is>
      </c>
      <c r="L1434" t="inlineStr">
        <is>
          <t>Unknown</t>
        </is>
      </c>
      <c r="T1434" t="inlineStr">
        <is>
          <t>https://tenders.iglonline.net/uploads/tender/Corrigendum_4_CP17572.pdf</t>
        </is>
      </c>
      <c r="U1434" t="inlineStr">
        <is>
          <t>No</t>
        </is>
      </c>
      <c r="V1434" t="inlineStr">
        <is>
          <t>Bot tarafindan tespit edildi (2026-07-01)</t>
        </is>
      </c>
    </row>
    <row r="1435">
      <c r="A1435" t="inlineStr">
        <is>
          <t>T-1239</t>
        </is>
      </c>
      <c r="B1435" t="inlineStr">
        <is>
          <t>Indraprastha Gas (IGL)</t>
        </is>
      </c>
      <c r="C1435" t="inlineStr">
        <is>
          <t>Indraprastha Gas (IGL)</t>
        </is>
      </c>
      <c r="F1435" t="inlineStr">
        <is>
          <t>New Lead</t>
        </is>
      </c>
      <c r="H1435" t="inlineStr">
        <is>
          <t>Corrigendum_5_CP17572.pdf</t>
        </is>
      </c>
      <c r="K1435" t="inlineStr">
        <is>
          <t>Not found</t>
        </is>
      </c>
      <c r="L1435" t="inlineStr">
        <is>
          <t>Unknown</t>
        </is>
      </c>
      <c r="T1435" t="inlineStr">
        <is>
          <t>https://tenders.iglonline.net/uploads/tender/Corrigendum_5_CP17572.pdf</t>
        </is>
      </c>
      <c r="U1435" t="inlineStr">
        <is>
          <t>No</t>
        </is>
      </c>
      <c r="V1435" t="inlineStr">
        <is>
          <t>Bot tarafindan tespit edildi (2026-07-01)</t>
        </is>
      </c>
    </row>
    <row r="1436">
      <c r="A1436" t="inlineStr">
        <is>
          <t>T-1240</t>
        </is>
      </c>
      <c r="B1436" t="inlineStr">
        <is>
          <t>Indraprastha Gas (IGL)</t>
        </is>
      </c>
      <c r="C1436" t="inlineStr">
        <is>
          <t>Indraprastha Gas (IGL)</t>
        </is>
      </c>
      <c r="F1436" t="inlineStr">
        <is>
          <t>New Lead</t>
        </is>
      </c>
      <c r="H1436" t="inlineStr">
        <is>
          <t>RTBQ_CP17572.pdf</t>
        </is>
      </c>
      <c r="K1436" t="inlineStr">
        <is>
          <t>Not found</t>
        </is>
      </c>
      <c r="L1436" t="inlineStr">
        <is>
          <t>Unknown</t>
        </is>
      </c>
      <c r="T1436" t="inlineStr">
        <is>
          <t>https://tenders.iglonline.net/uploads/tender/RTBQ_CP17572.pdf</t>
        </is>
      </c>
      <c r="U1436" t="inlineStr">
        <is>
          <t>No</t>
        </is>
      </c>
      <c r="V1436" t="inlineStr">
        <is>
          <t>Bot tarafindan tespit edildi (2026-07-01)</t>
        </is>
      </c>
    </row>
    <row r="1437">
      <c r="A1437" t="inlineStr">
        <is>
          <t>T-1241</t>
        </is>
      </c>
      <c r="B1437" t="inlineStr">
        <is>
          <t>Indraprastha Gas (IGL)</t>
        </is>
      </c>
      <c r="C1437" t="inlineStr">
        <is>
          <t>Indraprastha Gas (IGL)</t>
        </is>
      </c>
      <c r="F1437" t="inlineStr">
        <is>
          <t>New Lead</t>
        </is>
      </c>
      <c r="H1437" t="inlineStr">
        <is>
          <t>View Tender</t>
        </is>
      </c>
      <c r="K1437" t="inlineStr">
        <is>
          <t>Not found</t>
        </is>
      </c>
      <c r="L1437" t="inlineStr">
        <is>
          <t>Unknown</t>
        </is>
      </c>
      <c r="T1437" t="inlineStr">
        <is>
          <t>https://tenders.iglonline.net/tenderDetail/171/Active Tenders And Corrigendum-Addendum</t>
        </is>
      </c>
      <c r="U1437" t="inlineStr">
        <is>
          <t>No</t>
        </is>
      </c>
      <c r="V1437" t="inlineStr">
        <is>
          <t>Bot tarafindan tespit edildi (2026-07-01)</t>
        </is>
      </c>
    </row>
    <row r="1438">
      <c r="A1438" t="inlineStr">
        <is>
          <t>T-1242</t>
        </is>
      </c>
      <c r="B1438" t="inlineStr">
        <is>
          <t>Indraprastha Gas (IGL)</t>
        </is>
      </c>
      <c r="C1438" t="inlineStr">
        <is>
          <t>Indraprastha Gas (IGL)</t>
        </is>
      </c>
      <c r="F1438" t="inlineStr">
        <is>
          <t>New Lead</t>
        </is>
      </c>
      <c r="H1438" t="inlineStr">
        <is>
          <t>Corrigendum_1_(8).pdf</t>
        </is>
      </c>
      <c r="K1438" t="inlineStr">
        <is>
          <t>Not found</t>
        </is>
      </c>
      <c r="L1438" t="inlineStr">
        <is>
          <t>Unknown</t>
        </is>
      </c>
      <c r="T1438" t="inlineStr">
        <is>
          <t>https://tenders.iglonline.net/uploads/tender/Corrigendum_1_(8).pdf</t>
        </is>
      </c>
      <c r="U1438" t="inlineStr">
        <is>
          <t>No</t>
        </is>
      </c>
      <c r="V1438" t="inlineStr">
        <is>
          <t>Bot tarafindan tespit edildi (2026-07-01)</t>
        </is>
      </c>
    </row>
    <row r="1439">
      <c r="A1439" t="inlineStr">
        <is>
          <t>T-1243</t>
        </is>
      </c>
      <c r="B1439" t="inlineStr">
        <is>
          <t>Indraprastha Gas (IGL)</t>
        </is>
      </c>
      <c r="C1439" t="inlineStr">
        <is>
          <t>Indraprastha Gas (IGL)</t>
        </is>
      </c>
      <c r="F1439" t="inlineStr">
        <is>
          <t>New Lead</t>
        </is>
      </c>
      <c r="H1439" t="inlineStr">
        <is>
          <t>Replies_to_bidders_queries_(4).pdf</t>
        </is>
      </c>
      <c r="K1439" t="inlineStr">
        <is>
          <t>Not found</t>
        </is>
      </c>
      <c r="L1439" t="inlineStr">
        <is>
          <t>Unknown</t>
        </is>
      </c>
      <c r="T1439" t="inlineStr">
        <is>
          <t>https://tenders.iglonline.net/uploads/tender/Replies_to_bidders_queries_(4).pdf</t>
        </is>
      </c>
      <c r="U1439" t="inlineStr">
        <is>
          <t>No</t>
        </is>
      </c>
      <c r="V1439" t="inlineStr">
        <is>
          <t>Bot tarafindan tespit edildi (2026-07-01)</t>
        </is>
      </c>
    </row>
    <row r="1440">
      <c r="A1440" t="inlineStr">
        <is>
          <t>T-1244</t>
        </is>
      </c>
      <c r="B1440" t="inlineStr">
        <is>
          <t>Indraprastha Gas (IGL)</t>
        </is>
      </c>
      <c r="C1440" t="inlineStr">
        <is>
          <t>Indraprastha Gas (IGL)</t>
        </is>
      </c>
      <c r="F1440" t="inlineStr">
        <is>
          <t>New Lead</t>
        </is>
      </c>
      <c r="H1440" t="inlineStr">
        <is>
          <t>Corrigendum_24.pdf</t>
        </is>
      </c>
      <c r="K1440" t="inlineStr">
        <is>
          <t>Not found</t>
        </is>
      </c>
      <c r="L1440" t="inlineStr">
        <is>
          <t>Unknown</t>
        </is>
      </c>
      <c r="T1440" t="inlineStr">
        <is>
          <t>https://tenders.iglonline.net/uploads/tender/Corrigendum_24.pdf</t>
        </is>
      </c>
      <c r="U1440" t="inlineStr">
        <is>
          <t>No</t>
        </is>
      </c>
      <c r="V1440" t="inlineStr">
        <is>
          <t>Bot tarafindan tespit edildi (2026-07-01)</t>
        </is>
      </c>
    </row>
    <row r="1441">
      <c r="A1441" t="inlineStr">
        <is>
          <t>T-1245</t>
        </is>
      </c>
      <c r="B1441" t="inlineStr">
        <is>
          <t>Indraprastha Gas (IGL)</t>
        </is>
      </c>
      <c r="C1441" t="inlineStr">
        <is>
          <t>Indraprastha Gas (IGL)</t>
        </is>
      </c>
      <c r="F1441" t="inlineStr">
        <is>
          <t>New Lead</t>
        </is>
      </c>
      <c r="H1441" t="inlineStr">
        <is>
          <t>Corrigendum_3_(3).pdf</t>
        </is>
      </c>
      <c r="K1441" t="inlineStr">
        <is>
          <t>Not found</t>
        </is>
      </c>
      <c r="L1441" t="inlineStr">
        <is>
          <t>Unknown</t>
        </is>
      </c>
      <c r="T1441" t="inlineStr">
        <is>
          <t>https://tenders.iglonline.net/uploads/tender/Corrigendum_3_(3).pdf</t>
        </is>
      </c>
      <c r="U1441" t="inlineStr">
        <is>
          <t>No</t>
        </is>
      </c>
      <c r="V1441" t="inlineStr">
        <is>
          <t>Bot tarafindan tespit edildi (2026-07-01)</t>
        </is>
      </c>
    </row>
    <row r="1442">
      <c r="A1442" t="inlineStr">
        <is>
          <t>T-1246</t>
        </is>
      </c>
      <c r="B1442" t="inlineStr">
        <is>
          <t>Indraprastha Gas (IGL)</t>
        </is>
      </c>
      <c r="C1442" t="inlineStr">
        <is>
          <t>Indraprastha Gas (IGL)</t>
        </is>
      </c>
      <c r="F1442" t="inlineStr">
        <is>
          <t>New Lead</t>
        </is>
      </c>
      <c r="H1442" t="inlineStr">
        <is>
          <t>Corrigendum_4_(2).pdf</t>
        </is>
      </c>
      <c r="K1442" t="inlineStr">
        <is>
          <t>Not found</t>
        </is>
      </c>
      <c r="L1442" t="inlineStr">
        <is>
          <t>Unknown</t>
        </is>
      </c>
      <c r="T1442" t="inlineStr">
        <is>
          <t>https://tenders.iglonline.net/uploads/tender/Corrigendum_4_(2).pdf</t>
        </is>
      </c>
      <c r="U1442" t="inlineStr">
        <is>
          <t>No</t>
        </is>
      </c>
      <c r="V1442" t="inlineStr">
        <is>
          <t>Bot tarafindan tespit edildi (2026-07-01)</t>
        </is>
      </c>
    </row>
    <row r="1443">
      <c r="A1443" t="inlineStr">
        <is>
          <t>T-1247</t>
        </is>
      </c>
      <c r="B1443" t="inlineStr">
        <is>
          <t>Indraprastha Gas (IGL)</t>
        </is>
      </c>
      <c r="C1443" t="inlineStr">
        <is>
          <t>Indraprastha Gas (IGL)</t>
        </is>
      </c>
      <c r="F1443" t="inlineStr">
        <is>
          <t>New Lead</t>
        </is>
      </c>
      <c r="H1443" t="inlineStr">
        <is>
          <t>Corrigendum_5_(1)1.pdf</t>
        </is>
      </c>
      <c r="K1443" t="inlineStr">
        <is>
          <t>Not found</t>
        </is>
      </c>
      <c r="L1443" t="inlineStr">
        <is>
          <t>Unknown</t>
        </is>
      </c>
      <c r="T1443" t="inlineStr">
        <is>
          <t>https://tenders.iglonline.net/uploads/tender/Corrigendum_5_(1)1.pdf</t>
        </is>
      </c>
      <c r="U1443" t="inlineStr">
        <is>
          <t>No</t>
        </is>
      </c>
      <c r="V1443" t="inlineStr">
        <is>
          <t>Bot tarafindan tespit edildi (2026-07-01)</t>
        </is>
      </c>
    </row>
    <row r="1444">
      <c r="A1444" t="inlineStr">
        <is>
          <t>T-1248</t>
        </is>
      </c>
      <c r="B1444" t="inlineStr">
        <is>
          <t>Indraprastha Gas (IGL)</t>
        </is>
      </c>
      <c r="C1444" t="inlineStr">
        <is>
          <t>Indraprastha Gas (IGL)</t>
        </is>
      </c>
      <c r="F1444" t="inlineStr">
        <is>
          <t>New Lead</t>
        </is>
      </c>
      <c r="H1444" t="inlineStr">
        <is>
          <t>Corrigendum_6_.pdf</t>
        </is>
      </c>
      <c r="K1444" t="inlineStr">
        <is>
          <t>Not found</t>
        </is>
      </c>
      <c r="L1444" t="inlineStr">
        <is>
          <t>Unknown</t>
        </is>
      </c>
      <c r="T1444" t="inlineStr">
        <is>
          <t>https://tenders.iglonline.net/uploads/tender/Corrigendum_6_.pdf</t>
        </is>
      </c>
      <c r="U1444" t="inlineStr">
        <is>
          <t>No</t>
        </is>
      </c>
      <c r="V1444" t="inlineStr">
        <is>
          <t>Bot tarafindan tespit edildi (2026-07-01)</t>
        </is>
      </c>
    </row>
    <row r="1445">
      <c r="A1445" t="inlineStr">
        <is>
          <t>T-1249</t>
        </is>
      </c>
      <c r="B1445" t="inlineStr">
        <is>
          <t>Indraprastha Gas (IGL)</t>
        </is>
      </c>
      <c r="C1445" t="inlineStr">
        <is>
          <t>Indraprastha Gas (IGL)</t>
        </is>
      </c>
      <c r="F1445" t="inlineStr">
        <is>
          <t>New Lead</t>
        </is>
      </c>
      <c r="H1445" t="inlineStr">
        <is>
          <t>Corrigendum_7_CP17539.pdf</t>
        </is>
      </c>
      <c r="K1445" t="inlineStr">
        <is>
          <t>Not found</t>
        </is>
      </c>
      <c r="L1445" t="inlineStr">
        <is>
          <t>Unknown</t>
        </is>
      </c>
      <c r="T1445" t="inlineStr">
        <is>
          <t>https://tenders.iglonline.net/uploads/tender/Corrigendum_7_CP17539.pdf</t>
        </is>
      </c>
      <c r="U1445" t="inlineStr">
        <is>
          <t>No</t>
        </is>
      </c>
      <c r="V1445" t="inlineStr">
        <is>
          <t>Bot tarafindan tespit edildi (2026-07-01)</t>
        </is>
      </c>
    </row>
    <row r="1446">
      <c r="A1446" t="inlineStr">
        <is>
          <t>T-1250</t>
        </is>
      </c>
      <c r="B1446" t="inlineStr">
        <is>
          <t>Indraprastha Gas (IGL)</t>
        </is>
      </c>
      <c r="C1446" t="inlineStr">
        <is>
          <t>Indraprastha Gas (IGL)</t>
        </is>
      </c>
      <c r="F1446" t="inlineStr">
        <is>
          <t>New Lead</t>
        </is>
      </c>
      <c r="H1446" t="inlineStr">
        <is>
          <t>Corrigendum_8_CP17539.pdf</t>
        </is>
      </c>
      <c r="K1446" t="inlineStr">
        <is>
          <t>Not found</t>
        </is>
      </c>
      <c r="L1446" t="inlineStr">
        <is>
          <t>Unknown</t>
        </is>
      </c>
      <c r="T1446" t="inlineStr">
        <is>
          <t>https://tenders.iglonline.net/uploads/tender/Corrigendum_8_CP17539.pdf</t>
        </is>
      </c>
      <c r="U1446" t="inlineStr">
        <is>
          <t>No</t>
        </is>
      </c>
      <c r="V1446" t="inlineStr">
        <is>
          <t>Bot tarafindan tespit edildi (2026-07-01)</t>
        </is>
      </c>
    </row>
    <row r="1447">
      <c r="A1447" t="inlineStr">
        <is>
          <t>T-1251</t>
        </is>
      </c>
      <c r="B1447" t="inlineStr">
        <is>
          <t>Indraprastha Gas (IGL)</t>
        </is>
      </c>
      <c r="C1447" t="inlineStr">
        <is>
          <t>Indraprastha Gas (IGL)</t>
        </is>
      </c>
      <c r="F1447" t="inlineStr">
        <is>
          <t>New Lead</t>
        </is>
      </c>
      <c r="H1447" t="inlineStr">
        <is>
          <t>View Tender</t>
        </is>
      </c>
      <c r="K1447" t="inlineStr">
        <is>
          <t>Not found</t>
        </is>
      </c>
      <c r="L1447" t="inlineStr">
        <is>
          <t>Unknown</t>
        </is>
      </c>
      <c r="T1447" t="inlineStr">
        <is>
          <t>https://tenders.iglonline.net/tenderDetail/170/Active Tenders And Corrigendum-Addendum</t>
        </is>
      </c>
      <c r="U1447" t="inlineStr">
        <is>
          <t>No</t>
        </is>
      </c>
      <c r="V1447" t="inlineStr">
        <is>
          <t>Bot tarafindan tespit edildi (2026-07-01)</t>
        </is>
      </c>
    </row>
    <row r="1448">
      <c r="A1448" t="inlineStr">
        <is>
          <t>T-1252</t>
        </is>
      </c>
      <c r="B1448" t="inlineStr">
        <is>
          <t>Indraprastha Gas (IGL)</t>
        </is>
      </c>
      <c r="C1448" t="inlineStr">
        <is>
          <t>Indraprastha Gas (IGL)</t>
        </is>
      </c>
      <c r="F1448" t="inlineStr">
        <is>
          <t>New Lead</t>
        </is>
      </c>
      <c r="H1448" t="inlineStr">
        <is>
          <t>Corrigendum_-I.pdf</t>
        </is>
      </c>
      <c r="K1448" t="inlineStr">
        <is>
          <t>Not found</t>
        </is>
      </c>
      <c r="L1448" t="inlineStr">
        <is>
          <t>Unknown</t>
        </is>
      </c>
      <c r="T1448" t="inlineStr">
        <is>
          <t>https://tenders.iglonline.net/uploads/tender/Corrigendum_-I.pdf</t>
        </is>
      </c>
      <c r="U1448" t="inlineStr">
        <is>
          <t>No</t>
        </is>
      </c>
      <c r="V1448" t="inlineStr">
        <is>
          <t>Bot tarafindan tespit edildi (2026-07-01)</t>
        </is>
      </c>
    </row>
    <row r="1449">
      <c r="A1449" t="inlineStr">
        <is>
          <t>T-1253</t>
        </is>
      </c>
      <c r="B1449" t="inlineStr">
        <is>
          <t>Indraprastha Gas (IGL)</t>
        </is>
      </c>
      <c r="C1449" t="inlineStr">
        <is>
          <t>Indraprastha Gas (IGL)</t>
        </is>
      </c>
      <c r="F1449" t="inlineStr">
        <is>
          <t>New Lead</t>
        </is>
      </c>
      <c r="H1449" t="inlineStr">
        <is>
          <t>Corrigendum_-_II_CC17569.pdf</t>
        </is>
      </c>
      <c r="K1449" t="inlineStr">
        <is>
          <t>Not found</t>
        </is>
      </c>
      <c r="L1449" t="inlineStr">
        <is>
          <t>Unknown</t>
        </is>
      </c>
      <c r="T1449" t="inlineStr">
        <is>
          <t>https://tenders.iglonline.net/uploads/tender/Corrigendum_-_II_CC17569.pdf</t>
        </is>
      </c>
      <c r="U1449" t="inlineStr">
        <is>
          <t>No</t>
        </is>
      </c>
      <c r="V1449" t="inlineStr">
        <is>
          <t>Bot tarafindan tespit edildi (2026-07-01)</t>
        </is>
      </c>
    </row>
    <row r="1450">
      <c r="A1450" t="inlineStr">
        <is>
          <t>T-1254</t>
        </is>
      </c>
      <c r="B1450" t="inlineStr">
        <is>
          <t>Indraprastha Gas (IGL)</t>
        </is>
      </c>
      <c r="C1450" t="inlineStr">
        <is>
          <t>Indraprastha Gas (IGL)</t>
        </is>
      </c>
      <c r="F1450" t="inlineStr">
        <is>
          <t>New Lead</t>
        </is>
      </c>
      <c r="H1450" t="inlineStr">
        <is>
          <t>View Tender</t>
        </is>
      </c>
      <c r="K1450" t="inlineStr">
        <is>
          <t>Not found</t>
        </is>
      </c>
      <c r="L1450" t="inlineStr">
        <is>
          <t>Unknown</t>
        </is>
      </c>
      <c r="T1450" t="inlineStr">
        <is>
          <t>https://tenders.iglonline.net/tenderDetail/169/Active Tenders And Corrigendum-Addendum</t>
        </is>
      </c>
      <c r="U1450" t="inlineStr">
        <is>
          <t>No</t>
        </is>
      </c>
      <c r="V1450" t="inlineStr">
        <is>
          <t>Bot tarafindan tespit edildi (2026-07-01)</t>
        </is>
      </c>
    </row>
    <row r="1451">
      <c r="A1451" t="inlineStr">
        <is>
          <t>T-1255</t>
        </is>
      </c>
      <c r="B1451" t="inlineStr">
        <is>
          <t>Indraprastha Gas (IGL)</t>
        </is>
      </c>
      <c r="C1451" t="inlineStr">
        <is>
          <t>Indraprastha Gas (IGL)</t>
        </is>
      </c>
      <c r="F1451" t="inlineStr">
        <is>
          <t>New Lead</t>
        </is>
      </c>
      <c r="H1451" t="inlineStr">
        <is>
          <t>Corrigendum-I_with_Technical_Specification.pdf</t>
        </is>
      </c>
      <c r="K1451" t="inlineStr">
        <is>
          <t>Not found</t>
        </is>
      </c>
      <c r="L1451" t="inlineStr">
        <is>
          <t>Unknown</t>
        </is>
      </c>
      <c r="T1451" t="inlineStr">
        <is>
          <t>https://tenders.iglonline.net/uploads/tender/Corrigendum-I_with_Technical_Specification.pdf</t>
        </is>
      </c>
      <c r="U1451" t="inlineStr">
        <is>
          <t>No</t>
        </is>
      </c>
      <c r="V1451" t="inlineStr">
        <is>
          <t>Bot tarafindan tespit edildi (2026-07-01)</t>
        </is>
      </c>
    </row>
    <row r="1452">
      <c r="A1452" t="inlineStr">
        <is>
          <t>T-1256</t>
        </is>
      </c>
      <c r="B1452" t="inlineStr">
        <is>
          <t>Indraprastha Gas (IGL)</t>
        </is>
      </c>
      <c r="C1452" t="inlineStr">
        <is>
          <t>Indraprastha Gas (IGL)</t>
        </is>
      </c>
      <c r="F1452" t="inlineStr">
        <is>
          <t>New Lead</t>
        </is>
      </c>
      <c r="H1452" t="inlineStr">
        <is>
          <t>Corrigendum_II_CC17523.pdf</t>
        </is>
      </c>
      <c r="K1452" t="inlineStr">
        <is>
          <t>Not found</t>
        </is>
      </c>
      <c r="L1452" t="inlineStr">
        <is>
          <t>Unknown</t>
        </is>
      </c>
      <c r="T1452" t="inlineStr">
        <is>
          <t>https://tenders.iglonline.net/uploads/tender/Corrigendum_II_CC17523.pdf</t>
        </is>
      </c>
      <c r="U1452" t="inlineStr">
        <is>
          <t>No</t>
        </is>
      </c>
      <c r="V1452" t="inlineStr">
        <is>
          <t>Bot tarafindan tespit edildi (2026-07-01)</t>
        </is>
      </c>
    </row>
    <row r="1453">
      <c r="A1453" t="inlineStr">
        <is>
          <t>T-1257</t>
        </is>
      </c>
      <c r="B1453" t="inlineStr">
        <is>
          <t>Indraprastha Gas (IGL)</t>
        </is>
      </c>
      <c r="C1453" t="inlineStr">
        <is>
          <t>Indraprastha Gas (IGL)</t>
        </is>
      </c>
      <c r="F1453" t="inlineStr">
        <is>
          <t>New Lead</t>
        </is>
      </c>
      <c r="H1453" t="inlineStr">
        <is>
          <t>Corrigendum_III_CC17523.pdf</t>
        </is>
      </c>
      <c r="K1453" t="inlineStr">
        <is>
          <t>Not found</t>
        </is>
      </c>
      <c r="L1453" t="inlineStr">
        <is>
          <t>Unknown</t>
        </is>
      </c>
      <c r="T1453" t="inlineStr">
        <is>
          <t>https://tenders.iglonline.net/uploads/tender/Corrigendum_III_CC17523.pdf</t>
        </is>
      </c>
      <c r="U1453" t="inlineStr">
        <is>
          <t>No</t>
        </is>
      </c>
      <c r="V1453" t="inlineStr">
        <is>
          <t>Bot tarafindan tespit edildi (2026-07-01)</t>
        </is>
      </c>
    </row>
    <row r="1454">
      <c r="A1454" t="inlineStr">
        <is>
          <t>T-1258</t>
        </is>
      </c>
      <c r="B1454" t="inlineStr">
        <is>
          <t>Indraprastha Gas (IGL)</t>
        </is>
      </c>
      <c r="C1454" t="inlineStr">
        <is>
          <t>Indraprastha Gas (IGL)</t>
        </is>
      </c>
      <c r="F1454" t="inlineStr">
        <is>
          <t>New Lead</t>
        </is>
      </c>
      <c r="H1454" t="inlineStr">
        <is>
          <t>RTBQ_CC17523.pdf</t>
        </is>
      </c>
      <c r="K1454" t="inlineStr">
        <is>
          <t>Not found</t>
        </is>
      </c>
      <c r="L1454" t="inlineStr">
        <is>
          <t>Unknown</t>
        </is>
      </c>
      <c r="T1454" t="inlineStr">
        <is>
          <t>https://tenders.iglonline.net/uploads/tender/RTBQ_CC17523.pdf</t>
        </is>
      </c>
      <c r="U1454" t="inlineStr">
        <is>
          <t>No</t>
        </is>
      </c>
      <c r="V1454" t="inlineStr">
        <is>
          <t>Bot tarafindan tespit edildi (2026-07-01)</t>
        </is>
      </c>
    </row>
    <row r="1455">
      <c r="A1455" t="inlineStr">
        <is>
          <t>T-1259</t>
        </is>
      </c>
      <c r="B1455" t="inlineStr">
        <is>
          <t>Indraprastha Gas (IGL)</t>
        </is>
      </c>
      <c r="C1455" t="inlineStr">
        <is>
          <t>Indraprastha Gas (IGL)</t>
        </is>
      </c>
      <c r="F1455" t="inlineStr">
        <is>
          <t>New Lead</t>
        </is>
      </c>
      <c r="H1455" t="inlineStr">
        <is>
          <t>Corrigendum_IV_CC17523.pdf</t>
        </is>
      </c>
      <c r="K1455" t="inlineStr">
        <is>
          <t>Not found</t>
        </is>
      </c>
      <c r="L1455" t="inlineStr">
        <is>
          <t>Unknown</t>
        </is>
      </c>
      <c r="T1455" t="inlineStr">
        <is>
          <t>https://tenders.iglonline.net/uploads/tender/Corrigendum_IV_CC17523.pdf</t>
        </is>
      </c>
      <c r="U1455" t="inlineStr">
        <is>
          <t>No</t>
        </is>
      </c>
      <c r="V1455" t="inlineStr">
        <is>
          <t>Bot tarafindan tespit edildi (2026-07-01)</t>
        </is>
      </c>
    </row>
    <row r="1456">
      <c r="A1456" t="inlineStr">
        <is>
          <t>T-1260</t>
        </is>
      </c>
      <c r="B1456" t="inlineStr">
        <is>
          <t>Indraprastha Gas (IGL)</t>
        </is>
      </c>
      <c r="C1456" t="inlineStr">
        <is>
          <t>Indraprastha Gas (IGL)</t>
        </is>
      </c>
      <c r="F1456" t="inlineStr">
        <is>
          <t>New Lead</t>
        </is>
      </c>
      <c r="H1456" t="inlineStr">
        <is>
          <t>View Tender</t>
        </is>
      </c>
      <c r="K1456" t="inlineStr">
        <is>
          <t>Not found</t>
        </is>
      </c>
      <c r="L1456" t="inlineStr">
        <is>
          <t>Unknown</t>
        </is>
      </c>
      <c r="T1456" t="inlineStr">
        <is>
          <t>https://tenders.iglonline.net/tenderDetail/168/Active Tenders And Corrigendum-Addendum</t>
        </is>
      </c>
      <c r="U1456" t="inlineStr">
        <is>
          <t>No</t>
        </is>
      </c>
      <c r="V1456" t="inlineStr">
        <is>
          <t>Bot tarafindan tespit edildi (2026-07-01)</t>
        </is>
      </c>
    </row>
    <row r="1457">
      <c r="A1457" t="inlineStr">
        <is>
          <t>T-1261</t>
        </is>
      </c>
      <c r="B1457" t="inlineStr">
        <is>
          <t>Indraprastha Gas (IGL)</t>
        </is>
      </c>
      <c r="C1457" t="inlineStr">
        <is>
          <t>Indraprastha Gas (IGL)</t>
        </is>
      </c>
      <c r="F1457" t="inlineStr">
        <is>
          <t>New Lead</t>
        </is>
      </c>
      <c r="H1457" t="inlineStr">
        <is>
          <t>Corrigendum1_xlsx_(2).pdf</t>
        </is>
      </c>
      <c r="K1457" t="inlineStr">
        <is>
          <t>Not found</t>
        </is>
      </c>
      <c r="L1457" t="inlineStr">
        <is>
          <t>Unknown</t>
        </is>
      </c>
      <c r="T1457" t="inlineStr">
        <is>
          <t>https://tenders.iglonline.net/uploads/tender/Corrigendum1_xlsx_(2).pdf</t>
        </is>
      </c>
      <c r="U1457" t="inlineStr">
        <is>
          <t>No</t>
        </is>
      </c>
      <c r="V1457" t="inlineStr">
        <is>
          <t>Bot tarafindan tespit edildi (2026-07-01)</t>
        </is>
      </c>
    </row>
    <row r="1458">
      <c r="A1458" t="inlineStr">
        <is>
          <t>T-1262</t>
        </is>
      </c>
      <c r="B1458" t="inlineStr">
        <is>
          <t>Indraprastha Gas (IGL)</t>
        </is>
      </c>
      <c r="C1458" t="inlineStr">
        <is>
          <t>Indraprastha Gas (IGL)</t>
        </is>
      </c>
      <c r="F1458" t="inlineStr">
        <is>
          <t>New Lead</t>
        </is>
      </c>
      <c r="H1458" t="inlineStr">
        <is>
          <t>Corrigendum_2_(1)2.pdf</t>
        </is>
      </c>
      <c r="K1458" t="inlineStr">
        <is>
          <t>Not found</t>
        </is>
      </c>
      <c r="L1458" t="inlineStr">
        <is>
          <t>Unknown</t>
        </is>
      </c>
      <c r="T1458" t="inlineStr">
        <is>
          <t>https://tenders.iglonline.net/uploads/tender/Corrigendum_2_(1)2.pdf</t>
        </is>
      </c>
      <c r="U1458" t="inlineStr">
        <is>
          <t>No</t>
        </is>
      </c>
      <c r="V1458" t="inlineStr">
        <is>
          <t>Bot tarafindan tespit edildi (2026-07-01)</t>
        </is>
      </c>
    </row>
    <row r="1459">
      <c r="A1459" t="inlineStr">
        <is>
          <t>T-1263</t>
        </is>
      </c>
      <c r="B1459" t="inlineStr">
        <is>
          <t>Indraprastha Gas (IGL)</t>
        </is>
      </c>
      <c r="C1459" t="inlineStr">
        <is>
          <t>Indraprastha Gas (IGL)</t>
        </is>
      </c>
      <c r="F1459" t="inlineStr">
        <is>
          <t>New Lead</t>
        </is>
      </c>
      <c r="H1459" t="inlineStr">
        <is>
          <t>Corrigendum_3_1.pdf</t>
        </is>
      </c>
      <c r="K1459" t="inlineStr">
        <is>
          <t>Not found</t>
        </is>
      </c>
      <c r="L1459" t="inlineStr">
        <is>
          <t>Unknown</t>
        </is>
      </c>
      <c r="T1459" t="inlineStr">
        <is>
          <t>https://tenders.iglonline.net/uploads/tender/Corrigendum_3_1.pdf</t>
        </is>
      </c>
      <c r="U1459" t="inlineStr">
        <is>
          <t>No</t>
        </is>
      </c>
      <c r="V1459" t="inlineStr">
        <is>
          <t>Bot tarafindan tespit edildi (2026-07-01)</t>
        </is>
      </c>
    </row>
    <row r="1460">
      <c r="A1460" t="inlineStr">
        <is>
          <t>T-1264</t>
        </is>
      </c>
      <c r="B1460" t="inlineStr">
        <is>
          <t>Indraprastha Gas (IGL)</t>
        </is>
      </c>
      <c r="C1460" t="inlineStr">
        <is>
          <t>Indraprastha Gas (IGL)</t>
        </is>
      </c>
      <c r="F1460" t="inlineStr">
        <is>
          <t>New Lead</t>
        </is>
      </c>
      <c r="H1460" t="inlineStr">
        <is>
          <t>Corrigendum_4__.pdf</t>
        </is>
      </c>
      <c r="K1460" t="inlineStr">
        <is>
          <t>Not found</t>
        </is>
      </c>
      <c r="L1460" t="inlineStr">
        <is>
          <t>Unknown</t>
        </is>
      </c>
      <c r="T1460" t="inlineStr">
        <is>
          <t>https://tenders.iglonline.net/uploads/tender/Corrigendum_4__.pdf</t>
        </is>
      </c>
      <c r="U1460" t="inlineStr">
        <is>
          <t>No</t>
        </is>
      </c>
      <c r="V1460" t="inlineStr">
        <is>
          <t>Bot tarafindan tespit edildi (2026-07-01)</t>
        </is>
      </c>
    </row>
    <row r="1461">
      <c r="A1461" t="inlineStr">
        <is>
          <t>T-1265</t>
        </is>
      </c>
      <c r="B1461" t="inlineStr">
        <is>
          <t>Indraprastha Gas (IGL)</t>
        </is>
      </c>
      <c r="C1461" t="inlineStr">
        <is>
          <t>Indraprastha Gas (IGL)</t>
        </is>
      </c>
      <c r="F1461" t="inlineStr">
        <is>
          <t>New Lead</t>
        </is>
      </c>
      <c r="H1461" t="inlineStr">
        <is>
          <t>Reply_to_Pre_bid_query.pdf</t>
        </is>
      </c>
      <c r="K1461" t="inlineStr">
        <is>
          <t>Not found</t>
        </is>
      </c>
      <c r="L1461" t="inlineStr">
        <is>
          <t>Unknown</t>
        </is>
      </c>
      <c r="T1461" t="inlineStr">
        <is>
          <t>https://tenders.iglonline.net/uploads/tender/Reply_to_Pre_bid_query.pdf</t>
        </is>
      </c>
      <c r="U1461" t="inlineStr">
        <is>
          <t>No</t>
        </is>
      </c>
      <c r="V1461" t="inlineStr">
        <is>
          <t>Bot tarafindan tespit edildi (2026-07-01)</t>
        </is>
      </c>
    </row>
    <row r="1462">
      <c r="A1462" t="inlineStr">
        <is>
          <t>T-1266</t>
        </is>
      </c>
      <c r="B1462" t="inlineStr">
        <is>
          <t>Indraprastha Gas (IGL)</t>
        </is>
      </c>
      <c r="C1462" t="inlineStr">
        <is>
          <t>Indraprastha Gas (IGL)</t>
        </is>
      </c>
      <c r="F1462" t="inlineStr">
        <is>
          <t>New Lead</t>
        </is>
      </c>
      <c r="H1462" t="inlineStr">
        <is>
          <t>Corrigendum_5_.pdf</t>
        </is>
      </c>
      <c r="K1462" t="inlineStr">
        <is>
          <t>Not found</t>
        </is>
      </c>
      <c r="L1462" t="inlineStr">
        <is>
          <t>Unknown</t>
        </is>
      </c>
      <c r="T1462" t="inlineStr">
        <is>
          <t>https://tenders.iglonline.net/uploads/tender/Corrigendum_5_.pdf</t>
        </is>
      </c>
      <c r="U1462" t="inlineStr">
        <is>
          <t>No</t>
        </is>
      </c>
      <c r="V1462" t="inlineStr">
        <is>
          <t>Bot tarafindan tespit edildi (2026-07-01)</t>
        </is>
      </c>
    </row>
    <row r="1463">
      <c r="A1463" t="inlineStr">
        <is>
          <t>T-1267</t>
        </is>
      </c>
      <c r="B1463" t="inlineStr">
        <is>
          <t>Indraprastha Gas (IGL)</t>
        </is>
      </c>
      <c r="C1463" t="inlineStr">
        <is>
          <t>Indraprastha Gas (IGL)</t>
        </is>
      </c>
      <c r="F1463" t="inlineStr">
        <is>
          <t>New Lead</t>
        </is>
      </c>
      <c r="H1463" t="inlineStr">
        <is>
          <t>Corrigendum__6.pdf</t>
        </is>
      </c>
      <c r="K1463" t="inlineStr">
        <is>
          <t>Not found</t>
        </is>
      </c>
      <c r="L1463" t="inlineStr">
        <is>
          <t>Unknown</t>
        </is>
      </c>
      <c r="T1463" t="inlineStr">
        <is>
          <t>https://tenders.iglonline.net/uploads/tender/Corrigendum__6.pdf</t>
        </is>
      </c>
      <c r="U1463" t="inlineStr">
        <is>
          <t>No</t>
        </is>
      </c>
      <c r="V1463" t="inlineStr">
        <is>
          <t>Bot tarafindan tespit edildi (2026-07-01)</t>
        </is>
      </c>
    </row>
    <row r="1464">
      <c r="A1464" t="inlineStr">
        <is>
          <t>T-1268</t>
        </is>
      </c>
      <c r="B1464" t="inlineStr">
        <is>
          <t>Indraprastha Gas (IGL)</t>
        </is>
      </c>
      <c r="C1464" t="inlineStr">
        <is>
          <t>Indraprastha Gas (IGL)</t>
        </is>
      </c>
      <c r="F1464" t="inlineStr">
        <is>
          <t>New Lead</t>
        </is>
      </c>
      <c r="H1464" t="inlineStr">
        <is>
          <t>View Tender</t>
        </is>
      </c>
      <c r="K1464" t="inlineStr">
        <is>
          <t>Not found</t>
        </is>
      </c>
      <c r="L1464" t="inlineStr">
        <is>
          <t>Unknown</t>
        </is>
      </c>
      <c r="T1464" t="inlineStr">
        <is>
          <t>https://tenders.iglonline.net/tenderDetail/167/Active Tenders And Corrigendum-Addendum</t>
        </is>
      </c>
      <c r="U1464" t="inlineStr">
        <is>
          <t>No</t>
        </is>
      </c>
      <c r="V1464" t="inlineStr">
        <is>
          <t>Bot tarafindan tespit edildi (2026-07-01)</t>
        </is>
      </c>
    </row>
    <row r="1465">
      <c r="A1465" t="inlineStr">
        <is>
          <t>T-1269</t>
        </is>
      </c>
      <c r="B1465" t="inlineStr">
        <is>
          <t>Indraprastha Gas (IGL)</t>
        </is>
      </c>
      <c r="C1465" t="inlineStr">
        <is>
          <t>Indraprastha Gas (IGL)</t>
        </is>
      </c>
      <c r="F1465" t="inlineStr">
        <is>
          <t>New Lead</t>
        </is>
      </c>
      <c r="H1465" t="inlineStr">
        <is>
          <t>Replies_to_bidders_queries_(2).pdf</t>
        </is>
      </c>
      <c r="K1465" t="inlineStr">
        <is>
          <t>Not found</t>
        </is>
      </c>
      <c r="L1465" t="inlineStr">
        <is>
          <t>Unknown</t>
        </is>
      </c>
      <c r="T1465" t="inlineStr">
        <is>
          <t>https://tenders.iglonline.net/uploads/tender/Replies_to_bidders_queries_(2).pdf</t>
        </is>
      </c>
      <c r="U1465" t="inlineStr">
        <is>
          <t>No</t>
        </is>
      </c>
      <c r="V1465" t="inlineStr">
        <is>
          <t>Bot tarafindan tespit edildi (2026-07-01)</t>
        </is>
      </c>
    </row>
    <row r="1466">
      <c r="A1466" t="inlineStr">
        <is>
          <t>T-1270</t>
        </is>
      </c>
      <c r="B1466" t="inlineStr">
        <is>
          <t>Indraprastha Gas (IGL)</t>
        </is>
      </c>
      <c r="C1466" t="inlineStr">
        <is>
          <t>Indraprastha Gas (IGL)</t>
        </is>
      </c>
      <c r="F1466" t="inlineStr">
        <is>
          <t>New Lead</t>
        </is>
      </c>
      <c r="H1466" t="inlineStr">
        <is>
          <t>View Tender</t>
        </is>
      </c>
      <c r="K1466" t="inlineStr">
        <is>
          <t>Not found</t>
        </is>
      </c>
      <c r="L1466" t="inlineStr">
        <is>
          <t>Unknown</t>
        </is>
      </c>
      <c r="T1466" t="inlineStr">
        <is>
          <t>https://tenders.iglonline.net/tenderDetail/166/Active Tenders And Corrigendum-Addendum</t>
        </is>
      </c>
      <c r="U1466" t="inlineStr">
        <is>
          <t>No</t>
        </is>
      </c>
      <c r="V1466" t="inlineStr">
        <is>
          <t>Bot tarafindan tespit edildi (2026-07-01)</t>
        </is>
      </c>
    </row>
    <row r="1467">
      <c r="A1467" t="inlineStr">
        <is>
          <t>T-1271</t>
        </is>
      </c>
      <c r="B1467" t="inlineStr">
        <is>
          <t>Indraprastha Gas (IGL)</t>
        </is>
      </c>
      <c r="C1467" t="inlineStr">
        <is>
          <t>Indraprastha Gas (IGL)</t>
        </is>
      </c>
      <c r="F1467" t="inlineStr">
        <is>
          <t>New Lead</t>
        </is>
      </c>
      <c r="H1467" t="inlineStr">
        <is>
          <t>Corrigendum_I.pdf</t>
        </is>
      </c>
      <c r="K1467" t="inlineStr">
        <is>
          <t>Not found</t>
        </is>
      </c>
      <c r="L1467" t="inlineStr">
        <is>
          <t>Unknown</t>
        </is>
      </c>
      <c r="T1467" t="inlineStr">
        <is>
          <t>https://tenders.iglonline.net/uploads/tender/Corrigendum_I.pdf</t>
        </is>
      </c>
      <c r="U1467" t="inlineStr">
        <is>
          <t>No</t>
        </is>
      </c>
      <c r="V1467" t="inlineStr">
        <is>
          <t>Bot tarafindan tespit edildi (2026-07-01)</t>
        </is>
      </c>
    </row>
    <row r="1468">
      <c r="A1468" t="inlineStr">
        <is>
          <t>T-1272</t>
        </is>
      </c>
      <c r="B1468" t="inlineStr">
        <is>
          <t>Indraprastha Gas (IGL)</t>
        </is>
      </c>
      <c r="C1468" t="inlineStr">
        <is>
          <t>Indraprastha Gas (IGL)</t>
        </is>
      </c>
      <c r="F1468" t="inlineStr">
        <is>
          <t>New Lead</t>
        </is>
      </c>
      <c r="H1468" t="inlineStr">
        <is>
          <t>Corrigendum_I1.pdf</t>
        </is>
      </c>
      <c r="K1468" t="inlineStr">
        <is>
          <t>Not found</t>
        </is>
      </c>
      <c r="L1468" t="inlineStr">
        <is>
          <t>Unknown</t>
        </is>
      </c>
      <c r="T1468" t="inlineStr">
        <is>
          <t>https://tenders.iglonline.net/uploads/tender/Corrigendum_I1.pdf</t>
        </is>
      </c>
      <c r="U1468" t="inlineStr">
        <is>
          <t>No</t>
        </is>
      </c>
      <c r="V1468" t="inlineStr">
        <is>
          <t>Bot tarafindan tespit edildi (2026-07-01)</t>
        </is>
      </c>
    </row>
    <row r="1469">
      <c r="A1469" t="inlineStr">
        <is>
          <t>T-1273</t>
        </is>
      </c>
      <c r="B1469" t="inlineStr">
        <is>
          <t>Indraprastha Gas (IGL)</t>
        </is>
      </c>
      <c r="C1469" t="inlineStr">
        <is>
          <t>Indraprastha Gas (IGL)</t>
        </is>
      </c>
      <c r="F1469" t="inlineStr">
        <is>
          <t>New Lead</t>
        </is>
      </c>
      <c r="H1469" t="inlineStr">
        <is>
          <t>Corrigendum-II_(1).pdf</t>
        </is>
      </c>
      <c r="K1469" t="inlineStr">
        <is>
          <t>Not found</t>
        </is>
      </c>
      <c r="L1469" t="inlineStr">
        <is>
          <t>Unknown</t>
        </is>
      </c>
      <c r="T1469" t="inlineStr">
        <is>
          <t>https://tenders.iglonline.net/uploads/tender/Corrigendum-II_(1).pdf</t>
        </is>
      </c>
      <c r="U1469" t="inlineStr">
        <is>
          <t>No</t>
        </is>
      </c>
      <c r="V1469" t="inlineStr">
        <is>
          <t>Bot tarafindan tespit edildi (2026-07-01)</t>
        </is>
      </c>
    </row>
    <row r="1470">
      <c r="A1470" t="inlineStr">
        <is>
          <t>T-1274</t>
        </is>
      </c>
      <c r="B1470" t="inlineStr">
        <is>
          <t>Indraprastha Gas (IGL)</t>
        </is>
      </c>
      <c r="C1470" t="inlineStr">
        <is>
          <t>Indraprastha Gas (IGL)</t>
        </is>
      </c>
      <c r="F1470" t="inlineStr">
        <is>
          <t>New Lead</t>
        </is>
      </c>
      <c r="H1470" t="inlineStr">
        <is>
          <t>View Tender</t>
        </is>
      </c>
      <c r="K1470" t="inlineStr">
        <is>
          <t>Not found</t>
        </is>
      </c>
      <c r="L1470" t="inlineStr">
        <is>
          <t>Unknown</t>
        </is>
      </c>
      <c r="T1470" t="inlineStr">
        <is>
          <t>https://tenders.iglonline.net/tenderDetail/165/Active Tenders And Corrigendum-Addendum</t>
        </is>
      </c>
      <c r="U1470" t="inlineStr">
        <is>
          <t>No</t>
        </is>
      </c>
      <c r="V1470" t="inlineStr">
        <is>
          <t>Bot tarafindan tespit edildi (2026-07-01)</t>
        </is>
      </c>
    </row>
    <row r="1471">
      <c r="A1471" t="inlineStr">
        <is>
          <t>T-1275</t>
        </is>
      </c>
      <c r="B1471" t="inlineStr">
        <is>
          <t>Indraprastha Gas (IGL)</t>
        </is>
      </c>
      <c r="C1471" t="inlineStr">
        <is>
          <t>Indraprastha Gas (IGL)</t>
        </is>
      </c>
      <c r="D1471" t="inlineStr">
        <is>
          <t>IGL/ET2/CP/CP17502</t>
        </is>
      </c>
      <c r="F1471" t="inlineStr">
        <is>
          <t>New Lead</t>
        </is>
      </c>
      <c r="G1471" t="inlineStr">
        <is>
          <t>Gas-related / review</t>
        </is>
      </c>
      <c r="H1471" t="inlineStr">
        <is>
          <t>Corrigendum1_xlsx_(3).pdf</t>
        </is>
      </c>
      <c r="K1471" t="inlineStr">
        <is>
          <t>Not found</t>
        </is>
      </c>
      <c r="L1471" t="inlineStr">
        <is>
          <t>Unknown</t>
        </is>
      </c>
      <c r="T1471" t="inlineStr">
        <is>
          <t>https://tenders.iglonline.net/uploads/tender/Corrigendum1_xlsx_(3).pdf</t>
        </is>
      </c>
      <c r="U1471" t="inlineStr">
        <is>
          <t>No</t>
        </is>
      </c>
      <c r="V1471" t="inlineStr">
        <is>
          <t>Bot tarafindan tespit edildi (2026-07-01); Bot tespit/zenginlestirme (2026-07-01); meta:score=50;priority=Medium;source_type=html_table;closing_date=;equipment=Gas-related / review;reasons=equipment:Gas-related / review,document source,tender reference signal</t>
        </is>
      </c>
    </row>
    <row r="1472">
      <c r="A1472" t="inlineStr">
        <is>
          <t>T-1276</t>
        </is>
      </c>
      <c r="B1472" t="inlineStr">
        <is>
          <t>Indraprastha Gas (IGL)</t>
        </is>
      </c>
      <c r="C1472" t="inlineStr">
        <is>
          <t>Indraprastha Gas (IGL)</t>
        </is>
      </c>
      <c r="D1472" t="inlineStr">
        <is>
          <t>IGL/ET2/CP/CC17502</t>
        </is>
      </c>
      <c r="F1472" t="inlineStr">
        <is>
          <t>New Lead</t>
        </is>
      </c>
      <c r="G1472" t="inlineStr">
        <is>
          <t>Gas-related / review</t>
        </is>
      </c>
      <c r="H1472" t="inlineStr">
        <is>
          <t>Corrigendum2_xlsx.pdf</t>
        </is>
      </c>
      <c r="K1472" t="inlineStr">
        <is>
          <t>Not found</t>
        </is>
      </c>
      <c r="L1472" t="inlineStr">
        <is>
          <t>Unknown</t>
        </is>
      </c>
      <c r="T1472" t="inlineStr">
        <is>
          <t>https://tenders.iglonline.net/uploads/tender/Corrigendum2_xlsx.pdf</t>
        </is>
      </c>
      <c r="U1472" t="inlineStr">
        <is>
          <t>No</t>
        </is>
      </c>
      <c r="V1472" t="inlineStr">
        <is>
          <t>Bot tarafindan tespit edildi (2026-07-01); Bot tespit/zenginlestirme (2026-07-01); meta:score=50;priority=Medium;source_type=html_table;closing_date=;equipment=Gas-related / review;reasons=equipment:Gas-related / review,document source,tender reference signal</t>
        </is>
      </c>
    </row>
    <row r="1473">
      <c r="A1473" t="inlineStr">
        <is>
          <t>T-1277</t>
        </is>
      </c>
      <c r="B1473" t="inlineStr">
        <is>
          <t>Indraprastha Gas (IGL)</t>
        </is>
      </c>
      <c r="C1473" t="inlineStr">
        <is>
          <t>Indraprastha Gas (IGL)</t>
        </is>
      </c>
      <c r="D1473" t="inlineStr">
        <is>
          <t>IGL/ET2/CP/CC17502</t>
        </is>
      </c>
      <c r="F1473" t="inlineStr">
        <is>
          <t>New Lead</t>
        </is>
      </c>
      <c r="G1473" t="inlineStr">
        <is>
          <t>Gas-related / review</t>
        </is>
      </c>
      <c r="H1473" t="inlineStr">
        <is>
          <t>Corrigendum4_xlsx.pdf</t>
        </is>
      </c>
      <c r="K1473" t="inlineStr">
        <is>
          <t>Not found</t>
        </is>
      </c>
      <c r="L1473" t="inlineStr">
        <is>
          <t>Unknown</t>
        </is>
      </c>
      <c r="T1473" t="inlineStr">
        <is>
          <t>https://tenders.iglonline.net/uploads/tender/Corrigendum4_xlsx.pdf</t>
        </is>
      </c>
      <c r="U1473" t="inlineStr">
        <is>
          <t>No</t>
        </is>
      </c>
      <c r="V1473" t="inlineStr">
        <is>
          <t>Bot tarafindan tespit edildi (2026-07-01); Bot tespit/zenginlestirme (2026-07-01); meta:score=50;priority=Medium;source_type=html_table;closing_date=;equipment=Gas-related / review;reasons=equipment:Gas-related / review,document source,tender reference signal</t>
        </is>
      </c>
    </row>
    <row r="1474">
      <c r="A1474" t="inlineStr">
        <is>
          <t>T-1278</t>
        </is>
      </c>
      <c r="B1474" t="inlineStr">
        <is>
          <t>Indraprastha Gas (IGL)</t>
        </is>
      </c>
      <c r="C1474" t="inlineStr">
        <is>
          <t>Indraprastha Gas (IGL)</t>
        </is>
      </c>
      <c r="D1474" t="inlineStr">
        <is>
          <t>IGL/ET2/CP/CC17502</t>
        </is>
      </c>
      <c r="F1474" t="inlineStr">
        <is>
          <t>New Lead</t>
        </is>
      </c>
      <c r="G1474" t="inlineStr">
        <is>
          <t>Gas-related / review</t>
        </is>
      </c>
      <c r="H1474" t="inlineStr">
        <is>
          <t>Corrigendum3_xlsx.pdf</t>
        </is>
      </c>
      <c r="K1474" t="inlineStr">
        <is>
          <t>Not found</t>
        </is>
      </c>
      <c r="L1474" t="inlineStr">
        <is>
          <t>Unknown</t>
        </is>
      </c>
      <c r="T1474" t="inlineStr">
        <is>
          <t>https://tenders.iglonline.net/uploads/tender/Corrigendum3_xlsx.pdf</t>
        </is>
      </c>
      <c r="U1474" t="inlineStr">
        <is>
          <t>No</t>
        </is>
      </c>
      <c r="V1474" t="inlineStr">
        <is>
          <t>Bot tarafindan tespit edildi (2026-07-01); Bot tespit/zenginlestirme (2026-07-01); meta:score=50;priority=Medium;source_type=html_table;closing_date=;equipment=Gas-related / review;reasons=equipment:Gas-related / review,document source,tender reference signal</t>
        </is>
      </c>
    </row>
    <row r="1475">
      <c r="A1475" t="inlineStr">
        <is>
          <t>T-1279</t>
        </is>
      </c>
      <c r="B1475" t="inlineStr">
        <is>
          <t>Indraprastha Gas (IGL)</t>
        </is>
      </c>
      <c r="C1475" t="inlineStr">
        <is>
          <t>Indraprastha Gas (IGL)</t>
        </is>
      </c>
      <c r="D1475" t="inlineStr">
        <is>
          <t>IGL/ET2/CP/CC17502</t>
        </is>
      </c>
      <c r="F1475" t="inlineStr">
        <is>
          <t>New Lead</t>
        </is>
      </c>
      <c r="G1475" t="inlineStr">
        <is>
          <t>Gas-related / review</t>
        </is>
      </c>
      <c r="H1475" t="inlineStr">
        <is>
          <t>Corrigendum_5_(1).pdf</t>
        </is>
      </c>
      <c r="K1475" t="inlineStr">
        <is>
          <t>Not found</t>
        </is>
      </c>
      <c r="L1475" t="inlineStr">
        <is>
          <t>Unknown</t>
        </is>
      </c>
      <c r="T1475" t="inlineStr">
        <is>
          <t>https://tenders.iglonline.net/uploads/tender/Corrigendum_5_(1).pdf</t>
        </is>
      </c>
      <c r="U1475" t="inlineStr">
        <is>
          <t>No</t>
        </is>
      </c>
      <c r="V1475" t="inlineStr">
        <is>
          <t>Bot tarafindan tespit edildi (2026-07-01); Bot tespit/zenginlestirme (2026-07-01); meta:score=50;priority=Medium;source_type=html_table;closing_date=;equipment=Gas-related / review;reasons=equipment:Gas-related / review,document source,tender reference signal</t>
        </is>
      </c>
    </row>
    <row r="1476">
      <c r="A1476" t="inlineStr">
        <is>
          <t>T-1280</t>
        </is>
      </c>
      <c r="B1476" t="inlineStr">
        <is>
          <t>Indraprastha Gas (IGL)</t>
        </is>
      </c>
      <c r="C1476" t="inlineStr">
        <is>
          <t>Indraprastha Gas (IGL)</t>
        </is>
      </c>
      <c r="D1476" t="inlineStr">
        <is>
          <t>IGL/ET2/CP/CC17502</t>
        </is>
      </c>
      <c r="F1476" t="inlineStr">
        <is>
          <t>New Lead</t>
        </is>
      </c>
      <c r="G1476" t="inlineStr">
        <is>
          <t>Gas-related / review</t>
        </is>
      </c>
      <c r="H1476" t="inlineStr">
        <is>
          <t>Corrigendum_6_1.pdf</t>
        </is>
      </c>
      <c r="K1476" t="inlineStr">
        <is>
          <t>Not found</t>
        </is>
      </c>
      <c r="L1476" t="inlineStr">
        <is>
          <t>Unknown</t>
        </is>
      </c>
      <c r="T1476" t="inlineStr">
        <is>
          <t>https://tenders.iglonline.net/uploads/tender/Corrigendum_6_1.pdf</t>
        </is>
      </c>
      <c r="U1476" t="inlineStr">
        <is>
          <t>No</t>
        </is>
      </c>
      <c r="V1476" t="inlineStr">
        <is>
          <t>Bot tarafindan tespit edildi (2026-07-01); Bot tespit/zenginlestirme (2026-07-01); meta:score=50;priority=Medium;source_type=html_table;closing_date=;equipment=Gas-related / review;reasons=equipment:Gas-related / review,document source,tender reference signal</t>
        </is>
      </c>
    </row>
    <row r="1477">
      <c r="A1477" t="inlineStr">
        <is>
          <t>T-1281</t>
        </is>
      </c>
      <c r="B1477" t="inlineStr">
        <is>
          <t>Indraprastha Gas (IGL)</t>
        </is>
      </c>
      <c r="C1477" t="inlineStr">
        <is>
          <t>Indraprastha Gas (IGL)</t>
        </is>
      </c>
      <c r="D1477" t="inlineStr">
        <is>
          <t>IGL/ET2/CP/CC17502</t>
        </is>
      </c>
      <c r="F1477" t="inlineStr">
        <is>
          <t>New Lead</t>
        </is>
      </c>
      <c r="G1477" t="inlineStr">
        <is>
          <t>Gas-related / review</t>
        </is>
      </c>
      <c r="H1477" t="inlineStr">
        <is>
          <t>Corrigendum_7_.pdf</t>
        </is>
      </c>
      <c r="K1477" t="inlineStr">
        <is>
          <t>Not found</t>
        </is>
      </c>
      <c r="L1477" t="inlineStr">
        <is>
          <t>Unknown</t>
        </is>
      </c>
      <c r="T1477" t="inlineStr">
        <is>
          <t>https://tenders.iglonline.net/uploads/tender/Corrigendum_7_.pdf</t>
        </is>
      </c>
      <c r="U1477" t="inlineStr">
        <is>
          <t>No</t>
        </is>
      </c>
      <c r="V1477" t="inlineStr">
        <is>
          <t>Bot tarafindan tespit edildi (2026-07-01); Bot tespit/zenginlestirme (2026-07-01); meta:score=50;priority=Medium;source_type=html_table;closing_date=;equipment=Gas-related / review;reasons=equipment:Gas-related / review,document source,tender reference signal</t>
        </is>
      </c>
    </row>
    <row r="1478">
      <c r="A1478" t="inlineStr">
        <is>
          <t>T-1282</t>
        </is>
      </c>
      <c r="B1478" t="inlineStr">
        <is>
          <t>Indraprastha Gas (IGL)</t>
        </is>
      </c>
      <c r="C1478" t="inlineStr">
        <is>
          <t>Indraprastha Gas (IGL)</t>
        </is>
      </c>
      <c r="D1478" t="inlineStr">
        <is>
          <t>IGL/ET2/CP/CC17502</t>
        </is>
      </c>
      <c r="F1478" t="inlineStr">
        <is>
          <t>New Lead</t>
        </is>
      </c>
      <c r="G1478" t="inlineStr">
        <is>
          <t>Gas-related / review</t>
        </is>
      </c>
      <c r="H1478" t="inlineStr">
        <is>
          <t>Corrigendum_8__.pdf</t>
        </is>
      </c>
      <c r="K1478" t="inlineStr">
        <is>
          <t>Not found</t>
        </is>
      </c>
      <c r="L1478" t="inlineStr">
        <is>
          <t>Unknown</t>
        </is>
      </c>
      <c r="T1478" t="inlineStr">
        <is>
          <t>https://tenders.iglonline.net/uploads/tender/Corrigendum_8__.pdf</t>
        </is>
      </c>
      <c r="U1478" t="inlineStr">
        <is>
          <t>No</t>
        </is>
      </c>
      <c r="V1478" t="inlineStr">
        <is>
          <t>Bot tarafindan tespit edildi (2026-07-01); Bot tespit/zenginlestirme (2026-07-01); meta:score=50;priority=Medium;source_type=html_table;closing_date=;equipment=Gas-related / review;reasons=equipment:Gas-related / review,document source,tender reference signal</t>
        </is>
      </c>
    </row>
    <row r="1479">
      <c r="A1479" t="inlineStr">
        <is>
          <t>T-1283</t>
        </is>
      </c>
      <c r="B1479" t="inlineStr">
        <is>
          <t>Indraprastha Gas (IGL)</t>
        </is>
      </c>
      <c r="C1479" t="inlineStr">
        <is>
          <t>Indraprastha Gas (IGL)</t>
        </is>
      </c>
      <c r="D1479" t="inlineStr">
        <is>
          <t>IGL/ET2/CP/CC17502</t>
        </is>
      </c>
      <c r="F1479" t="inlineStr">
        <is>
          <t>New Lead</t>
        </is>
      </c>
      <c r="G1479" t="inlineStr">
        <is>
          <t>Gas-related / review</t>
        </is>
      </c>
      <c r="H1479" t="inlineStr">
        <is>
          <t>Corrigendum_9_.pdf</t>
        </is>
      </c>
      <c r="K1479" t="inlineStr">
        <is>
          <t>Not found</t>
        </is>
      </c>
      <c r="L1479" t="inlineStr">
        <is>
          <t>Unknown</t>
        </is>
      </c>
      <c r="T1479" t="inlineStr">
        <is>
          <t>https://tenders.iglonline.net/uploads/tender/Corrigendum_9_.pdf</t>
        </is>
      </c>
      <c r="U1479" t="inlineStr">
        <is>
          <t>No</t>
        </is>
      </c>
      <c r="V1479" t="inlineStr">
        <is>
          <t>Bot tarafindan tespit edildi (2026-07-01); Bot tespit/zenginlestirme (2026-07-01); meta:score=50;priority=Medium;source_type=html_table;closing_date=;equipment=Gas-related / review;reasons=equipment:Gas-related / review,document source,tender reference signal</t>
        </is>
      </c>
    </row>
    <row r="1480">
      <c r="A1480" t="inlineStr">
        <is>
          <t>T-1284</t>
        </is>
      </c>
      <c r="B1480" t="inlineStr">
        <is>
          <t>Indraprastha Gas (IGL)</t>
        </is>
      </c>
      <c r="C1480" t="inlineStr">
        <is>
          <t>Indraprastha Gas (IGL)</t>
        </is>
      </c>
      <c r="D1480" t="inlineStr">
        <is>
          <t>IGL/ET2/CP/CC17502</t>
        </is>
      </c>
      <c r="F1480" t="inlineStr">
        <is>
          <t>New Lead</t>
        </is>
      </c>
      <c r="G1480" t="inlineStr">
        <is>
          <t>Gas-related / review</t>
        </is>
      </c>
      <c r="H1480" t="inlineStr">
        <is>
          <t>Corrigendum_10_.pdf</t>
        </is>
      </c>
      <c r="K1480" t="inlineStr">
        <is>
          <t>Not found</t>
        </is>
      </c>
      <c r="L1480" t="inlineStr">
        <is>
          <t>Unknown</t>
        </is>
      </c>
      <c r="T1480" t="inlineStr">
        <is>
          <t>https://tenders.iglonline.net/uploads/tender/Corrigendum_10_.pdf</t>
        </is>
      </c>
      <c r="U1480" t="inlineStr">
        <is>
          <t>No</t>
        </is>
      </c>
      <c r="V1480" t="inlineStr">
        <is>
          <t>Bot tarafindan tespit edildi (2026-07-01); Bot tespit/zenginlestirme (2026-07-01); meta:score=50;priority=Medium;source_type=html_table;closing_date=;equipment=Gas-related / review;reasons=equipment:Gas-related / review,document source,tender reference signal</t>
        </is>
      </c>
    </row>
    <row r="1481">
      <c r="A1481" t="inlineStr">
        <is>
          <t>T-1285</t>
        </is>
      </c>
      <c r="B1481" t="inlineStr">
        <is>
          <t>Indraprastha Gas (IGL)</t>
        </is>
      </c>
      <c r="C1481" t="inlineStr">
        <is>
          <t>Indraprastha Gas (IGL)</t>
        </is>
      </c>
      <c r="D1481" t="inlineStr">
        <is>
          <t>IGL/ET2/CP/CC17502</t>
        </is>
      </c>
      <c r="F1481" t="inlineStr">
        <is>
          <t>New Lead</t>
        </is>
      </c>
      <c r="G1481" t="inlineStr">
        <is>
          <t>Gas-related / review</t>
        </is>
      </c>
      <c r="H1481" t="inlineStr">
        <is>
          <t>Corrigendum_11.pdf</t>
        </is>
      </c>
      <c r="K1481" t="inlineStr">
        <is>
          <t>Not found</t>
        </is>
      </c>
      <c r="L1481" t="inlineStr">
        <is>
          <t>Unknown</t>
        </is>
      </c>
      <c r="T1481" t="inlineStr">
        <is>
          <t>https://tenders.iglonline.net/uploads/tender/Corrigendum_11.pdf</t>
        </is>
      </c>
      <c r="U1481" t="inlineStr">
        <is>
          <t>No</t>
        </is>
      </c>
      <c r="V1481" t="inlineStr">
        <is>
          <t>Bot tarafindan tespit edildi (2026-07-01); Bot tespit/zenginlestirme (2026-07-01); meta:score=50;priority=Medium;source_type=html_table;closing_date=;equipment=Gas-related / review;reasons=equipment:Gas-related / review,document source,tender reference signal</t>
        </is>
      </c>
    </row>
    <row r="1482">
      <c r="A1482" t="inlineStr">
        <is>
          <t>T-1286</t>
        </is>
      </c>
      <c r="B1482" t="inlineStr">
        <is>
          <t>Indraprastha Gas (IGL)</t>
        </is>
      </c>
      <c r="C1482" t="inlineStr">
        <is>
          <t>Indraprastha Gas (IGL)</t>
        </is>
      </c>
      <c r="D1482" t="inlineStr">
        <is>
          <t>IGL/ET2/CP/CC17502</t>
        </is>
      </c>
      <c r="F1482" t="inlineStr">
        <is>
          <t>New Lead</t>
        </is>
      </c>
      <c r="G1482" t="inlineStr">
        <is>
          <t>Gas-related / review</t>
        </is>
      </c>
      <c r="H1482" t="inlineStr">
        <is>
          <t>Corrigendum_12_.pdf</t>
        </is>
      </c>
      <c r="K1482" t="inlineStr">
        <is>
          <t>Not found</t>
        </is>
      </c>
      <c r="L1482" t="inlineStr">
        <is>
          <t>Unknown</t>
        </is>
      </c>
      <c r="T1482" t="inlineStr">
        <is>
          <t>https://tenders.iglonline.net/uploads/tender/Corrigendum_12_.pdf</t>
        </is>
      </c>
      <c r="U1482" t="inlineStr">
        <is>
          <t>No</t>
        </is>
      </c>
      <c r="V1482" t="inlineStr">
        <is>
          <t>Bot tarafindan tespit edildi (2026-07-01); Bot tespit/zenginlestirme (2026-07-01); meta:score=50;priority=Medium;source_type=html_table;closing_date=;equipment=Gas-related / review;reasons=equipment:Gas-related / review,document source,tender reference signal</t>
        </is>
      </c>
    </row>
    <row r="1483">
      <c r="A1483" t="inlineStr">
        <is>
          <t>T-1287</t>
        </is>
      </c>
      <c r="B1483" t="inlineStr">
        <is>
          <t>Indraprastha Gas (IGL)</t>
        </is>
      </c>
      <c r="C1483" t="inlineStr">
        <is>
          <t>Indraprastha Gas (IGL)</t>
        </is>
      </c>
      <c r="F1483" t="inlineStr">
        <is>
          <t>New Lead</t>
        </is>
      </c>
      <c r="H1483" t="inlineStr">
        <is>
          <t>View Tender</t>
        </is>
      </c>
      <c r="K1483" t="inlineStr">
        <is>
          <t>Not found</t>
        </is>
      </c>
      <c r="L1483" t="inlineStr">
        <is>
          <t>Unknown</t>
        </is>
      </c>
      <c r="T1483" t="inlineStr">
        <is>
          <t>https://tenders.iglonline.net/tenderDetail/163/Active Tenders And Corrigendum-Addendum</t>
        </is>
      </c>
      <c r="U1483" t="inlineStr">
        <is>
          <t>No</t>
        </is>
      </c>
      <c r="V1483" t="inlineStr">
        <is>
          <t>Bot tarafindan tespit edildi (2026-07-01)</t>
        </is>
      </c>
    </row>
    <row r="1484">
      <c r="A1484" t="inlineStr">
        <is>
          <t>T-1288</t>
        </is>
      </c>
      <c r="B1484" t="inlineStr">
        <is>
          <t>Indraprastha Gas (IGL)</t>
        </is>
      </c>
      <c r="C1484" t="inlineStr">
        <is>
          <t>Indraprastha Gas (IGL)</t>
        </is>
      </c>
      <c r="F1484" t="inlineStr">
        <is>
          <t>New Lead</t>
        </is>
      </c>
      <c r="H1484" t="inlineStr">
        <is>
          <t>Corrigendum_I-CM17557.pdf</t>
        </is>
      </c>
      <c r="K1484" t="inlineStr">
        <is>
          <t>Not found</t>
        </is>
      </c>
      <c r="L1484" t="inlineStr">
        <is>
          <t>Unknown</t>
        </is>
      </c>
      <c r="T1484" t="inlineStr">
        <is>
          <t>https://tenders.iglonline.net/uploads/tender/Corrigendum_I-CM17557.pdf</t>
        </is>
      </c>
      <c r="U1484" t="inlineStr">
        <is>
          <t>No</t>
        </is>
      </c>
      <c r="V1484" t="inlineStr">
        <is>
          <t>Bot tarafindan tespit edildi (2026-07-01)</t>
        </is>
      </c>
    </row>
    <row r="1485">
      <c r="A1485" t="inlineStr">
        <is>
          <t>T-1289</t>
        </is>
      </c>
      <c r="B1485" t="inlineStr">
        <is>
          <t>Indraprastha Gas (IGL)</t>
        </is>
      </c>
      <c r="C1485" t="inlineStr">
        <is>
          <t>Indraprastha Gas (IGL)</t>
        </is>
      </c>
      <c r="F1485" t="inlineStr">
        <is>
          <t>New Lead</t>
        </is>
      </c>
      <c r="H1485" t="inlineStr">
        <is>
          <t>Corrigendum_-_CM17557.pdf</t>
        </is>
      </c>
      <c r="K1485" t="inlineStr">
        <is>
          <t>Not found</t>
        </is>
      </c>
      <c r="L1485" t="inlineStr">
        <is>
          <t>Unknown</t>
        </is>
      </c>
      <c r="T1485" t="inlineStr">
        <is>
          <t>https://tenders.iglonline.net/uploads/tender/Corrigendum_-_CM17557.pdf</t>
        </is>
      </c>
      <c r="U1485" t="inlineStr">
        <is>
          <t>No</t>
        </is>
      </c>
      <c r="V1485" t="inlineStr">
        <is>
          <t>Bot tarafindan tespit edildi (2026-07-01)</t>
        </is>
      </c>
    </row>
    <row r="1486">
      <c r="A1486" t="inlineStr">
        <is>
          <t>T-1290</t>
        </is>
      </c>
      <c r="B1486" t="inlineStr">
        <is>
          <t>Indraprastha Gas (IGL)</t>
        </is>
      </c>
      <c r="C1486" t="inlineStr">
        <is>
          <t>Indraprastha Gas (IGL)</t>
        </is>
      </c>
      <c r="F1486" t="inlineStr">
        <is>
          <t>New Lead</t>
        </is>
      </c>
      <c r="H1486" t="inlineStr">
        <is>
          <t>View Tender</t>
        </is>
      </c>
      <c r="K1486" t="inlineStr">
        <is>
          <t>Not found</t>
        </is>
      </c>
      <c r="L1486" t="inlineStr">
        <is>
          <t>Unknown</t>
        </is>
      </c>
      <c r="T1486" t="inlineStr">
        <is>
          <t>https://tenders.iglonline.net/tenderDetail/162/Active Tenders And Corrigendum-Addendum</t>
        </is>
      </c>
      <c r="U1486" t="inlineStr">
        <is>
          <t>No</t>
        </is>
      </c>
      <c r="V1486" t="inlineStr">
        <is>
          <t>Bot tarafindan tespit edildi (2026-07-01)</t>
        </is>
      </c>
    </row>
    <row r="1487">
      <c r="A1487" t="inlineStr">
        <is>
          <t>T-1291</t>
        </is>
      </c>
      <c r="B1487" t="inlineStr">
        <is>
          <t>Indraprastha Gas (IGL)</t>
        </is>
      </c>
      <c r="C1487" t="inlineStr">
        <is>
          <t>Indraprastha Gas (IGL)</t>
        </is>
      </c>
      <c r="F1487" t="inlineStr">
        <is>
          <t>New Lead</t>
        </is>
      </c>
      <c r="H1487" t="inlineStr">
        <is>
          <t>Corrigendum1.pdf</t>
        </is>
      </c>
      <c r="K1487" t="inlineStr">
        <is>
          <t>Not found</t>
        </is>
      </c>
      <c r="L1487" t="inlineStr">
        <is>
          <t>Unknown</t>
        </is>
      </c>
      <c r="T1487" t="inlineStr">
        <is>
          <t>https://tenders.iglonline.net/uploads/tender/Corrigendum1.pdf</t>
        </is>
      </c>
      <c r="U1487" t="inlineStr">
        <is>
          <t>No</t>
        </is>
      </c>
      <c r="V1487" t="inlineStr">
        <is>
          <t>Bot tarafindan tespit edildi (2026-07-01)</t>
        </is>
      </c>
    </row>
    <row r="1488">
      <c r="A1488" t="inlineStr">
        <is>
          <t>T-1292</t>
        </is>
      </c>
      <c r="B1488" t="inlineStr">
        <is>
          <t>Indraprastha Gas (IGL)</t>
        </is>
      </c>
      <c r="C1488" t="inlineStr">
        <is>
          <t>Indraprastha Gas (IGL)</t>
        </is>
      </c>
      <c r="F1488" t="inlineStr">
        <is>
          <t>New Lead</t>
        </is>
      </c>
      <c r="H1488" t="inlineStr">
        <is>
          <t>Corrigendum_2_(1)1.pdf</t>
        </is>
      </c>
      <c r="K1488" t="inlineStr">
        <is>
          <t>Not found</t>
        </is>
      </c>
      <c r="L1488" t="inlineStr">
        <is>
          <t>Unknown</t>
        </is>
      </c>
      <c r="T1488" t="inlineStr">
        <is>
          <t>https://tenders.iglonline.net/uploads/tender/Corrigendum_2_(1)1.pdf</t>
        </is>
      </c>
      <c r="U1488" t="inlineStr">
        <is>
          <t>No</t>
        </is>
      </c>
      <c r="V1488" t="inlineStr">
        <is>
          <t>Bot tarafindan tespit edildi (2026-07-01)</t>
        </is>
      </c>
    </row>
    <row r="1489">
      <c r="A1489" t="inlineStr">
        <is>
          <t>T-1293</t>
        </is>
      </c>
      <c r="B1489" t="inlineStr">
        <is>
          <t>Indraprastha Gas (IGL)</t>
        </is>
      </c>
      <c r="C1489" t="inlineStr">
        <is>
          <t>Indraprastha Gas (IGL)</t>
        </is>
      </c>
      <c r="F1489" t="inlineStr">
        <is>
          <t>New Lead</t>
        </is>
      </c>
      <c r="H1489" t="inlineStr">
        <is>
          <t>Replies_to_bidders_queries_(3).pdf</t>
        </is>
      </c>
      <c r="K1489" t="inlineStr">
        <is>
          <t>Not found</t>
        </is>
      </c>
      <c r="L1489" t="inlineStr">
        <is>
          <t>Unknown</t>
        </is>
      </c>
      <c r="T1489" t="inlineStr">
        <is>
          <t>https://tenders.iglonline.net/uploads/tender/Replies_to_bidders_queries_(3).pdf</t>
        </is>
      </c>
      <c r="U1489" t="inlineStr">
        <is>
          <t>No</t>
        </is>
      </c>
      <c r="V1489" t="inlineStr">
        <is>
          <t>Bot tarafindan tespit edildi (2026-07-01)</t>
        </is>
      </c>
    </row>
    <row r="1490">
      <c r="A1490" t="inlineStr">
        <is>
          <t>T-1294</t>
        </is>
      </c>
      <c r="B1490" t="inlineStr">
        <is>
          <t>Indraprastha Gas (IGL)</t>
        </is>
      </c>
      <c r="C1490" t="inlineStr">
        <is>
          <t>Indraprastha Gas (IGL)</t>
        </is>
      </c>
      <c r="F1490" t="inlineStr">
        <is>
          <t>New Lead</t>
        </is>
      </c>
      <c r="H1490" t="inlineStr">
        <is>
          <t>Corrigendum31.pdf</t>
        </is>
      </c>
      <c r="K1490" t="inlineStr">
        <is>
          <t>Not found</t>
        </is>
      </c>
      <c r="L1490" t="inlineStr">
        <is>
          <t>Unknown</t>
        </is>
      </c>
      <c r="T1490" t="inlineStr">
        <is>
          <t>https://tenders.iglonline.net/uploads/tender/Corrigendum31.pdf</t>
        </is>
      </c>
      <c r="U1490" t="inlineStr">
        <is>
          <t>No</t>
        </is>
      </c>
      <c r="V1490" t="inlineStr">
        <is>
          <t>Bot tarafindan tespit edildi (2026-07-01)</t>
        </is>
      </c>
    </row>
    <row r="1491">
      <c r="A1491" t="inlineStr">
        <is>
          <t>T-1295</t>
        </is>
      </c>
      <c r="B1491" t="inlineStr">
        <is>
          <t>Indraprastha Gas (IGL)</t>
        </is>
      </c>
      <c r="C1491" t="inlineStr">
        <is>
          <t>Indraprastha Gas (IGL)</t>
        </is>
      </c>
      <c r="F1491" t="inlineStr">
        <is>
          <t>New Lead</t>
        </is>
      </c>
      <c r="H1491" t="inlineStr">
        <is>
          <t>Replies_to_bidders_queries_1.pdf</t>
        </is>
      </c>
      <c r="K1491" t="inlineStr">
        <is>
          <t>Not found</t>
        </is>
      </c>
      <c r="L1491" t="inlineStr">
        <is>
          <t>Unknown</t>
        </is>
      </c>
      <c r="T1491" t="inlineStr">
        <is>
          <t>https://tenders.iglonline.net/uploads/tender/Replies_to_bidders_queries_1.pdf</t>
        </is>
      </c>
      <c r="U1491" t="inlineStr">
        <is>
          <t>No</t>
        </is>
      </c>
      <c r="V1491" t="inlineStr">
        <is>
          <t>Bot tarafindan tespit edildi (2026-07-01)</t>
        </is>
      </c>
    </row>
    <row r="1492">
      <c r="A1492" t="inlineStr">
        <is>
          <t>T-1296</t>
        </is>
      </c>
      <c r="B1492" t="inlineStr">
        <is>
          <t>Indraprastha Gas (IGL)</t>
        </is>
      </c>
      <c r="C1492" t="inlineStr">
        <is>
          <t>Indraprastha Gas (IGL)</t>
        </is>
      </c>
      <c r="F1492" t="inlineStr">
        <is>
          <t>New Lead</t>
        </is>
      </c>
      <c r="H1492" t="inlineStr">
        <is>
          <t>Corrigendum_44.pdf</t>
        </is>
      </c>
      <c r="K1492" t="inlineStr">
        <is>
          <t>Not found</t>
        </is>
      </c>
      <c r="L1492" t="inlineStr">
        <is>
          <t>Unknown</t>
        </is>
      </c>
      <c r="T1492" t="inlineStr">
        <is>
          <t>https://tenders.iglonline.net/uploads/tender/Corrigendum_44.pdf</t>
        </is>
      </c>
      <c r="U1492" t="inlineStr">
        <is>
          <t>No</t>
        </is>
      </c>
      <c r="V1492" t="inlineStr">
        <is>
          <t>Bot tarafindan tespit edildi (2026-07-01)</t>
        </is>
      </c>
    </row>
    <row r="1493">
      <c r="A1493" t="inlineStr">
        <is>
          <t>T-1297</t>
        </is>
      </c>
      <c r="B1493" t="inlineStr">
        <is>
          <t>Indraprastha Gas (IGL)</t>
        </is>
      </c>
      <c r="C1493" t="inlineStr">
        <is>
          <t>Indraprastha Gas (IGL)</t>
        </is>
      </c>
      <c r="F1493" t="inlineStr">
        <is>
          <t>New Lead</t>
        </is>
      </c>
      <c r="H1493" t="inlineStr">
        <is>
          <t>View Tender</t>
        </is>
      </c>
      <c r="K1493" t="inlineStr">
        <is>
          <t>Not found</t>
        </is>
      </c>
      <c r="L1493" t="inlineStr">
        <is>
          <t>Unknown</t>
        </is>
      </c>
      <c r="T1493" t="inlineStr">
        <is>
          <t>https://tenders.iglonline.net/tenderDetail/161/Active Tenders And Corrigendum-Addendum</t>
        </is>
      </c>
      <c r="U1493" t="inlineStr">
        <is>
          <t>No</t>
        </is>
      </c>
      <c r="V1493" t="inlineStr">
        <is>
          <t>Bot tarafindan tespit edildi (2026-07-01)</t>
        </is>
      </c>
    </row>
    <row r="1494">
      <c r="A1494" t="inlineStr">
        <is>
          <t>T-1298</t>
        </is>
      </c>
      <c r="B1494" t="inlineStr">
        <is>
          <t>Indraprastha Gas (IGL)</t>
        </is>
      </c>
      <c r="C1494" t="inlineStr">
        <is>
          <t>Indraprastha Gas (IGL)</t>
        </is>
      </c>
      <c r="F1494" t="inlineStr">
        <is>
          <t>New Lead</t>
        </is>
      </c>
      <c r="H1494" t="inlineStr">
        <is>
          <t>CORRIGENDUM_CM17551.pdf</t>
        </is>
      </c>
      <c r="K1494" t="inlineStr">
        <is>
          <t>Not found</t>
        </is>
      </c>
      <c r="L1494" t="inlineStr">
        <is>
          <t>Unknown</t>
        </is>
      </c>
      <c r="T1494" t="inlineStr">
        <is>
          <t>https://tenders.iglonline.net/uploads/tender/CORRIGENDUM_CM17551.pdf</t>
        </is>
      </c>
      <c r="U1494" t="inlineStr">
        <is>
          <t>No</t>
        </is>
      </c>
      <c r="V1494" t="inlineStr">
        <is>
          <t>Bot tarafindan tespit edildi (2026-07-01)</t>
        </is>
      </c>
    </row>
    <row r="1495">
      <c r="A1495" t="inlineStr">
        <is>
          <t>T-1299</t>
        </is>
      </c>
      <c r="B1495" t="inlineStr">
        <is>
          <t>Indraprastha Gas (IGL)</t>
        </is>
      </c>
      <c r="C1495" t="inlineStr">
        <is>
          <t>Indraprastha Gas (IGL)</t>
        </is>
      </c>
      <c r="F1495" t="inlineStr">
        <is>
          <t>New Lead</t>
        </is>
      </c>
      <c r="H1495" t="inlineStr">
        <is>
          <t>RTBQ_Cloud_Hosting_services_for_IGL_mobile_app_CM17551.pdf</t>
        </is>
      </c>
      <c r="K1495" t="inlineStr">
        <is>
          <t>Not found</t>
        </is>
      </c>
      <c r="L1495" t="inlineStr">
        <is>
          <t>Unknown</t>
        </is>
      </c>
      <c r="T1495" t="inlineStr">
        <is>
          <t>https://tenders.iglonline.net/uploads/tender/RTBQ_Cloud_Hosting_services_for_IGL_mobile_app_CM17551.pdf</t>
        </is>
      </c>
      <c r="U1495" t="inlineStr">
        <is>
          <t>No</t>
        </is>
      </c>
      <c r="V1495" t="inlineStr">
        <is>
          <t>Bot tarafindan tespit edildi (2026-07-01)</t>
        </is>
      </c>
    </row>
    <row r="1496">
      <c r="A1496" t="inlineStr">
        <is>
          <t>T-1300</t>
        </is>
      </c>
      <c r="B1496" t="inlineStr">
        <is>
          <t>Indraprastha Gas (IGL)</t>
        </is>
      </c>
      <c r="C1496" t="inlineStr">
        <is>
          <t>Indraprastha Gas (IGL)</t>
        </is>
      </c>
      <c r="F1496" t="inlineStr">
        <is>
          <t>New Lead</t>
        </is>
      </c>
      <c r="H1496" t="inlineStr">
        <is>
          <t>RTBQ_Cloud_Hosting_services_for_IGL_mobile_app_CM17551_(1).pdf</t>
        </is>
      </c>
      <c r="K1496" t="inlineStr">
        <is>
          <t>Not found</t>
        </is>
      </c>
      <c r="L1496" t="inlineStr">
        <is>
          <t>Unknown</t>
        </is>
      </c>
      <c r="T1496" t="inlineStr">
        <is>
          <t>https://tenders.iglonline.net/uploads/tender/RTBQ_Cloud_Hosting_services_for_IGL_mobile_app_CM17551_(1).pdf</t>
        </is>
      </c>
      <c r="U1496" t="inlineStr">
        <is>
          <t>No</t>
        </is>
      </c>
      <c r="V1496" t="inlineStr">
        <is>
          <t>Bot tarafindan tespit edildi (2026-07-01)</t>
        </is>
      </c>
    </row>
    <row r="1497">
      <c r="A1497" t="inlineStr">
        <is>
          <t>T-1301</t>
        </is>
      </c>
      <c r="B1497" t="inlineStr">
        <is>
          <t>Indraprastha Gas (IGL)</t>
        </is>
      </c>
      <c r="C1497" t="inlineStr">
        <is>
          <t>Indraprastha Gas (IGL)</t>
        </is>
      </c>
      <c r="F1497" t="inlineStr">
        <is>
          <t>New Lead</t>
        </is>
      </c>
      <c r="H1497" t="inlineStr">
        <is>
          <t>CORRIGENDUM_4_.pdf</t>
        </is>
      </c>
      <c r="K1497" t="inlineStr">
        <is>
          <t>Not found</t>
        </is>
      </c>
      <c r="L1497" t="inlineStr">
        <is>
          <t>Unknown</t>
        </is>
      </c>
      <c r="T1497" t="inlineStr">
        <is>
          <t>https://tenders.iglonline.net/uploads/tender/CORRIGENDUM_4_.pdf</t>
        </is>
      </c>
      <c r="U1497" t="inlineStr">
        <is>
          <t>No</t>
        </is>
      </c>
      <c r="V1497" t="inlineStr">
        <is>
          <t>Bot tarafindan tespit edildi (2026-07-01)</t>
        </is>
      </c>
    </row>
    <row r="1498">
      <c r="A1498" t="inlineStr">
        <is>
          <t>T-1302</t>
        </is>
      </c>
      <c r="B1498" t="inlineStr">
        <is>
          <t>Indraprastha Gas (IGL)</t>
        </is>
      </c>
      <c r="C1498" t="inlineStr">
        <is>
          <t>Indraprastha Gas (IGL)</t>
        </is>
      </c>
      <c r="F1498" t="inlineStr">
        <is>
          <t>New Lead</t>
        </is>
      </c>
      <c r="H1498" t="inlineStr">
        <is>
          <t>Notification_Tender_Cancellation.pdf</t>
        </is>
      </c>
      <c r="K1498" t="inlineStr">
        <is>
          <t>Not found</t>
        </is>
      </c>
      <c r="L1498" t="inlineStr">
        <is>
          <t>Unknown</t>
        </is>
      </c>
      <c r="T1498" t="inlineStr">
        <is>
          <t>https://tenders.iglonline.net/uploads/tender/Notification_Tender_Cancellation.pdf</t>
        </is>
      </c>
      <c r="U1498" t="inlineStr">
        <is>
          <t>No</t>
        </is>
      </c>
      <c r="V1498" t="inlineStr">
        <is>
          <t>Bot tarafindan tespit edildi (2026-07-01)</t>
        </is>
      </c>
    </row>
    <row r="1499">
      <c r="A1499" t="inlineStr">
        <is>
          <t>T-1303</t>
        </is>
      </c>
      <c r="B1499" t="inlineStr">
        <is>
          <t>Indraprastha Gas (IGL)</t>
        </is>
      </c>
      <c r="C1499" t="inlineStr">
        <is>
          <t>Indraprastha Gas (IGL)</t>
        </is>
      </c>
      <c r="F1499" t="inlineStr">
        <is>
          <t>New Lead</t>
        </is>
      </c>
      <c r="H1499" t="inlineStr">
        <is>
          <t>View Tender</t>
        </is>
      </c>
      <c r="K1499" t="inlineStr">
        <is>
          <t>Not found</t>
        </is>
      </c>
      <c r="L1499" t="inlineStr">
        <is>
          <t>Unknown</t>
        </is>
      </c>
      <c r="T1499" t="inlineStr">
        <is>
          <t>https://tenders.iglonline.net/tenderDetail/160/Active Tenders And Corrigendum-Addendum</t>
        </is>
      </c>
      <c r="U1499" t="inlineStr">
        <is>
          <t>No</t>
        </is>
      </c>
      <c r="V1499" t="inlineStr">
        <is>
          <t>Bot tarafindan tespit edildi (2026-07-01)</t>
        </is>
      </c>
    </row>
    <row r="1500">
      <c r="A1500" t="inlineStr">
        <is>
          <t>T-1304</t>
        </is>
      </c>
      <c r="B1500" t="inlineStr">
        <is>
          <t>Indraprastha Gas (IGL)</t>
        </is>
      </c>
      <c r="C1500" t="inlineStr">
        <is>
          <t>Indraprastha Gas (IGL)</t>
        </is>
      </c>
      <c r="F1500" t="inlineStr">
        <is>
          <t>New Lead</t>
        </is>
      </c>
      <c r="H1500" t="inlineStr">
        <is>
          <t>CORRIGENDUM_17552.pdf</t>
        </is>
      </c>
      <c r="K1500" t="inlineStr">
        <is>
          <t>Not found</t>
        </is>
      </c>
      <c r="L1500" t="inlineStr">
        <is>
          <t>Unknown</t>
        </is>
      </c>
      <c r="T1500" t="inlineStr">
        <is>
          <t>https://tenders.iglonline.net/uploads/tender/CORRIGENDUM_17552.pdf</t>
        </is>
      </c>
      <c r="U1500" t="inlineStr">
        <is>
          <t>No</t>
        </is>
      </c>
      <c r="V1500" t="inlineStr">
        <is>
          <t>Bot tarafindan tespit edildi (2026-07-01)</t>
        </is>
      </c>
    </row>
    <row r="1501">
      <c r="A1501" t="inlineStr">
        <is>
          <t>T-1305</t>
        </is>
      </c>
      <c r="B1501" t="inlineStr">
        <is>
          <t>Indraprastha Gas (IGL)</t>
        </is>
      </c>
      <c r="C1501" t="inlineStr">
        <is>
          <t>Indraprastha Gas (IGL)</t>
        </is>
      </c>
      <c r="F1501" t="inlineStr">
        <is>
          <t>New Lead</t>
        </is>
      </c>
      <c r="H1501" t="inlineStr">
        <is>
          <t>CORRIGENDUM_2_.pdf</t>
        </is>
      </c>
      <c r="K1501" t="inlineStr">
        <is>
          <t>Not found</t>
        </is>
      </c>
      <c r="L1501" t="inlineStr">
        <is>
          <t>Unknown</t>
        </is>
      </c>
      <c r="T1501" t="inlineStr">
        <is>
          <t>https://tenders.iglonline.net/uploads/tender/CORRIGENDUM_2_.pdf</t>
        </is>
      </c>
      <c r="U1501" t="inlineStr">
        <is>
          <t>No</t>
        </is>
      </c>
      <c r="V1501" t="inlineStr">
        <is>
          <t>Bot tarafindan tespit edildi (2026-07-01)</t>
        </is>
      </c>
    </row>
    <row r="1502">
      <c r="A1502" t="inlineStr">
        <is>
          <t>T-1306</t>
        </is>
      </c>
      <c r="B1502" t="inlineStr">
        <is>
          <t>Indraprastha Gas (IGL)</t>
        </is>
      </c>
      <c r="C1502" t="inlineStr">
        <is>
          <t>Indraprastha Gas (IGL)</t>
        </is>
      </c>
      <c r="F1502" t="inlineStr">
        <is>
          <t>New Lead</t>
        </is>
      </c>
      <c r="H1502" t="inlineStr">
        <is>
          <t>View Tender</t>
        </is>
      </c>
      <c r="K1502" t="inlineStr">
        <is>
          <t>Not found</t>
        </is>
      </c>
      <c r="L1502" t="inlineStr">
        <is>
          <t>Unknown</t>
        </is>
      </c>
      <c r="T1502" t="inlineStr">
        <is>
          <t>https://tenders.iglonline.net/tenderDetail/159/Active Tenders And Corrigendum-Addendum</t>
        </is>
      </c>
      <c r="U1502" t="inlineStr">
        <is>
          <t>No</t>
        </is>
      </c>
      <c r="V1502" t="inlineStr">
        <is>
          <t>Bot tarafindan tespit edildi (2026-07-01)</t>
        </is>
      </c>
    </row>
    <row r="1503">
      <c r="A1503" t="inlineStr">
        <is>
          <t>T-1307</t>
        </is>
      </c>
      <c r="B1503" t="inlineStr">
        <is>
          <t>Indraprastha Gas (IGL)</t>
        </is>
      </c>
      <c r="C1503" t="inlineStr">
        <is>
          <t>Indraprastha Gas (IGL)</t>
        </is>
      </c>
      <c r="F1503" t="inlineStr">
        <is>
          <t>New Lead</t>
        </is>
      </c>
      <c r="H1503" t="inlineStr">
        <is>
          <t>Corrigendum-I_(2).pdf</t>
        </is>
      </c>
      <c r="K1503" t="inlineStr">
        <is>
          <t>Not found</t>
        </is>
      </c>
      <c r="L1503" t="inlineStr">
        <is>
          <t>Unknown</t>
        </is>
      </c>
      <c r="T1503" t="inlineStr">
        <is>
          <t>https://tenders.iglonline.net/uploads/tender/Corrigendum-I_(2).pdf</t>
        </is>
      </c>
      <c r="U1503" t="inlineStr">
        <is>
          <t>No</t>
        </is>
      </c>
      <c r="V1503" t="inlineStr">
        <is>
          <t>Bot tarafindan tespit edildi (2026-07-01)</t>
        </is>
      </c>
    </row>
    <row r="1504">
      <c r="A1504" t="inlineStr">
        <is>
          <t>T-1308</t>
        </is>
      </c>
      <c r="B1504" t="inlineStr">
        <is>
          <t>Indraprastha Gas (IGL)</t>
        </is>
      </c>
      <c r="C1504" t="inlineStr">
        <is>
          <t>Indraprastha Gas (IGL)</t>
        </is>
      </c>
      <c r="F1504" t="inlineStr">
        <is>
          <t>New Lead</t>
        </is>
      </c>
      <c r="H1504" t="inlineStr">
        <is>
          <t>Corrigendum_-_CC17500.pdf</t>
        </is>
      </c>
      <c r="K1504" t="inlineStr">
        <is>
          <t>Not found</t>
        </is>
      </c>
      <c r="L1504" t="inlineStr">
        <is>
          <t>Unknown</t>
        </is>
      </c>
      <c r="T1504" t="inlineStr">
        <is>
          <t>https://tenders.iglonline.net/uploads/tender/Corrigendum_-_CC17500.pdf</t>
        </is>
      </c>
      <c r="U1504" t="inlineStr">
        <is>
          <t>No</t>
        </is>
      </c>
      <c r="V1504" t="inlineStr">
        <is>
          <t>Bot tarafindan tespit edildi (2026-07-01)</t>
        </is>
      </c>
    </row>
    <row r="1505">
      <c r="A1505" t="inlineStr">
        <is>
          <t>T-1309</t>
        </is>
      </c>
      <c r="B1505" t="inlineStr">
        <is>
          <t>Indraprastha Gas (IGL)</t>
        </is>
      </c>
      <c r="C1505" t="inlineStr">
        <is>
          <t>Indraprastha Gas (IGL)</t>
        </is>
      </c>
      <c r="F1505" t="inlineStr">
        <is>
          <t>New Lead</t>
        </is>
      </c>
      <c r="H1505" t="inlineStr">
        <is>
          <t>Corrigendum-III1.pdf</t>
        </is>
      </c>
      <c r="K1505" t="inlineStr">
        <is>
          <t>Not found</t>
        </is>
      </c>
      <c r="L1505" t="inlineStr">
        <is>
          <t>Unknown</t>
        </is>
      </c>
      <c r="T1505" t="inlineStr">
        <is>
          <t>https://tenders.iglonline.net/uploads/tender/Corrigendum-III1.pdf</t>
        </is>
      </c>
      <c r="U1505" t="inlineStr">
        <is>
          <t>No</t>
        </is>
      </c>
      <c r="V1505" t="inlineStr">
        <is>
          <t>Bot tarafindan tespit edildi (2026-07-01)</t>
        </is>
      </c>
    </row>
    <row r="1506">
      <c r="A1506" t="inlineStr">
        <is>
          <t>T-1310</t>
        </is>
      </c>
      <c r="B1506" t="inlineStr">
        <is>
          <t>Indraprastha Gas (IGL)</t>
        </is>
      </c>
      <c r="C1506" t="inlineStr">
        <is>
          <t>Indraprastha Gas (IGL)</t>
        </is>
      </c>
      <c r="F1506" t="inlineStr">
        <is>
          <t>New Lead</t>
        </is>
      </c>
      <c r="H1506" t="inlineStr">
        <is>
          <t>View Tender</t>
        </is>
      </c>
      <c r="K1506" t="inlineStr">
        <is>
          <t>Not found</t>
        </is>
      </c>
      <c r="L1506" t="inlineStr">
        <is>
          <t>Unknown</t>
        </is>
      </c>
      <c r="T1506" t="inlineStr">
        <is>
          <t>https://tenders.iglonline.net/tenderDetail/158/Active Tenders And Corrigendum-Addendum</t>
        </is>
      </c>
      <c r="U1506" t="inlineStr">
        <is>
          <t>No</t>
        </is>
      </c>
      <c r="V1506" t="inlineStr">
        <is>
          <t>Bot tarafindan tespit edildi (2026-07-01)</t>
        </is>
      </c>
    </row>
    <row r="1507">
      <c r="A1507" t="inlineStr">
        <is>
          <t>T-1311</t>
        </is>
      </c>
      <c r="B1507" t="inlineStr">
        <is>
          <t>Indraprastha Gas (IGL)</t>
        </is>
      </c>
      <c r="C1507" t="inlineStr">
        <is>
          <t>Indraprastha Gas (IGL)</t>
        </is>
      </c>
      <c r="F1507" t="inlineStr">
        <is>
          <t>New Lead</t>
        </is>
      </c>
      <c r="H1507" t="inlineStr">
        <is>
          <t>Corrigendum_1_(6).pdf</t>
        </is>
      </c>
      <c r="K1507" t="inlineStr">
        <is>
          <t>Not found</t>
        </is>
      </c>
      <c r="L1507" t="inlineStr">
        <is>
          <t>Unknown</t>
        </is>
      </c>
      <c r="T1507" t="inlineStr">
        <is>
          <t>https://tenders.iglonline.net/uploads/tender/Corrigendum_1_(6).pdf</t>
        </is>
      </c>
      <c r="U1507" t="inlineStr">
        <is>
          <t>No</t>
        </is>
      </c>
      <c r="V1507" t="inlineStr">
        <is>
          <t>Bot tarafindan tespit edildi (2026-07-01)</t>
        </is>
      </c>
    </row>
    <row r="1508">
      <c r="A1508" t="inlineStr">
        <is>
          <t>T-1312</t>
        </is>
      </c>
      <c r="B1508" t="inlineStr">
        <is>
          <t>Indraprastha Gas (IGL)</t>
        </is>
      </c>
      <c r="C1508" t="inlineStr">
        <is>
          <t>Indraprastha Gas (IGL)</t>
        </is>
      </c>
      <c r="F1508" t="inlineStr">
        <is>
          <t>New Lead</t>
        </is>
      </c>
      <c r="H1508" t="inlineStr">
        <is>
          <t>Corrigendum_23.pdf</t>
        </is>
      </c>
      <c r="K1508" t="inlineStr">
        <is>
          <t>Not found</t>
        </is>
      </c>
      <c r="L1508" t="inlineStr">
        <is>
          <t>Unknown</t>
        </is>
      </c>
      <c r="T1508" t="inlineStr">
        <is>
          <t>https://tenders.iglonline.net/uploads/tender/Corrigendum_23.pdf</t>
        </is>
      </c>
      <c r="U1508" t="inlineStr">
        <is>
          <t>No</t>
        </is>
      </c>
      <c r="V1508" t="inlineStr">
        <is>
          <t>Bot tarafindan tespit edildi (2026-07-01)</t>
        </is>
      </c>
    </row>
    <row r="1509">
      <c r="A1509" t="inlineStr">
        <is>
          <t>T-1313</t>
        </is>
      </c>
      <c r="B1509" t="inlineStr">
        <is>
          <t>Indraprastha Gas (IGL)</t>
        </is>
      </c>
      <c r="C1509" t="inlineStr">
        <is>
          <t>Indraprastha Gas (IGL)</t>
        </is>
      </c>
      <c r="F1509" t="inlineStr">
        <is>
          <t>New Lead</t>
        </is>
      </c>
      <c r="H1509" t="inlineStr">
        <is>
          <t>Corrigendum_3_(2).pdf</t>
        </is>
      </c>
      <c r="K1509" t="inlineStr">
        <is>
          <t>Not found</t>
        </is>
      </c>
      <c r="L1509" t="inlineStr">
        <is>
          <t>Unknown</t>
        </is>
      </c>
      <c r="T1509" t="inlineStr">
        <is>
          <t>https://tenders.iglonline.net/uploads/tender/Corrigendum_3_(2).pdf</t>
        </is>
      </c>
      <c r="U1509" t="inlineStr">
        <is>
          <t>No</t>
        </is>
      </c>
      <c r="V1509" t="inlineStr">
        <is>
          <t>Bot tarafindan tespit edildi (2026-07-01)</t>
        </is>
      </c>
    </row>
    <row r="1510">
      <c r="A1510" t="inlineStr">
        <is>
          <t>T-1314</t>
        </is>
      </c>
      <c r="B1510" t="inlineStr">
        <is>
          <t>Indraprastha Gas (IGL)</t>
        </is>
      </c>
      <c r="C1510" t="inlineStr">
        <is>
          <t>Indraprastha Gas (IGL)</t>
        </is>
      </c>
      <c r="F1510" t="inlineStr">
        <is>
          <t>New Lead</t>
        </is>
      </c>
      <c r="H1510" t="inlineStr">
        <is>
          <t>Replies_to_bidders_queries_(1)1.pdf</t>
        </is>
      </c>
      <c r="K1510" t="inlineStr">
        <is>
          <t>Not found</t>
        </is>
      </c>
      <c r="L1510" t="inlineStr">
        <is>
          <t>Unknown</t>
        </is>
      </c>
      <c r="T1510" t="inlineStr">
        <is>
          <t>https://tenders.iglonline.net/uploads/tender/Replies_to_bidders_queries_(1)1.pdf</t>
        </is>
      </c>
      <c r="U1510" t="inlineStr">
        <is>
          <t>No</t>
        </is>
      </c>
      <c r="V1510" t="inlineStr">
        <is>
          <t>Bot tarafindan tespit edildi (2026-07-01)</t>
        </is>
      </c>
    </row>
    <row r="1511">
      <c r="A1511" t="inlineStr">
        <is>
          <t>T-1315</t>
        </is>
      </c>
      <c r="B1511" t="inlineStr">
        <is>
          <t>Indraprastha Gas (IGL)</t>
        </is>
      </c>
      <c r="C1511" t="inlineStr">
        <is>
          <t>Indraprastha Gas (IGL)</t>
        </is>
      </c>
      <c r="F1511" t="inlineStr">
        <is>
          <t>New Lead</t>
        </is>
      </c>
      <c r="H1511" t="inlineStr">
        <is>
          <t>Corrigendum_4_(1).pdf</t>
        </is>
      </c>
      <c r="K1511" t="inlineStr">
        <is>
          <t>Not found</t>
        </is>
      </c>
      <c r="L1511" t="inlineStr">
        <is>
          <t>Unknown</t>
        </is>
      </c>
      <c r="T1511" t="inlineStr">
        <is>
          <t>https://tenders.iglonline.net/uploads/tender/Corrigendum_4_(1).pdf</t>
        </is>
      </c>
      <c r="U1511" t="inlineStr">
        <is>
          <t>No</t>
        </is>
      </c>
      <c r="V1511" t="inlineStr">
        <is>
          <t>Bot tarafindan tespit edildi (2026-07-01)</t>
        </is>
      </c>
    </row>
    <row r="1512">
      <c r="A1512" t="inlineStr">
        <is>
          <t>T-1316</t>
        </is>
      </c>
      <c r="B1512" t="inlineStr">
        <is>
          <t>Indraprastha Gas (IGL)</t>
        </is>
      </c>
      <c r="C1512" t="inlineStr">
        <is>
          <t>Indraprastha Gas (IGL)</t>
        </is>
      </c>
      <c r="F1512" t="inlineStr">
        <is>
          <t>New Lead</t>
        </is>
      </c>
      <c r="H1512" t="inlineStr">
        <is>
          <t>Corrigendum_5.pdf</t>
        </is>
      </c>
      <c r="K1512" t="inlineStr">
        <is>
          <t>Not found</t>
        </is>
      </c>
      <c r="L1512" t="inlineStr">
        <is>
          <t>Unknown</t>
        </is>
      </c>
      <c r="T1512" t="inlineStr">
        <is>
          <t>https://tenders.iglonline.net/uploads/tender/Corrigendum_5.pdf</t>
        </is>
      </c>
      <c r="U1512" t="inlineStr">
        <is>
          <t>No</t>
        </is>
      </c>
      <c r="V1512" t="inlineStr">
        <is>
          <t>Bot tarafindan tespit edildi (2026-07-01)</t>
        </is>
      </c>
    </row>
    <row r="1513">
      <c r="A1513" t="inlineStr">
        <is>
          <t>T-1317</t>
        </is>
      </c>
      <c r="B1513" t="inlineStr">
        <is>
          <t>Indraprastha Gas (IGL)</t>
        </is>
      </c>
      <c r="C1513" t="inlineStr">
        <is>
          <t>Indraprastha Gas (IGL)</t>
        </is>
      </c>
      <c r="F1513" t="inlineStr">
        <is>
          <t>New Lead</t>
        </is>
      </c>
      <c r="H1513" t="inlineStr">
        <is>
          <t>Corrigendum_51.pdf</t>
        </is>
      </c>
      <c r="K1513" t="inlineStr">
        <is>
          <t>Not found</t>
        </is>
      </c>
      <c r="L1513" t="inlineStr">
        <is>
          <t>Unknown</t>
        </is>
      </c>
      <c r="T1513" t="inlineStr">
        <is>
          <t>https://tenders.iglonline.net/uploads/tender/Corrigendum_51.pdf</t>
        </is>
      </c>
      <c r="U1513" t="inlineStr">
        <is>
          <t>No</t>
        </is>
      </c>
      <c r="V1513" t="inlineStr">
        <is>
          <t>Bot tarafindan tespit edildi (2026-07-01)</t>
        </is>
      </c>
    </row>
    <row r="1514">
      <c r="A1514" t="inlineStr">
        <is>
          <t>T-1318</t>
        </is>
      </c>
      <c r="B1514" t="inlineStr">
        <is>
          <t>Indraprastha Gas (IGL)</t>
        </is>
      </c>
      <c r="C1514" t="inlineStr">
        <is>
          <t>Indraprastha Gas (IGL)</t>
        </is>
      </c>
      <c r="F1514" t="inlineStr">
        <is>
          <t>New Lead</t>
        </is>
      </c>
      <c r="H1514" t="inlineStr">
        <is>
          <t>Corrigendum_6.pdf</t>
        </is>
      </c>
      <c r="K1514" t="inlineStr">
        <is>
          <t>Not found</t>
        </is>
      </c>
      <c r="L1514" t="inlineStr">
        <is>
          <t>Unknown</t>
        </is>
      </c>
      <c r="T1514" t="inlineStr">
        <is>
          <t>https://tenders.iglonline.net/uploads/tender/Corrigendum_6.pdf</t>
        </is>
      </c>
      <c r="U1514" t="inlineStr">
        <is>
          <t>No</t>
        </is>
      </c>
      <c r="V1514" t="inlineStr">
        <is>
          <t>Bot tarafindan tespit edildi (2026-07-01)</t>
        </is>
      </c>
    </row>
    <row r="1515">
      <c r="A1515" t="inlineStr">
        <is>
          <t>T-1319</t>
        </is>
      </c>
      <c r="B1515" t="inlineStr">
        <is>
          <t>Indraprastha Gas (IGL)</t>
        </is>
      </c>
      <c r="C1515" t="inlineStr">
        <is>
          <t>Indraprastha Gas (IGL)</t>
        </is>
      </c>
      <c r="F1515" t="inlineStr">
        <is>
          <t>New Lead</t>
        </is>
      </c>
      <c r="H1515" t="inlineStr">
        <is>
          <t>Replies_to_bidders_queries_1_(1).pdf</t>
        </is>
      </c>
      <c r="K1515" t="inlineStr">
        <is>
          <t>Not found</t>
        </is>
      </c>
      <c r="L1515" t="inlineStr">
        <is>
          <t>Unknown</t>
        </is>
      </c>
      <c r="T1515" t="inlineStr">
        <is>
          <t>https://tenders.iglonline.net/uploads/tender/Replies_to_bidders_queries_1_(1).pdf</t>
        </is>
      </c>
      <c r="U1515" t="inlineStr">
        <is>
          <t>No</t>
        </is>
      </c>
      <c r="V1515" t="inlineStr">
        <is>
          <t>Bot tarafindan tespit edildi (2026-07-01)</t>
        </is>
      </c>
    </row>
    <row r="1516">
      <c r="A1516" t="inlineStr">
        <is>
          <t>T-1320</t>
        </is>
      </c>
      <c r="B1516" t="inlineStr">
        <is>
          <t>Indraprastha Gas (IGL)</t>
        </is>
      </c>
      <c r="C1516" t="inlineStr">
        <is>
          <t>Indraprastha Gas (IGL)</t>
        </is>
      </c>
      <c r="F1516" t="inlineStr">
        <is>
          <t>New Lead</t>
        </is>
      </c>
      <c r="H1516" t="inlineStr">
        <is>
          <t>View Tender</t>
        </is>
      </c>
      <c r="K1516" t="inlineStr">
        <is>
          <t>Not found</t>
        </is>
      </c>
      <c r="L1516" t="inlineStr">
        <is>
          <t>Unknown</t>
        </is>
      </c>
      <c r="T1516" t="inlineStr">
        <is>
          <t>https://tenders.iglonline.net/tenderDetail/157/Active Tenders And Corrigendum-Addendum</t>
        </is>
      </c>
      <c r="U1516" t="inlineStr">
        <is>
          <t>No</t>
        </is>
      </c>
      <c r="V1516" t="inlineStr">
        <is>
          <t>Bot tarafindan tespit edildi (2026-07-01)</t>
        </is>
      </c>
    </row>
    <row r="1517">
      <c r="A1517" t="inlineStr">
        <is>
          <t>T-1321</t>
        </is>
      </c>
      <c r="B1517" t="inlineStr">
        <is>
          <t>Indraprastha Gas (IGL)</t>
        </is>
      </c>
      <c r="C1517" t="inlineStr">
        <is>
          <t>Indraprastha Gas (IGL)</t>
        </is>
      </c>
      <c r="F1517" t="inlineStr">
        <is>
          <t>New Lead</t>
        </is>
      </c>
      <c r="H1517" t="inlineStr">
        <is>
          <t>Corrigendum_1_CP17509.pdf</t>
        </is>
      </c>
      <c r="K1517" t="inlineStr">
        <is>
          <t>Not found</t>
        </is>
      </c>
      <c r="L1517" t="inlineStr">
        <is>
          <t>Unknown</t>
        </is>
      </c>
      <c r="T1517" t="inlineStr">
        <is>
          <t>https://tenders.iglonline.net/uploads/tender/Corrigendum_1_CP17509.pdf</t>
        </is>
      </c>
      <c r="U1517" t="inlineStr">
        <is>
          <t>No</t>
        </is>
      </c>
      <c r="V1517" t="inlineStr">
        <is>
          <t>Bot tarafindan tespit edildi (2026-07-01)</t>
        </is>
      </c>
    </row>
    <row r="1518">
      <c r="A1518" t="inlineStr">
        <is>
          <t>T-1322</t>
        </is>
      </c>
      <c r="B1518" t="inlineStr">
        <is>
          <t>Indraprastha Gas (IGL)</t>
        </is>
      </c>
      <c r="C1518" t="inlineStr">
        <is>
          <t>Indraprastha Gas (IGL)</t>
        </is>
      </c>
      <c r="F1518" t="inlineStr">
        <is>
          <t>New Lead</t>
        </is>
      </c>
      <c r="H1518" t="inlineStr">
        <is>
          <t>View Tender</t>
        </is>
      </c>
      <c r="K1518" t="inlineStr">
        <is>
          <t>Not found</t>
        </is>
      </c>
      <c r="L1518" t="inlineStr">
        <is>
          <t>Unknown</t>
        </is>
      </c>
      <c r="T1518" t="inlineStr">
        <is>
          <t>https://tenders.iglonline.net/tenderDetail/156/Active Tenders And Corrigendum-Addendum</t>
        </is>
      </c>
      <c r="U1518" t="inlineStr">
        <is>
          <t>No</t>
        </is>
      </c>
      <c r="V1518" t="inlineStr">
        <is>
          <t>Bot tarafindan tespit edildi (2026-07-01)</t>
        </is>
      </c>
    </row>
    <row r="1519">
      <c r="A1519" t="inlineStr">
        <is>
          <t>T-1323</t>
        </is>
      </c>
      <c r="B1519" t="inlineStr">
        <is>
          <t>Indraprastha Gas (IGL)</t>
        </is>
      </c>
      <c r="C1519" t="inlineStr">
        <is>
          <t>Indraprastha Gas (IGL)</t>
        </is>
      </c>
      <c r="F1519" t="inlineStr">
        <is>
          <t>New Lead</t>
        </is>
      </c>
      <c r="H1519" t="inlineStr">
        <is>
          <t>Corrigendum-I_CC17519_Karnal.pdf</t>
        </is>
      </c>
      <c r="K1519" t="inlineStr">
        <is>
          <t>Not found</t>
        </is>
      </c>
      <c r="L1519" t="inlineStr">
        <is>
          <t>Unknown</t>
        </is>
      </c>
      <c r="T1519" t="inlineStr">
        <is>
          <t>https://tenders.iglonline.net/uploads/tender/Corrigendum-I_CC17519_Karnal.pdf</t>
        </is>
      </c>
      <c r="U1519" t="inlineStr">
        <is>
          <t>No</t>
        </is>
      </c>
      <c r="V1519" t="inlineStr">
        <is>
          <t>Bot tarafindan tespit edildi (2026-07-01)</t>
        </is>
      </c>
    </row>
    <row r="1520">
      <c r="A1520" t="inlineStr">
        <is>
          <t>T-1324</t>
        </is>
      </c>
      <c r="B1520" t="inlineStr">
        <is>
          <t>Indraprastha Gas (IGL)</t>
        </is>
      </c>
      <c r="C1520" t="inlineStr">
        <is>
          <t>Indraprastha Gas (IGL)</t>
        </is>
      </c>
      <c r="F1520" t="inlineStr">
        <is>
          <t>New Lead</t>
        </is>
      </c>
      <c r="H1520" t="inlineStr">
        <is>
          <t>Corrigendum-II_CC17519.pdf</t>
        </is>
      </c>
      <c r="K1520" t="inlineStr">
        <is>
          <t>Not found</t>
        </is>
      </c>
      <c r="L1520" t="inlineStr">
        <is>
          <t>Unknown</t>
        </is>
      </c>
      <c r="T1520" t="inlineStr">
        <is>
          <t>https://tenders.iglonline.net/uploads/tender/Corrigendum-II_CC17519.pdf</t>
        </is>
      </c>
      <c r="U1520" t="inlineStr">
        <is>
          <t>No</t>
        </is>
      </c>
      <c r="V1520" t="inlineStr">
        <is>
          <t>Bot tarafindan tespit edildi (2026-07-01)</t>
        </is>
      </c>
    </row>
    <row r="1521">
      <c r="A1521" t="inlineStr">
        <is>
          <t>T-1325</t>
        </is>
      </c>
      <c r="B1521" t="inlineStr">
        <is>
          <t>Indraprastha Gas (IGL)</t>
        </is>
      </c>
      <c r="C1521" t="inlineStr">
        <is>
          <t>Indraprastha Gas (IGL)</t>
        </is>
      </c>
      <c r="F1521" t="inlineStr">
        <is>
          <t>New Lead</t>
        </is>
      </c>
      <c r="H1521" t="inlineStr">
        <is>
          <t>View Tender</t>
        </is>
      </c>
      <c r="K1521" t="inlineStr">
        <is>
          <t>Not found</t>
        </is>
      </c>
      <c r="L1521" t="inlineStr">
        <is>
          <t>Unknown</t>
        </is>
      </c>
      <c r="T1521" t="inlineStr">
        <is>
          <t>https://tenders.iglonline.net/tenderDetail/155/Active Tenders And Corrigendum-Addendum</t>
        </is>
      </c>
      <c r="U1521" t="inlineStr">
        <is>
          <t>No</t>
        </is>
      </c>
      <c r="V1521" t="inlineStr">
        <is>
          <t>Bot tarafindan tespit edildi (2026-07-01)</t>
        </is>
      </c>
    </row>
    <row r="1522">
      <c r="A1522" t="inlineStr">
        <is>
          <t>T-1326</t>
        </is>
      </c>
      <c r="B1522" t="inlineStr">
        <is>
          <t>Indraprastha Gas (IGL)</t>
        </is>
      </c>
      <c r="C1522" t="inlineStr">
        <is>
          <t>Indraprastha Gas (IGL)</t>
        </is>
      </c>
      <c r="F1522" t="inlineStr">
        <is>
          <t>New Lead</t>
        </is>
      </c>
      <c r="H1522" t="inlineStr">
        <is>
          <t>Reply_to_bidder_query_mobile_AMC_tender_query.pdf</t>
        </is>
      </c>
      <c r="K1522" t="inlineStr">
        <is>
          <t>Not found</t>
        </is>
      </c>
      <c r="L1522" t="inlineStr">
        <is>
          <t>Unknown</t>
        </is>
      </c>
      <c r="T1522" t="inlineStr">
        <is>
          <t>https://tenders.iglonline.net/uploads/tender/Reply_to_bidder_query_mobile_AMC_tender_query.pdf</t>
        </is>
      </c>
      <c r="U1522" t="inlineStr">
        <is>
          <t>No</t>
        </is>
      </c>
      <c r="V1522" t="inlineStr">
        <is>
          <t>Bot tarafindan tespit edildi (2026-07-01)</t>
        </is>
      </c>
    </row>
    <row r="1523">
      <c r="A1523" t="inlineStr">
        <is>
          <t>T-1327</t>
        </is>
      </c>
      <c r="B1523" t="inlineStr">
        <is>
          <t>Indraprastha Gas (IGL)</t>
        </is>
      </c>
      <c r="C1523" t="inlineStr">
        <is>
          <t>Indraprastha Gas (IGL)</t>
        </is>
      </c>
      <c r="F1523" t="inlineStr">
        <is>
          <t>New Lead</t>
        </is>
      </c>
      <c r="H1523" t="inlineStr">
        <is>
          <t>CORRIGENDUM_17526.pdf</t>
        </is>
      </c>
      <c r="K1523" t="inlineStr">
        <is>
          <t>Not found</t>
        </is>
      </c>
      <c r="L1523" t="inlineStr">
        <is>
          <t>Unknown</t>
        </is>
      </c>
      <c r="T1523" t="inlineStr">
        <is>
          <t>https://tenders.iglonline.net/uploads/tender/CORRIGENDUM_17526.pdf</t>
        </is>
      </c>
      <c r="U1523" t="inlineStr">
        <is>
          <t>No</t>
        </is>
      </c>
      <c r="V1523" t="inlineStr">
        <is>
          <t>Bot tarafindan tespit edildi (2026-07-01)</t>
        </is>
      </c>
    </row>
    <row r="1524">
      <c r="A1524" t="inlineStr">
        <is>
          <t>T-1328</t>
        </is>
      </c>
      <c r="B1524" t="inlineStr">
        <is>
          <t>Indraprastha Gas (IGL)</t>
        </is>
      </c>
      <c r="C1524" t="inlineStr">
        <is>
          <t>Indraprastha Gas (IGL)</t>
        </is>
      </c>
      <c r="F1524" t="inlineStr">
        <is>
          <t>New Lead</t>
        </is>
      </c>
      <c r="H1524" t="inlineStr">
        <is>
          <t>CORRIGENDUM_3__.pdf</t>
        </is>
      </c>
      <c r="K1524" t="inlineStr">
        <is>
          <t>Not found</t>
        </is>
      </c>
      <c r="L1524" t="inlineStr">
        <is>
          <t>Unknown</t>
        </is>
      </c>
      <c r="T1524" t="inlineStr">
        <is>
          <t>https://tenders.iglonline.net/uploads/tender/CORRIGENDUM_3__.pdf</t>
        </is>
      </c>
      <c r="U1524" t="inlineStr">
        <is>
          <t>No</t>
        </is>
      </c>
      <c r="V1524" t="inlineStr">
        <is>
          <t>Bot tarafindan tespit edildi (2026-07-01)</t>
        </is>
      </c>
    </row>
    <row r="1525">
      <c r="A1525" t="inlineStr">
        <is>
          <t>T-1329</t>
        </is>
      </c>
      <c r="B1525" t="inlineStr">
        <is>
          <t>Indraprastha Gas (IGL)</t>
        </is>
      </c>
      <c r="C1525" t="inlineStr">
        <is>
          <t>Indraprastha Gas (IGL)</t>
        </is>
      </c>
      <c r="F1525" t="inlineStr">
        <is>
          <t>New Lead</t>
        </is>
      </c>
      <c r="H1525" t="inlineStr">
        <is>
          <t>View Tender</t>
        </is>
      </c>
      <c r="K1525" t="inlineStr">
        <is>
          <t>Not found</t>
        </is>
      </c>
      <c r="L1525" t="inlineStr">
        <is>
          <t>Unknown</t>
        </is>
      </c>
      <c r="T1525" t="inlineStr">
        <is>
          <t>https://tenders.iglonline.net/tenderDetail/154/Active Tenders And Corrigendum-Addendum</t>
        </is>
      </c>
      <c r="U1525" t="inlineStr">
        <is>
          <t>No</t>
        </is>
      </c>
      <c r="V1525" t="inlineStr">
        <is>
          <t>Bot tarafindan tespit edildi (2026-07-01)</t>
        </is>
      </c>
    </row>
    <row r="1526">
      <c r="A1526" t="inlineStr">
        <is>
          <t>T-1330</t>
        </is>
      </c>
      <c r="B1526" t="inlineStr">
        <is>
          <t>Indraprastha Gas (IGL)</t>
        </is>
      </c>
      <c r="C1526" t="inlineStr">
        <is>
          <t>Indraprastha Gas (IGL)</t>
        </is>
      </c>
      <c r="F1526" t="inlineStr">
        <is>
          <t>New Lead</t>
        </is>
      </c>
      <c r="H1526" t="inlineStr">
        <is>
          <t>Corrigendum_CC17491.pdf</t>
        </is>
      </c>
      <c r="K1526" t="inlineStr">
        <is>
          <t>Not found</t>
        </is>
      </c>
      <c r="L1526" t="inlineStr">
        <is>
          <t>Unknown</t>
        </is>
      </c>
      <c r="T1526" t="inlineStr">
        <is>
          <t>https://tenders.iglonline.net/uploads/tender/Corrigendum_CC17491.pdf</t>
        </is>
      </c>
      <c r="U1526" t="inlineStr">
        <is>
          <t>No</t>
        </is>
      </c>
      <c r="V1526" t="inlineStr">
        <is>
          <t>Bot tarafindan tespit edildi (2026-07-01)</t>
        </is>
      </c>
    </row>
    <row r="1527">
      <c r="A1527" t="inlineStr">
        <is>
          <t>T-1331</t>
        </is>
      </c>
      <c r="B1527" t="inlineStr">
        <is>
          <t>Indraprastha Gas (IGL)</t>
        </is>
      </c>
      <c r="C1527" t="inlineStr">
        <is>
          <t>Indraprastha Gas (IGL)</t>
        </is>
      </c>
      <c r="F1527" t="inlineStr">
        <is>
          <t>New Lead</t>
        </is>
      </c>
      <c r="H1527" t="inlineStr">
        <is>
          <t>Corrigendum_II_(2).pdf</t>
        </is>
      </c>
      <c r="K1527" t="inlineStr">
        <is>
          <t>Not found</t>
        </is>
      </c>
      <c r="L1527" t="inlineStr">
        <is>
          <t>Unknown</t>
        </is>
      </c>
      <c r="T1527" t="inlineStr">
        <is>
          <t>https://tenders.iglonline.net/uploads/tender/Corrigendum_II_(2).pdf</t>
        </is>
      </c>
      <c r="U1527" t="inlineStr">
        <is>
          <t>No</t>
        </is>
      </c>
      <c r="V1527" t="inlineStr">
        <is>
          <t>Bot tarafindan tespit edildi (2026-07-01)</t>
        </is>
      </c>
    </row>
    <row r="1528">
      <c r="A1528" t="inlineStr">
        <is>
          <t>T-1332</t>
        </is>
      </c>
      <c r="B1528" t="inlineStr">
        <is>
          <t>Indraprastha Gas (IGL)</t>
        </is>
      </c>
      <c r="C1528" t="inlineStr">
        <is>
          <t>Indraprastha Gas (IGL)</t>
        </is>
      </c>
      <c r="D1528" t="inlineStr">
        <is>
          <t>TIFICATION_tender_cancellation.pdf</t>
        </is>
      </c>
      <c r="F1528" t="inlineStr">
        <is>
          <t>New Lead</t>
        </is>
      </c>
      <c r="G1528" t="inlineStr">
        <is>
          <t>Gas-related / review</t>
        </is>
      </c>
      <c r="H1528" t="inlineStr">
        <is>
          <t>View Tender</t>
        </is>
      </c>
      <c r="K1528" t="inlineStr">
        <is>
          <t>Not found</t>
        </is>
      </c>
      <c r="L1528" t="inlineStr">
        <is>
          <t>Unknown</t>
        </is>
      </c>
      <c r="T1528" t="inlineStr">
        <is>
          <t>https://tenders.iglonline.net/tenderDetail/153/Active Tenders And Corrigendum-Addendum</t>
        </is>
      </c>
      <c r="U1528" t="inlineStr">
        <is>
          <t>No</t>
        </is>
      </c>
      <c r="V1528" t="inlineStr">
        <is>
          <t>Bot tarafindan tespit edildi (2026-07-01); Bot tespit/zenginlestirme (2026-07-01); meta:score=50;priority=Medium;source_type=html_table;closing_date=;equipment=Gas-related / review;reasons=equipment:Gas-related / review,document source,tender reference signal</t>
        </is>
      </c>
    </row>
    <row r="1529">
      <c r="A1529" t="inlineStr">
        <is>
          <t>T-1333</t>
        </is>
      </c>
      <c r="B1529" t="inlineStr">
        <is>
          <t>Indraprastha Gas (IGL)</t>
        </is>
      </c>
      <c r="C1529" t="inlineStr">
        <is>
          <t>Indraprastha Gas (IGL)</t>
        </is>
      </c>
      <c r="D1529" t="inlineStr">
        <is>
          <t>TIFICATION_tender_cancellation.pdf</t>
        </is>
      </c>
      <c r="F1529" t="inlineStr">
        <is>
          <t>New Lead</t>
        </is>
      </c>
      <c r="G1529" t="inlineStr">
        <is>
          <t>Gas-related / review</t>
        </is>
      </c>
      <c r="H1529" t="inlineStr">
        <is>
          <t>NOTIFICATION_tender_cancellation.pdf</t>
        </is>
      </c>
      <c r="K1529" t="inlineStr">
        <is>
          <t>Not found</t>
        </is>
      </c>
      <c r="L1529" t="inlineStr">
        <is>
          <t>Unknown</t>
        </is>
      </c>
      <c r="T1529" t="inlineStr">
        <is>
          <t>https://tenders.iglonline.net/uploads/tender/NOTIFICATION_tender_cancellation.pdf</t>
        </is>
      </c>
      <c r="U1529" t="inlineStr">
        <is>
          <t>No</t>
        </is>
      </c>
      <c r="V1529" t="inlineStr">
        <is>
          <t>Bot tarafindan tespit edildi (2026-07-01); Bot tespit/zenginlestirme (2026-07-01); meta:score=50;priority=Medium;source_type=html_table;closing_date=;equipment=Gas-related / review;reasons=equipment:Gas-related / review,document source,tender reference signal</t>
        </is>
      </c>
    </row>
    <row r="1530">
      <c r="A1530" t="inlineStr">
        <is>
          <t>T-1334</t>
        </is>
      </c>
      <c r="B1530" t="inlineStr">
        <is>
          <t>Indraprastha Gas (IGL)</t>
        </is>
      </c>
      <c r="C1530" t="inlineStr">
        <is>
          <t>Indraprastha Gas (IGL)</t>
        </is>
      </c>
      <c r="F1530" t="inlineStr">
        <is>
          <t>New Lead</t>
        </is>
      </c>
      <c r="H1530" t="inlineStr">
        <is>
          <t>View Tender</t>
        </is>
      </c>
      <c r="K1530" t="inlineStr">
        <is>
          <t>Not found</t>
        </is>
      </c>
      <c r="L1530" t="inlineStr">
        <is>
          <t>Unknown</t>
        </is>
      </c>
      <c r="T1530" t="inlineStr">
        <is>
          <t>https://tenders.iglonline.net/tenderDetail/152/Active Tenders And Corrigendum-Addendum</t>
        </is>
      </c>
      <c r="U1530" t="inlineStr">
        <is>
          <t>No</t>
        </is>
      </c>
      <c r="V1530" t="inlineStr">
        <is>
          <t>Bot tarafindan tespit edildi (2026-07-01)</t>
        </is>
      </c>
    </row>
    <row r="1531">
      <c r="A1531" t="inlineStr">
        <is>
          <t>T-1335</t>
        </is>
      </c>
      <c r="B1531" t="inlineStr">
        <is>
          <t>Indraprastha Gas (IGL)</t>
        </is>
      </c>
      <c r="C1531" t="inlineStr">
        <is>
          <t>Indraprastha Gas (IGL)</t>
        </is>
      </c>
      <c r="F1531" t="inlineStr">
        <is>
          <t>New Lead</t>
        </is>
      </c>
      <c r="H1531" t="inlineStr">
        <is>
          <t>View Tender</t>
        </is>
      </c>
      <c r="K1531" t="inlineStr">
        <is>
          <t>Not found</t>
        </is>
      </c>
      <c r="L1531" t="inlineStr">
        <is>
          <t>Unknown</t>
        </is>
      </c>
      <c r="T1531" t="inlineStr">
        <is>
          <t>https://tenders.iglonline.net/tenderDetail/151/Active Tenders And Corrigendum-Addendum</t>
        </is>
      </c>
      <c r="U1531" t="inlineStr">
        <is>
          <t>No</t>
        </is>
      </c>
      <c r="V1531" t="inlineStr">
        <is>
          <t>Bot tarafindan tespit edildi (2026-07-01)</t>
        </is>
      </c>
    </row>
    <row r="1532">
      <c r="A1532" t="inlineStr">
        <is>
          <t>T-1336</t>
        </is>
      </c>
      <c r="B1532" t="inlineStr">
        <is>
          <t>Indraprastha Gas (IGL)</t>
        </is>
      </c>
      <c r="C1532" t="inlineStr">
        <is>
          <t>Indraprastha Gas (IGL)</t>
        </is>
      </c>
      <c r="F1532" t="inlineStr">
        <is>
          <t>New Lead</t>
        </is>
      </c>
      <c r="H1532" t="inlineStr">
        <is>
          <t>Corrigendum-I_CC17524_High_Mast.pdf</t>
        </is>
      </c>
      <c r="K1532" t="inlineStr">
        <is>
          <t>Not found</t>
        </is>
      </c>
      <c r="L1532" t="inlineStr">
        <is>
          <t>Unknown</t>
        </is>
      </c>
      <c r="T1532" t="inlineStr">
        <is>
          <t>https://tenders.iglonline.net/uploads/tender/Corrigendum-I_CC17524_High_Mast.pdf</t>
        </is>
      </c>
      <c r="U1532" t="inlineStr">
        <is>
          <t>No</t>
        </is>
      </c>
      <c r="V1532" t="inlineStr">
        <is>
          <t>Bot tarafindan tespit edildi (2026-07-01)</t>
        </is>
      </c>
    </row>
    <row r="1533">
      <c r="A1533" t="inlineStr">
        <is>
          <t>T-1337</t>
        </is>
      </c>
      <c r="B1533" t="inlineStr">
        <is>
          <t>Indraprastha Gas (IGL)</t>
        </is>
      </c>
      <c r="C1533" t="inlineStr">
        <is>
          <t>Indraprastha Gas (IGL)</t>
        </is>
      </c>
      <c r="F1533" t="inlineStr">
        <is>
          <t>New Lead</t>
        </is>
      </c>
      <c r="H1533" t="inlineStr">
        <is>
          <t>RTBQ_CC17524_High_Mast_Tower.pdf</t>
        </is>
      </c>
      <c r="K1533" t="inlineStr">
        <is>
          <t>Not found</t>
        </is>
      </c>
      <c r="L1533" t="inlineStr">
        <is>
          <t>Unknown</t>
        </is>
      </c>
      <c r="T1533" t="inlineStr">
        <is>
          <t>https://tenders.iglonline.net/uploads/tender/RTBQ_CC17524_High_Mast_Tower.pdf</t>
        </is>
      </c>
      <c r="U1533" t="inlineStr">
        <is>
          <t>No</t>
        </is>
      </c>
      <c r="V1533" t="inlineStr">
        <is>
          <t>Bot tarafindan tespit edildi (2026-07-01)</t>
        </is>
      </c>
    </row>
    <row r="1534">
      <c r="A1534" t="inlineStr">
        <is>
          <t>T-1338</t>
        </is>
      </c>
      <c r="B1534" t="inlineStr">
        <is>
          <t>Indraprastha Gas (IGL)</t>
        </is>
      </c>
      <c r="C1534" t="inlineStr">
        <is>
          <t>Indraprastha Gas (IGL)</t>
        </is>
      </c>
      <c r="F1534" t="inlineStr">
        <is>
          <t>New Lead</t>
        </is>
      </c>
      <c r="H1534" t="inlineStr">
        <is>
          <t>Corrigendum-II_CC17524.pdf</t>
        </is>
      </c>
      <c r="K1534" t="inlineStr">
        <is>
          <t>Not found</t>
        </is>
      </c>
      <c r="L1534" t="inlineStr">
        <is>
          <t>Unknown</t>
        </is>
      </c>
      <c r="T1534" t="inlineStr">
        <is>
          <t>https://tenders.iglonline.net/uploads/tender/Corrigendum-II_CC17524.pdf</t>
        </is>
      </c>
      <c r="U1534" t="inlineStr">
        <is>
          <t>No</t>
        </is>
      </c>
      <c r="V1534" t="inlineStr">
        <is>
          <t>Bot tarafindan tespit edildi (2026-07-01)</t>
        </is>
      </c>
    </row>
    <row r="1535">
      <c r="A1535" t="inlineStr">
        <is>
          <t>T-1339</t>
        </is>
      </c>
      <c r="B1535" t="inlineStr">
        <is>
          <t>Indraprastha Gas (IGL)</t>
        </is>
      </c>
      <c r="C1535" t="inlineStr">
        <is>
          <t>Indraprastha Gas (IGL)</t>
        </is>
      </c>
      <c r="F1535" t="inlineStr">
        <is>
          <t>New Lead</t>
        </is>
      </c>
      <c r="H1535" t="inlineStr">
        <is>
          <t>View Tender</t>
        </is>
      </c>
      <c r="K1535" t="inlineStr">
        <is>
          <t>Not found</t>
        </is>
      </c>
      <c r="L1535" t="inlineStr">
        <is>
          <t>Unknown</t>
        </is>
      </c>
      <c r="T1535" t="inlineStr">
        <is>
          <t>https://tenders.iglonline.net/tenderDetail/150/Active Tenders And Corrigendum-Addendum</t>
        </is>
      </c>
      <c r="U1535" t="inlineStr">
        <is>
          <t>No</t>
        </is>
      </c>
      <c r="V1535" t="inlineStr">
        <is>
          <t>Bot tarafindan tespit edildi (2026-07-01)</t>
        </is>
      </c>
    </row>
    <row r="1536">
      <c r="A1536" t="inlineStr">
        <is>
          <t>T-1340</t>
        </is>
      </c>
      <c r="B1536" t="inlineStr">
        <is>
          <t>Indraprastha Gas (IGL)</t>
        </is>
      </c>
      <c r="C1536" t="inlineStr">
        <is>
          <t>Indraprastha Gas (IGL)</t>
        </is>
      </c>
      <c r="F1536" t="inlineStr">
        <is>
          <t>New Lead</t>
        </is>
      </c>
      <c r="H1536" t="inlineStr">
        <is>
          <t>Corrigendum_I_Cancellation_of_tender.pdf</t>
        </is>
      </c>
      <c r="K1536" t="inlineStr">
        <is>
          <t>Not found</t>
        </is>
      </c>
      <c r="L1536" t="inlineStr">
        <is>
          <t>Unknown</t>
        </is>
      </c>
      <c r="T1536" t="inlineStr">
        <is>
          <t>https://tenders.iglonline.net/uploads/tender/Corrigendum_I_Cancellation_of_tender.pdf</t>
        </is>
      </c>
      <c r="U1536" t="inlineStr">
        <is>
          <t>No</t>
        </is>
      </c>
      <c r="V1536" t="inlineStr">
        <is>
          <t>Bot tarafindan tespit edildi (2026-07-01)</t>
        </is>
      </c>
    </row>
    <row r="1537">
      <c r="A1537" t="inlineStr">
        <is>
          <t>T-1341</t>
        </is>
      </c>
      <c r="B1537" t="inlineStr">
        <is>
          <t>Indraprastha Gas (IGL)</t>
        </is>
      </c>
      <c r="C1537" t="inlineStr">
        <is>
          <t>Indraprastha Gas (IGL)</t>
        </is>
      </c>
      <c r="F1537" t="inlineStr">
        <is>
          <t>New Lead</t>
        </is>
      </c>
      <c r="H1537" t="inlineStr">
        <is>
          <t>View Tender</t>
        </is>
      </c>
      <c r="K1537" t="inlineStr">
        <is>
          <t>Not found</t>
        </is>
      </c>
      <c r="L1537" t="inlineStr">
        <is>
          <t>Unknown</t>
        </is>
      </c>
      <c r="T1537" t="inlineStr">
        <is>
          <t>https://tenders.iglonline.net/tenderDetail/149/Active Tenders And Corrigendum-Addendum</t>
        </is>
      </c>
      <c r="U1537" t="inlineStr">
        <is>
          <t>No</t>
        </is>
      </c>
      <c r="V1537" t="inlineStr">
        <is>
          <t>Bot tarafindan tespit edildi (2026-07-01)</t>
        </is>
      </c>
    </row>
    <row r="1538">
      <c r="A1538" t="inlineStr">
        <is>
          <t>T-1342</t>
        </is>
      </c>
      <c r="B1538" t="inlineStr">
        <is>
          <t>Indraprastha Gas (IGL)</t>
        </is>
      </c>
      <c r="C1538" t="inlineStr">
        <is>
          <t>Indraprastha Gas (IGL)</t>
        </is>
      </c>
      <c r="F1538" t="inlineStr">
        <is>
          <t>New Lead</t>
        </is>
      </c>
      <c r="H1538" t="inlineStr">
        <is>
          <t>CORRIGENDUM_11.pdf</t>
        </is>
      </c>
      <c r="K1538" t="inlineStr">
        <is>
          <t>Not found</t>
        </is>
      </c>
      <c r="L1538" t="inlineStr">
        <is>
          <t>Unknown</t>
        </is>
      </c>
      <c r="T1538" t="inlineStr">
        <is>
          <t>https://tenders.iglonline.net/uploads/tender/CORRIGENDUM_11.pdf</t>
        </is>
      </c>
      <c r="U1538" t="inlineStr">
        <is>
          <t>No</t>
        </is>
      </c>
      <c r="V1538" t="inlineStr">
        <is>
          <t>Bot tarafindan tespit edildi (2026-07-01)</t>
        </is>
      </c>
    </row>
    <row r="1539">
      <c r="A1539" t="inlineStr">
        <is>
          <t>T-1343</t>
        </is>
      </c>
      <c r="B1539" t="inlineStr">
        <is>
          <t>Indraprastha Gas (IGL)</t>
        </is>
      </c>
      <c r="C1539" t="inlineStr">
        <is>
          <t>Indraprastha Gas (IGL)</t>
        </is>
      </c>
      <c r="F1539" t="inlineStr">
        <is>
          <t>New Lead</t>
        </is>
      </c>
      <c r="H1539" t="inlineStr">
        <is>
          <t>View Tender</t>
        </is>
      </c>
      <c r="K1539" t="inlineStr">
        <is>
          <t>Not found</t>
        </is>
      </c>
      <c r="L1539" t="inlineStr">
        <is>
          <t>Unknown</t>
        </is>
      </c>
      <c r="T1539" t="inlineStr">
        <is>
          <t>https://tenders.iglonline.net/tenderDetail/148/Active Tenders And Corrigendum-Addendum</t>
        </is>
      </c>
      <c r="U1539" t="inlineStr">
        <is>
          <t>No</t>
        </is>
      </c>
      <c r="V1539" t="inlineStr">
        <is>
          <t>Bot tarafindan tespit edildi (2026-07-01)</t>
        </is>
      </c>
    </row>
    <row r="1540">
      <c r="A1540" t="inlineStr">
        <is>
          <t>T-1344</t>
        </is>
      </c>
      <c r="B1540" t="inlineStr">
        <is>
          <t>Indraprastha Gas (IGL)</t>
        </is>
      </c>
      <c r="C1540" t="inlineStr">
        <is>
          <t>Indraprastha Gas (IGL)</t>
        </is>
      </c>
      <c r="F1540" t="inlineStr">
        <is>
          <t>New Lead</t>
        </is>
      </c>
      <c r="H1540" t="inlineStr">
        <is>
          <t>Drawings.pdf</t>
        </is>
      </c>
      <c r="K1540" t="inlineStr">
        <is>
          <t>Not found</t>
        </is>
      </c>
      <c r="L1540" t="inlineStr">
        <is>
          <t>Unknown</t>
        </is>
      </c>
      <c r="T1540" t="inlineStr">
        <is>
          <t>https://tenders.iglonline.net/uploads/tender/Drawings.pdf</t>
        </is>
      </c>
      <c r="U1540" t="inlineStr">
        <is>
          <t>No</t>
        </is>
      </c>
      <c r="V1540" t="inlineStr">
        <is>
          <t>Bot tarafindan tespit edildi (2026-07-01)</t>
        </is>
      </c>
    </row>
    <row r="1541">
      <c r="A1541" t="inlineStr">
        <is>
          <t>T-1345</t>
        </is>
      </c>
      <c r="B1541" t="inlineStr">
        <is>
          <t>Indraprastha Gas (IGL)</t>
        </is>
      </c>
      <c r="C1541" t="inlineStr">
        <is>
          <t>Indraprastha Gas (IGL)</t>
        </is>
      </c>
      <c r="F1541" t="inlineStr">
        <is>
          <t>New Lead</t>
        </is>
      </c>
      <c r="H1541" t="inlineStr">
        <is>
          <t>Corrigendum-I1.pdf</t>
        </is>
      </c>
      <c r="K1541" t="inlineStr">
        <is>
          <t>Not found</t>
        </is>
      </c>
      <c r="L1541" t="inlineStr">
        <is>
          <t>Unknown</t>
        </is>
      </c>
      <c r="T1541" t="inlineStr">
        <is>
          <t>https://tenders.iglonline.net/uploads/tender/Corrigendum-I1.pdf</t>
        </is>
      </c>
      <c r="U1541" t="inlineStr">
        <is>
          <t>No</t>
        </is>
      </c>
      <c r="V1541" t="inlineStr">
        <is>
          <t>Bot tarafindan tespit edildi (2026-07-01)</t>
        </is>
      </c>
    </row>
    <row r="1542">
      <c r="A1542" t="inlineStr">
        <is>
          <t>T-1346</t>
        </is>
      </c>
      <c r="B1542" t="inlineStr">
        <is>
          <t>Indraprastha Gas (IGL)</t>
        </is>
      </c>
      <c r="C1542" t="inlineStr">
        <is>
          <t>Indraprastha Gas (IGL)</t>
        </is>
      </c>
      <c r="F1542" t="inlineStr">
        <is>
          <t>New Lead</t>
        </is>
      </c>
      <c r="H1542" t="inlineStr">
        <is>
          <t>View Tender</t>
        </is>
      </c>
      <c r="K1542" t="inlineStr">
        <is>
          <t>Not found</t>
        </is>
      </c>
      <c r="L1542" t="inlineStr">
        <is>
          <t>Unknown</t>
        </is>
      </c>
      <c r="T1542" t="inlineStr">
        <is>
          <t>https://tenders.iglonline.net/tenderDetail/147/Active Tenders And Corrigendum-Addendum</t>
        </is>
      </c>
      <c r="U1542" t="inlineStr">
        <is>
          <t>No</t>
        </is>
      </c>
      <c r="V1542" t="inlineStr">
        <is>
          <t>Bot tarafindan tespit edildi (2026-07-01)</t>
        </is>
      </c>
    </row>
    <row r="1543">
      <c r="A1543" t="inlineStr">
        <is>
          <t>T-1347</t>
        </is>
      </c>
      <c r="B1543" t="inlineStr">
        <is>
          <t>Indraprastha Gas (IGL)</t>
        </is>
      </c>
      <c r="C1543" t="inlineStr">
        <is>
          <t>Indraprastha Gas (IGL)</t>
        </is>
      </c>
      <c r="F1543" t="inlineStr">
        <is>
          <t>New Lead</t>
        </is>
      </c>
      <c r="H1543" t="inlineStr">
        <is>
          <t>CORRIGENDUM_1.pdf</t>
        </is>
      </c>
      <c r="K1543" t="inlineStr">
        <is>
          <t>Not found</t>
        </is>
      </c>
      <c r="L1543" t="inlineStr">
        <is>
          <t>Unknown</t>
        </is>
      </c>
      <c r="T1543" t="inlineStr">
        <is>
          <t>https://tenders.iglonline.net/uploads/tender/CORRIGENDUM_1.pdf</t>
        </is>
      </c>
      <c r="U1543" t="inlineStr">
        <is>
          <t>No</t>
        </is>
      </c>
      <c r="V1543" t="inlineStr">
        <is>
          <t>Bot tarafindan tespit edildi (2026-07-01)</t>
        </is>
      </c>
    </row>
    <row r="1544">
      <c r="A1544" t="inlineStr">
        <is>
          <t>T-1348</t>
        </is>
      </c>
      <c r="B1544" t="inlineStr">
        <is>
          <t>Indraprastha Gas (IGL)</t>
        </is>
      </c>
      <c r="C1544" t="inlineStr">
        <is>
          <t>Indraprastha Gas (IGL)</t>
        </is>
      </c>
      <c r="F1544" t="inlineStr">
        <is>
          <t>New Lead</t>
        </is>
      </c>
      <c r="H1544" t="inlineStr">
        <is>
          <t>CORRIGENDUM_2.pdf</t>
        </is>
      </c>
      <c r="K1544" t="inlineStr">
        <is>
          <t>Not found</t>
        </is>
      </c>
      <c r="L1544" t="inlineStr">
        <is>
          <t>Unknown</t>
        </is>
      </c>
      <c r="T1544" t="inlineStr">
        <is>
          <t>https://tenders.iglonline.net/uploads/tender/CORRIGENDUM_2.pdf</t>
        </is>
      </c>
      <c r="U1544" t="inlineStr">
        <is>
          <t>No</t>
        </is>
      </c>
      <c r="V1544" t="inlineStr">
        <is>
          <t>Bot tarafindan tespit edildi (2026-07-01)</t>
        </is>
      </c>
    </row>
    <row r="1545">
      <c r="A1545" t="inlineStr">
        <is>
          <t>T-1349</t>
        </is>
      </c>
      <c r="B1545" t="inlineStr">
        <is>
          <t>Indraprastha Gas (IGL)</t>
        </is>
      </c>
      <c r="C1545" t="inlineStr">
        <is>
          <t>Indraprastha Gas (IGL)</t>
        </is>
      </c>
      <c r="F1545" t="inlineStr">
        <is>
          <t>New Lead</t>
        </is>
      </c>
      <c r="H1545" t="inlineStr">
        <is>
          <t>Corrigendum3.pdf</t>
        </is>
      </c>
      <c r="K1545" t="inlineStr">
        <is>
          <t>Not found</t>
        </is>
      </c>
      <c r="L1545" t="inlineStr">
        <is>
          <t>Unknown</t>
        </is>
      </c>
      <c r="T1545" t="inlineStr">
        <is>
          <t>https://tenders.iglonline.net/uploads/tender/Corrigendum3.pdf</t>
        </is>
      </c>
      <c r="U1545" t="inlineStr">
        <is>
          <t>No</t>
        </is>
      </c>
      <c r="V1545" t="inlineStr">
        <is>
          <t>Bot tarafindan tespit edildi (2026-07-01)</t>
        </is>
      </c>
    </row>
    <row r="1546">
      <c r="A1546" t="inlineStr">
        <is>
          <t>T-1350</t>
        </is>
      </c>
      <c r="B1546" t="inlineStr">
        <is>
          <t>Indraprastha Gas (IGL)</t>
        </is>
      </c>
      <c r="C1546" t="inlineStr">
        <is>
          <t>Indraprastha Gas (IGL)</t>
        </is>
      </c>
      <c r="F1546" t="inlineStr">
        <is>
          <t>New Lead</t>
        </is>
      </c>
      <c r="H1546" t="inlineStr">
        <is>
          <t>Reply_to_bidder_query_WAF_tender_queryunibtemp.pdf</t>
        </is>
      </c>
      <c r="K1546" t="inlineStr">
        <is>
          <t>Not found</t>
        </is>
      </c>
      <c r="L1546" t="inlineStr">
        <is>
          <t>Unknown</t>
        </is>
      </c>
      <c r="T1546" t="inlineStr">
        <is>
          <t>https://tenders.iglonline.net/uploads/tender/Reply_to_bidder_query_WAF_tender_queryunibtemp.pdf</t>
        </is>
      </c>
      <c r="U1546" t="inlineStr">
        <is>
          <t>No</t>
        </is>
      </c>
      <c r="V1546" t="inlineStr">
        <is>
          <t>Bot tarafindan tespit edildi (2026-07-01)</t>
        </is>
      </c>
    </row>
    <row r="1547">
      <c r="A1547" t="inlineStr">
        <is>
          <t>T-1351</t>
        </is>
      </c>
      <c r="B1547" t="inlineStr">
        <is>
          <t>Indraprastha Gas (IGL)</t>
        </is>
      </c>
      <c r="C1547" t="inlineStr">
        <is>
          <t>Indraprastha Gas (IGL)</t>
        </is>
      </c>
      <c r="F1547" t="inlineStr">
        <is>
          <t>New Lead</t>
        </is>
      </c>
      <c r="H1547" t="inlineStr">
        <is>
          <t>CORRIGENDUM_5_.pdf</t>
        </is>
      </c>
      <c r="K1547" t="inlineStr">
        <is>
          <t>Not found</t>
        </is>
      </c>
      <c r="L1547" t="inlineStr">
        <is>
          <t>Unknown</t>
        </is>
      </c>
      <c r="T1547" t="inlineStr">
        <is>
          <t>https://tenders.iglonline.net/uploads/tender/CORRIGENDUM_5_.pdf</t>
        </is>
      </c>
      <c r="U1547" t="inlineStr">
        <is>
          <t>No</t>
        </is>
      </c>
      <c r="V1547" t="inlineStr">
        <is>
          <t>Bot tarafindan tespit edildi (2026-07-01)</t>
        </is>
      </c>
    </row>
    <row r="1548">
      <c r="A1548" t="inlineStr">
        <is>
          <t>T-1352</t>
        </is>
      </c>
      <c r="B1548" t="inlineStr">
        <is>
          <t>Indraprastha Gas (IGL)</t>
        </is>
      </c>
      <c r="C1548" t="inlineStr">
        <is>
          <t>Indraprastha Gas (IGL)</t>
        </is>
      </c>
      <c r="F1548" t="inlineStr">
        <is>
          <t>New Lead</t>
        </is>
      </c>
      <c r="H1548" t="inlineStr">
        <is>
          <t>CORRIGENDUM_6.pdf</t>
        </is>
      </c>
      <c r="K1548" t="inlineStr">
        <is>
          <t>Not found</t>
        </is>
      </c>
      <c r="L1548" t="inlineStr">
        <is>
          <t>Unknown</t>
        </is>
      </c>
      <c r="T1548" t="inlineStr">
        <is>
          <t>https://tenders.iglonline.net/uploads/tender/CORRIGENDUM_6.pdf</t>
        </is>
      </c>
      <c r="U1548" t="inlineStr">
        <is>
          <t>No</t>
        </is>
      </c>
      <c r="V1548" t="inlineStr">
        <is>
          <t>Bot tarafindan tespit edildi (2026-07-01)</t>
        </is>
      </c>
    </row>
    <row r="1549">
      <c r="A1549" t="inlineStr">
        <is>
          <t>T-1353</t>
        </is>
      </c>
      <c r="B1549" t="inlineStr">
        <is>
          <t>Indraprastha Gas (IGL)</t>
        </is>
      </c>
      <c r="C1549" t="inlineStr">
        <is>
          <t>Indraprastha Gas (IGL)</t>
        </is>
      </c>
      <c r="F1549" t="inlineStr">
        <is>
          <t>New Lead</t>
        </is>
      </c>
      <c r="H1549" t="inlineStr">
        <is>
          <t>View Tender</t>
        </is>
      </c>
      <c r="K1549" t="inlineStr">
        <is>
          <t>Not found</t>
        </is>
      </c>
      <c r="L1549" t="inlineStr">
        <is>
          <t>Unknown</t>
        </is>
      </c>
      <c r="T1549" t="inlineStr">
        <is>
          <t>https://tenders.iglonline.net/tenderDetail/146/Active Tenders And Corrigendum-Addendum</t>
        </is>
      </c>
      <c r="U1549" t="inlineStr">
        <is>
          <t>No</t>
        </is>
      </c>
      <c r="V1549" t="inlineStr">
        <is>
          <t>Bot tarafindan tespit edildi (2026-07-01)</t>
        </is>
      </c>
    </row>
    <row r="1550">
      <c r="A1550" t="inlineStr">
        <is>
          <t>T-1354</t>
        </is>
      </c>
      <c r="B1550" t="inlineStr">
        <is>
          <t>Indraprastha Gas (IGL)</t>
        </is>
      </c>
      <c r="C1550" t="inlineStr">
        <is>
          <t>Indraprastha Gas (IGL)</t>
        </is>
      </c>
      <c r="F1550" t="inlineStr">
        <is>
          <t>New Lead</t>
        </is>
      </c>
      <c r="H1550" t="inlineStr">
        <is>
          <t>CORRIGENDUM_1_CM17440_(1).pdf</t>
        </is>
      </c>
      <c r="K1550" t="inlineStr">
        <is>
          <t>Not found</t>
        </is>
      </c>
      <c r="L1550" t="inlineStr">
        <is>
          <t>Unknown</t>
        </is>
      </c>
      <c r="T1550" t="inlineStr">
        <is>
          <t>https://tenders.iglonline.net/uploads/tender/CORRIGENDUM_1_CM17440_(1).pdf</t>
        </is>
      </c>
      <c r="U1550" t="inlineStr">
        <is>
          <t>No</t>
        </is>
      </c>
      <c r="V1550" t="inlineStr">
        <is>
          <t>Bot tarafindan tespit edildi (2026-07-01)</t>
        </is>
      </c>
    </row>
    <row r="1551">
      <c r="A1551" t="inlineStr">
        <is>
          <t>T-1355</t>
        </is>
      </c>
      <c r="B1551" t="inlineStr">
        <is>
          <t>Indraprastha Gas (IGL)</t>
        </is>
      </c>
      <c r="C1551" t="inlineStr">
        <is>
          <t>Indraprastha Gas (IGL)</t>
        </is>
      </c>
      <c r="F1551" t="inlineStr">
        <is>
          <t>New Lead</t>
        </is>
      </c>
      <c r="H1551" t="inlineStr">
        <is>
          <t>CORRIGENDUM_17440.pdf</t>
        </is>
      </c>
      <c r="K1551" t="inlineStr">
        <is>
          <t>Not found</t>
        </is>
      </c>
      <c r="L1551" t="inlineStr">
        <is>
          <t>Unknown</t>
        </is>
      </c>
      <c r="T1551" t="inlineStr">
        <is>
          <t>https://tenders.iglonline.net/uploads/tender/CORRIGENDUM_17440.pdf</t>
        </is>
      </c>
      <c r="U1551" t="inlineStr">
        <is>
          <t>No</t>
        </is>
      </c>
      <c r="V1551" t="inlineStr">
        <is>
          <t>Bot tarafindan tespit edildi (2026-07-01)</t>
        </is>
      </c>
    </row>
    <row r="1552">
      <c r="A1552" t="inlineStr">
        <is>
          <t>T-1356</t>
        </is>
      </c>
      <c r="B1552" t="inlineStr">
        <is>
          <t>Indraprastha Gas (IGL)</t>
        </is>
      </c>
      <c r="C1552" t="inlineStr">
        <is>
          <t>Indraprastha Gas (IGL)</t>
        </is>
      </c>
      <c r="F1552" t="inlineStr">
        <is>
          <t>New Lead</t>
        </is>
      </c>
      <c r="H1552" t="inlineStr">
        <is>
          <t>Clarifications_against_pre-bid_queries.pdf</t>
        </is>
      </c>
      <c r="K1552" t="inlineStr">
        <is>
          <t>Not found</t>
        </is>
      </c>
      <c r="L1552" t="inlineStr">
        <is>
          <t>Unknown</t>
        </is>
      </c>
      <c r="T1552" t="inlineStr">
        <is>
          <t>https://tenders.iglonline.net/uploads/tender/Clarifications_against_pre-bid_queries.pdf</t>
        </is>
      </c>
      <c r="U1552" t="inlineStr">
        <is>
          <t>No</t>
        </is>
      </c>
      <c r="V1552" t="inlineStr">
        <is>
          <t>Bot tarafindan tespit edildi (2026-07-01)</t>
        </is>
      </c>
    </row>
    <row r="1553">
      <c r="A1553" t="inlineStr">
        <is>
          <t>T-1357</t>
        </is>
      </c>
      <c r="B1553" t="inlineStr">
        <is>
          <t>Indraprastha Gas (IGL)</t>
        </is>
      </c>
      <c r="C1553" t="inlineStr">
        <is>
          <t>Indraprastha Gas (IGL)</t>
        </is>
      </c>
      <c r="F1553" t="inlineStr">
        <is>
          <t>New Lead</t>
        </is>
      </c>
      <c r="H1553" t="inlineStr">
        <is>
          <t>CORRIGENDUM_IV.pdf</t>
        </is>
      </c>
      <c r="K1553" t="inlineStr">
        <is>
          <t>Not found</t>
        </is>
      </c>
      <c r="L1553" t="inlineStr">
        <is>
          <t>Unknown</t>
        </is>
      </c>
      <c r="T1553" t="inlineStr">
        <is>
          <t>https://tenders.iglonline.net/uploads/tender/CORRIGENDUM_IV.pdf</t>
        </is>
      </c>
      <c r="U1553" t="inlineStr">
        <is>
          <t>No</t>
        </is>
      </c>
      <c r="V1553" t="inlineStr">
        <is>
          <t>Bot tarafindan tespit edildi (2026-07-01)</t>
        </is>
      </c>
    </row>
    <row r="1554">
      <c r="A1554" t="inlineStr">
        <is>
          <t>T-1358</t>
        </is>
      </c>
      <c r="B1554" t="inlineStr">
        <is>
          <t>Indraprastha Gas (IGL)</t>
        </is>
      </c>
      <c r="C1554" t="inlineStr">
        <is>
          <t>Indraprastha Gas (IGL)</t>
        </is>
      </c>
      <c r="F1554" t="inlineStr">
        <is>
          <t>New Lead</t>
        </is>
      </c>
      <c r="H1554" t="inlineStr">
        <is>
          <t>CORRIGENDUM_V.pdf</t>
        </is>
      </c>
      <c r="K1554" t="inlineStr">
        <is>
          <t>Not found</t>
        </is>
      </c>
      <c r="L1554" t="inlineStr">
        <is>
          <t>Unknown</t>
        </is>
      </c>
      <c r="T1554" t="inlineStr">
        <is>
          <t>https://tenders.iglonline.net/uploads/tender/CORRIGENDUM_V.pdf</t>
        </is>
      </c>
      <c r="U1554" t="inlineStr">
        <is>
          <t>No</t>
        </is>
      </c>
      <c r="V1554" t="inlineStr">
        <is>
          <t>Bot tarafindan tespit edildi (2026-07-01)</t>
        </is>
      </c>
    </row>
    <row r="1555">
      <c r="A1555" t="inlineStr">
        <is>
          <t>T-1359</t>
        </is>
      </c>
      <c r="B1555" t="inlineStr">
        <is>
          <t>Indraprastha Gas (IGL)</t>
        </is>
      </c>
      <c r="C1555" t="inlineStr">
        <is>
          <t>Indraprastha Gas (IGL)</t>
        </is>
      </c>
      <c r="F1555" t="inlineStr">
        <is>
          <t>New Lead</t>
        </is>
      </c>
      <c r="H1555" t="inlineStr">
        <is>
          <t>View Tender</t>
        </is>
      </c>
      <c r="K1555" t="inlineStr">
        <is>
          <t>Not found</t>
        </is>
      </c>
      <c r="L1555" t="inlineStr">
        <is>
          <t>Unknown</t>
        </is>
      </c>
      <c r="T1555" t="inlineStr">
        <is>
          <t>https://tenders.iglonline.net/tenderDetail/145/Active Tenders And Corrigendum-Addendum</t>
        </is>
      </c>
      <c r="U1555" t="inlineStr">
        <is>
          <t>No</t>
        </is>
      </c>
      <c r="V1555" t="inlineStr">
        <is>
          <t>Bot tarafindan tespit edildi (2026-07-01)</t>
        </is>
      </c>
    </row>
    <row r="1556">
      <c r="A1556" t="inlineStr">
        <is>
          <t>T-1360</t>
        </is>
      </c>
      <c r="B1556" t="inlineStr">
        <is>
          <t>Indraprastha Gas (IGL)</t>
        </is>
      </c>
      <c r="C1556" t="inlineStr">
        <is>
          <t>Indraprastha Gas (IGL)</t>
        </is>
      </c>
      <c r="F1556" t="inlineStr">
        <is>
          <t>New Lead</t>
        </is>
      </c>
      <c r="H1556" t="inlineStr">
        <is>
          <t>View Tender</t>
        </is>
      </c>
      <c r="K1556" t="inlineStr">
        <is>
          <t>Not found</t>
        </is>
      </c>
      <c r="L1556" t="inlineStr">
        <is>
          <t>Unknown</t>
        </is>
      </c>
      <c r="T1556" t="inlineStr">
        <is>
          <t>https://tenders.iglonline.net/tenderDetail/144/Active Tenders And Corrigendum-Addendum</t>
        </is>
      </c>
      <c r="U1556" t="inlineStr">
        <is>
          <t>No</t>
        </is>
      </c>
      <c r="V1556" t="inlineStr">
        <is>
          <t>Bot tarafindan tespit edildi (2026-07-01)</t>
        </is>
      </c>
    </row>
    <row r="1557">
      <c r="A1557" t="inlineStr">
        <is>
          <t>T-1361</t>
        </is>
      </c>
      <c r="B1557" t="inlineStr">
        <is>
          <t>Indraprastha Gas (IGL)</t>
        </is>
      </c>
      <c r="C1557" t="inlineStr">
        <is>
          <t>Indraprastha Gas (IGL)</t>
        </is>
      </c>
      <c r="D1557" t="inlineStr">
        <is>
          <t>IGL/ET2/CP/CP17435</t>
        </is>
      </c>
      <c r="F1557" t="inlineStr">
        <is>
          <t>Awarded</t>
        </is>
      </c>
      <c r="G1557" t="inlineStr">
        <is>
          <t>FRS</t>
        </is>
      </c>
      <c r="H1557" t="inlineStr">
        <is>
          <t>Corrigendum_1_CP17435.pdf</t>
        </is>
      </c>
      <c r="K1557" t="inlineStr">
        <is>
          <t>Not found</t>
        </is>
      </c>
      <c r="L1557" t="inlineStr">
        <is>
          <t>Unknown</t>
        </is>
      </c>
      <c r="T1557" t="inlineStr">
        <is>
          <t>https://tenders.iglonline.net/uploads/tender/Corrigendum_1_CP17435.pdf</t>
        </is>
      </c>
      <c r="U1557" t="inlineStr">
        <is>
          <t>No</t>
        </is>
      </c>
      <c r="V1557" t="inlineStr">
        <is>
          <t>Bot tarafindan tespit edildi (2026-07-01) | Bot enrich; date=2026-07-01; type=pdf; score=330; pdf_conf=Low</t>
        </is>
      </c>
    </row>
    <row r="1558">
      <c r="A1558" t="inlineStr">
        <is>
          <t>T-1362</t>
        </is>
      </c>
      <c r="B1558" t="inlineStr">
        <is>
          <t>Indraprastha Gas (IGL)</t>
        </is>
      </c>
      <c r="C1558" t="inlineStr">
        <is>
          <t>Indraprastha Gas (IGL)</t>
        </is>
      </c>
      <c r="D1558" t="inlineStr">
        <is>
          <t>IGL/ET2/CP/CP17435</t>
        </is>
      </c>
      <c r="F1558" t="inlineStr">
        <is>
          <t>Awarded</t>
        </is>
      </c>
      <c r="G1558" t="inlineStr">
        <is>
          <t>FRS</t>
        </is>
      </c>
      <c r="H1558" t="inlineStr">
        <is>
          <t>Corrigendum_2_CP17435.pdf</t>
        </is>
      </c>
      <c r="K1558" t="inlineStr">
        <is>
          <t>Not found</t>
        </is>
      </c>
      <c r="L1558" t="inlineStr">
        <is>
          <t>Unknown</t>
        </is>
      </c>
      <c r="T1558" t="inlineStr">
        <is>
          <t>https://tenders.iglonline.net/uploads/tender/Corrigendum_2_CP17435.pdf</t>
        </is>
      </c>
      <c r="U1558" t="inlineStr">
        <is>
          <t>No</t>
        </is>
      </c>
      <c r="V1558" t="inlineStr">
        <is>
          <t>Bot tarafindan tespit edildi (2026-07-01) | Bot enrich; date=2026-07-01; type=pdf; score=330; pdf_conf=Low</t>
        </is>
      </c>
    </row>
    <row r="1559">
      <c r="A1559" t="inlineStr">
        <is>
          <t>T-1363</t>
        </is>
      </c>
      <c r="B1559" t="inlineStr">
        <is>
          <t>Indraprastha Gas (IGL)</t>
        </is>
      </c>
      <c r="C1559" t="inlineStr">
        <is>
          <t>Indraprastha Gas (IGL)</t>
        </is>
      </c>
      <c r="D1559" t="inlineStr">
        <is>
          <t>IGL/ET2/CP/CP17435</t>
        </is>
      </c>
      <c r="F1559" t="inlineStr">
        <is>
          <t>Awarded</t>
        </is>
      </c>
      <c r="G1559" t="inlineStr">
        <is>
          <t>FRS</t>
        </is>
      </c>
      <c r="H1559" t="inlineStr">
        <is>
          <t>Annexure_to_Corrigendum_3.pdf</t>
        </is>
      </c>
      <c r="I1559" t="inlineStr">
        <is>
          <t>3</t>
        </is>
      </c>
      <c r="K1559" t="inlineStr">
        <is>
          <t>Not found</t>
        </is>
      </c>
      <c r="L1559" t="inlineStr">
        <is>
          <t>Unknown</t>
        </is>
      </c>
      <c r="T1559" t="inlineStr">
        <is>
          <t>https://tenders.iglonline.net/uploads/tender/Annexure_to_Corrigendum_3.pdf</t>
        </is>
      </c>
      <c r="U1559" t="inlineStr">
        <is>
          <t>No</t>
        </is>
      </c>
      <c r="V1559" t="inlineStr">
        <is>
          <t>Bot tarafindan tespit edildi (2026-07-01) | Bot enrich; date=2026-07-01; type=pdf; score=330; pdf_conf=Medium</t>
        </is>
      </c>
    </row>
    <row r="1560">
      <c r="A1560" t="inlineStr">
        <is>
          <t>T-1364</t>
        </is>
      </c>
      <c r="B1560" t="inlineStr">
        <is>
          <t>Indraprastha Gas (IGL)</t>
        </is>
      </c>
      <c r="C1560" t="inlineStr">
        <is>
          <t>Indraprastha Gas (IGL)</t>
        </is>
      </c>
      <c r="D1560" t="inlineStr">
        <is>
          <t>IGL/ET2/CP/CP17435</t>
        </is>
      </c>
      <c r="F1560" t="inlineStr">
        <is>
          <t>Awarded</t>
        </is>
      </c>
      <c r="G1560" t="inlineStr">
        <is>
          <t>FRS</t>
        </is>
      </c>
      <c r="H1560" t="inlineStr">
        <is>
          <t>Corrigendum_3_CP17435.pdf</t>
        </is>
      </c>
      <c r="K1560" t="inlineStr">
        <is>
          <t>in any case. TECHNICAL REQUIREMENTS Cl. No. 6.0 under Sec-V 5 65 of 96 Regulators for downs</t>
        </is>
      </c>
      <c r="L1560" t="inlineStr">
        <is>
          <t>Unknown</t>
        </is>
      </c>
      <c r="T1560" t="inlineStr">
        <is>
          <t>https://tenders.iglonline.net/uploads/tender/Corrigendum_3_CP17435.pdf</t>
        </is>
      </c>
      <c r="U1560" t="inlineStr">
        <is>
          <t>No</t>
        </is>
      </c>
      <c r="V1560" t="inlineStr">
        <is>
          <t>Bot tarafindan tespit edildi (2026-07-01) | Bot enrich; date=2026-07-01; type=pdf; score=330; pdf_conf=Medium</t>
        </is>
      </c>
    </row>
    <row r="1561">
      <c r="A1561" t="inlineStr">
        <is>
          <t>T-1365</t>
        </is>
      </c>
      <c r="B1561" t="inlineStr">
        <is>
          <t>Indraprastha Gas (IGL)</t>
        </is>
      </c>
      <c r="C1561" t="inlineStr">
        <is>
          <t>Indraprastha Gas (IGL)</t>
        </is>
      </c>
      <c r="D1561" t="inlineStr">
        <is>
          <t>IGL/ET2/CP/CP17435</t>
        </is>
      </c>
      <c r="E1561" t="inlineStr">
        <is>
          <t>26-05-2023</t>
        </is>
      </c>
      <c r="F1561" t="inlineStr">
        <is>
          <t>Awarded</t>
        </is>
      </c>
      <c r="G1561" t="inlineStr">
        <is>
          <t>FRS</t>
        </is>
      </c>
      <c r="H1561" t="inlineStr">
        <is>
          <t>RTBQ.pdf</t>
        </is>
      </c>
      <c r="K1561" t="inlineStr">
        <is>
          <t>in any case. Refer Corrigendum-3 Supplier will be responsible for the supplied As the scope</t>
        </is>
      </c>
      <c r="L1561" t="inlineStr">
        <is>
          <t>Unknown</t>
        </is>
      </c>
      <c r="M1561" t="n">
        <v>300</v>
      </c>
      <c r="T1561" t="inlineStr">
        <is>
          <t>https://tenders.iglonline.net/uploads/tender/RTBQ.pdf</t>
        </is>
      </c>
      <c r="U1561" t="inlineStr">
        <is>
          <t>No</t>
        </is>
      </c>
      <c r="V1561" t="inlineStr">
        <is>
          <t>Bot tarafindan tespit edildi (2026-07-01) | closing=26-05-2023 | Bot enrich; date=2026-07-01; type=pdf; pdf_closing=26-05-2023; score=330; pdf_conf=High</t>
        </is>
      </c>
    </row>
    <row r="1562">
      <c r="A1562" t="inlineStr">
        <is>
          <t>T-1366</t>
        </is>
      </c>
      <c r="B1562" t="inlineStr">
        <is>
          <t>Indraprastha Gas (IGL)</t>
        </is>
      </c>
      <c r="C1562" t="inlineStr">
        <is>
          <t>Indraprastha Gas (IGL)</t>
        </is>
      </c>
      <c r="D1562" t="inlineStr">
        <is>
          <t>IGL/ET2/CP/CP17435</t>
        </is>
      </c>
      <c r="F1562" t="inlineStr">
        <is>
          <t>Awarded</t>
        </is>
      </c>
      <c r="G1562" t="inlineStr">
        <is>
          <t>FRS</t>
        </is>
      </c>
      <c r="H1562" t="inlineStr">
        <is>
          <t>Corrigendum_4_CP17435_(1).pdf</t>
        </is>
      </c>
      <c r="K1562" t="inlineStr">
        <is>
          <t>Not found</t>
        </is>
      </c>
      <c r="L1562" t="inlineStr">
        <is>
          <t>Unknown</t>
        </is>
      </c>
      <c r="T1562" t="inlineStr">
        <is>
          <t>https://tenders.iglonline.net/uploads/tender/Corrigendum_4_CP17435_(1).pdf</t>
        </is>
      </c>
      <c r="U1562" t="inlineStr">
        <is>
          <t>No</t>
        </is>
      </c>
      <c r="V1562" t="inlineStr">
        <is>
          <t>Bot tarafindan tespit edildi (2026-07-01) | Bot enrich; date=2026-07-01; type=pdf; score=330; pdf_conf=Low</t>
        </is>
      </c>
    </row>
    <row r="1563">
      <c r="A1563" t="inlineStr">
        <is>
          <t>T-1367</t>
        </is>
      </c>
      <c r="B1563" t="inlineStr">
        <is>
          <t>Indraprastha Gas (IGL)</t>
        </is>
      </c>
      <c r="C1563" t="inlineStr">
        <is>
          <t>Indraprastha Gas (IGL)</t>
        </is>
      </c>
      <c r="D1563" t="inlineStr">
        <is>
          <t>IGL/ET2/CP/CP17435</t>
        </is>
      </c>
      <c r="F1563" t="inlineStr">
        <is>
          <t>Awarded</t>
        </is>
      </c>
      <c r="G1563" t="inlineStr">
        <is>
          <t>FRS</t>
        </is>
      </c>
      <c r="H1563" t="inlineStr">
        <is>
          <t>Corrigendum_5_CP17435.pdf</t>
        </is>
      </c>
      <c r="K1563" t="inlineStr">
        <is>
          <t>Not found</t>
        </is>
      </c>
      <c r="L1563" t="inlineStr">
        <is>
          <t>Unknown</t>
        </is>
      </c>
      <c r="T1563" t="inlineStr">
        <is>
          <t>https://tenders.iglonline.net/uploads/tender/Corrigendum_5_CP17435.pdf</t>
        </is>
      </c>
      <c r="U1563" t="inlineStr">
        <is>
          <t>No</t>
        </is>
      </c>
      <c r="V1563" t="inlineStr">
        <is>
          <t>Bot tarafindan tespit edildi (2026-07-01) | Bot enrich; date=2026-07-01; type=pdf; score=330; pdf_conf=Low</t>
        </is>
      </c>
    </row>
    <row r="1564">
      <c r="A1564" t="inlineStr">
        <is>
          <t>T-1368</t>
        </is>
      </c>
      <c r="B1564" t="inlineStr">
        <is>
          <t>Indraprastha Gas (IGL)</t>
        </is>
      </c>
      <c r="C1564" t="inlineStr">
        <is>
          <t>Indraprastha Gas (IGL)</t>
        </is>
      </c>
      <c r="D1564" t="inlineStr">
        <is>
          <t>IGL/ET2/CP/CP17435</t>
        </is>
      </c>
      <c r="E1564" t="inlineStr">
        <is>
          <t>20-06-2023</t>
        </is>
      </c>
      <c r="F1564" t="inlineStr">
        <is>
          <t>Awarded</t>
        </is>
      </c>
      <c r="G1564" t="inlineStr">
        <is>
          <t>FRS</t>
        </is>
      </c>
      <c r="H1564" t="inlineStr">
        <is>
          <t>RTBQ_2.pdf</t>
        </is>
      </c>
      <c r="I1564" t="inlineStr">
        <is>
          <t>nos.</t>
        </is>
      </c>
      <c r="K1564" t="inlineStr">
        <is>
          <t>in any case. As the scope is for Supply of Loose regulator and SSV with it</t>
        </is>
      </c>
      <c r="L1564" t="inlineStr">
        <is>
          <t>Unknown</t>
        </is>
      </c>
      <c r="M1564" t="n">
        <v>100</v>
      </c>
      <c r="T1564" t="inlineStr">
        <is>
          <t>https://tenders.iglonline.net/uploads/tender/RTBQ_2.pdf</t>
        </is>
      </c>
      <c r="U1564" t="inlineStr">
        <is>
          <t>No</t>
        </is>
      </c>
      <c r="V1564" t="inlineStr">
        <is>
          <t>Bot tarafindan tespit edildi (2026-07-01) | closing=20-06-2023 | Bot enrich; date=2026-07-01; type=pdf; pdf_closing=20-06-2023; score=330; pdf_conf=High</t>
        </is>
      </c>
    </row>
    <row r="1565">
      <c r="A1565" t="inlineStr">
        <is>
          <t>T-1369</t>
        </is>
      </c>
      <c r="B1565" t="inlineStr">
        <is>
          <t>Indraprastha Gas (IGL)</t>
        </is>
      </c>
      <c r="C1565" t="inlineStr">
        <is>
          <t>Indraprastha Gas (IGL)</t>
        </is>
      </c>
      <c r="D1565" t="inlineStr">
        <is>
          <t>IGL/ET2/CP/CP17435</t>
        </is>
      </c>
      <c r="F1565" t="inlineStr">
        <is>
          <t>Awarded</t>
        </is>
      </c>
      <c r="G1565" t="inlineStr">
        <is>
          <t>FRS</t>
        </is>
      </c>
      <c r="H1565" t="inlineStr">
        <is>
          <t>Corrigendum_6_CP17435.pdf</t>
        </is>
      </c>
      <c r="K1565" t="inlineStr">
        <is>
          <t>Not found</t>
        </is>
      </c>
      <c r="L1565" t="inlineStr">
        <is>
          <t>Unknown</t>
        </is>
      </c>
      <c r="T1565" t="inlineStr">
        <is>
          <t>https://tenders.iglonline.net/uploads/tender/Corrigendum_6_CP17435.pdf</t>
        </is>
      </c>
      <c r="U1565" t="inlineStr">
        <is>
          <t>No</t>
        </is>
      </c>
      <c r="V1565" t="inlineStr">
        <is>
          <t>Bot tarafindan tespit edildi (2026-07-01) | Bot enrich; date=2026-07-01; type=pdf; score=330; pdf_conf=Low</t>
        </is>
      </c>
    </row>
    <row r="1566">
      <c r="A1566" t="inlineStr">
        <is>
          <t>T-1370</t>
        </is>
      </c>
      <c r="B1566" t="inlineStr">
        <is>
          <t>Indraprastha Gas (IGL)</t>
        </is>
      </c>
      <c r="C1566" t="inlineStr">
        <is>
          <t>Indraprastha Gas (IGL)</t>
        </is>
      </c>
      <c r="D1566" t="inlineStr">
        <is>
          <t>IGL/ET2/CP/CP17435</t>
        </is>
      </c>
      <c r="F1566" t="inlineStr">
        <is>
          <t>Awarded</t>
        </is>
      </c>
      <c r="G1566" t="inlineStr">
        <is>
          <t>FRS</t>
        </is>
      </c>
      <c r="H1566" t="inlineStr">
        <is>
          <t>Corrigendum_7_CP17435.pdf</t>
        </is>
      </c>
      <c r="K1566" t="inlineStr">
        <is>
          <t>Not found</t>
        </is>
      </c>
      <c r="L1566" t="inlineStr">
        <is>
          <t>Unknown</t>
        </is>
      </c>
      <c r="T1566" t="inlineStr">
        <is>
          <t>https://tenders.iglonline.net/uploads/tender/Corrigendum_7_CP17435.pdf</t>
        </is>
      </c>
      <c r="U1566" t="inlineStr">
        <is>
          <t>No</t>
        </is>
      </c>
      <c r="V1566" t="inlineStr">
        <is>
          <t>Bot tarafindan tespit edildi (2026-07-01) | Bot enrich; date=2026-07-01; type=pdf; score=330; pdf_conf=Low</t>
        </is>
      </c>
    </row>
    <row r="1567">
      <c r="A1567" t="inlineStr">
        <is>
          <t>T-1371</t>
        </is>
      </c>
      <c r="B1567" t="inlineStr">
        <is>
          <t>Indraprastha Gas (IGL)</t>
        </is>
      </c>
      <c r="C1567" t="inlineStr">
        <is>
          <t>Indraprastha Gas (IGL)</t>
        </is>
      </c>
      <c r="D1567" t="inlineStr">
        <is>
          <t>LOA/Contract.</t>
        </is>
      </c>
      <c r="F1567" t="inlineStr">
        <is>
          <t>Awarded</t>
        </is>
      </c>
      <c r="G1567" t="inlineStr">
        <is>
          <t>FRS</t>
        </is>
      </c>
      <c r="H1567" t="inlineStr">
        <is>
          <t>Corrigendum_8_CP17435.pdf</t>
        </is>
      </c>
      <c r="K1567" t="inlineStr">
        <is>
          <t>Not found</t>
        </is>
      </c>
      <c r="L1567" t="inlineStr">
        <is>
          <t>Unknown</t>
        </is>
      </c>
      <c r="M1567" t="n">
        <v>100</v>
      </c>
      <c r="T1567" t="inlineStr">
        <is>
          <t>https://tenders.iglonline.net/uploads/tender/Corrigendum_8_CP17435.pdf</t>
        </is>
      </c>
      <c r="U1567" t="inlineStr">
        <is>
          <t>No</t>
        </is>
      </c>
      <c r="V1567" t="inlineStr">
        <is>
          <t>Bot tarafindan tespit edildi (2026-07-01) | Bot enrich; date=2026-07-01; type=pdf; score=330; pdf_conf=Medium</t>
        </is>
      </c>
    </row>
    <row r="1568">
      <c r="A1568" t="inlineStr">
        <is>
          <t>T-1372</t>
        </is>
      </c>
      <c r="B1568" t="inlineStr">
        <is>
          <t>Indraprastha Gas (IGL)</t>
        </is>
      </c>
      <c r="C1568" t="inlineStr">
        <is>
          <t>Indraprastha Gas (IGL)</t>
        </is>
      </c>
      <c r="D1568" t="inlineStr">
        <is>
          <t>IGL/ET2/CP/CP17435</t>
        </is>
      </c>
      <c r="E1568" t="inlineStr">
        <is>
          <t>11-07-2023</t>
        </is>
      </c>
      <c r="F1568" t="inlineStr">
        <is>
          <t>Awarded</t>
        </is>
      </c>
      <c r="G1568" t="inlineStr">
        <is>
          <t>FRS</t>
        </is>
      </c>
      <c r="H1568" t="inlineStr">
        <is>
          <t>RTBQ_3.pdf</t>
        </is>
      </c>
      <c r="K1568" t="inlineStr">
        <is>
          <t>Not found</t>
        </is>
      </c>
      <c r="L1568" t="inlineStr">
        <is>
          <t>Unknown</t>
        </is>
      </c>
      <c r="M1568" t="n">
        <v>100</v>
      </c>
      <c r="T1568" t="inlineStr">
        <is>
          <t>https://tenders.iglonline.net/uploads/tender/RTBQ_3.pdf</t>
        </is>
      </c>
      <c r="U1568" t="inlineStr">
        <is>
          <t>No</t>
        </is>
      </c>
      <c r="V1568" t="inlineStr">
        <is>
          <t>Bot tarafindan tespit edildi (2026-07-01) | closing=11-07-2023 | Bot enrich; date=2026-07-01; type=pdf; pdf_closing=11-07-2023; score=330; pdf_conf=High</t>
        </is>
      </c>
    </row>
    <row r="1569">
      <c r="A1569" t="inlineStr">
        <is>
          <t>T-1373</t>
        </is>
      </c>
      <c r="B1569" t="inlineStr">
        <is>
          <t>Indraprastha Gas (IGL)</t>
        </is>
      </c>
      <c r="C1569" t="inlineStr">
        <is>
          <t>Indraprastha Gas (IGL)</t>
        </is>
      </c>
      <c r="D1569" t="inlineStr">
        <is>
          <t>IGL/ET2/CP/CP17435</t>
        </is>
      </c>
      <c r="F1569" t="inlineStr">
        <is>
          <t>Awarded</t>
        </is>
      </c>
      <c r="G1569" t="inlineStr">
        <is>
          <t>FRS</t>
        </is>
      </c>
      <c r="H1569" t="inlineStr">
        <is>
          <t>Corrigendum_9_CP17435.pdf</t>
        </is>
      </c>
      <c r="K1569" t="inlineStr">
        <is>
          <t>Not found</t>
        </is>
      </c>
      <c r="L1569" t="inlineStr">
        <is>
          <t>Unknown</t>
        </is>
      </c>
      <c r="T1569" t="inlineStr">
        <is>
          <t>https://tenders.iglonline.net/uploads/tender/Corrigendum_9_CP17435.pdf</t>
        </is>
      </c>
      <c r="U1569" t="inlineStr">
        <is>
          <t>No</t>
        </is>
      </c>
      <c r="V1569" t="inlineStr">
        <is>
          <t>Bot tarafindan tespit edildi (2026-07-01) | Bot enrich; date=2026-07-01; type=pdf; score=330; pdf_conf=Low</t>
        </is>
      </c>
    </row>
    <row r="1570">
      <c r="A1570" t="inlineStr">
        <is>
          <t>T-1374</t>
        </is>
      </c>
      <c r="B1570" t="inlineStr">
        <is>
          <t>Indraprastha Gas (IGL)</t>
        </is>
      </c>
      <c r="C1570" t="inlineStr">
        <is>
          <t>Indraprastha Gas (IGL)</t>
        </is>
      </c>
      <c r="F1570" t="inlineStr">
        <is>
          <t>New Lead</t>
        </is>
      </c>
      <c r="H1570" t="inlineStr">
        <is>
          <t>View Tender</t>
        </is>
      </c>
      <c r="K1570" t="inlineStr">
        <is>
          <t>Not found</t>
        </is>
      </c>
      <c r="L1570" t="inlineStr">
        <is>
          <t>Unknown</t>
        </is>
      </c>
      <c r="T1570" t="inlineStr">
        <is>
          <t>https://tenders.iglonline.net/tenderDetail/143/Active Tenders And Corrigendum-Addendum</t>
        </is>
      </c>
      <c r="U1570" t="inlineStr">
        <is>
          <t>No</t>
        </is>
      </c>
      <c r="V1570" t="inlineStr">
        <is>
          <t>Bot tarafindan tespit edildi (2026-07-01)</t>
        </is>
      </c>
    </row>
    <row r="1571">
      <c r="A1571" t="inlineStr">
        <is>
          <t>T-1375</t>
        </is>
      </c>
      <c r="B1571" t="inlineStr">
        <is>
          <t>Indraprastha Gas (IGL)</t>
        </is>
      </c>
      <c r="C1571" t="inlineStr">
        <is>
          <t>Indraprastha Gas (IGL)</t>
        </is>
      </c>
      <c r="F1571" t="inlineStr">
        <is>
          <t>New Lead</t>
        </is>
      </c>
      <c r="H1571" t="inlineStr">
        <is>
          <t>Corrigendum-I_CC17497_EV_Charging_Stations.pdf</t>
        </is>
      </c>
      <c r="K1571" t="inlineStr">
        <is>
          <t>Not found</t>
        </is>
      </c>
      <c r="L1571" t="inlineStr">
        <is>
          <t>Unknown</t>
        </is>
      </c>
      <c r="T1571" t="inlineStr">
        <is>
          <t>https://tenders.iglonline.net/uploads/tender/Corrigendum-I_CC17497_EV_Charging_Stations.pdf</t>
        </is>
      </c>
      <c r="U1571" t="inlineStr">
        <is>
          <t>No</t>
        </is>
      </c>
      <c r="V1571" t="inlineStr">
        <is>
          <t>Bot tarafindan tespit edildi (2026-07-01)</t>
        </is>
      </c>
    </row>
    <row r="1572">
      <c r="A1572" t="inlineStr">
        <is>
          <t>T-1376</t>
        </is>
      </c>
      <c r="B1572" t="inlineStr">
        <is>
          <t>Indraprastha Gas (IGL)</t>
        </is>
      </c>
      <c r="C1572" t="inlineStr">
        <is>
          <t>Indraprastha Gas (IGL)</t>
        </is>
      </c>
      <c r="F1572" t="inlineStr">
        <is>
          <t>New Lead</t>
        </is>
      </c>
      <c r="H1572" t="inlineStr">
        <is>
          <t>View Tender</t>
        </is>
      </c>
      <c r="K1572" t="inlineStr">
        <is>
          <t>Not found</t>
        </is>
      </c>
      <c r="L1572" t="inlineStr">
        <is>
          <t>Unknown</t>
        </is>
      </c>
      <c r="T1572" t="inlineStr">
        <is>
          <t>https://tenders.iglonline.net/tenderDetail/142/Active Tenders And Corrigendum-Addendum</t>
        </is>
      </c>
      <c r="U1572" t="inlineStr">
        <is>
          <t>No</t>
        </is>
      </c>
      <c r="V1572" t="inlineStr">
        <is>
          <t>Bot tarafindan tespit edildi (2026-07-01)</t>
        </is>
      </c>
    </row>
    <row r="1573">
      <c r="A1573" t="inlineStr">
        <is>
          <t>T-1377</t>
        </is>
      </c>
      <c r="B1573" t="inlineStr">
        <is>
          <t>Indraprastha Gas (IGL)</t>
        </is>
      </c>
      <c r="C1573" t="inlineStr">
        <is>
          <t>Indraprastha Gas (IGL)</t>
        </is>
      </c>
      <c r="F1573" t="inlineStr">
        <is>
          <t>New Lead</t>
        </is>
      </c>
      <c r="H1573" t="inlineStr">
        <is>
          <t>Corrigendum_CC17482.pdf</t>
        </is>
      </c>
      <c r="K1573" t="inlineStr">
        <is>
          <t>Not found</t>
        </is>
      </c>
      <c r="L1573" t="inlineStr">
        <is>
          <t>Unknown</t>
        </is>
      </c>
      <c r="T1573" t="inlineStr">
        <is>
          <t>https://tenders.iglonline.net/uploads/tender/Corrigendum_CC17482.pdf</t>
        </is>
      </c>
      <c r="U1573" t="inlineStr">
        <is>
          <t>No</t>
        </is>
      </c>
      <c r="V1573" t="inlineStr">
        <is>
          <t>Bot tarafindan tespit edildi (2026-07-01)</t>
        </is>
      </c>
    </row>
    <row r="1574">
      <c r="A1574" t="inlineStr">
        <is>
          <t>T-1378</t>
        </is>
      </c>
      <c r="B1574" t="inlineStr">
        <is>
          <t>Indraprastha Gas (IGL)</t>
        </is>
      </c>
      <c r="C1574" t="inlineStr">
        <is>
          <t>Indraprastha Gas (IGL)</t>
        </is>
      </c>
      <c r="F1574" t="inlineStr">
        <is>
          <t>New Lead</t>
        </is>
      </c>
      <c r="H1574" t="inlineStr">
        <is>
          <t>View Tender</t>
        </is>
      </c>
      <c r="K1574" t="inlineStr">
        <is>
          <t>Not found</t>
        </is>
      </c>
      <c r="L1574" t="inlineStr">
        <is>
          <t>Unknown</t>
        </is>
      </c>
      <c r="T1574" t="inlineStr">
        <is>
          <t>https://tenders.iglonline.net/tenderDetail/141/Active Tenders And Corrigendum-Addendum</t>
        </is>
      </c>
      <c r="U1574" t="inlineStr">
        <is>
          <t>No</t>
        </is>
      </c>
      <c r="V1574" t="inlineStr">
        <is>
          <t>Bot tarafindan tespit edildi (2026-07-01)</t>
        </is>
      </c>
    </row>
    <row r="1575">
      <c r="A1575" t="inlineStr">
        <is>
          <t>T-1379</t>
        </is>
      </c>
      <c r="B1575" t="inlineStr">
        <is>
          <t>Indraprastha Gas (IGL)</t>
        </is>
      </c>
      <c r="C1575" t="inlineStr">
        <is>
          <t>Indraprastha Gas (IGL)</t>
        </is>
      </c>
      <c r="F1575" t="inlineStr">
        <is>
          <t>New Lead</t>
        </is>
      </c>
      <c r="H1575" t="inlineStr">
        <is>
          <t>Corrigendum.pdf</t>
        </is>
      </c>
      <c r="K1575" t="inlineStr">
        <is>
          <t>Not found</t>
        </is>
      </c>
      <c r="L1575" t="inlineStr">
        <is>
          <t>Unknown</t>
        </is>
      </c>
      <c r="T1575" t="inlineStr">
        <is>
          <t>https://tenders.iglonline.net/uploads/tender/Corrigendum.pdf</t>
        </is>
      </c>
      <c r="U1575" t="inlineStr">
        <is>
          <t>No</t>
        </is>
      </c>
      <c r="V1575" t="inlineStr">
        <is>
          <t>Bot tarafindan tespit edildi (2026-07-01)</t>
        </is>
      </c>
    </row>
    <row r="1576">
      <c r="A1576" t="inlineStr">
        <is>
          <t>T-1380</t>
        </is>
      </c>
      <c r="B1576" t="inlineStr">
        <is>
          <t>Indraprastha Gas (IGL)</t>
        </is>
      </c>
      <c r="C1576" t="inlineStr">
        <is>
          <t>Indraprastha Gas (IGL)</t>
        </is>
      </c>
      <c r="F1576" t="inlineStr">
        <is>
          <t>New Lead</t>
        </is>
      </c>
      <c r="H1576" t="inlineStr">
        <is>
          <t>Corrigendum_II_(1)1.pdf</t>
        </is>
      </c>
      <c r="K1576" t="inlineStr">
        <is>
          <t>Not found</t>
        </is>
      </c>
      <c r="L1576" t="inlineStr">
        <is>
          <t>Unknown</t>
        </is>
      </c>
      <c r="T1576" t="inlineStr">
        <is>
          <t>https://tenders.iglonline.net/uploads/tender/Corrigendum_II_(1)1.pdf</t>
        </is>
      </c>
      <c r="U1576" t="inlineStr">
        <is>
          <t>No</t>
        </is>
      </c>
      <c r="V1576" t="inlineStr">
        <is>
          <t>Bot tarafindan tespit edildi (2026-07-01)</t>
        </is>
      </c>
    </row>
    <row r="1577">
      <c r="A1577" t="inlineStr">
        <is>
          <t>T-1381</t>
        </is>
      </c>
      <c r="B1577" t="inlineStr">
        <is>
          <t>Indraprastha Gas (IGL)</t>
        </is>
      </c>
      <c r="C1577" t="inlineStr">
        <is>
          <t>Indraprastha Gas (IGL)</t>
        </is>
      </c>
      <c r="F1577" t="inlineStr">
        <is>
          <t>New Lead</t>
        </is>
      </c>
      <c r="H1577" t="inlineStr">
        <is>
          <t>View Tender</t>
        </is>
      </c>
      <c r="K1577" t="inlineStr">
        <is>
          <t>Not found</t>
        </is>
      </c>
      <c r="L1577" t="inlineStr">
        <is>
          <t>Unknown</t>
        </is>
      </c>
      <c r="T1577" t="inlineStr">
        <is>
          <t>https://tenders.iglonline.net/tenderDetail/140/Active Tenders And Corrigendum-Addendum</t>
        </is>
      </c>
      <c r="U1577" t="inlineStr">
        <is>
          <t>No</t>
        </is>
      </c>
      <c r="V1577" t="inlineStr">
        <is>
          <t>Bot tarafindan tespit edildi (2026-07-01)</t>
        </is>
      </c>
    </row>
    <row r="1578">
      <c r="A1578" t="inlineStr">
        <is>
          <t>T-1382</t>
        </is>
      </c>
      <c r="B1578" t="inlineStr">
        <is>
          <t>Indraprastha Gas (IGL)</t>
        </is>
      </c>
      <c r="C1578" t="inlineStr">
        <is>
          <t>Indraprastha Gas (IGL)</t>
        </is>
      </c>
      <c r="F1578" t="inlineStr">
        <is>
          <t>New Lead</t>
        </is>
      </c>
      <c r="H1578" t="inlineStr">
        <is>
          <t>CORRIGENDUM_1_CM17490.pdf</t>
        </is>
      </c>
      <c r="K1578" t="inlineStr">
        <is>
          <t>Not found</t>
        </is>
      </c>
      <c r="L1578" t="inlineStr">
        <is>
          <t>Unknown</t>
        </is>
      </c>
      <c r="T1578" t="inlineStr">
        <is>
          <t>https://tenders.iglonline.net/uploads/tender/CORRIGENDUM_1_CM17490.pdf</t>
        </is>
      </c>
      <c r="U1578" t="inlineStr">
        <is>
          <t>No</t>
        </is>
      </c>
      <c r="V1578" t="inlineStr">
        <is>
          <t>Bot tarafindan tespit edildi (2026-07-01)</t>
        </is>
      </c>
    </row>
    <row r="1579">
      <c r="A1579" t="inlineStr">
        <is>
          <t>T-1383</t>
        </is>
      </c>
      <c r="B1579" t="inlineStr">
        <is>
          <t>Indraprastha Gas (IGL)</t>
        </is>
      </c>
      <c r="C1579" t="inlineStr">
        <is>
          <t>Indraprastha Gas (IGL)</t>
        </is>
      </c>
      <c r="F1579" t="inlineStr">
        <is>
          <t>New Lead</t>
        </is>
      </c>
      <c r="H1579" t="inlineStr">
        <is>
          <t>Clarifications_against_pre-bid.pdf</t>
        </is>
      </c>
      <c r="K1579" t="inlineStr">
        <is>
          <t>Not found</t>
        </is>
      </c>
      <c r="L1579" t="inlineStr">
        <is>
          <t>Unknown</t>
        </is>
      </c>
      <c r="T1579" t="inlineStr">
        <is>
          <t>https://tenders.iglonline.net/uploads/tender/Clarifications_against_pre-bid.pdf</t>
        </is>
      </c>
      <c r="U1579" t="inlineStr">
        <is>
          <t>No</t>
        </is>
      </c>
      <c r="V1579" t="inlineStr">
        <is>
          <t>Bot tarafindan tespit edildi (2026-07-01)</t>
        </is>
      </c>
    </row>
    <row r="1580">
      <c r="A1580" t="inlineStr">
        <is>
          <t>T-1384</t>
        </is>
      </c>
      <c r="B1580" t="inlineStr">
        <is>
          <t>Indraprastha Gas (IGL)</t>
        </is>
      </c>
      <c r="C1580" t="inlineStr">
        <is>
          <t>Indraprastha Gas (IGL)</t>
        </is>
      </c>
      <c r="F1580" t="inlineStr">
        <is>
          <t>New Lead</t>
        </is>
      </c>
      <c r="H1580" t="inlineStr">
        <is>
          <t>CORRIGENDUM_17490_3B.pdf</t>
        </is>
      </c>
      <c r="K1580" t="inlineStr">
        <is>
          <t>Not found</t>
        </is>
      </c>
      <c r="L1580" t="inlineStr">
        <is>
          <t>Unknown</t>
        </is>
      </c>
      <c r="T1580" t="inlineStr">
        <is>
          <t>https://tenders.iglonline.net/uploads/tender/CORRIGENDUM_17490_3B.pdf</t>
        </is>
      </c>
      <c r="U1580" t="inlineStr">
        <is>
          <t>No</t>
        </is>
      </c>
      <c r="V1580" t="inlineStr">
        <is>
          <t>Bot tarafindan tespit edildi (2026-07-01)</t>
        </is>
      </c>
    </row>
    <row r="1581">
      <c r="A1581" t="inlineStr">
        <is>
          <t>T-1385</t>
        </is>
      </c>
      <c r="B1581" t="inlineStr">
        <is>
          <t>Indraprastha Gas (IGL)</t>
        </is>
      </c>
      <c r="C1581" t="inlineStr">
        <is>
          <t>Indraprastha Gas (IGL)</t>
        </is>
      </c>
      <c r="F1581" t="inlineStr">
        <is>
          <t>New Lead</t>
        </is>
      </c>
      <c r="H1581" t="inlineStr">
        <is>
          <t>Corrigendum_4_17490.pdf</t>
        </is>
      </c>
      <c r="K1581" t="inlineStr">
        <is>
          <t>Not found</t>
        </is>
      </c>
      <c r="L1581" t="inlineStr">
        <is>
          <t>Unknown</t>
        </is>
      </c>
      <c r="T1581" t="inlineStr">
        <is>
          <t>https://tenders.iglonline.net/uploads/tender/Corrigendum_4_17490.pdf</t>
        </is>
      </c>
      <c r="U1581" t="inlineStr">
        <is>
          <t>No</t>
        </is>
      </c>
      <c r="V1581" t="inlineStr">
        <is>
          <t>Bot tarafindan tespit edildi (2026-07-01)</t>
        </is>
      </c>
    </row>
    <row r="1582">
      <c r="A1582" t="inlineStr">
        <is>
          <t>T-1386</t>
        </is>
      </c>
      <c r="B1582" t="inlineStr">
        <is>
          <t>Indraprastha Gas (IGL)</t>
        </is>
      </c>
      <c r="C1582" t="inlineStr">
        <is>
          <t>Indraprastha Gas (IGL)</t>
        </is>
      </c>
      <c r="F1582" t="inlineStr">
        <is>
          <t>New Lead</t>
        </is>
      </c>
      <c r="H1582" t="inlineStr">
        <is>
          <t>View Tender</t>
        </is>
      </c>
      <c r="K1582" t="inlineStr">
        <is>
          <t>Not found</t>
        </is>
      </c>
      <c r="L1582" t="inlineStr">
        <is>
          <t>Unknown</t>
        </is>
      </c>
      <c r="T1582" t="inlineStr">
        <is>
          <t>https://tenders.iglonline.net/tenderDetail/139/Active Tenders And Corrigendum-Addendum</t>
        </is>
      </c>
      <c r="U1582" t="inlineStr">
        <is>
          <t>No</t>
        </is>
      </c>
      <c r="V1582" t="inlineStr">
        <is>
          <t>Bot tarafindan tespit edildi (2026-07-01)</t>
        </is>
      </c>
    </row>
    <row r="1583">
      <c r="A1583" t="inlineStr">
        <is>
          <t>T-1387</t>
        </is>
      </c>
      <c r="B1583" t="inlineStr">
        <is>
          <t>Indraprastha Gas (IGL)</t>
        </is>
      </c>
      <c r="C1583" t="inlineStr">
        <is>
          <t>Indraprastha Gas (IGL)</t>
        </is>
      </c>
      <c r="F1583" t="inlineStr">
        <is>
          <t>New Lead</t>
        </is>
      </c>
      <c r="H1583" t="inlineStr">
        <is>
          <t>View Tender</t>
        </is>
      </c>
      <c r="K1583" t="inlineStr">
        <is>
          <t>Not found</t>
        </is>
      </c>
      <c r="L1583" t="inlineStr">
        <is>
          <t>Unknown</t>
        </is>
      </c>
      <c r="T1583" t="inlineStr">
        <is>
          <t>https://tenders.iglonline.net/tenderDetail/138/Active Tenders And Corrigendum-Addendum</t>
        </is>
      </c>
      <c r="U1583" t="inlineStr">
        <is>
          <t>No</t>
        </is>
      </c>
      <c r="V1583" t="inlineStr">
        <is>
          <t>Bot tarafindan tespit edildi (2026-07-01)</t>
        </is>
      </c>
    </row>
    <row r="1584">
      <c r="A1584" t="inlineStr">
        <is>
          <t>T-1388</t>
        </is>
      </c>
      <c r="B1584" t="inlineStr">
        <is>
          <t>Indraprastha Gas (IGL)</t>
        </is>
      </c>
      <c r="C1584" t="inlineStr">
        <is>
          <t>Indraprastha Gas (IGL)</t>
        </is>
      </c>
      <c r="F1584" t="inlineStr">
        <is>
          <t>New Lead</t>
        </is>
      </c>
      <c r="H1584" t="inlineStr">
        <is>
          <t>Reply_to_Prebid_Queries_CC17486.pdf</t>
        </is>
      </c>
      <c r="K1584" t="inlineStr">
        <is>
          <t>Not found</t>
        </is>
      </c>
      <c r="L1584" t="inlineStr">
        <is>
          <t>Unknown</t>
        </is>
      </c>
      <c r="T1584" t="inlineStr">
        <is>
          <t>https://tenders.iglonline.net/uploads/tender/Reply_to_Prebid_Queries_CC17486.pdf</t>
        </is>
      </c>
      <c r="U1584" t="inlineStr">
        <is>
          <t>No</t>
        </is>
      </c>
      <c r="V1584" t="inlineStr">
        <is>
          <t>Bot tarafindan tespit edildi (2026-07-01)</t>
        </is>
      </c>
    </row>
    <row r="1585">
      <c r="A1585" t="inlineStr">
        <is>
          <t>T-1389</t>
        </is>
      </c>
      <c r="B1585" t="inlineStr">
        <is>
          <t>Indraprastha Gas (IGL)</t>
        </is>
      </c>
      <c r="C1585" t="inlineStr">
        <is>
          <t>Indraprastha Gas (IGL)</t>
        </is>
      </c>
      <c r="F1585" t="inlineStr">
        <is>
          <t>New Lead</t>
        </is>
      </c>
      <c r="H1585" t="inlineStr">
        <is>
          <t>Commercial_Corrigendum_1_CC17486.pdf</t>
        </is>
      </c>
      <c r="K1585" t="inlineStr">
        <is>
          <t>Not found</t>
        </is>
      </c>
      <c r="L1585" t="inlineStr">
        <is>
          <t>Unknown</t>
        </is>
      </c>
      <c r="T1585" t="inlineStr">
        <is>
          <t>https://tenders.iglonline.net/uploads/tender/Commercial_Corrigendum_1_CC17486.pdf</t>
        </is>
      </c>
      <c r="U1585" t="inlineStr">
        <is>
          <t>No</t>
        </is>
      </c>
      <c r="V1585" t="inlineStr">
        <is>
          <t>Bot tarafindan tespit edildi (2026-07-01)</t>
        </is>
      </c>
    </row>
    <row r="1586">
      <c r="A1586" t="inlineStr">
        <is>
          <t>T-1390</t>
        </is>
      </c>
      <c r="B1586" t="inlineStr">
        <is>
          <t>Indraprastha Gas (IGL)</t>
        </is>
      </c>
      <c r="C1586" t="inlineStr">
        <is>
          <t>Indraprastha Gas (IGL)</t>
        </is>
      </c>
      <c r="F1586" t="inlineStr">
        <is>
          <t>New Lead</t>
        </is>
      </c>
      <c r="H1586" t="inlineStr">
        <is>
          <t>View Tender</t>
        </is>
      </c>
      <c r="K1586" t="inlineStr">
        <is>
          <t>Not found</t>
        </is>
      </c>
      <c r="L1586" t="inlineStr">
        <is>
          <t>Unknown</t>
        </is>
      </c>
      <c r="T1586" t="inlineStr">
        <is>
          <t>https://tenders.iglonline.net/tenderDetail/137/Active Tenders And Corrigendum-Addendum</t>
        </is>
      </c>
      <c r="U1586" t="inlineStr">
        <is>
          <t>No</t>
        </is>
      </c>
      <c r="V1586" t="inlineStr">
        <is>
          <t>Bot tarafindan tespit edildi (2026-07-01)</t>
        </is>
      </c>
    </row>
    <row r="1587">
      <c r="A1587" t="inlineStr">
        <is>
          <t>T-1391</t>
        </is>
      </c>
      <c r="B1587" t="inlineStr">
        <is>
          <t>Indraprastha Gas (IGL)</t>
        </is>
      </c>
      <c r="C1587" t="inlineStr">
        <is>
          <t>Indraprastha Gas (IGL)</t>
        </is>
      </c>
      <c r="F1587" t="inlineStr">
        <is>
          <t>New Lead</t>
        </is>
      </c>
      <c r="H1587" t="inlineStr">
        <is>
          <t>Corrigendum1_xlsx_(1).pdf</t>
        </is>
      </c>
      <c r="K1587" t="inlineStr">
        <is>
          <t>Not found</t>
        </is>
      </c>
      <c r="L1587" t="inlineStr">
        <is>
          <t>Unknown</t>
        </is>
      </c>
      <c r="T1587" t="inlineStr">
        <is>
          <t>https://tenders.iglonline.net/uploads/tender/Corrigendum1_xlsx_(1).pdf</t>
        </is>
      </c>
      <c r="U1587" t="inlineStr">
        <is>
          <t>No</t>
        </is>
      </c>
      <c r="V1587" t="inlineStr">
        <is>
          <t>Bot tarafindan tespit edildi (2026-07-01)</t>
        </is>
      </c>
    </row>
    <row r="1588">
      <c r="A1588" t="inlineStr">
        <is>
          <t>T-1392</t>
        </is>
      </c>
      <c r="B1588" t="inlineStr">
        <is>
          <t>Indraprastha Gas (IGL)</t>
        </is>
      </c>
      <c r="C1588" t="inlineStr">
        <is>
          <t>Indraprastha Gas (IGL)</t>
        </is>
      </c>
      <c r="F1588" t="inlineStr">
        <is>
          <t>New Lead</t>
        </is>
      </c>
      <c r="H1588" t="inlineStr">
        <is>
          <t>View Tender</t>
        </is>
      </c>
      <c r="K1588" t="inlineStr">
        <is>
          <t>Not found</t>
        </is>
      </c>
      <c r="L1588" t="inlineStr">
        <is>
          <t>Unknown</t>
        </is>
      </c>
      <c r="T1588" t="inlineStr">
        <is>
          <t>https://tenders.iglonline.net/tenderDetail/136/Active Tenders And Corrigendum-Addendum</t>
        </is>
      </c>
      <c r="U1588" t="inlineStr">
        <is>
          <t>No</t>
        </is>
      </c>
      <c r="V1588" t="inlineStr">
        <is>
          <t>Bot tarafindan tespit edildi (2026-07-01)</t>
        </is>
      </c>
    </row>
    <row r="1589">
      <c r="A1589" t="inlineStr">
        <is>
          <t>T-1393</t>
        </is>
      </c>
      <c r="B1589" t="inlineStr">
        <is>
          <t>Indraprastha Gas (IGL)</t>
        </is>
      </c>
      <c r="C1589" t="inlineStr">
        <is>
          <t>Indraprastha Gas (IGL)</t>
        </is>
      </c>
      <c r="F1589" t="inlineStr">
        <is>
          <t>New Lead</t>
        </is>
      </c>
      <c r="H1589" t="inlineStr">
        <is>
          <t>Replies_to_bidders_queries_(1).pdf</t>
        </is>
      </c>
      <c r="K1589" t="inlineStr">
        <is>
          <t>Not found</t>
        </is>
      </c>
      <c r="L1589" t="inlineStr">
        <is>
          <t>Unknown</t>
        </is>
      </c>
      <c r="T1589" t="inlineStr">
        <is>
          <t>https://tenders.iglonline.net/uploads/tender/Replies_to_bidders_queries_(1).pdf</t>
        </is>
      </c>
      <c r="U1589" t="inlineStr">
        <is>
          <t>No</t>
        </is>
      </c>
      <c r="V1589" t="inlineStr">
        <is>
          <t>Bot tarafindan tespit edildi (2026-07-01)</t>
        </is>
      </c>
    </row>
    <row r="1590">
      <c r="A1590" t="inlineStr">
        <is>
          <t>T-1394</t>
        </is>
      </c>
      <c r="B1590" t="inlineStr">
        <is>
          <t>Indraprastha Gas (IGL)</t>
        </is>
      </c>
      <c r="C1590" t="inlineStr">
        <is>
          <t>Indraprastha Gas (IGL)</t>
        </is>
      </c>
      <c r="F1590" t="inlineStr">
        <is>
          <t>New Lead</t>
        </is>
      </c>
      <c r="H1590" t="inlineStr">
        <is>
          <t>Corrigendum1_xlsx1.pdf</t>
        </is>
      </c>
      <c r="K1590" t="inlineStr">
        <is>
          <t>Not found</t>
        </is>
      </c>
      <c r="L1590" t="inlineStr">
        <is>
          <t>Unknown</t>
        </is>
      </c>
      <c r="T1590" t="inlineStr">
        <is>
          <t>https://tenders.iglonline.net/uploads/tender/Corrigendum1_xlsx1.pdf</t>
        </is>
      </c>
      <c r="U1590" t="inlineStr">
        <is>
          <t>No</t>
        </is>
      </c>
      <c r="V1590" t="inlineStr">
        <is>
          <t>Bot tarafindan tespit edildi (2026-07-01)</t>
        </is>
      </c>
    </row>
    <row r="1591">
      <c r="A1591" t="inlineStr">
        <is>
          <t>T-1395</t>
        </is>
      </c>
      <c r="B1591" t="inlineStr">
        <is>
          <t>Indraprastha Gas (IGL)</t>
        </is>
      </c>
      <c r="C1591" t="inlineStr">
        <is>
          <t>Indraprastha Gas (IGL)</t>
        </is>
      </c>
      <c r="F1591" t="inlineStr">
        <is>
          <t>New Lead</t>
        </is>
      </c>
      <c r="H1591" t="inlineStr">
        <is>
          <t>View Tender</t>
        </is>
      </c>
      <c r="K1591" t="inlineStr">
        <is>
          <t>Not found</t>
        </is>
      </c>
      <c r="L1591" t="inlineStr">
        <is>
          <t>Unknown</t>
        </is>
      </c>
      <c r="T1591" t="inlineStr">
        <is>
          <t>https://tenders.iglonline.net/tenderDetail/135/Active Tenders And Corrigendum-Addendum</t>
        </is>
      </c>
      <c r="U1591" t="inlineStr">
        <is>
          <t>No</t>
        </is>
      </c>
      <c r="V1591" t="inlineStr">
        <is>
          <t>Bot tarafindan tespit edildi (2026-07-01)</t>
        </is>
      </c>
    </row>
    <row r="1592">
      <c r="A1592" t="inlineStr">
        <is>
          <t>T-1396</t>
        </is>
      </c>
      <c r="B1592" t="inlineStr">
        <is>
          <t>Indraprastha Gas (IGL)</t>
        </is>
      </c>
      <c r="C1592" t="inlineStr">
        <is>
          <t>Indraprastha Gas (IGL)</t>
        </is>
      </c>
      <c r="F1592" t="inlineStr">
        <is>
          <t>New Lead</t>
        </is>
      </c>
      <c r="H1592" t="inlineStr">
        <is>
          <t>Corrigendum_1_CM17487.pdf</t>
        </is>
      </c>
      <c r="K1592" t="inlineStr">
        <is>
          <t>Not found</t>
        </is>
      </c>
      <c r="L1592" t="inlineStr">
        <is>
          <t>Unknown</t>
        </is>
      </c>
      <c r="T1592" t="inlineStr">
        <is>
          <t>https://tenders.iglonline.net/uploads/tender/Corrigendum_1_CM17487.pdf</t>
        </is>
      </c>
      <c r="U1592" t="inlineStr">
        <is>
          <t>No</t>
        </is>
      </c>
      <c r="V1592" t="inlineStr">
        <is>
          <t>Bot tarafindan tespit edildi (2026-07-01)</t>
        </is>
      </c>
    </row>
    <row r="1593">
      <c r="A1593" t="inlineStr">
        <is>
          <t>T-1397</t>
        </is>
      </c>
      <c r="B1593" t="inlineStr">
        <is>
          <t>Indraprastha Gas (IGL)</t>
        </is>
      </c>
      <c r="C1593" t="inlineStr">
        <is>
          <t>Indraprastha Gas (IGL)</t>
        </is>
      </c>
      <c r="F1593" t="inlineStr">
        <is>
          <t>New Lead</t>
        </is>
      </c>
      <c r="H1593" t="inlineStr">
        <is>
          <t>View Tender</t>
        </is>
      </c>
      <c r="K1593" t="inlineStr">
        <is>
          <t>Not found</t>
        </is>
      </c>
      <c r="L1593" t="inlineStr">
        <is>
          <t>Unknown</t>
        </is>
      </c>
      <c r="T1593" t="inlineStr">
        <is>
          <t>https://tenders.iglonline.net/tenderDetail/134/Active Tenders And Corrigendum-Addendum</t>
        </is>
      </c>
      <c r="U1593" t="inlineStr">
        <is>
          <t>No</t>
        </is>
      </c>
      <c r="V1593" t="inlineStr">
        <is>
          <t>Bot tarafindan tespit edildi (2026-07-01)</t>
        </is>
      </c>
    </row>
    <row r="1594">
      <c r="A1594" t="inlineStr">
        <is>
          <t>T-1398</t>
        </is>
      </c>
      <c r="B1594" t="inlineStr">
        <is>
          <t>Indraprastha Gas (IGL)</t>
        </is>
      </c>
      <c r="C1594" t="inlineStr">
        <is>
          <t>Indraprastha Gas (IGL)</t>
        </is>
      </c>
      <c r="F1594" t="inlineStr">
        <is>
          <t>New Lead</t>
        </is>
      </c>
      <c r="H1594" t="inlineStr">
        <is>
          <t>Commercial_Corrigendum_1_CC17481.pdf</t>
        </is>
      </c>
      <c r="K1594" t="inlineStr">
        <is>
          <t>Not found</t>
        </is>
      </c>
      <c r="L1594" t="inlineStr">
        <is>
          <t>Unknown</t>
        </is>
      </c>
      <c r="T1594" t="inlineStr">
        <is>
          <t>https://tenders.iglonline.net/uploads/tender/Commercial_Corrigendum_1_CC17481.pdf</t>
        </is>
      </c>
      <c r="U1594" t="inlineStr">
        <is>
          <t>No</t>
        </is>
      </c>
      <c r="V1594" t="inlineStr">
        <is>
          <t>Bot tarafindan tespit edildi (2026-07-01)</t>
        </is>
      </c>
    </row>
    <row r="1595">
      <c r="A1595" t="inlineStr">
        <is>
          <t>T-1399</t>
        </is>
      </c>
      <c r="B1595" t="inlineStr">
        <is>
          <t>Indraprastha Gas (IGL)</t>
        </is>
      </c>
      <c r="C1595" t="inlineStr">
        <is>
          <t>Indraprastha Gas (IGL)</t>
        </is>
      </c>
      <c r="F1595" t="inlineStr">
        <is>
          <t>New Lead</t>
        </is>
      </c>
      <c r="H1595" t="inlineStr">
        <is>
          <t>Reply_Pre-Bid_Queries_CC17481.pdf</t>
        </is>
      </c>
      <c r="K1595" t="inlineStr">
        <is>
          <t>Not found</t>
        </is>
      </c>
      <c r="L1595" t="inlineStr">
        <is>
          <t>Unknown</t>
        </is>
      </c>
      <c r="T1595" t="inlineStr">
        <is>
          <t>https://tenders.iglonline.net/uploads/tender/Reply_Pre-Bid_Queries_CC17481.pdf</t>
        </is>
      </c>
      <c r="U1595" t="inlineStr">
        <is>
          <t>No</t>
        </is>
      </c>
      <c r="V1595" t="inlineStr">
        <is>
          <t>Bot tarafindan tespit edildi (2026-07-01)</t>
        </is>
      </c>
    </row>
    <row r="1596">
      <c r="A1596" t="inlineStr">
        <is>
          <t>T-1400</t>
        </is>
      </c>
      <c r="B1596" t="inlineStr">
        <is>
          <t>Indraprastha Gas (IGL)</t>
        </is>
      </c>
      <c r="C1596" t="inlineStr">
        <is>
          <t>Indraprastha Gas (IGL)</t>
        </is>
      </c>
      <c r="F1596" t="inlineStr">
        <is>
          <t>New Lead</t>
        </is>
      </c>
      <c r="H1596" t="inlineStr">
        <is>
          <t>View Tender</t>
        </is>
      </c>
      <c r="K1596" t="inlineStr">
        <is>
          <t>Not found</t>
        </is>
      </c>
      <c r="L1596" t="inlineStr">
        <is>
          <t>Unknown</t>
        </is>
      </c>
      <c r="T1596" t="inlineStr">
        <is>
          <t>https://tenders.iglonline.net/tenderDetail/133/Active Tenders And Corrigendum-Addendum</t>
        </is>
      </c>
      <c r="U1596" t="inlineStr">
        <is>
          <t>No</t>
        </is>
      </c>
      <c r="V1596" t="inlineStr">
        <is>
          <t>Bot tarafindan tespit edildi (2026-07-01)</t>
        </is>
      </c>
    </row>
    <row r="1597">
      <c r="A1597" t="inlineStr">
        <is>
          <t>T-1401</t>
        </is>
      </c>
      <c r="B1597" t="inlineStr">
        <is>
          <t>Indraprastha Gas (IGL)</t>
        </is>
      </c>
      <c r="C1597" t="inlineStr">
        <is>
          <t>Indraprastha Gas (IGL)</t>
        </is>
      </c>
      <c r="F1597" t="inlineStr">
        <is>
          <t>New Lead</t>
        </is>
      </c>
      <c r="H1597" t="inlineStr">
        <is>
          <t>CP17374_dated_13_02_2023_TID_30998_Corrigendum_2.pdf</t>
        </is>
      </c>
      <c r="K1597" t="inlineStr">
        <is>
          <t>Not found</t>
        </is>
      </c>
      <c r="L1597" t="inlineStr">
        <is>
          <t>Unknown</t>
        </is>
      </c>
      <c r="T1597" t="inlineStr">
        <is>
          <t>https://tenders.iglonline.net/uploads/tender/CP17374_dated_13_02_2023_TID_30998_Corrigendum_2.pdf</t>
        </is>
      </c>
      <c r="U1597" t="inlineStr">
        <is>
          <t>No</t>
        </is>
      </c>
      <c r="V1597" t="inlineStr">
        <is>
          <t>Bot tarafindan tespit edildi (2026-07-01)</t>
        </is>
      </c>
    </row>
    <row r="1598">
      <c r="A1598" t="inlineStr">
        <is>
          <t>T-1402</t>
        </is>
      </c>
      <c r="B1598" t="inlineStr">
        <is>
          <t>Indraprastha Gas (IGL)</t>
        </is>
      </c>
      <c r="C1598" t="inlineStr">
        <is>
          <t>Indraprastha Gas (IGL)</t>
        </is>
      </c>
      <c r="F1598" t="inlineStr">
        <is>
          <t>New Lead</t>
        </is>
      </c>
      <c r="H1598" t="inlineStr">
        <is>
          <t>CP17374_dated_13_02_2023_TID_30998_Replies_to_bidders_queries.pdf</t>
        </is>
      </c>
      <c r="K1598" t="inlineStr">
        <is>
          <t>Not found</t>
        </is>
      </c>
      <c r="L1598" t="inlineStr">
        <is>
          <t>Unknown</t>
        </is>
      </c>
      <c r="T1598" t="inlineStr">
        <is>
          <t>https://tenders.iglonline.net/uploads/tender/CP17374_dated_13_02_2023_TID_30998_Replies_to_bidders_queries.pdf</t>
        </is>
      </c>
      <c r="U1598" t="inlineStr">
        <is>
          <t>No</t>
        </is>
      </c>
      <c r="V1598" t="inlineStr">
        <is>
          <t>Bot tarafindan tespit edildi (2026-07-01)</t>
        </is>
      </c>
    </row>
    <row r="1599">
      <c r="A1599" t="inlineStr">
        <is>
          <t>T-1403</t>
        </is>
      </c>
      <c r="B1599" t="inlineStr">
        <is>
          <t>Indraprastha Gas (IGL)</t>
        </is>
      </c>
      <c r="C1599" t="inlineStr">
        <is>
          <t>Indraprastha Gas (IGL)</t>
        </is>
      </c>
      <c r="F1599" t="inlineStr">
        <is>
          <t>New Lead</t>
        </is>
      </c>
      <c r="H1599" t="inlineStr">
        <is>
          <t>CP17374_dated_13_02_2023_TID_30998_Corrigendum_1.pdf</t>
        </is>
      </c>
      <c r="K1599" t="inlineStr">
        <is>
          <t>Not found</t>
        </is>
      </c>
      <c r="L1599" t="inlineStr">
        <is>
          <t>Unknown</t>
        </is>
      </c>
      <c r="T1599" t="inlineStr">
        <is>
          <t>https://tenders.iglonline.net/uploads/tender/CP17374_dated_13_02_2023_TID_30998_Corrigendum_1.pdf</t>
        </is>
      </c>
      <c r="U1599" t="inlineStr">
        <is>
          <t>No</t>
        </is>
      </c>
      <c r="V1599" t="inlineStr">
        <is>
          <t>Bot tarafindan tespit edildi (2026-07-01)</t>
        </is>
      </c>
    </row>
    <row r="1600">
      <c r="A1600" t="inlineStr">
        <is>
          <t>T-1404</t>
        </is>
      </c>
      <c r="B1600" t="inlineStr">
        <is>
          <t>Indraprastha Gas (IGL)</t>
        </is>
      </c>
      <c r="C1600" t="inlineStr">
        <is>
          <t>Indraprastha Gas (IGL)</t>
        </is>
      </c>
      <c r="F1600" t="inlineStr">
        <is>
          <t>New Lead</t>
        </is>
      </c>
      <c r="H1600" t="inlineStr">
        <is>
          <t>View Tender</t>
        </is>
      </c>
      <c r="K1600" t="inlineStr">
        <is>
          <t>Not found</t>
        </is>
      </c>
      <c r="L1600" t="inlineStr">
        <is>
          <t>Unknown</t>
        </is>
      </c>
      <c r="T1600" t="inlineStr">
        <is>
          <t>https://tenders.iglonline.net/tenderDetail/132/Active Tenders And Corrigendum-Addendum</t>
        </is>
      </c>
      <c r="U1600" t="inlineStr">
        <is>
          <t>No</t>
        </is>
      </c>
      <c r="V1600" t="inlineStr">
        <is>
          <t>Bot tarafindan tespit edildi (2026-07-01)</t>
        </is>
      </c>
    </row>
    <row r="1601">
      <c r="A1601" t="inlineStr">
        <is>
          <t>T-1405</t>
        </is>
      </c>
      <c r="B1601" t="inlineStr">
        <is>
          <t>Indraprastha Gas (IGL)</t>
        </is>
      </c>
      <c r="C1601" t="inlineStr">
        <is>
          <t>Indraprastha Gas (IGL)</t>
        </is>
      </c>
      <c r="F1601" t="inlineStr">
        <is>
          <t>New Lead</t>
        </is>
      </c>
      <c r="H1601" t="inlineStr">
        <is>
          <t>CP17390_dated_07_03_2023_TID_31007_Corrigendum_3_CP173902.pdf</t>
        </is>
      </c>
      <c r="K1601" t="inlineStr">
        <is>
          <t>Not found</t>
        </is>
      </c>
      <c r="L1601" t="inlineStr">
        <is>
          <t>Unknown</t>
        </is>
      </c>
      <c r="T1601" t="inlineStr">
        <is>
          <t>https://tenders.iglonline.net/uploads/tender/CP17390_dated_07_03_2023_TID_31007_Corrigendum_3_CP173902.pdf</t>
        </is>
      </c>
      <c r="U1601" t="inlineStr">
        <is>
          <t>No</t>
        </is>
      </c>
      <c r="V1601" t="inlineStr">
        <is>
          <t>Bot tarafindan tespit edildi (2026-07-01)</t>
        </is>
      </c>
    </row>
    <row r="1602">
      <c r="A1602" t="inlineStr">
        <is>
          <t>T-1406</t>
        </is>
      </c>
      <c r="B1602" t="inlineStr">
        <is>
          <t>Indraprastha Gas (IGL)</t>
        </is>
      </c>
      <c r="C1602" t="inlineStr">
        <is>
          <t>Indraprastha Gas (IGL)</t>
        </is>
      </c>
      <c r="F1602" t="inlineStr">
        <is>
          <t>New Lead</t>
        </is>
      </c>
      <c r="H1602" t="inlineStr">
        <is>
          <t>CP17390_dated_07_03_2023_TID_31007_Replies_to_bidders_queries2.pdf</t>
        </is>
      </c>
      <c r="K1602" t="inlineStr">
        <is>
          <t>Not found</t>
        </is>
      </c>
      <c r="L1602" t="inlineStr">
        <is>
          <t>Unknown</t>
        </is>
      </c>
      <c r="T1602" t="inlineStr">
        <is>
          <t>https://tenders.iglonline.net/uploads/tender/CP17390_dated_07_03_2023_TID_31007_Replies_to_bidders_queries2.pdf</t>
        </is>
      </c>
      <c r="U1602" t="inlineStr">
        <is>
          <t>No</t>
        </is>
      </c>
      <c r="V1602" t="inlineStr">
        <is>
          <t>Bot tarafindan tespit edildi (2026-07-01)</t>
        </is>
      </c>
    </row>
    <row r="1603">
      <c r="A1603" t="inlineStr">
        <is>
          <t>T-1407</t>
        </is>
      </c>
      <c r="B1603" t="inlineStr">
        <is>
          <t>Indraprastha Gas (IGL)</t>
        </is>
      </c>
      <c r="C1603" t="inlineStr">
        <is>
          <t>Indraprastha Gas (IGL)</t>
        </is>
      </c>
      <c r="F1603" t="inlineStr">
        <is>
          <t>New Lead</t>
        </is>
      </c>
      <c r="H1603" t="inlineStr">
        <is>
          <t>CP17390_dated_07_03_2023_TID_31007_Corrigendum_21.pdf</t>
        </is>
      </c>
      <c r="K1603" t="inlineStr">
        <is>
          <t>Not found</t>
        </is>
      </c>
      <c r="L1603" t="inlineStr">
        <is>
          <t>Unknown</t>
        </is>
      </c>
      <c r="T1603" t="inlineStr">
        <is>
          <t>https://tenders.iglonline.net/uploads/tender/CP17390_dated_07_03_2023_TID_31007_Corrigendum_21.pdf</t>
        </is>
      </c>
      <c r="U1603" t="inlineStr">
        <is>
          <t>No</t>
        </is>
      </c>
      <c r="V1603" t="inlineStr">
        <is>
          <t>Bot tarafindan tespit edildi (2026-07-01)</t>
        </is>
      </c>
    </row>
    <row r="1604">
      <c r="A1604" t="inlineStr">
        <is>
          <t>T-1408</t>
        </is>
      </c>
      <c r="B1604" t="inlineStr">
        <is>
          <t>Indraprastha Gas (IGL)</t>
        </is>
      </c>
      <c r="C1604" t="inlineStr">
        <is>
          <t>Indraprastha Gas (IGL)</t>
        </is>
      </c>
      <c r="F1604" t="inlineStr">
        <is>
          <t>New Lead</t>
        </is>
      </c>
      <c r="H1604" t="inlineStr">
        <is>
          <t>CP17390_dated_07_03_2023_TID_31007_Corrigendum_1_Annex.pdf</t>
        </is>
      </c>
      <c r="K1604" t="inlineStr">
        <is>
          <t>Not found</t>
        </is>
      </c>
      <c r="L1604" t="inlineStr">
        <is>
          <t>Unknown</t>
        </is>
      </c>
      <c r="T1604" t="inlineStr">
        <is>
          <t>https://tenders.iglonline.net/uploads/tender/CP17390_dated_07_03_2023_TID_31007_Corrigendum_1_Annex.pdf</t>
        </is>
      </c>
      <c r="U1604" t="inlineStr">
        <is>
          <t>No</t>
        </is>
      </c>
      <c r="V1604" t="inlineStr">
        <is>
          <t>Bot tarafindan tespit edildi (2026-07-01)</t>
        </is>
      </c>
    </row>
    <row r="1605">
      <c r="A1605" t="inlineStr">
        <is>
          <t>T-1409</t>
        </is>
      </c>
      <c r="B1605" t="inlineStr">
        <is>
          <t>Indraprastha Gas (IGL)</t>
        </is>
      </c>
      <c r="C1605" t="inlineStr">
        <is>
          <t>Indraprastha Gas (IGL)</t>
        </is>
      </c>
      <c r="F1605" t="inlineStr">
        <is>
          <t>New Lead</t>
        </is>
      </c>
      <c r="H1605" t="inlineStr">
        <is>
          <t>View Tender</t>
        </is>
      </c>
      <c r="K1605" t="inlineStr">
        <is>
          <t>Not found</t>
        </is>
      </c>
      <c r="L1605" t="inlineStr">
        <is>
          <t>Unknown</t>
        </is>
      </c>
      <c r="T1605" t="inlineStr">
        <is>
          <t>https://tenders.iglonline.net/tenderDetail/131/Active Tenders And Corrigendum-Addendum</t>
        </is>
      </c>
      <c r="U1605" t="inlineStr">
        <is>
          <t>No</t>
        </is>
      </c>
      <c r="V1605" t="inlineStr">
        <is>
          <t>Bot tarafindan tespit edildi (2026-07-01)</t>
        </is>
      </c>
    </row>
    <row r="1606">
      <c r="A1606" t="inlineStr">
        <is>
          <t>T-1410</t>
        </is>
      </c>
      <c r="B1606" t="inlineStr">
        <is>
          <t>Indraprastha Gas (IGL)</t>
        </is>
      </c>
      <c r="C1606" t="inlineStr">
        <is>
          <t>Indraprastha Gas (IGL)</t>
        </is>
      </c>
      <c r="F1606" t="inlineStr">
        <is>
          <t>New Lead</t>
        </is>
      </c>
      <c r="H1606" t="inlineStr">
        <is>
          <t>Corrigendum_1_CP17429.pdf</t>
        </is>
      </c>
      <c r="K1606" t="inlineStr">
        <is>
          <t>Not found</t>
        </is>
      </c>
      <c r="L1606" t="inlineStr">
        <is>
          <t>Unknown</t>
        </is>
      </c>
      <c r="T1606" t="inlineStr">
        <is>
          <t>https://tenders.iglonline.net/uploads/tender/Corrigendum_1_CP17429.pdf</t>
        </is>
      </c>
      <c r="U1606" t="inlineStr">
        <is>
          <t>No</t>
        </is>
      </c>
      <c r="V1606" t="inlineStr">
        <is>
          <t>Bot tarafindan tespit edildi (2026-07-01)</t>
        </is>
      </c>
    </row>
    <row r="1607">
      <c r="A1607" t="inlineStr">
        <is>
          <t>T-1411</t>
        </is>
      </c>
      <c r="B1607" t="inlineStr">
        <is>
          <t>Indraprastha Gas (IGL)</t>
        </is>
      </c>
      <c r="C1607" t="inlineStr">
        <is>
          <t>Indraprastha Gas (IGL)</t>
        </is>
      </c>
      <c r="F1607" t="inlineStr">
        <is>
          <t>New Lead</t>
        </is>
      </c>
      <c r="H1607" t="inlineStr">
        <is>
          <t>Corrigendum_22.pdf</t>
        </is>
      </c>
      <c r="K1607" t="inlineStr">
        <is>
          <t>Not found</t>
        </is>
      </c>
      <c r="L1607" t="inlineStr">
        <is>
          <t>Unknown</t>
        </is>
      </c>
      <c r="T1607" t="inlineStr">
        <is>
          <t>https://tenders.iglonline.net/uploads/tender/Corrigendum_22.pdf</t>
        </is>
      </c>
      <c r="U1607" t="inlineStr">
        <is>
          <t>No</t>
        </is>
      </c>
      <c r="V1607" t="inlineStr">
        <is>
          <t>Bot tarafindan tespit edildi (2026-07-01)</t>
        </is>
      </c>
    </row>
    <row r="1608">
      <c r="A1608" t="inlineStr">
        <is>
          <t>T-1412</t>
        </is>
      </c>
      <c r="B1608" t="inlineStr">
        <is>
          <t>Indraprastha Gas (IGL)</t>
        </is>
      </c>
      <c r="C1608" t="inlineStr">
        <is>
          <t>Indraprastha Gas (IGL)</t>
        </is>
      </c>
      <c r="F1608" t="inlineStr">
        <is>
          <t>New Lead</t>
        </is>
      </c>
      <c r="H1608" t="inlineStr">
        <is>
          <t>Replies_to_bidders_queries.pdf</t>
        </is>
      </c>
      <c r="K1608" t="inlineStr">
        <is>
          <t>Not found</t>
        </is>
      </c>
      <c r="L1608" t="inlineStr">
        <is>
          <t>Unknown</t>
        </is>
      </c>
      <c r="T1608" t="inlineStr">
        <is>
          <t>https://tenders.iglonline.net/uploads/tender/Replies_to_bidders_queries.pdf</t>
        </is>
      </c>
      <c r="U1608" t="inlineStr">
        <is>
          <t>No</t>
        </is>
      </c>
      <c r="V1608" t="inlineStr">
        <is>
          <t>Bot tarafindan tespit edildi (2026-07-01)</t>
        </is>
      </c>
    </row>
    <row r="1609">
      <c r="A1609" t="inlineStr">
        <is>
          <t>T-1413</t>
        </is>
      </c>
      <c r="B1609" t="inlineStr">
        <is>
          <t>Indraprastha Gas (IGL)</t>
        </is>
      </c>
      <c r="C1609" t="inlineStr">
        <is>
          <t>Indraprastha Gas (IGL)</t>
        </is>
      </c>
      <c r="F1609" t="inlineStr">
        <is>
          <t>New Lead</t>
        </is>
      </c>
      <c r="H1609" t="inlineStr">
        <is>
          <t>Corrigendum_3_(1).pdf</t>
        </is>
      </c>
      <c r="K1609" t="inlineStr">
        <is>
          <t>Not found</t>
        </is>
      </c>
      <c r="L1609" t="inlineStr">
        <is>
          <t>Unknown</t>
        </is>
      </c>
      <c r="T1609" t="inlineStr">
        <is>
          <t>https://tenders.iglonline.net/uploads/tender/Corrigendum_3_(1).pdf</t>
        </is>
      </c>
      <c r="U1609" t="inlineStr">
        <is>
          <t>No</t>
        </is>
      </c>
      <c r="V1609" t="inlineStr">
        <is>
          <t>Bot tarafindan tespit edildi (2026-07-01)</t>
        </is>
      </c>
    </row>
    <row r="1610">
      <c r="A1610" t="inlineStr">
        <is>
          <t>T-1414</t>
        </is>
      </c>
      <c r="B1610" t="inlineStr">
        <is>
          <t>Indraprastha Gas (IGL)</t>
        </is>
      </c>
      <c r="C1610" t="inlineStr">
        <is>
          <t>Indraprastha Gas (IGL)</t>
        </is>
      </c>
      <c r="F1610" t="inlineStr">
        <is>
          <t>New Lead</t>
        </is>
      </c>
      <c r="G1610" t="inlineStr">
        <is>
          <t>Regulating station</t>
        </is>
      </c>
      <c r="H1610" t="inlineStr">
        <is>
          <t>View Tender</t>
        </is>
      </c>
      <c r="K1610" t="inlineStr">
        <is>
          <t>Not found</t>
        </is>
      </c>
      <c r="L1610" t="inlineStr">
        <is>
          <t>Unknown</t>
        </is>
      </c>
      <c r="T1610" t="inlineStr">
        <is>
          <t>https://tenders.iglonline.net/tenderDetail/130/Active Tenders And Corrigendum-Addendum</t>
        </is>
      </c>
      <c r="U1610" t="inlineStr">
        <is>
          <t>No</t>
        </is>
      </c>
      <c r="V1610" t="inlineStr">
        <is>
          <t>Bot tarafindan tespit edildi (2026-07-01); Bot tespit/zenginlestirme (2026-07-01); meta:score=80;priority=High;source_type=html_table;closing_date=;equipment=Regulating station;reasons=equipment:Regulating station,station/skid keyword,document source; Bot clean extraction (2026-07-01); meta:score=90;priority=High;source_type=html_table;closing_date=;equipment=Regulating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1611">
      <c r="A1611" t="inlineStr">
        <is>
          <t>T-1415</t>
        </is>
      </c>
      <c r="B1611" t="inlineStr">
        <is>
          <t>Indraprastha Gas (IGL)</t>
        </is>
      </c>
      <c r="C1611" t="inlineStr">
        <is>
          <t>Indraprastha Gas (IGL)</t>
        </is>
      </c>
      <c r="D1611" t="inlineStr">
        <is>
          <t>IGL/ET2/CP/CP17432</t>
        </is>
      </c>
      <c r="F1611" t="inlineStr">
        <is>
          <t>Awarded</t>
        </is>
      </c>
      <c r="G1611" t="inlineStr">
        <is>
          <t>MRS</t>
        </is>
      </c>
      <c r="H1611" t="inlineStr">
        <is>
          <t>Corrigendum_2.pdf</t>
        </is>
      </c>
      <c r="K1611" t="inlineStr">
        <is>
          <t>Not found</t>
        </is>
      </c>
      <c r="L1611" t="inlineStr">
        <is>
          <t>Unknown</t>
        </is>
      </c>
      <c r="T1611" t="inlineStr">
        <is>
          <t>https://tenders.iglonline.net/uploads/tender/Corrigendum_2.pdf</t>
        </is>
      </c>
      <c r="U1611" t="inlineStr">
        <is>
          <t>No</t>
        </is>
      </c>
      <c r="V1611"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1612">
      <c r="A1612" t="inlineStr">
        <is>
          <t>T-1416</t>
        </is>
      </c>
      <c r="B1612" t="inlineStr">
        <is>
          <t>Indraprastha Gas (IGL)</t>
        </is>
      </c>
      <c r="C1612" t="inlineStr">
        <is>
          <t>Indraprastha Gas (IGL)</t>
        </is>
      </c>
      <c r="D1612" t="inlineStr">
        <is>
          <t>IGL/ET2/CP/CP17432</t>
        </is>
      </c>
      <c r="F1612" t="inlineStr">
        <is>
          <t>Awarded</t>
        </is>
      </c>
      <c r="G1612" t="inlineStr">
        <is>
          <t>MRS</t>
        </is>
      </c>
      <c r="H1612" t="inlineStr">
        <is>
          <t>Corrigendum_3.pdf</t>
        </is>
      </c>
      <c r="K1612" t="inlineStr">
        <is>
          <t>Not found</t>
        </is>
      </c>
      <c r="L1612" t="inlineStr">
        <is>
          <t>Unknown</t>
        </is>
      </c>
      <c r="T1612" t="inlineStr">
        <is>
          <t>https://tenders.iglonline.net/uploads/tender/Corrigendum_3.pdf</t>
        </is>
      </c>
      <c r="U1612" t="inlineStr">
        <is>
          <t>No</t>
        </is>
      </c>
      <c r="V1612"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1613">
      <c r="A1613" t="inlineStr">
        <is>
          <t>T-1417</t>
        </is>
      </c>
      <c r="B1613" t="inlineStr">
        <is>
          <t>Indraprastha Gas (IGL)</t>
        </is>
      </c>
      <c r="C1613" t="inlineStr">
        <is>
          <t>Indraprastha Gas (IGL)</t>
        </is>
      </c>
      <c r="D1613" t="inlineStr">
        <is>
          <t>IGL/ET2/CP/CP17432</t>
        </is>
      </c>
      <c r="F1613" t="inlineStr">
        <is>
          <t>Awarded</t>
        </is>
      </c>
      <c r="G1613" t="inlineStr">
        <is>
          <t>MRS</t>
        </is>
      </c>
      <c r="H1613" t="inlineStr">
        <is>
          <t>Corrigendum_1_(5).pdf</t>
        </is>
      </c>
      <c r="K1613" t="inlineStr">
        <is>
          <t>Not found</t>
        </is>
      </c>
      <c r="L1613" t="inlineStr">
        <is>
          <t>Unknown</t>
        </is>
      </c>
      <c r="T1613" t="inlineStr">
        <is>
          <t>https://tenders.iglonline.net/uploads/tender/Corrigendum_1_(5).pdf</t>
        </is>
      </c>
      <c r="U1613" t="inlineStr">
        <is>
          <t>No</t>
        </is>
      </c>
      <c r="V1613"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1614">
      <c r="A1614" t="inlineStr">
        <is>
          <t>T-1418</t>
        </is>
      </c>
      <c r="B1614" t="inlineStr">
        <is>
          <t>Indraprastha Gas (IGL)</t>
        </is>
      </c>
      <c r="C1614" t="inlineStr">
        <is>
          <t>Indraprastha Gas (IGL)</t>
        </is>
      </c>
      <c r="F1614" t="inlineStr">
        <is>
          <t>New Lead</t>
        </is>
      </c>
      <c r="H1614" t="inlineStr">
        <is>
          <t>View Tender</t>
        </is>
      </c>
      <c r="K1614" t="inlineStr">
        <is>
          <t>Not found</t>
        </is>
      </c>
      <c r="L1614" t="inlineStr">
        <is>
          <t>Unknown</t>
        </is>
      </c>
      <c r="T1614" t="inlineStr">
        <is>
          <t>https://tenders.iglonline.net/tenderDetail/129/Active Tenders And Corrigendum-Addendum</t>
        </is>
      </c>
      <c r="U1614" t="inlineStr">
        <is>
          <t>No</t>
        </is>
      </c>
      <c r="V1614" t="inlineStr">
        <is>
          <t>Bot tarafindan tespit edildi (2026-07-01)</t>
        </is>
      </c>
    </row>
    <row r="1615">
      <c r="A1615" t="inlineStr">
        <is>
          <t>T-1419</t>
        </is>
      </c>
      <c r="B1615" t="inlineStr">
        <is>
          <t>Indraprastha Gas (IGL)</t>
        </is>
      </c>
      <c r="C1615" t="inlineStr">
        <is>
          <t>Indraprastha Gas (IGL)</t>
        </is>
      </c>
      <c r="F1615" t="inlineStr">
        <is>
          <t>New Lead</t>
        </is>
      </c>
      <c r="G1615" t="inlineStr">
        <is>
          <t>Unclassified</t>
        </is>
      </c>
      <c r="H1615" t="inlineStr">
        <is>
          <t>Corrigendum-I.pdf</t>
        </is>
      </c>
      <c r="K1615" t="inlineStr">
        <is>
          <t>Not found</t>
        </is>
      </c>
      <c r="L1615" t="inlineStr">
        <is>
          <t>Unknown</t>
        </is>
      </c>
      <c r="T1615" t="inlineStr">
        <is>
          <t>https://tenders.iglonline.net/uploads/tender/Corrigendum-I.pdf</t>
        </is>
      </c>
      <c r="U1615" t="inlineStr">
        <is>
          <t>No</t>
        </is>
      </c>
      <c r="V1615" t="inlineStr">
        <is>
          <t>Bot tarafindan tespit edildi (2026-07-01); Bot tespit/zenginlestirme (2026-07-01); meta:score=40;priority=Medium;source_type=html_table;closing_date=;equipment=Unclassified;reasons=document source,quantity signal</t>
        </is>
      </c>
    </row>
    <row r="1616">
      <c r="A1616" t="inlineStr">
        <is>
          <t>T-1420</t>
        </is>
      </c>
      <c r="B1616" t="inlineStr">
        <is>
          <t>Indraprastha Gas (IGL)</t>
        </is>
      </c>
      <c r="C1616" t="inlineStr">
        <is>
          <t>Indraprastha Gas (IGL)</t>
        </is>
      </c>
      <c r="F1616" t="inlineStr">
        <is>
          <t>New Lead</t>
        </is>
      </c>
      <c r="G1616" t="inlineStr">
        <is>
          <t>Unclassified</t>
        </is>
      </c>
      <c r="H1616" t="inlineStr">
        <is>
          <t>Corrigendum-II.pdf</t>
        </is>
      </c>
      <c r="K1616" t="inlineStr">
        <is>
          <t>Not found</t>
        </is>
      </c>
      <c r="L1616" t="inlineStr">
        <is>
          <t>Unknown</t>
        </is>
      </c>
      <c r="T1616" t="inlineStr">
        <is>
          <t>https://tenders.iglonline.net/uploads/tender/Corrigendum-II.pdf</t>
        </is>
      </c>
      <c r="U1616" t="inlineStr">
        <is>
          <t>No</t>
        </is>
      </c>
      <c r="V1616" t="inlineStr">
        <is>
          <t>Bot tarafindan tespit edildi (2026-07-01); Bot tespit/zenginlestirme (2026-07-01); meta:score=40;priority=Medium;source_type=html_table;closing_date=;equipment=Unclassified;reasons=document source,quantity signal</t>
        </is>
      </c>
    </row>
    <row r="1617">
      <c r="A1617" t="inlineStr">
        <is>
          <t>T-1421</t>
        </is>
      </c>
      <c r="B1617" t="inlineStr">
        <is>
          <t>Indraprastha Gas (IGL)</t>
        </is>
      </c>
      <c r="C1617" t="inlineStr">
        <is>
          <t>Indraprastha Gas (IGL)</t>
        </is>
      </c>
      <c r="F1617" t="inlineStr">
        <is>
          <t>New Lead</t>
        </is>
      </c>
      <c r="G1617" t="inlineStr">
        <is>
          <t>Unclassified</t>
        </is>
      </c>
      <c r="H1617" t="inlineStr">
        <is>
          <t>Corrigendum-III.pdf</t>
        </is>
      </c>
      <c r="K1617" t="inlineStr">
        <is>
          <t>Not found</t>
        </is>
      </c>
      <c r="L1617" t="inlineStr">
        <is>
          <t>Unknown</t>
        </is>
      </c>
      <c r="T1617" t="inlineStr">
        <is>
          <t>https://tenders.iglonline.net/uploads/tender/Corrigendum-III.pdf</t>
        </is>
      </c>
      <c r="U1617" t="inlineStr">
        <is>
          <t>No</t>
        </is>
      </c>
      <c r="V1617" t="inlineStr">
        <is>
          <t>Bot tarafindan tespit edildi (2026-07-01); Bot tespit/zenginlestirme (2026-07-01); meta:score=40;priority=Medium;source_type=html_table;closing_date=;equipment=Unclassified;reasons=document source,quantity signal</t>
        </is>
      </c>
    </row>
    <row r="1618">
      <c r="A1618" t="inlineStr">
        <is>
          <t>T-1422</t>
        </is>
      </c>
      <c r="B1618" t="inlineStr">
        <is>
          <t>Indraprastha Gas (IGL)</t>
        </is>
      </c>
      <c r="C1618" t="inlineStr">
        <is>
          <t>Indraprastha Gas (IGL)</t>
        </is>
      </c>
      <c r="F1618" t="inlineStr">
        <is>
          <t>New Lead</t>
        </is>
      </c>
      <c r="H1618" t="inlineStr">
        <is>
          <t>View Tender</t>
        </is>
      </c>
      <c r="K1618" t="inlineStr">
        <is>
          <t>Not found</t>
        </is>
      </c>
      <c r="L1618" t="inlineStr">
        <is>
          <t>Unknown</t>
        </is>
      </c>
      <c r="T1618" t="inlineStr">
        <is>
          <t>https://tenders.iglonline.net/tenderDetail/128/Active Tenders And Corrigendum-Addendum</t>
        </is>
      </c>
      <c r="U1618" t="inlineStr">
        <is>
          <t>No</t>
        </is>
      </c>
      <c r="V1618" t="inlineStr">
        <is>
          <t>Bot tarafindan tespit edildi (2026-07-01)</t>
        </is>
      </c>
    </row>
    <row r="1619">
      <c r="A1619" t="inlineStr">
        <is>
          <t>T-1423</t>
        </is>
      </c>
      <c r="B1619" t="inlineStr">
        <is>
          <t>Indraprastha Gas (IGL)</t>
        </is>
      </c>
      <c r="C1619" t="inlineStr">
        <is>
          <t>Indraprastha Gas (IGL)</t>
        </is>
      </c>
      <c r="F1619" t="inlineStr">
        <is>
          <t>New Lead</t>
        </is>
      </c>
      <c r="H1619" t="inlineStr">
        <is>
          <t>Corrigendum_I_CC17463.pdf</t>
        </is>
      </c>
      <c r="K1619" t="inlineStr">
        <is>
          <t>Not found</t>
        </is>
      </c>
      <c r="L1619" t="inlineStr">
        <is>
          <t>Unknown</t>
        </is>
      </c>
      <c r="T1619" t="inlineStr">
        <is>
          <t>https://tenders.iglonline.net/uploads/tender/Corrigendum_I_CC17463.pdf</t>
        </is>
      </c>
      <c r="U1619" t="inlineStr">
        <is>
          <t>No</t>
        </is>
      </c>
      <c r="V1619" t="inlineStr">
        <is>
          <t>Bot tarafindan tespit edildi (2026-07-01)</t>
        </is>
      </c>
    </row>
    <row r="1620">
      <c r="A1620" t="inlineStr">
        <is>
          <t>T-1424</t>
        </is>
      </c>
      <c r="B1620" t="inlineStr">
        <is>
          <t>Indraprastha Gas (IGL)</t>
        </is>
      </c>
      <c r="C1620" t="inlineStr">
        <is>
          <t>Indraprastha Gas (IGL)</t>
        </is>
      </c>
      <c r="F1620" t="inlineStr">
        <is>
          <t>New Lead</t>
        </is>
      </c>
      <c r="H1620" t="inlineStr">
        <is>
          <t>Reply_Prebid_Queries_CC17463.pdf</t>
        </is>
      </c>
      <c r="K1620" t="inlineStr">
        <is>
          <t>Not found</t>
        </is>
      </c>
      <c r="L1620" t="inlineStr">
        <is>
          <t>Unknown</t>
        </is>
      </c>
      <c r="T1620" t="inlineStr">
        <is>
          <t>https://tenders.iglonline.net/uploads/tender/Reply_Prebid_Queries_CC17463.pdf</t>
        </is>
      </c>
      <c r="U1620" t="inlineStr">
        <is>
          <t>No</t>
        </is>
      </c>
      <c r="V1620" t="inlineStr">
        <is>
          <t>Bot tarafindan tespit edildi (2026-07-01)</t>
        </is>
      </c>
    </row>
    <row r="1621">
      <c r="A1621" t="inlineStr">
        <is>
          <t>T-1425</t>
        </is>
      </c>
      <c r="B1621" t="inlineStr">
        <is>
          <t>Indraprastha Gas (IGL)</t>
        </is>
      </c>
      <c r="C1621" t="inlineStr">
        <is>
          <t>Indraprastha Gas (IGL)</t>
        </is>
      </c>
      <c r="F1621" t="inlineStr">
        <is>
          <t>New Lead</t>
        </is>
      </c>
      <c r="H1621" t="inlineStr">
        <is>
          <t>Corrigendum_II_CC17463.pdf</t>
        </is>
      </c>
      <c r="K1621" t="inlineStr">
        <is>
          <t>Not found</t>
        </is>
      </c>
      <c r="L1621" t="inlineStr">
        <is>
          <t>Unknown</t>
        </is>
      </c>
      <c r="T1621" t="inlineStr">
        <is>
          <t>https://tenders.iglonline.net/uploads/tender/Corrigendum_II_CC17463.pdf</t>
        </is>
      </c>
      <c r="U1621" t="inlineStr">
        <is>
          <t>No</t>
        </is>
      </c>
      <c r="V1621" t="inlineStr">
        <is>
          <t>Bot tarafindan tespit edildi (2026-07-01)</t>
        </is>
      </c>
    </row>
    <row r="1622">
      <c r="A1622" t="inlineStr">
        <is>
          <t>T-1426</t>
        </is>
      </c>
      <c r="B1622" t="inlineStr">
        <is>
          <t>Indraprastha Gas (IGL)</t>
        </is>
      </c>
      <c r="C1622" t="inlineStr">
        <is>
          <t>Indraprastha Gas (IGL)</t>
        </is>
      </c>
      <c r="F1622" t="inlineStr">
        <is>
          <t>New Lead</t>
        </is>
      </c>
      <c r="G1622" t="inlineStr">
        <is>
          <t>Regulating station</t>
        </is>
      </c>
      <c r="H1622" t="inlineStr">
        <is>
          <t>View Tender</t>
        </is>
      </c>
      <c r="K1622" t="inlineStr">
        <is>
          <t>Not found</t>
        </is>
      </c>
      <c r="L1622" t="inlineStr">
        <is>
          <t>Unknown</t>
        </is>
      </c>
      <c r="T1622" t="inlineStr">
        <is>
          <t>https://tenders.iglonline.net/tenderDetail/127/Active Tenders And Corrigendum-Addendum</t>
        </is>
      </c>
      <c r="U1622" t="inlineStr">
        <is>
          <t>No</t>
        </is>
      </c>
      <c r="V1622" t="inlineStr">
        <is>
          <t>Bot tarafindan tespit edildi (2026-07-01); Bot tespit/zenginlestirme (2026-07-01); meta:score=80;priority=High;source_type=html_table;closing_date=;equipment=Regulating station;reasons=equipment:Regulating station,station/skid keyword,document source; Bot clean extraction (2026-07-01); meta:score=90;priority=High;source_type=html_table;closing_date=;equipment=Regulating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1623">
      <c r="A1623" t="inlineStr">
        <is>
          <t>T-1427</t>
        </is>
      </c>
      <c r="B1623" t="inlineStr">
        <is>
          <t>Indraprastha Gas (IGL)</t>
        </is>
      </c>
      <c r="C1623" t="inlineStr">
        <is>
          <t>Indraprastha Gas (IGL)</t>
        </is>
      </c>
      <c r="D1623" t="inlineStr">
        <is>
          <t>FORLAYING</t>
        </is>
      </c>
      <c r="F1623" t="inlineStr">
        <is>
          <t>Awarded</t>
        </is>
      </c>
      <c r="G1623" t="inlineStr">
        <is>
          <t>MRS</t>
        </is>
      </c>
      <c r="H1623" t="inlineStr">
        <is>
          <t>Corrigendum_1_CP17431.pdf</t>
        </is>
      </c>
      <c r="K1623" t="inlineStr">
        <is>
          <t>Not found</t>
        </is>
      </c>
      <c r="L1623" t="inlineStr">
        <is>
          <t>Unknown</t>
        </is>
      </c>
      <c r="M1623" t="n">
        <v>100</v>
      </c>
      <c r="T1623" t="inlineStr">
        <is>
          <t>https://tenders.iglonline.net/uploads/tender/Corrigendum_1_CP17431.pdf</t>
        </is>
      </c>
      <c r="U1623" t="inlineStr">
        <is>
          <t>No</t>
        </is>
      </c>
      <c r="V1623" t="inlineStr">
        <is>
          <t>Bot tarafindan tespit edildi (2026-07-01) | Bot enrich; date=2026-07-01; type=pdf; score=330; pdf_conf=Medium;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station;quality_status=market_target;market_relevance=High;document_type=award;unit_price_inr=;amount_label=currency_near_total;matched_terms=Regulating / metering station;reject_reasons=employment/corporate;scope=market_intelligence_only;excluded_scope=no_bid_or_offer_submission_automation</t>
        </is>
      </c>
    </row>
    <row r="1624">
      <c r="A1624" t="inlineStr">
        <is>
          <t>T-1428</t>
        </is>
      </c>
      <c r="B1624" t="inlineStr">
        <is>
          <t>Indraprastha Gas (IGL)</t>
        </is>
      </c>
      <c r="C1624" t="inlineStr">
        <is>
          <t>Indraprastha Gas (IGL)</t>
        </is>
      </c>
      <c r="D1624" t="inlineStr">
        <is>
          <t>IGL/ET2/CP/CP17431</t>
        </is>
      </c>
      <c r="F1624" t="inlineStr">
        <is>
          <t>Awarded</t>
        </is>
      </c>
      <c r="G1624" t="inlineStr">
        <is>
          <t>MRS</t>
        </is>
      </c>
      <c r="H1624" t="inlineStr">
        <is>
          <t>Corrigendum_2_(1).pdf</t>
        </is>
      </c>
      <c r="K1624" t="inlineStr">
        <is>
          <t>Not found</t>
        </is>
      </c>
      <c r="L1624" t="inlineStr">
        <is>
          <t>Unknown</t>
        </is>
      </c>
      <c r="T1624" t="inlineStr">
        <is>
          <t>https://tenders.iglonline.net/uploads/tender/Corrigendum_2_(1).pdf</t>
        </is>
      </c>
      <c r="U1624" t="inlineStr">
        <is>
          <t>No</t>
        </is>
      </c>
      <c r="V1624"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1625">
      <c r="A1625" t="inlineStr">
        <is>
          <t>T-1429</t>
        </is>
      </c>
      <c r="B1625" t="inlineStr">
        <is>
          <t>Indraprastha Gas (IGL)</t>
        </is>
      </c>
      <c r="C1625" t="inlineStr">
        <is>
          <t>Indraprastha Gas (IGL)</t>
        </is>
      </c>
      <c r="D1625" t="inlineStr">
        <is>
          <t>FORLAYING</t>
        </is>
      </c>
      <c r="F1625" t="inlineStr">
        <is>
          <t>Awarded</t>
        </is>
      </c>
      <c r="G1625" t="inlineStr">
        <is>
          <t>MRS</t>
        </is>
      </c>
      <c r="H1625" t="inlineStr">
        <is>
          <t>Corrigendum_31.pdf</t>
        </is>
      </c>
      <c r="K1625" t="inlineStr">
        <is>
          <t>s mentioned pool-wise in above table) Top</t>
        </is>
      </c>
      <c r="L1625" t="inlineStr">
        <is>
          <t>Unknown</t>
        </is>
      </c>
      <c r="M1625" t="n">
        <v>100</v>
      </c>
      <c r="T1625" t="inlineStr">
        <is>
          <t>https://tenders.iglonline.net/uploads/tender/Corrigendum_31.pdf</t>
        </is>
      </c>
      <c r="U1625" t="inlineStr">
        <is>
          <t>No</t>
        </is>
      </c>
      <c r="V1625" t="inlineStr">
        <is>
          <t>Bot tarafindan tespit edildi (2026-07-01) | Bot enrich; date=2026-07-01; type=pdf; score=330; pdf_conf=Medium;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station;quality_status=market_target;market_relevance=High;document_type=award;unit_price_inr=;amount_label=currency_near_total;matched_terms=Regulating / metering station;reject_reasons=employment/corporate;scope=market_intelligence_only;excluded_scope=no_bid_or_offer_submission_automation</t>
        </is>
      </c>
    </row>
    <row r="1626">
      <c r="A1626" t="inlineStr">
        <is>
          <t>T-1430</t>
        </is>
      </c>
      <c r="B1626" t="inlineStr">
        <is>
          <t>Indraprastha Gas (IGL)</t>
        </is>
      </c>
      <c r="C1626" t="inlineStr">
        <is>
          <t>Indraprastha Gas (IGL)</t>
        </is>
      </c>
      <c r="D1626" t="inlineStr">
        <is>
          <t>LOA issue</t>
        </is>
      </c>
      <c r="E1626" t="inlineStr">
        <is>
          <t>30 May 2023</t>
        </is>
      </c>
      <c r="F1626" t="inlineStr">
        <is>
          <t>Awarded</t>
        </is>
      </c>
      <c r="G1626" t="inlineStr">
        <is>
          <t>MRS</t>
        </is>
      </c>
      <c r="H1626" t="inlineStr">
        <is>
          <t>Replies_to_bidders_queries1.pdf</t>
        </is>
      </c>
      <c r="K1626" t="inlineStr">
        <is>
          <t>left the segment due to any reason. Commercial All Policy should be on basic value like all</t>
        </is>
      </c>
      <c r="L1626" t="inlineStr">
        <is>
          <t>Unknown</t>
        </is>
      </c>
      <c r="M1626" t="n">
        <v>1400</v>
      </c>
      <c r="T1626" t="inlineStr">
        <is>
          <t>https://tenders.iglonline.net/uploads/tender/Replies_to_bidders_queries1.pdf</t>
        </is>
      </c>
      <c r="U1626" t="inlineStr">
        <is>
          <t>No</t>
        </is>
      </c>
      <c r="V1626" t="inlineStr">
        <is>
          <t>Bot tarafindan tespit edildi (2026-07-01) | closing=30 May 2023 | Bot enrich; date=2026-07-01; type=pdf; pdf_closing=30 May 2023; score=330; pdf_conf=High;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station;quality_status=market_target;market_relevance=High;document_type=award;unit_price_inr=;amount_label=currency_near_total;matched_terms=Regulating / metering station;reject_reasons=employment/corporate,non-product service;scope=market_intelligence_only;excluded_scope=no_bid_or_offer_submission_automation</t>
        </is>
      </c>
    </row>
    <row r="1627">
      <c r="A1627" t="inlineStr">
        <is>
          <t>T-1431</t>
        </is>
      </c>
      <c r="B1627" t="inlineStr">
        <is>
          <t>Indraprastha Gas (IGL)</t>
        </is>
      </c>
      <c r="C1627" t="inlineStr">
        <is>
          <t>Indraprastha Gas (IGL)</t>
        </is>
      </c>
      <c r="D1627" t="inlineStr">
        <is>
          <t>IGL/ET2/CP/CP17431</t>
        </is>
      </c>
      <c r="F1627" t="inlineStr">
        <is>
          <t>Awarded</t>
        </is>
      </c>
      <c r="G1627" t="inlineStr">
        <is>
          <t>MRS</t>
        </is>
      </c>
      <c r="H1627" t="inlineStr">
        <is>
          <t>Corrigendum_43.pdf</t>
        </is>
      </c>
      <c r="K1627" t="inlineStr">
        <is>
          <t>Not found</t>
        </is>
      </c>
      <c r="L1627" t="inlineStr">
        <is>
          <t>Unknown</t>
        </is>
      </c>
      <c r="T1627" t="inlineStr">
        <is>
          <t>https://tenders.iglonline.net/uploads/tender/Corrigendum_43.pdf</t>
        </is>
      </c>
      <c r="U1627" t="inlineStr">
        <is>
          <t>No</t>
        </is>
      </c>
      <c r="V1627" t="inlineStr">
        <is>
          <t>Bot tarafindan tespit edildi (2026-07-01) | Bot enrich; date=2026-07-01; type=pdf; score=330; pdf_conf=Low; Bot tespit/zenginlestirme (2026-07-01); meta:score=80;priority=High;source_type=html_table;closing_date=None;equipment=Regulating station;reasons=equipment:Regulating station,station/skid keyword,document source; Bot clean extraction (2026-07-01); meta:score=90;priority=High;source_type=html_table;closing_date=None;equipment=Regulating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1628">
      <c r="A1628" t="inlineStr">
        <is>
          <t>T-1432</t>
        </is>
      </c>
      <c r="B1628" t="inlineStr">
        <is>
          <t>Indraprastha Gas (IGL)</t>
        </is>
      </c>
      <c r="C1628" t="inlineStr">
        <is>
          <t>Indraprastha Gas (IGL)</t>
        </is>
      </c>
      <c r="F1628" t="inlineStr">
        <is>
          <t>New Lead</t>
        </is>
      </c>
      <c r="H1628" t="inlineStr">
        <is>
          <t>View Tender</t>
        </is>
      </c>
      <c r="K1628" t="inlineStr">
        <is>
          <t>Not found</t>
        </is>
      </c>
      <c r="L1628" t="inlineStr">
        <is>
          <t>Unknown</t>
        </is>
      </c>
      <c r="T1628" t="inlineStr">
        <is>
          <t>https://tenders.iglonline.net/tenderDetail/121/Active Tenders And Corrigendum-Addendum</t>
        </is>
      </c>
      <c r="U1628" t="inlineStr">
        <is>
          <t>No</t>
        </is>
      </c>
      <c r="V1628" t="inlineStr">
        <is>
          <t>Bot tarafindan tespit edildi (2026-07-01)</t>
        </is>
      </c>
    </row>
    <row r="1629">
      <c r="A1629" t="inlineStr">
        <is>
          <t>T-1433</t>
        </is>
      </c>
      <c r="B1629" t="inlineStr">
        <is>
          <t>Indraprastha Gas (IGL)</t>
        </is>
      </c>
      <c r="C1629" t="inlineStr">
        <is>
          <t>Indraprastha Gas (IGL)</t>
        </is>
      </c>
      <c r="F1629" t="inlineStr">
        <is>
          <t>New Lead</t>
        </is>
      </c>
      <c r="H1629" t="inlineStr">
        <is>
          <t>Corrigendum_I_CC17451.pdf</t>
        </is>
      </c>
      <c r="K1629" t="inlineStr">
        <is>
          <t>Not found</t>
        </is>
      </c>
      <c r="L1629" t="inlineStr">
        <is>
          <t>Unknown</t>
        </is>
      </c>
      <c r="T1629" t="inlineStr">
        <is>
          <t>https://tenders.iglonline.net/uploads/tender/Corrigendum_I_CC17451.pdf</t>
        </is>
      </c>
      <c r="U1629" t="inlineStr">
        <is>
          <t>No</t>
        </is>
      </c>
      <c r="V1629" t="inlineStr">
        <is>
          <t>Bot tarafindan tespit edildi (2026-07-01)</t>
        </is>
      </c>
    </row>
    <row r="1630">
      <c r="A1630" t="inlineStr">
        <is>
          <t>T-1434</t>
        </is>
      </c>
      <c r="B1630" t="inlineStr">
        <is>
          <t>Indraprastha Gas (IGL)</t>
        </is>
      </c>
      <c r="C1630" t="inlineStr">
        <is>
          <t>Indraprastha Gas (IGL)</t>
        </is>
      </c>
      <c r="F1630" t="inlineStr">
        <is>
          <t>New Lead</t>
        </is>
      </c>
      <c r="H1630" t="inlineStr">
        <is>
          <t>Corrigendum_II_CC17451.pdf</t>
        </is>
      </c>
      <c r="K1630" t="inlineStr">
        <is>
          <t>Not found</t>
        </is>
      </c>
      <c r="L1630" t="inlineStr">
        <is>
          <t>Unknown</t>
        </is>
      </c>
      <c r="T1630" t="inlineStr">
        <is>
          <t>https://tenders.iglonline.net/uploads/tender/Corrigendum_II_CC17451.pdf</t>
        </is>
      </c>
      <c r="U1630" t="inlineStr">
        <is>
          <t>No</t>
        </is>
      </c>
      <c r="V1630" t="inlineStr">
        <is>
          <t>Bot tarafindan tespit edildi (2026-07-01)</t>
        </is>
      </c>
    </row>
    <row r="1631">
      <c r="A1631" t="inlineStr">
        <is>
          <t>T-1435</t>
        </is>
      </c>
      <c r="B1631" t="inlineStr">
        <is>
          <t>Indraprastha Gas (IGL)</t>
        </is>
      </c>
      <c r="C1631" t="inlineStr">
        <is>
          <t>Indraprastha Gas (IGL)</t>
        </is>
      </c>
      <c r="F1631" t="inlineStr">
        <is>
          <t>New Lead</t>
        </is>
      </c>
      <c r="H1631" t="inlineStr">
        <is>
          <t>Reply_Prebid_Queries_CC17451.pdf</t>
        </is>
      </c>
      <c r="K1631" t="inlineStr">
        <is>
          <t>Not found</t>
        </is>
      </c>
      <c r="L1631" t="inlineStr">
        <is>
          <t>Unknown</t>
        </is>
      </c>
      <c r="T1631" t="inlineStr">
        <is>
          <t>https://tenders.iglonline.net/uploads/tender/Reply_Prebid_Queries_CC17451.pdf</t>
        </is>
      </c>
      <c r="U1631" t="inlineStr">
        <is>
          <t>No</t>
        </is>
      </c>
      <c r="V1631" t="inlineStr">
        <is>
          <t>Bot tarafindan tespit edildi (2026-07-01)</t>
        </is>
      </c>
    </row>
    <row r="1632">
      <c r="A1632" t="inlineStr">
        <is>
          <t>T-1436</t>
        </is>
      </c>
      <c r="B1632" t="inlineStr">
        <is>
          <t>Indraprastha Gas (IGL)</t>
        </is>
      </c>
      <c r="C1632" t="inlineStr">
        <is>
          <t>Indraprastha Gas (IGL)</t>
        </is>
      </c>
      <c r="F1632" t="inlineStr">
        <is>
          <t>New Lead</t>
        </is>
      </c>
      <c r="H1632" t="inlineStr">
        <is>
          <t>View Tender</t>
        </is>
      </c>
      <c r="K1632" t="inlineStr">
        <is>
          <t>Not found</t>
        </is>
      </c>
      <c r="L1632" t="inlineStr">
        <is>
          <t>Unknown</t>
        </is>
      </c>
      <c r="T1632" t="inlineStr">
        <is>
          <t>https://tenders.iglonline.net/tenderDetail/120/Active Tenders And Corrigendum-Addendum</t>
        </is>
      </c>
      <c r="U1632" t="inlineStr">
        <is>
          <t>No</t>
        </is>
      </c>
      <c r="V1632" t="inlineStr">
        <is>
          <t>Bot tarafindan tespit edildi (2026-07-01)</t>
        </is>
      </c>
    </row>
    <row r="1633">
      <c r="A1633" t="inlineStr">
        <is>
          <t>T-1437</t>
        </is>
      </c>
      <c r="B1633" t="inlineStr">
        <is>
          <t>Indraprastha Gas (IGL)</t>
        </is>
      </c>
      <c r="C1633" t="inlineStr">
        <is>
          <t>Indraprastha Gas (IGL)</t>
        </is>
      </c>
      <c r="F1633" t="inlineStr">
        <is>
          <t>New Lead</t>
        </is>
      </c>
      <c r="H1633" t="inlineStr">
        <is>
          <t>Corrigendum_1_(1).pdf</t>
        </is>
      </c>
      <c r="K1633" t="inlineStr">
        <is>
          <t>Not found</t>
        </is>
      </c>
      <c r="L1633" t="inlineStr">
        <is>
          <t>Unknown</t>
        </is>
      </c>
      <c r="T1633" t="inlineStr">
        <is>
          <t>https://tenders.iglonline.net/uploads/tender/Corrigendum_1_(1).pdf</t>
        </is>
      </c>
      <c r="U1633" t="inlineStr">
        <is>
          <t>No</t>
        </is>
      </c>
      <c r="V1633" t="inlineStr">
        <is>
          <t>Bot tarafindan tespit edildi (2026-07-01)</t>
        </is>
      </c>
    </row>
    <row r="1634">
      <c r="A1634" t="inlineStr">
        <is>
          <t>T-1438</t>
        </is>
      </c>
      <c r="B1634" t="inlineStr">
        <is>
          <t>Indraprastha Gas (IGL)</t>
        </is>
      </c>
      <c r="C1634" t="inlineStr">
        <is>
          <t>Indraprastha Gas (IGL)</t>
        </is>
      </c>
      <c r="F1634" t="inlineStr">
        <is>
          <t>New Lead</t>
        </is>
      </c>
      <c r="H1634" t="inlineStr">
        <is>
          <t>View Tender</t>
        </is>
      </c>
      <c r="K1634" t="inlineStr">
        <is>
          <t>Not found</t>
        </is>
      </c>
      <c r="L1634" t="inlineStr">
        <is>
          <t>Unknown</t>
        </is>
      </c>
      <c r="T1634" t="inlineStr">
        <is>
          <t>https://tenders.iglonline.net/tenderDetail/117/Active Tenders And Corrigendum-Addendum</t>
        </is>
      </c>
      <c r="U1634" t="inlineStr">
        <is>
          <t>No</t>
        </is>
      </c>
      <c r="V1634" t="inlineStr">
        <is>
          <t>Bot tarafindan tespit edildi (2026-07-01)</t>
        </is>
      </c>
    </row>
    <row r="1635">
      <c r="A1635" t="inlineStr">
        <is>
          <t>T-1439</t>
        </is>
      </c>
      <c r="B1635" t="inlineStr">
        <is>
          <t>Indraprastha Gas (IGL)</t>
        </is>
      </c>
      <c r="C1635" t="inlineStr">
        <is>
          <t>Indraprastha Gas (IGL)</t>
        </is>
      </c>
      <c r="F1635" t="inlineStr">
        <is>
          <t>New Lead</t>
        </is>
      </c>
      <c r="H1635" t="inlineStr">
        <is>
          <t>View Tender</t>
        </is>
      </c>
      <c r="K1635" t="inlineStr">
        <is>
          <t>Not found</t>
        </is>
      </c>
      <c r="L1635" t="inlineStr">
        <is>
          <t>Unknown</t>
        </is>
      </c>
      <c r="T1635" t="inlineStr">
        <is>
          <t>https://tenders.iglonline.net/tenderDetail/116/Active Tenders And Corrigendum-Addendum</t>
        </is>
      </c>
      <c r="U1635" t="inlineStr">
        <is>
          <t>No</t>
        </is>
      </c>
      <c r="V1635" t="inlineStr">
        <is>
          <t>Bot tarafindan tespit edildi (2026-07-01)</t>
        </is>
      </c>
    </row>
    <row r="1636">
      <c r="A1636" t="inlineStr">
        <is>
          <t>T-1440</t>
        </is>
      </c>
      <c r="B1636" t="inlineStr">
        <is>
          <t>Indraprastha Gas (IGL)</t>
        </is>
      </c>
      <c r="C1636" t="inlineStr">
        <is>
          <t>Indraprastha Gas (IGL)</t>
        </is>
      </c>
      <c r="F1636" t="inlineStr">
        <is>
          <t>New Lead</t>
        </is>
      </c>
      <c r="H1636" t="inlineStr">
        <is>
          <t>Corrigendum-II_CC173821.pdf</t>
        </is>
      </c>
      <c r="K1636" t="inlineStr">
        <is>
          <t>Not found</t>
        </is>
      </c>
      <c r="L1636" t="inlineStr">
        <is>
          <t>Unknown</t>
        </is>
      </c>
      <c r="T1636" t="inlineStr">
        <is>
          <t>https://tenders.iglonline.net/uploads/tender/Corrigendum-II_CC173821.pdf</t>
        </is>
      </c>
      <c r="U1636" t="inlineStr">
        <is>
          <t>No</t>
        </is>
      </c>
      <c r="V1636" t="inlineStr">
        <is>
          <t>Bot tarafindan tespit edildi (2026-07-01)</t>
        </is>
      </c>
    </row>
    <row r="1637">
      <c r="A1637" t="inlineStr">
        <is>
          <t>T-1441</t>
        </is>
      </c>
      <c r="B1637" t="inlineStr">
        <is>
          <t>Indraprastha Gas (IGL)</t>
        </is>
      </c>
      <c r="C1637" t="inlineStr">
        <is>
          <t>Indraprastha Gas (IGL)</t>
        </is>
      </c>
      <c r="F1637" t="inlineStr">
        <is>
          <t>New Lead</t>
        </is>
      </c>
      <c r="H1637" t="inlineStr">
        <is>
          <t>View Tender</t>
        </is>
      </c>
      <c r="K1637" t="inlineStr">
        <is>
          <t>Not found</t>
        </is>
      </c>
      <c r="L1637" t="inlineStr">
        <is>
          <t>Unknown</t>
        </is>
      </c>
      <c r="T1637" t="inlineStr">
        <is>
          <t>https://tenders.iglonline.net/tenderDetail/115/Active Tenders And Corrigendum-Addendum</t>
        </is>
      </c>
      <c r="U1637" t="inlineStr">
        <is>
          <t>No</t>
        </is>
      </c>
      <c r="V1637" t="inlineStr">
        <is>
          <t>Bot tarafindan tespit edildi (2026-07-01)</t>
        </is>
      </c>
    </row>
    <row r="1638">
      <c r="A1638" t="inlineStr">
        <is>
          <t>T-1442</t>
        </is>
      </c>
      <c r="B1638" t="inlineStr">
        <is>
          <t>Indraprastha Gas (IGL)</t>
        </is>
      </c>
      <c r="C1638" t="inlineStr">
        <is>
          <t>Indraprastha Gas (IGL)</t>
        </is>
      </c>
      <c r="F1638" t="inlineStr">
        <is>
          <t>New Lead</t>
        </is>
      </c>
      <c r="H1638" t="inlineStr">
        <is>
          <t>CORRIGENDUM_3_CM17422.pdf</t>
        </is>
      </c>
      <c r="K1638" t="inlineStr">
        <is>
          <t>Not found</t>
        </is>
      </c>
      <c r="L1638" t="inlineStr">
        <is>
          <t>Unknown</t>
        </is>
      </c>
      <c r="T1638" t="inlineStr">
        <is>
          <t>https://tenders.iglonline.net/uploads/tender/CORRIGENDUM_3_CM17422.pdf</t>
        </is>
      </c>
      <c r="U1638" t="inlineStr">
        <is>
          <t>No</t>
        </is>
      </c>
      <c r="V1638" t="inlineStr">
        <is>
          <t>Bot tarafindan tespit edildi (2026-07-01)</t>
        </is>
      </c>
    </row>
    <row r="1639">
      <c r="A1639" t="inlineStr">
        <is>
          <t>T-1443</t>
        </is>
      </c>
      <c r="B1639" t="inlineStr">
        <is>
          <t>Indraprastha Gas (IGL)</t>
        </is>
      </c>
      <c r="C1639" t="inlineStr">
        <is>
          <t>Indraprastha Gas (IGL)</t>
        </is>
      </c>
      <c r="F1639" t="inlineStr">
        <is>
          <t>New Lead</t>
        </is>
      </c>
      <c r="H1639" t="inlineStr">
        <is>
          <t>Corrigendum_4.pdf</t>
        </is>
      </c>
      <c r="K1639" t="inlineStr">
        <is>
          <t>Not found</t>
        </is>
      </c>
      <c r="L1639" t="inlineStr">
        <is>
          <t>Unknown</t>
        </is>
      </c>
      <c r="T1639" t="inlineStr">
        <is>
          <t>https://tenders.iglonline.net/uploads/tender/Corrigendum_4.pdf</t>
        </is>
      </c>
      <c r="U1639" t="inlineStr">
        <is>
          <t>No</t>
        </is>
      </c>
      <c r="V1639" t="inlineStr">
        <is>
          <t>Bot tarafindan tespit edildi (2026-07-01)</t>
        </is>
      </c>
    </row>
    <row r="1640">
      <c r="A1640" t="inlineStr">
        <is>
          <t>T-1444</t>
        </is>
      </c>
      <c r="B1640" t="inlineStr">
        <is>
          <t>Indraprastha Gas (IGL)</t>
        </is>
      </c>
      <c r="C1640" t="inlineStr">
        <is>
          <t>Indraprastha Gas (IGL)</t>
        </is>
      </c>
      <c r="F1640" t="inlineStr">
        <is>
          <t>New Lead</t>
        </is>
      </c>
      <c r="H1640" t="inlineStr">
        <is>
          <t>Annexure_A.pdf</t>
        </is>
      </c>
      <c r="K1640" t="inlineStr">
        <is>
          <t>Not found</t>
        </is>
      </c>
      <c r="L1640" t="inlineStr">
        <is>
          <t>Unknown</t>
        </is>
      </c>
      <c r="T1640" t="inlineStr">
        <is>
          <t>https://tenders.iglonline.net/uploads/tender/Annexure_A.pdf</t>
        </is>
      </c>
      <c r="U1640" t="inlineStr">
        <is>
          <t>No</t>
        </is>
      </c>
      <c r="V1640" t="inlineStr">
        <is>
          <t>Bot tarafindan tespit edildi (2026-07-01)</t>
        </is>
      </c>
    </row>
    <row r="1641">
      <c r="A1641" t="inlineStr">
        <is>
          <t>T-1445</t>
        </is>
      </c>
      <c r="B1641" t="inlineStr">
        <is>
          <t>Indraprastha Gas (IGL)</t>
        </is>
      </c>
      <c r="C1641" t="inlineStr">
        <is>
          <t>Indraprastha Gas (IGL)</t>
        </is>
      </c>
      <c r="F1641" t="inlineStr">
        <is>
          <t>New Lead</t>
        </is>
      </c>
      <c r="H1641" t="inlineStr">
        <is>
          <t>CORRIGENDUM5.pdf</t>
        </is>
      </c>
      <c r="K1641" t="inlineStr">
        <is>
          <t>Not found</t>
        </is>
      </c>
      <c r="L1641" t="inlineStr">
        <is>
          <t>Unknown</t>
        </is>
      </c>
      <c r="T1641" t="inlineStr">
        <is>
          <t>https://tenders.iglonline.net/uploads/tender/CORRIGENDUM5.pdf</t>
        </is>
      </c>
      <c r="U1641" t="inlineStr">
        <is>
          <t>No</t>
        </is>
      </c>
      <c r="V1641" t="inlineStr">
        <is>
          <t>Bot tarafindan tespit edildi (2026-07-01)</t>
        </is>
      </c>
    </row>
    <row r="1642">
      <c r="A1642" t="inlineStr">
        <is>
          <t>T-1446</t>
        </is>
      </c>
      <c r="B1642" t="inlineStr">
        <is>
          <t>Indraprastha Gas (IGL)</t>
        </is>
      </c>
      <c r="C1642" t="inlineStr">
        <is>
          <t>Indraprastha Gas (IGL)</t>
        </is>
      </c>
      <c r="F1642" t="inlineStr">
        <is>
          <t>New Lead</t>
        </is>
      </c>
      <c r="H1642" t="inlineStr">
        <is>
          <t>Corrigendum_-_II.pdf</t>
        </is>
      </c>
      <c r="K1642" t="inlineStr">
        <is>
          <t>Not found</t>
        </is>
      </c>
      <c r="L1642" t="inlineStr">
        <is>
          <t>Unknown</t>
        </is>
      </c>
      <c r="T1642" t="inlineStr">
        <is>
          <t>https://tenders.iglonline.net/uploads/tender/Corrigendum_-_II.pdf</t>
        </is>
      </c>
      <c r="U1642" t="inlineStr">
        <is>
          <t>No</t>
        </is>
      </c>
      <c r="V1642" t="inlineStr">
        <is>
          <t>Bot tarafindan tespit edildi (2026-07-01)</t>
        </is>
      </c>
    </row>
    <row r="1643">
      <c r="A1643" t="inlineStr">
        <is>
          <t>T-1447</t>
        </is>
      </c>
      <c r="B1643" t="inlineStr">
        <is>
          <t>Indraprastha Gas (IGL)</t>
        </is>
      </c>
      <c r="C1643" t="inlineStr">
        <is>
          <t>Indraprastha Gas (IGL)</t>
        </is>
      </c>
      <c r="F1643" t="inlineStr">
        <is>
          <t>New Lead</t>
        </is>
      </c>
      <c r="H1643" t="inlineStr">
        <is>
          <t>CORRIGENDUM_6_17422.pdf</t>
        </is>
      </c>
      <c r="K1643" t="inlineStr">
        <is>
          <t>Not found</t>
        </is>
      </c>
      <c r="L1643" t="inlineStr">
        <is>
          <t>Unknown</t>
        </is>
      </c>
      <c r="T1643" t="inlineStr">
        <is>
          <t>https://tenders.iglonline.net/uploads/tender/CORRIGENDUM_6_17422.pdf</t>
        </is>
      </c>
      <c r="U1643" t="inlineStr">
        <is>
          <t>No</t>
        </is>
      </c>
      <c r="V1643" t="inlineStr">
        <is>
          <t>Bot tarafindan tespit edildi (2026-07-01)</t>
        </is>
      </c>
    </row>
    <row r="1644">
      <c r="A1644" t="inlineStr">
        <is>
          <t>T-1448</t>
        </is>
      </c>
      <c r="B1644" t="inlineStr">
        <is>
          <t>Indraprastha Gas (IGL)</t>
        </is>
      </c>
      <c r="C1644" t="inlineStr">
        <is>
          <t>Indraprastha Gas (IGL)</t>
        </is>
      </c>
      <c r="F1644" t="inlineStr">
        <is>
          <t>New Lead</t>
        </is>
      </c>
      <c r="H1644" t="inlineStr">
        <is>
          <t>View Tender</t>
        </is>
      </c>
      <c r="K1644" t="inlineStr">
        <is>
          <t>Not found</t>
        </is>
      </c>
      <c r="L1644" t="inlineStr">
        <is>
          <t>Unknown</t>
        </is>
      </c>
      <c r="T1644" t="inlineStr">
        <is>
          <t>https://tenders.iglonline.net/tenderDetail/114/Active Tenders And Corrigendum-Addendum</t>
        </is>
      </c>
      <c r="U1644" t="inlineStr">
        <is>
          <t>No</t>
        </is>
      </c>
      <c r="V1644" t="inlineStr">
        <is>
          <t>Bot tarafindan tespit edildi (2026-07-01)</t>
        </is>
      </c>
    </row>
    <row r="1645">
      <c r="A1645" t="inlineStr">
        <is>
          <t>T-1449</t>
        </is>
      </c>
      <c r="B1645" t="inlineStr">
        <is>
          <t>Indraprastha Gas (IGL)</t>
        </is>
      </c>
      <c r="C1645" t="inlineStr">
        <is>
          <t>Indraprastha Gas (IGL)</t>
        </is>
      </c>
      <c r="F1645" t="inlineStr">
        <is>
          <t>New Lead</t>
        </is>
      </c>
      <c r="H1645" t="inlineStr">
        <is>
          <t>View Tender</t>
        </is>
      </c>
      <c r="K1645" t="inlineStr">
        <is>
          <t>Not found</t>
        </is>
      </c>
      <c r="L1645" t="inlineStr">
        <is>
          <t>Unknown</t>
        </is>
      </c>
      <c r="T1645" t="inlineStr">
        <is>
          <t>https://tenders.iglonline.net/tenderDetail/113/Active Tenders And Corrigendum-Addendum</t>
        </is>
      </c>
      <c r="U1645" t="inlineStr">
        <is>
          <t>No</t>
        </is>
      </c>
      <c r="V1645" t="inlineStr">
        <is>
          <t>Bot tarafindan tespit edildi (2026-07-01)</t>
        </is>
      </c>
    </row>
    <row r="1646">
      <c r="A1646" t="inlineStr">
        <is>
          <t>T-1450</t>
        </is>
      </c>
      <c r="B1646" t="inlineStr">
        <is>
          <t>Indraprastha Gas (IGL)</t>
        </is>
      </c>
      <c r="C1646" t="inlineStr">
        <is>
          <t>Indraprastha Gas (IGL)</t>
        </is>
      </c>
      <c r="F1646" t="inlineStr">
        <is>
          <t>New Lead</t>
        </is>
      </c>
      <c r="H1646" t="inlineStr">
        <is>
          <t>View Tender</t>
        </is>
      </c>
      <c r="K1646" t="inlineStr">
        <is>
          <t>Not found</t>
        </is>
      </c>
      <c r="L1646" t="inlineStr">
        <is>
          <t>Unknown</t>
        </is>
      </c>
      <c r="T1646" t="inlineStr">
        <is>
          <t>https://tenders.iglonline.net/tenderDetail/112/Active Tenders And Corrigendum-Addendum</t>
        </is>
      </c>
      <c r="U1646" t="inlineStr">
        <is>
          <t>No</t>
        </is>
      </c>
      <c r="V1646" t="inlineStr">
        <is>
          <t>Bot tarafindan tespit edildi (2026-07-01)</t>
        </is>
      </c>
    </row>
    <row r="1647">
      <c r="A1647" t="inlineStr">
        <is>
          <t>T-1451</t>
        </is>
      </c>
      <c r="B1647" t="inlineStr">
        <is>
          <t>Indraprastha Gas (IGL)</t>
        </is>
      </c>
      <c r="C1647" t="inlineStr">
        <is>
          <t>Indraprastha Gas (IGL)</t>
        </is>
      </c>
      <c r="F1647" t="inlineStr">
        <is>
          <t>New Lead</t>
        </is>
      </c>
      <c r="H1647" t="inlineStr">
        <is>
          <t>View Tender</t>
        </is>
      </c>
      <c r="K1647" t="inlineStr">
        <is>
          <t>Not found</t>
        </is>
      </c>
      <c r="L1647" t="inlineStr">
        <is>
          <t>Unknown</t>
        </is>
      </c>
      <c r="T1647" t="inlineStr">
        <is>
          <t>https://tenders.iglonline.net/tenderDetail/111/Active Tenders And Corrigendum-Addendum</t>
        </is>
      </c>
      <c r="U1647" t="inlineStr">
        <is>
          <t>No</t>
        </is>
      </c>
      <c r="V1647" t="inlineStr">
        <is>
          <t>Bot tarafindan tespit edildi (2026-07-01)</t>
        </is>
      </c>
    </row>
    <row r="1648">
      <c r="A1648" t="inlineStr">
        <is>
          <t>T-1452</t>
        </is>
      </c>
      <c r="B1648" t="inlineStr">
        <is>
          <t>Indraprastha Gas (IGL)</t>
        </is>
      </c>
      <c r="C1648" t="inlineStr">
        <is>
          <t>Indraprastha Gas (IGL)</t>
        </is>
      </c>
      <c r="F1648" t="inlineStr">
        <is>
          <t>New Lead</t>
        </is>
      </c>
      <c r="H1648" t="inlineStr">
        <is>
          <t>Estimated_Rates.pdf</t>
        </is>
      </c>
      <c r="K1648" t="inlineStr">
        <is>
          <t>Not found</t>
        </is>
      </c>
      <c r="L1648" t="inlineStr">
        <is>
          <t>Unknown</t>
        </is>
      </c>
      <c r="T1648" t="inlineStr">
        <is>
          <t>https://tenders.iglonline.net/uploads/tender/Estimated_Rates.pdf</t>
        </is>
      </c>
      <c r="U1648" t="inlineStr">
        <is>
          <t>No</t>
        </is>
      </c>
      <c r="V1648" t="inlineStr">
        <is>
          <t>Bot tarafindan tespit edildi (2026-07-01)</t>
        </is>
      </c>
    </row>
    <row r="1649">
      <c r="A1649" t="inlineStr">
        <is>
          <t>T-1453</t>
        </is>
      </c>
      <c r="B1649" t="inlineStr">
        <is>
          <t>Indraprastha Gas (IGL)</t>
        </is>
      </c>
      <c r="C1649" t="inlineStr">
        <is>
          <t>Indraprastha Gas (IGL)</t>
        </is>
      </c>
      <c r="F1649" t="inlineStr">
        <is>
          <t>New Lead</t>
        </is>
      </c>
      <c r="H1649" t="inlineStr">
        <is>
          <t>View Tender</t>
        </is>
      </c>
      <c r="K1649" t="inlineStr">
        <is>
          <t>Not found</t>
        </is>
      </c>
      <c r="L1649" t="inlineStr">
        <is>
          <t>Unknown</t>
        </is>
      </c>
      <c r="T1649" t="inlineStr">
        <is>
          <t>https://tenders.iglonline.net/tenderDetail/110/Active Tenders And Corrigendum-Addendum</t>
        </is>
      </c>
      <c r="U1649" t="inlineStr">
        <is>
          <t>No</t>
        </is>
      </c>
      <c r="V1649" t="inlineStr">
        <is>
          <t>Bot tarafindan tespit edildi (2026-07-01)</t>
        </is>
      </c>
    </row>
    <row r="1650">
      <c r="A1650" t="inlineStr">
        <is>
          <t>T-1454</t>
        </is>
      </c>
      <c r="B1650" t="inlineStr">
        <is>
          <t>Indraprastha Gas (IGL)</t>
        </is>
      </c>
      <c r="C1650" t="inlineStr">
        <is>
          <t>Indraprastha Gas (IGL)</t>
        </is>
      </c>
      <c r="F1650" t="inlineStr">
        <is>
          <t>New Lead</t>
        </is>
      </c>
      <c r="H1650" t="inlineStr">
        <is>
          <t>CM17348_dated_03_02_2023_TID_30993_CORRIGENDUMII.pdf</t>
        </is>
      </c>
      <c r="K1650" t="inlineStr">
        <is>
          <t>Not found</t>
        </is>
      </c>
      <c r="L1650" t="inlineStr">
        <is>
          <t>Unknown</t>
        </is>
      </c>
      <c r="T1650" t="inlineStr">
        <is>
          <t>https://tenders.iglonline.net/uploads/tender/CM17348_dated_03_02_2023_TID_30993_CORRIGENDUMII.pdf</t>
        </is>
      </c>
      <c r="U1650" t="inlineStr">
        <is>
          <t>No</t>
        </is>
      </c>
      <c r="V1650" t="inlineStr">
        <is>
          <t>Bot tarafindan tespit edildi (2026-07-01)</t>
        </is>
      </c>
    </row>
    <row r="1651">
      <c r="A1651" t="inlineStr">
        <is>
          <t>T-1455</t>
        </is>
      </c>
      <c r="B1651" t="inlineStr">
        <is>
          <t>Indraprastha Gas (IGL)</t>
        </is>
      </c>
      <c r="C1651" t="inlineStr">
        <is>
          <t>Indraprastha Gas (IGL)</t>
        </is>
      </c>
      <c r="F1651" t="inlineStr">
        <is>
          <t>New Lead</t>
        </is>
      </c>
      <c r="H1651" t="inlineStr">
        <is>
          <t>CM17348_dated_03_02_2023_TID_30993_Tender_Query_Reply.pdf</t>
        </is>
      </c>
      <c r="K1651" t="inlineStr">
        <is>
          <t>Not found</t>
        </is>
      </c>
      <c r="L1651" t="inlineStr">
        <is>
          <t>Unknown</t>
        </is>
      </c>
      <c r="T1651" t="inlineStr">
        <is>
          <t>https://tenders.iglonline.net/uploads/tender/CM17348_dated_03_02_2023_TID_30993_Tender_Query_Reply.pdf</t>
        </is>
      </c>
      <c r="U1651" t="inlineStr">
        <is>
          <t>No</t>
        </is>
      </c>
      <c r="V1651" t="inlineStr">
        <is>
          <t>Bot tarafindan tespit edildi (2026-07-01)</t>
        </is>
      </c>
    </row>
    <row r="1652">
      <c r="A1652" t="inlineStr">
        <is>
          <t>T-1456</t>
        </is>
      </c>
      <c r="B1652" t="inlineStr">
        <is>
          <t>Indraprastha Gas (IGL)</t>
        </is>
      </c>
      <c r="C1652" t="inlineStr">
        <is>
          <t>Indraprastha Gas (IGL)</t>
        </is>
      </c>
      <c r="F1652" t="inlineStr">
        <is>
          <t>New Lead</t>
        </is>
      </c>
      <c r="H1652" t="inlineStr">
        <is>
          <t>CM17348_dated_03_02_2023_TID_30993_Corrigendum_-_I.pdf</t>
        </is>
      </c>
      <c r="K1652" t="inlineStr">
        <is>
          <t>Not found</t>
        </is>
      </c>
      <c r="L1652" t="inlineStr">
        <is>
          <t>Unknown</t>
        </is>
      </c>
      <c r="T1652" t="inlineStr">
        <is>
          <t>https://tenders.iglonline.net/uploads/tender/CM17348_dated_03_02_2023_TID_30993_Corrigendum_-_I.pdf</t>
        </is>
      </c>
      <c r="U1652" t="inlineStr">
        <is>
          <t>No</t>
        </is>
      </c>
      <c r="V1652" t="inlineStr">
        <is>
          <t>Bot tarafindan tespit edildi (2026-07-01)</t>
        </is>
      </c>
    </row>
    <row r="1653">
      <c r="A1653" t="inlineStr">
        <is>
          <t>T-1457</t>
        </is>
      </c>
      <c r="B1653" t="inlineStr">
        <is>
          <t>Indraprastha Gas (IGL)</t>
        </is>
      </c>
      <c r="C1653" t="inlineStr">
        <is>
          <t>Indraprastha Gas (IGL)</t>
        </is>
      </c>
      <c r="F1653" t="inlineStr">
        <is>
          <t>New Lead</t>
        </is>
      </c>
      <c r="H1653" t="inlineStr">
        <is>
          <t>CM17348_dated_03_02_2023_TID_30993_CORRIGENDUM_3.pdf</t>
        </is>
      </c>
      <c r="K1653" t="inlineStr">
        <is>
          <t>Not found</t>
        </is>
      </c>
      <c r="L1653" t="inlineStr">
        <is>
          <t>Unknown</t>
        </is>
      </c>
      <c r="T1653" t="inlineStr">
        <is>
          <t>https://tenders.iglonline.net/uploads/tender/CM17348_dated_03_02_2023_TID_30993_CORRIGENDUM_3.pdf</t>
        </is>
      </c>
      <c r="U1653" t="inlineStr">
        <is>
          <t>No</t>
        </is>
      </c>
      <c r="V1653" t="inlineStr">
        <is>
          <t>Bot tarafindan tespit edildi (2026-07-01)</t>
        </is>
      </c>
    </row>
    <row r="1654">
      <c r="A1654" t="inlineStr">
        <is>
          <t>T-1458</t>
        </is>
      </c>
      <c r="B1654" t="inlineStr">
        <is>
          <t>Indraprastha Gas (IGL)</t>
        </is>
      </c>
      <c r="C1654" t="inlineStr">
        <is>
          <t>Indraprastha Gas (IGL)</t>
        </is>
      </c>
      <c r="F1654" t="inlineStr">
        <is>
          <t>New Lead</t>
        </is>
      </c>
      <c r="H1654" t="inlineStr">
        <is>
          <t>CM17348_dated_03_02_2023_TID_30993_CORRIGENDUM4_(1).pdf</t>
        </is>
      </c>
      <c r="K1654" t="inlineStr">
        <is>
          <t>Not found</t>
        </is>
      </c>
      <c r="L1654" t="inlineStr">
        <is>
          <t>Unknown</t>
        </is>
      </c>
      <c r="T1654" t="inlineStr">
        <is>
          <t>https://tenders.iglonline.net/uploads/tender/CM17348_dated_03_02_2023_TID_30993_CORRIGENDUM4_(1).pdf</t>
        </is>
      </c>
      <c r="U1654" t="inlineStr">
        <is>
          <t>No</t>
        </is>
      </c>
      <c r="V1654" t="inlineStr">
        <is>
          <t>Bot tarafindan tespit edildi (2026-07-01)</t>
        </is>
      </c>
    </row>
    <row r="1655">
      <c r="A1655" t="inlineStr">
        <is>
          <t>T-1459</t>
        </is>
      </c>
      <c r="B1655" t="inlineStr">
        <is>
          <t>Indraprastha Gas (IGL)</t>
        </is>
      </c>
      <c r="C1655" t="inlineStr">
        <is>
          <t>Indraprastha Gas (IGL)</t>
        </is>
      </c>
      <c r="F1655" t="inlineStr">
        <is>
          <t>New Lead</t>
        </is>
      </c>
      <c r="H1655" t="inlineStr">
        <is>
          <t>CORRIGENDUM_5.pdf</t>
        </is>
      </c>
      <c r="K1655" t="inlineStr">
        <is>
          <t>Not found</t>
        </is>
      </c>
      <c r="L1655" t="inlineStr">
        <is>
          <t>Unknown</t>
        </is>
      </c>
      <c r="T1655" t="inlineStr">
        <is>
          <t>https://tenders.iglonline.net/uploads/tender/CORRIGENDUM_5.pdf</t>
        </is>
      </c>
      <c r="U1655" t="inlineStr">
        <is>
          <t>No</t>
        </is>
      </c>
      <c r="V1655" t="inlineStr">
        <is>
          <t>Bot tarafindan tespit edildi (2026-07-01)</t>
        </is>
      </c>
    </row>
    <row r="1656">
      <c r="A1656" t="inlineStr">
        <is>
          <t>T-1460</t>
        </is>
      </c>
      <c r="B1656" t="inlineStr">
        <is>
          <t>Indraprastha Gas (IGL)</t>
        </is>
      </c>
      <c r="C1656" t="inlineStr">
        <is>
          <t>Indraprastha Gas (IGL)</t>
        </is>
      </c>
      <c r="F1656" t="inlineStr">
        <is>
          <t>New Lead</t>
        </is>
      </c>
      <c r="H1656" t="inlineStr">
        <is>
          <t>View Tender</t>
        </is>
      </c>
      <c r="K1656" t="inlineStr">
        <is>
          <t>Not found</t>
        </is>
      </c>
      <c r="L1656" t="inlineStr">
        <is>
          <t>Unknown</t>
        </is>
      </c>
      <c r="T1656" t="inlineStr">
        <is>
          <t>https://tenders.iglonline.net/tenderDetail/109/Active Tenders And Corrigendum-Addendum</t>
        </is>
      </c>
      <c r="U1656" t="inlineStr">
        <is>
          <t>No</t>
        </is>
      </c>
      <c r="V1656" t="inlineStr">
        <is>
          <t>Bot tarafindan tespit edildi (2026-07-01)</t>
        </is>
      </c>
    </row>
    <row r="1657">
      <c r="A1657" t="inlineStr">
        <is>
          <t>T-1461</t>
        </is>
      </c>
      <c r="B1657" t="inlineStr">
        <is>
          <t>Indraprastha Gas (IGL)</t>
        </is>
      </c>
      <c r="C1657" t="inlineStr">
        <is>
          <t>Indraprastha Gas (IGL)</t>
        </is>
      </c>
      <c r="F1657" t="inlineStr">
        <is>
          <t>New Lead</t>
        </is>
      </c>
      <c r="H1657" t="inlineStr">
        <is>
          <t>Corrigendum_I_CC17409.pdf</t>
        </is>
      </c>
      <c r="K1657" t="inlineStr">
        <is>
          <t>Not found</t>
        </is>
      </c>
      <c r="L1657" t="inlineStr">
        <is>
          <t>Unknown</t>
        </is>
      </c>
      <c r="T1657" t="inlineStr">
        <is>
          <t>https://tenders.iglonline.net/uploads/tender/Corrigendum_I_CC17409.pdf</t>
        </is>
      </c>
      <c r="U1657" t="inlineStr">
        <is>
          <t>No</t>
        </is>
      </c>
      <c r="V1657" t="inlineStr">
        <is>
          <t>Bot tarafindan tespit edildi (2026-07-01)</t>
        </is>
      </c>
    </row>
    <row r="1658">
      <c r="A1658" t="inlineStr">
        <is>
          <t>T-1462</t>
        </is>
      </c>
      <c r="B1658" t="inlineStr">
        <is>
          <t>Indraprastha Gas (IGL)</t>
        </is>
      </c>
      <c r="C1658" t="inlineStr">
        <is>
          <t>Indraprastha Gas (IGL)</t>
        </is>
      </c>
      <c r="F1658" t="inlineStr">
        <is>
          <t>New Lead</t>
        </is>
      </c>
      <c r="H1658" t="inlineStr">
        <is>
          <t>View Tender</t>
        </is>
      </c>
      <c r="K1658" t="inlineStr">
        <is>
          <t>Not found</t>
        </is>
      </c>
      <c r="L1658" t="inlineStr">
        <is>
          <t>Unknown</t>
        </is>
      </c>
      <c r="T1658" t="inlineStr">
        <is>
          <t>https://tenders.iglonline.net/tenderDetail/108/Active Tenders And Corrigendum-Addendum</t>
        </is>
      </c>
      <c r="U1658" t="inlineStr">
        <is>
          <t>No</t>
        </is>
      </c>
      <c r="V1658" t="inlineStr">
        <is>
          <t>Bot tarafindan tespit edildi (2026-07-01)</t>
        </is>
      </c>
    </row>
    <row r="1659">
      <c r="A1659" t="inlineStr">
        <is>
          <t>T-1463</t>
        </is>
      </c>
      <c r="B1659" t="inlineStr">
        <is>
          <t>Indraprastha Gas (IGL)</t>
        </is>
      </c>
      <c r="C1659" t="inlineStr">
        <is>
          <t>Indraprastha Gas (IGL)</t>
        </is>
      </c>
      <c r="F1659" t="inlineStr">
        <is>
          <t>New Lead</t>
        </is>
      </c>
      <c r="H1659" t="inlineStr">
        <is>
          <t>Replies_to_Bidders_Queries_CP17391.pdf</t>
        </is>
      </c>
      <c r="K1659" t="inlineStr">
        <is>
          <t>Not found</t>
        </is>
      </c>
      <c r="L1659" t="inlineStr">
        <is>
          <t>Unknown</t>
        </is>
      </c>
      <c r="T1659" t="inlineStr">
        <is>
          <t>https://tenders.iglonline.net/uploads/tender/Replies_to_Bidders_Queries_CP17391.pdf</t>
        </is>
      </c>
      <c r="U1659" t="inlineStr">
        <is>
          <t>No</t>
        </is>
      </c>
      <c r="V1659" t="inlineStr">
        <is>
          <t>Bot tarafindan tespit edildi (2026-07-01)</t>
        </is>
      </c>
    </row>
    <row r="1660">
      <c r="A1660" t="inlineStr">
        <is>
          <t>T-1464</t>
        </is>
      </c>
      <c r="B1660" t="inlineStr">
        <is>
          <t>Indraprastha Gas (IGL)</t>
        </is>
      </c>
      <c r="C1660" t="inlineStr">
        <is>
          <t>Indraprastha Gas (IGL)</t>
        </is>
      </c>
      <c r="F1660" t="inlineStr">
        <is>
          <t>New Lead</t>
        </is>
      </c>
      <c r="G1660" t="inlineStr">
        <is>
          <t>Service regulator</t>
        </is>
      </c>
      <c r="H1660" t="inlineStr">
        <is>
          <t>View Tender</t>
        </is>
      </c>
      <c r="K1660" t="inlineStr">
        <is>
          <t>Not found</t>
        </is>
      </c>
      <c r="L1660" t="inlineStr">
        <is>
          <t>Unknown</t>
        </is>
      </c>
      <c r="T1660" t="inlineStr">
        <is>
          <t>https://tenders.iglonline.net/tenderDetail/107/Active Tenders And Corrigendum-Addendum</t>
        </is>
      </c>
      <c r="U1660" t="inlineStr">
        <is>
          <t>No</t>
        </is>
      </c>
      <c r="V1660" t="inlineStr">
        <is>
          <t>Bot tarafindan tespit edildi (2026-07-01); Bot tespit/zenginlestirme (2026-07-01); meta:score=85;priority=High;source_type=html_table;closing_date=;equipment=Service regulator;reasons=equipment:Service regulator,target regulator keyword,document source; Bot clean extraction (2026-07-01); meta:score=90;priority=High;source_type=html_table;closing_date=;equipment=Service / pressure regulator;quality_status=market_target;market_relevance=High;document_type=corrigendum;unit_price_inr=;amount_label=;matched_terms=Service / pressure regulator;reject_reasons=;scope=market_intelligence_only;excluded_scope=no_bid_or_offer_submission_automation</t>
        </is>
      </c>
    </row>
    <row r="1661">
      <c r="A1661" t="inlineStr">
        <is>
          <t>T-1465</t>
        </is>
      </c>
      <c r="B1661" t="inlineStr">
        <is>
          <t>Indraprastha Gas (IGL)</t>
        </is>
      </c>
      <c r="C1661" t="inlineStr">
        <is>
          <t>Indraprastha Gas (IGL)</t>
        </is>
      </c>
      <c r="D1661" t="inlineStr">
        <is>
          <t>IGL/ET2/CP/CP17358</t>
        </is>
      </c>
      <c r="F1661" t="inlineStr">
        <is>
          <t>Awarded</t>
        </is>
      </c>
      <c r="G1661" t="inlineStr">
        <is>
          <t>service regulator</t>
        </is>
      </c>
      <c r="H1661" t="inlineStr">
        <is>
          <t>Corrigendum_1_CP17358.pdf</t>
        </is>
      </c>
      <c r="K1661" t="inlineStr">
        <is>
          <t>Not found</t>
        </is>
      </c>
      <c r="L1661" t="inlineStr">
        <is>
          <t>Unknown</t>
        </is>
      </c>
      <c r="T1661" t="inlineStr">
        <is>
          <t>https://tenders.iglonline.net/uploads/tender/Corrigendum_1_CP17358.pdf</t>
        </is>
      </c>
      <c r="U1661" t="inlineStr">
        <is>
          <t>No</t>
        </is>
      </c>
      <c r="V1661" t="inlineStr">
        <is>
          <t>Bot tarafindan tespit edildi (2026-07-01) | Bot enrich; date=2026-07-01; type=pdf; score=330; pdf_conf=Low; Bot tespit/zenginlestirme (2026-07-01); meta:score=85;priority=High;source_type=html_table;closing_date=None;equipment=Service regulator;reasons=equipment:Service regulator,target regulator keyword,document source; Bot clean extraction (2026-07-01); meta:score=90;priority=High;source_type=html_table;closing_date=None;equipment=Service / pressure regulator;quality_status=market_target;market_relevance=High;document_type=corrigendum;unit_price_inr=;amount_label=;matched_terms=Service / pressure regulator;reject_reasons=employment/corporate;scope=market_intelligence_only;excluded_scope=no_bid_or_offer_submission_automation</t>
        </is>
      </c>
    </row>
    <row r="1662">
      <c r="A1662" t="inlineStr">
        <is>
          <t>T-1466</t>
        </is>
      </c>
      <c r="B1662" t="inlineStr">
        <is>
          <t>Indraprastha Gas (IGL)</t>
        </is>
      </c>
      <c r="C1662" t="inlineStr">
        <is>
          <t>Indraprastha Gas (IGL)</t>
        </is>
      </c>
      <c r="D1662" t="inlineStr">
        <is>
          <t>IGL/ET2/CP/CP17358</t>
        </is>
      </c>
      <c r="F1662" t="inlineStr">
        <is>
          <t>Awarded</t>
        </is>
      </c>
      <c r="G1662" t="inlineStr">
        <is>
          <t>service regulator</t>
        </is>
      </c>
      <c r="H1662" t="inlineStr">
        <is>
          <t>Corrigendum_2_CP17358.pdf</t>
        </is>
      </c>
      <c r="K1662" t="inlineStr">
        <is>
          <t>Not found</t>
        </is>
      </c>
      <c r="L1662" t="inlineStr">
        <is>
          <t>Unknown</t>
        </is>
      </c>
      <c r="T1662" t="inlineStr">
        <is>
          <t>https://tenders.iglonline.net/uploads/tender/Corrigendum_2_CP17358.pdf</t>
        </is>
      </c>
      <c r="U1662" t="inlineStr">
        <is>
          <t>No</t>
        </is>
      </c>
      <c r="V1662" t="inlineStr">
        <is>
          <t>Bot tarafindan tespit edildi (2026-07-01) | Bot enrich; date=2026-07-01; type=pdf; score=330; pdf_conf=Low; Bot tespit/zenginlestirme (2026-07-01); meta:score=85;priority=High;source_type=html_table;closing_date=None;equipment=Service regulator;reasons=equipment:Service regulator,target regulator keyword,document source; Bot clean extraction (2026-07-01); meta:score=90;priority=High;source_type=html_table;closing_date=None;equipment=Service / pressure regulator;quality_status=market_target;market_relevance=High;document_type=corrigendum;unit_price_inr=;amount_label=;matched_terms=Service / pressure regulator;reject_reasons=employment/corporate;scope=market_intelligence_only;excluded_scope=no_bid_or_offer_submission_automation</t>
        </is>
      </c>
    </row>
    <row r="1663">
      <c r="A1663" t="inlineStr">
        <is>
          <t>T-1467</t>
        </is>
      </c>
      <c r="B1663" t="inlineStr">
        <is>
          <t>Indraprastha Gas (IGL)</t>
        </is>
      </c>
      <c r="C1663" t="inlineStr">
        <is>
          <t>Indraprastha Gas (IGL)</t>
        </is>
      </c>
      <c r="F1663" t="inlineStr">
        <is>
          <t>New Lead</t>
        </is>
      </c>
      <c r="H1663" t="inlineStr">
        <is>
          <t>View Tender</t>
        </is>
      </c>
      <c r="K1663" t="inlineStr">
        <is>
          <t>Not found</t>
        </is>
      </c>
      <c r="L1663" t="inlineStr">
        <is>
          <t>Unknown</t>
        </is>
      </c>
      <c r="T1663" t="inlineStr">
        <is>
          <t>https://tenders.iglonline.net/tenderDetail/106/Active Tenders And Corrigendum-Addendum</t>
        </is>
      </c>
      <c r="U1663" t="inlineStr">
        <is>
          <t>No</t>
        </is>
      </c>
      <c r="V1663" t="inlineStr">
        <is>
          <t>Bot tarafindan tespit edildi (2026-07-01)</t>
        </is>
      </c>
    </row>
    <row r="1664">
      <c r="A1664" t="inlineStr">
        <is>
          <t>T-1468</t>
        </is>
      </c>
      <c r="B1664" t="inlineStr">
        <is>
          <t>Indraprastha Gas (IGL)</t>
        </is>
      </c>
      <c r="C1664" t="inlineStr">
        <is>
          <t>Indraprastha Gas (IGL)</t>
        </is>
      </c>
      <c r="F1664" t="inlineStr">
        <is>
          <t>New Lead</t>
        </is>
      </c>
      <c r="H1664" t="inlineStr">
        <is>
          <t>CORRIGENDUM1_(1).pdf</t>
        </is>
      </c>
      <c r="K1664" t="inlineStr">
        <is>
          <t>Not found</t>
        </is>
      </c>
      <c r="L1664" t="inlineStr">
        <is>
          <t>Unknown</t>
        </is>
      </c>
      <c r="T1664" t="inlineStr">
        <is>
          <t>https://tenders.iglonline.net/uploads/tender/CORRIGENDUM1_(1).pdf</t>
        </is>
      </c>
      <c r="U1664" t="inlineStr">
        <is>
          <t>No</t>
        </is>
      </c>
      <c r="V1664" t="inlineStr">
        <is>
          <t>Bot tarafindan tespit edildi (2026-07-01)</t>
        </is>
      </c>
    </row>
    <row r="1665">
      <c r="A1665" t="inlineStr">
        <is>
          <t>T-1469</t>
        </is>
      </c>
      <c r="B1665" t="inlineStr">
        <is>
          <t>Indraprastha Gas (IGL)</t>
        </is>
      </c>
      <c r="C1665" t="inlineStr">
        <is>
          <t>Indraprastha Gas (IGL)</t>
        </is>
      </c>
      <c r="F1665" t="inlineStr">
        <is>
          <t>New Lead</t>
        </is>
      </c>
      <c r="H1665" t="inlineStr">
        <is>
          <t>Corrigendum_III.pdf</t>
        </is>
      </c>
      <c r="K1665" t="inlineStr">
        <is>
          <t>Not found</t>
        </is>
      </c>
      <c r="L1665" t="inlineStr">
        <is>
          <t>Unknown</t>
        </is>
      </c>
      <c r="T1665" t="inlineStr">
        <is>
          <t>https://tenders.iglonline.net/uploads/tender/Corrigendum_III.pdf</t>
        </is>
      </c>
      <c r="U1665" t="inlineStr">
        <is>
          <t>No</t>
        </is>
      </c>
      <c r="V1665" t="inlineStr">
        <is>
          <t>Bot tarafindan tespit edildi (2026-07-01)</t>
        </is>
      </c>
    </row>
    <row r="1666">
      <c r="A1666" t="inlineStr">
        <is>
          <t>T-1470</t>
        </is>
      </c>
      <c r="B1666" t="inlineStr">
        <is>
          <t>Indraprastha Gas (IGL)</t>
        </is>
      </c>
      <c r="C1666" t="inlineStr">
        <is>
          <t>Indraprastha Gas (IGL)</t>
        </is>
      </c>
      <c r="F1666" t="inlineStr">
        <is>
          <t>New Lead</t>
        </is>
      </c>
      <c r="H1666" t="inlineStr">
        <is>
          <t>View Tender</t>
        </is>
      </c>
      <c r="K1666" t="inlineStr">
        <is>
          <t>Not found</t>
        </is>
      </c>
      <c r="L1666" t="inlineStr">
        <is>
          <t>Unknown</t>
        </is>
      </c>
      <c r="T1666" t="inlineStr">
        <is>
          <t>https://tenders.iglonline.net/tenderDetail/104/Active Tenders And Corrigendum-Addendum</t>
        </is>
      </c>
      <c r="U1666" t="inlineStr">
        <is>
          <t>No</t>
        </is>
      </c>
      <c r="V1666" t="inlineStr">
        <is>
          <t>Bot tarafindan tespit edildi (2026-07-01)</t>
        </is>
      </c>
    </row>
    <row r="1667">
      <c r="A1667" t="inlineStr">
        <is>
          <t>T-1471</t>
        </is>
      </c>
      <c r="B1667" t="inlineStr">
        <is>
          <t>Indraprastha Gas (IGL)</t>
        </is>
      </c>
      <c r="C1667" t="inlineStr">
        <is>
          <t>Indraprastha Gas (IGL)</t>
        </is>
      </c>
      <c r="F1667" t="inlineStr">
        <is>
          <t>New Lead</t>
        </is>
      </c>
      <c r="H1667" t="inlineStr">
        <is>
          <t>Corrigendum_CC17354.pdf</t>
        </is>
      </c>
      <c r="K1667" t="inlineStr">
        <is>
          <t>Not found</t>
        </is>
      </c>
      <c r="L1667" t="inlineStr">
        <is>
          <t>Unknown</t>
        </is>
      </c>
      <c r="T1667" t="inlineStr">
        <is>
          <t>https://tenders.iglonline.net/uploads/tender/Corrigendum_CC17354.pdf</t>
        </is>
      </c>
      <c r="U1667" t="inlineStr">
        <is>
          <t>No</t>
        </is>
      </c>
      <c r="V1667" t="inlineStr">
        <is>
          <t>Bot tarafindan tespit edildi (2026-07-01)</t>
        </is>
      </c>
    </row>
    <row r="1668">
      <c r="A1668" t="inlineStr">
        <is>
          <t>T-1472</t>
        </is>
      </c>
      <c r="B1668" t="inlineStr">
        <is>
          <t>Indraprastha Gas (IGL)</t>
        </is>
      </c>
      <c r="C1668" t="inlineStr">
        <is>
          <t>Indraprastha Gas (IGL)</t>
        </is>
      </c>
      <c r="F1668" t="inlineStr">
        <is>
          <t>New Lead</t>
        </is>
      </c>
      <c r="H1668" t="inlineStr">
        <is>
          <t>RTBQ_CC17354_(1).pdf</t>
        </is>
      </c>
      <c r="K1668" t="inlineStr">
        <is>
          <t>Not found</t>
        </is>
      </c>
      <c r="L1668" t="inlineStr">
        <is>
          <t>Unknown</t>
        </is>
      </c>
      <c r="T1668" t="inlineStr">
        <is>
          <t>https://tenders.iglonline.net/uploads/tender/RTBQ_CC17354_(1).pdf</t>
        </is>
      </c>
      <c r="U1668" t="inlineStr">
        <is>
          <t>No</t>
        </is>
      </c>
      <c r="V1668" t="inlineStr">
        <is>
          <t>Bot tarafindan tespit edildi (2026-07-01)</t>
        </is>
      </c>
    </row>
    <row r="1669">
      <c r="A1669" t="inlineStr">
        <is>
          <t>T-1473</t>
        </is>
      </c>
      <c r="B1669" t="inlineStr">
        <is>
          <t>Indraprastha Gas (IGL)</t>
        </is>
      </c>
      <c r="C1669" t="inlineStr">
        <is>
          <t>Indraprastha Gas (IGL)</t>
        </is>
      </c>
      <c r="F1669" t="inlineStr">
        <is>
          <t>New Lead</t>
        </is>
      </c>
      <c r="H1669" t="inlineStr">
        <is>
          <t>Sheet_A_(1).pdf</t>
        </is>
      </c>
      <c r="K1669" t="inlineStr">
        <is>
          <t>Not found</t>
        </is>
      </c>
      <c r="L1669" t="inlineStr">
        <is>
          <t>Unknown</t>
        </is>
      </c>
      <c r="T1669" t="inlineStr">
        <is>
          <t>https://tenders.iglonline.net/uploads/tender/Sheet_A_(1).pdf</t>
        </is>
      </c>
      <c r="U1669" t="inlineStr">
        <is>
          <t>No</t>
        </is>
      </c>
      <c r="V1669" t="inlineStr">
        <is>
          <t>Bot tarafindan tespit edildi (2026-07-01)</t>
        </is>
      </c>
    </row>
    <row r="1670">
      <c r="A1670" t="inlineStr">
        <is>
          <t>T-1474</t>
        </is>
      </c>
      <c r="B1670" t="inlineStr">
        <is>
          <t>Indraprastha Gas (IGL)</t>
        </is>
      </c>
      <c r="C1670" t="inlineStr">
        <is>
          <t>Indraprastha Gas (IGL)</t>
        </is>
      </c>
      <c r="F1670" t="inlineStr">
        <is>
          <t>New Lead</t>
        </is>
      </c>
      <c r="H1670" t="inlineStr">
        <is>
          <t>View Tender</t>
        </is>
      </c>
      <c r="K1670" t="inlineStr">
        <is>
          <t>Not found</t>
        </is>
      </c>
      <c r="L1670" t="inlineStr">
        <is>
          <t>Unknown</t>
        </is>
      </c>
      <c r="T1670" t="inlineStr">
        <is>
          <t>https://tenders.iglonline.net/tenderDetail/103/Active Tenders And Corrigendum-Addendum</t>
        </is>
      </c>
      <c r="U1670" t="inlineStr">
        <is>
          <t>No</t>
        </is>
      </c>
      <c r="V1670" t="inlineStr">
        <is>
          <t>Bot tarafindan tespit edildi (2026-07-01)</t>
        </is>
      </c>
    </row>
    <row r="1671">
      <c r="A1671" t="inlineStr">
        <is>
          <t>T-1475</t>
        </is>
      </c>
      <c r="B1671" t="inlineStr">
        <is>
          <t>Indraprastha Gas (IGL)</t>
        </is>
      </c>
      <c r="C1671" t="inlineStr">
        <is>
          <t>Indraprastha Gas (IGL)</t>
        </is>
      </c>
      <c r="F1671" t="inlineStr">
        <is>
          <t>New Lead</t>
        </is>
      </c>
      <c r="H1671" t="inlineStr">
        <is>
          <t>Corrigendum_1_CM17367.pdf</t>
        </is>
      </c>
      <c r="K1671" t="inlineStr">
        <is>
          <t>Not found</t>
        </is>
      </c>
      <c r="L1671" t="inlineStr">
        <is>
          <t>Unknown</t>
        </is>
      </c>
      <c r="T1671" t="inlineStr">
        <is>
          <t>https://tenders.iglonline.net/uploads/tender/Corrigendum_1_CM17367.pdf</t>
        </is>
      </c>
      <c r="U1671" t="inlineStr">
        <is>
          <t>No</t>
        </is>
      </c>
      <c r="V1671" t="inlineStr">
        <is>
          <t>Bot tarafindan tespit edildi (2026-07-01)</t>
        </is>
      </c>
    </row>
    <row r="1672">
      <c r="A1672" t="inlineStr">
        <is>
          <t>T-1476</t>
        </is>
      </c>
      <c r="B1672" t="inlineStr">
        <is>
          <t>Indraprastha Gas (IGL)</t>
        </is>
      </c>
      <c r="C1672" t="inlineStr">
        <is>
          <t>Indraprastha Gas (IGL)</t>
        </is>
      </c>
      <c r="F1672" t="inlineStr">
        <is>
          <t>New Lead</t>
        </is>
      </c>
      <c r="H1672" t="inlineStr">
        <is>
          <t>Reply_to_Queries.pdf</t>
        </is>
      </c>
      <c r="K1672" t="inlineStr">
        <is>
          <t>Not found</t>
        </is>
      </c>
      <c r="L1672" t="inlineStr">
        <is>
          <t>Unknown</t>
        </is>
      </c>
      <c r="T1672" t="inlineStr">
        <is>
          <t>https://tenders.iglonline.net/uploads/tender/Reply_to_Queries.pdf</t>
        </is>
      </c>
      <c r="U1672" t="inlineStr">
        <is>
          <t>No</t>
        </is>
      </c>
      <c r="V1672" t="inlineStr">
        <is>
          <t>Bot tarafindan tespit edildi (2026-07-01)</t>
        </is>
      </c>
    </row>
    <row r="1673">
      <c r="A1673" t="inlineStr">
        <is>
          <t>T-1477</t>
        </is>
      </c>
      <c r="B1673" t="inlineStr">
        <is>
          <t>Indraprastha Gas (IGL)</t>
        </is>
      </c>
      <c r="C1673" t="inlineStr">
        <is>
          <t>Indraprastha Gas (IGL)</t>
        </is>
      </c>
      <c r="F1673" t="inlineStr">
        <is>
          <t>New Lead</t>
        </is>
      </c>
      <c r="H1673" t="inlineStr">
        <is>
          <t>View Tender</t>
        </is>
      </c>
      <c r="K1673" t="inlineStr">
        <is>
          <t>Not found</t>
        </is>
      </c>
      <c r="L1673" t="inlineStr">
        <is>
          <t>Unknown</t>
        </is>
      </c>
      <c r="T1673" t="inlineStr">
        <is>
          <t>https://tenders.iglonline.net/tenderDetail/102/Active Tenders And Corrigendum-Addendum</t>
        </is>
      </c>
      <c r="U1673" t="inlineStr">
        <is>
          <t>No</t>
        </is>
      </c>
      <c r="V1673" t="inlineStr">
        <is>
          <t>Bot tarafindan tespit edildi (2026-07-01)</t>
        </is>
      </c>
    </row>
    <row r="1674">
      <c r="A1674" t="inlineStr">
        <is>
          <t>T-1478</t>
        </is>
      </c>
      <c r="B1674" t="inlineStr">
        <is>
          <t>Indraprastha Gas (IGL)</t>
        </is>
      </c>
      <c r="C1674" t="inlineStr">
        <is>
          <t>Indraprastha Gas (IGL)</t>
        </is>
      </c>
      <c r="F1674" t="inlineStr">
        <is>
          <t>New Lead</t>
        </is>
      </c>
      <c r="H1674" t="inlineStr">
        <is>
          <t>Corrigendum_1_CP17356.pdf</t>
        </is>
      </c>
      <c r="K1674" t="inlineStr">
        <is>
          <t>Not found</t>
        </is>
      </c>
      <c r="L1674" t="inlineStr">
        <is>
          <t>Unknown</t>
        </is>
      </c>
      <c r="T1674" t="inlineStr">
        <is>
          <t>https://tenders.iglonline.net/uploads/tender/Corrigendum_1_CP17356.pdf</t>
        </is>
      </c>
      <c r="U1674" t="inlineStr">
        <is>
          <t>No</t>
        </is>
      </c>
      <c r="V1674" t="inlineStr">
        <is>
          <t>Bot tarafindan tespit edildi (2026-07-01)</t>
        </is>
      </c>
    </row>
    <row r="1675">
      <c r="A1675" t="inlineStr">
        <is>
          <t>T-1479</t>
        </is>
      </c>
      <c r="B1675" t="inlineStr">
        <is>
          <t>Indraprastha Gas (IGL)</t>
        </is>
      </c>
      <c r="C1675" t="inlineStr">
        <is>
          <t>Indraprastha Gas (IGL)</t>
        </is>
      </c>
      <c r="F1675" t="inlineStr">
        <is>
          <t>New Lead</t>
        </is>
      </c>
      <c r="H1675" t="inlineStr">
        <is>
          <t>View Tender</t>
        </is>
      </c>
      <c r="K1675" t="inlineStr">
        <is>
          <t>Not found</t>
        </is>
      </c>
      <c r="L1675" t="inlineStr">
        <is>
          <t>Unknown</t>
        </is>
      </c>
      <c r="T1675" t="inlineStr">
        <is>
          <t>https://tenders.iglonline.net/tenderDetail/101/Active Tenders And Corrigendum-Addendum</t>
        </is>
      </c>
      <c r="U1675" t="inlineStr">
        <is>
          <t>No</t>
        </is>
      </c>
      <c r="V1675" t="inlineStr">
        <is>
          <t>Bot tarafindan tespit edildi (2026-07-01)</t>
        </is>
      </c>
    </row>
    <row r="1676">
      <c r="A1676" t="inlineStr">
        <is>
          <t>T-1480</t>
        </is>
      </c>
      <c r="B1676" t="inlineStr">
        <is>
          <t>Indraprastha Gas (IGL)</t>
        </is>
      </c>
      <c r="C1676" t="inlineStr">
        <is>
          <t>Indraprastha Gas (IGL)</t>
        </is>
      </c>
      <c r="F1676" t="inlineStr">
        <is>
          <t>New Lead</t>
        </is>
      </c>
      <c r="H1676" t="inlineStr">
        <is>
          <t>Corrigendum_1_CP17357.pdf</t>
        </is>
      </c>
      <c r="K1676" t="inlineStr">
        <is>
          <t>Not found</t>
        </is>
      </c>
      <c r="L1676" t="inlineStr">
        <is>
          <t>Unknown</t>
        </is>
      </c>
      <c r="T1676" t="inlineStr">
        <is>
          <t>https://tenders.iglonline.net/uploads/tender/Corrigendum_1_CP17357.pdf</t>
        </is>
      </c>
      <c r="U1676" t="inlineStr">
        <is>
          <t>No</t>
        </is>
      </c>
      <c r="V1676" t="inlineStr">
        <is>
          <t>Bot tarafindan tespit edildi (2026-07-01)</t>
        </is>
      </c>
    </row>
    <row r="1677">
      <c r="A1677" t="inlineStr">
        <is>
          <t>T-1481</t>
        </is>
      </c>
      <c r="B1677" t="inlineStr">
        <is>
          <t>Indraprastha Gas (IGL)</t>
        </is>
      </c>
      <c r="C1677" t="inlineStr">
        <is>
          <t>Indraprastha Gas (IGL)</t>
        </is>
      </c>
      <c r="F1677" t="inlineStr">
        <is>
          <t>New Lead</t>
        </is>
      </c>
      <c r="H1677" t="inlineStr">
        <is>
          <t>Replies_to_Bidder_Queries_CP17357.pdf</t>
        </is>
      </c>
      <c r="K1677" t="inlineStr">
        <is>
          <t>Not found</t>
        </is>
      </c>
      <c r="L1677" t="inlineStr">
        <is>
          <t>Unknown</t>
        </is>
      </c>
      <c r="T1677" t="inlineStr">
        <is>
          <t>https://tenders.iglonline.net/uploads/tender/Replies_to_Bidder_Queries_CP17357.pdf</t>
        </is>
      </c>
      <c r="U1677" t="inlineStr">
        <is>
          <t>No</t>
        </is>
      </c>
      <c r="V1677" t="inlineStr">
        <is>
          <t>Bot tarafindan tespit edildi (2026-07-01)</t>
        </is>
      </c>
    </row>
    <row r="1678">
      <c r="A1678" t="inlineStr">
        <is>
          <t>T-1482</t>
        </is>
      </c>
      <c r="B1678" t="inlineStr">
        <is>
          <t>Indraprastha Gas (IGL)</t>
        </is>
      </c>
      <c r="C1678" t="inlineStr">
        <is>
          <t>Indraprastha Gas (IGL)</t>
        </is>
      </c>
      <c r="F1678" t="inlineStr">
        <is>
          <t>New Lead</t>
        </is>
      </c>
      <c r="H1678" t="inlineStr">
        <is>
          <t>View Tender</t>
        </is>
      </c>
      <c r="K1678" t="inlineStr">
        <is>
          <t>Not found</t>
        </is>
      </c>
      <c r="L1678" t="inlineStr">
        <is>
          <t>Unknown</t>
        </is>
      </c>
      <c r="T1678" t="inlineStr">
        <is>
          <t>https://tenders.iglonline.net/tenderDetail/100/Active Tenders And Corrigendum-Addendum</t>
        </is>
      </c>
      <c r="U1678" t="inlineStr">
        <is>
          <t>No</t>
        </is>
      </c>
      <c r="V1678" t="inlineStr">
        <is>
          <t>Bot tarafindan tespit edildi (2026-07-01)</t>
        </is>
      </c>
    </row>
    <row r="1679">
      <c r="A1679" t="inlineStr">
        <is>
          <t>T-1483</t>
        </is>
      </c>
      <c r="B1679" t="inlineStr">
        <is>
          <t>Indraprastha Gas (IGL)</t>
        </is>
      </c>
      <c r="C1679" t="inlineStr">
        <is>
          <t>Indraprastha Gas (IGL)</t>
        </is>
      </c>
      <c r="F1679" t="inlineStr">
        <is>
          <t>New Lead</t>
        </is>
      </c>
      <c r="H1679" t="inlineStr">
        <is>
          <t>CORRIGENDUM1.pdf</t>
        </is>
      </c>
      <c r="K1679" t="inlineStr">
        <is>
          <t>Not found</t>
        </is>
      </c>
      <c r="L1679" t="inlineStr">
        <is>
          <t>Unknown</t>
        </is>
      </c>
      <c r="T1679" t="inlineStr">
        <is>
          <t>https://tenders.iglonline.net/uploads/tender/CORRIGENDUM1.pdf</t>
        </is>
      </c>
      <c r="U1679" t="inlineStr">
        <is>
          <t>No</t>
        </is>
      </c>
      <c r="V1679" t="inlineStr">
        <is>
          <t>Bot tarafindan tespit edildi (2026-07-01)</t>
        </is>
      </c>
    </row>
    <row r="1680">
      <c r="A1680" t="inlineStr">
        <is>
          <t>T-1484</t>
        </is>
      </c>
      <c r="B1680" t="inlineStr">
        <is>
          <t>Indraprastha Gas (IGL)</t>
        </is>
      </c>
      <c r="C1680" t="inlineStr">
        <is>
          <t>Indraprastha Gas (IGL)</t>
        </is>
      </c>
      <c r="F1680" t="inlineStr">
        <is>
          <t>New Lead</t>
        </is>
      </c>
      <c r="H1680" t="inlineStr">
        <is>
          <t>CORRIGENDUM2.pdf</t>
        </is>
      </c>
      <c r="K1680" t="inlineStr">
        <is>
          <t>Not found</t>
        </is>
      </c>
      <c r="L1680" t="inlineStr">
        <is>
          <t>Unknown</t>
        </is>
      </c>
      <c r="T1680" t="inlineStr">
        <is>
          <t>https://tenders.iglonline.net/uploads/tender/CORRIGENDUM2.pdf</t>
        </is>
      </c>
      <c r="U1680" t="inlineStr">
        <is>
          <t>No</t>
        </is>
      </c>
      <c r="V1680" t="inlineStr">
        <is>
          <t>Bot tarafindan tespit edildi (2026-07-01)</t>
        </is>
      </c>
    </row>
    <row r="1681">
      <c r="A1681" t="inlineStr">
        <is>
          <t>T-1485</t>
        </is>
      </c>
      <c r="B1681" t="inlineStr">
        <is>
          <t>Indraprastha Gas (IGL)</t>
        </is>
      </c>
      <c r="C1681" t="inlineStr">
        <is>
          <t>Indraprastha Gas (IGL)</t>
        </is>
      </c>
      <c r="F1681" t="inlineStr">
        <is>
          <t>New Lead</t>
        </is>
      </c>
      <c r="H1681" t="inlineStr">
        <is>
          <t>View Tender</t>
        </is>
      </c>
      <c r="K1681" t="inlineStr">
        <is>
          <t>Not found</t>
        </is>
      </c>
      <c r="L1681" t="inlineStr">
        <is>
          <t>Unknown</t>
        </is>
      </c>
      <c r="T1681" t="inlineStr">
        <is>
          <t>https://tenders.iglonline.net/tenderDetail/99/Active Tenders And Corrigendum-Addendum</t>
        </is>
      </c>
      <c r="U1681" t="inlineStr">
        <is>
          <t>No</t>
        </is>
      </c>
      <c r="V1681" t="inlineStr">
        <is>
          <t>Bot tarafindan tespit edildi (2026-07-01)</t>
        </is>
      </c>
    </row>
    <row r="1682">
      <c r="A1682" t="inlineStr">
        <is>
          <t>T-1486</t>
        </is>
      </c>
      <c r="B1682" t="inlineStr">
        <is>
          <t>Indraprastha Gas (IGL)</t>
        </is>
      </c>
      <c r="C1682" t="inlineStr">
        <is>
          <t>Indraprastha Gas (IGL)</t>
        </is>
      </c>
      <c r="F1682" t="inlineStr">
        <is>
          <t>New Lead</t>
        </is>
      </c>
      <c r="H1682" t="inlineStr">
        <is>
          <t>Corrigendum_2_CM17347.pdf</t>
        </is>
      </c>
      <c r="K1682" t="inlineStr">
        <is>
          <t>Not found</t>
        </is>
      </c>
      <c r="L1682" t="inlineStr">
        <is>
          <t>Unknown</t>
        </is>
      </c>
      <c r="T1682" t="inlineStr">
        <is>
          <t>https://tenders.iglonline.net/uploads/tender/Corrigendum_2_CM17347.pdf</t>
        </is>
      </c>
      <c r="U1682" t="inlineStr">
        <is>
          <t>No</t>
        </is>
      </c>
      <c r="V1682" t="inlineStr">
        <is>
          <t>Bot tarafindan tespit edildi (2026-07-01)</t>
        </is>
      </c>
    </row>
    <row r="1683">
      <c r="A1683" t="inlineStr">
        <is>
          <t>T-1487</t>
        </is>
      </c>
      <c r="B1683" t="inlineStr">
        <is>
          <t>Indraprastha Gas (IGL)</t>
        </is>
      </c>
      <c r="C1683" t="inlineStr">
        <is>
          <t>Indraprastha Gas (IGL)</t>
        </is>
      </c>
      <c r="F1683" t="inlineStr">
        <is>
          <t>New Lead</t>
        </is>
      </c>
      <c r="H1683" t="inlineStr">
        <is>
          <t>CORRIGENDUM1_CM17347.pdf</t>
        </is>
      </c>
      <c r="K1683" t="inlineStr">
        <is>
          <t>Not found</t>
        </is>
      </c>
      <c r="L1683" t="inlineStr">
        <is>
          <t>Unknown</t>
        </is>
      </c>
      <c r="T1683" t="inlineStr">
        <is>
          <t>https://tenders.iglonline.net/uploads/tender/CORRIGENDUM1_CM17347.pdf</t>
        </is>
      </c>
      <c r="U1683" t="inlineStr">
        <is>
          <t>No</t>
        </is>
      </c>
      <c r="V1683" t="inlineStr">
        <is>
          <t>Bot tarafindan tespit edildi (2026-07-01)</t>
        </is>
      </c>
    </row>
    <row r="1684">
      <c r="A1684" t="inlineStr">
        <is>
          <t>T-1488</t>
        </is>
      </c>
      <c r="B1684" t="inlineStr">
        <is>
          <t>Indraprastha Gas (IGL)</t>
        </is>
      </c>
      <c r="C1684" t="inlineStr">
        <is>
          <t>Indraprastha Gas (IGL)</t>
        </is>
      </c>
      <c r="F1684" t="inlineStr">
        <is>
          <t>New Lead</t>
        </is>
      </c>
      <c r="H1684" t="inlineStr">
        <is>
          <t>Replies_to_prebid.pdf</t>
        </is>
      </c>
      <c r="K1684" t="inlineStr">
        <is>
          <t>Not found</t>
        </is>
      </c>
      <c r="L1684" t="inlineStr">
        <is>
          <t>Unknown</t>
        </is>
      </c>
      <c r="T1684" t="inlineStr">
        <is>
          <t>https://tenders.iglonline.net/uploads/tender/Replies_to_prebid.pdf</t>
        </is>
      </c>
      <c r="U1684" t="inlineStr">
        <is>
          <t>No</t>
        </is>
      </c>
      <c r="V1684" t="inlineStr">
        <is>
          <t>Bot tarafindan tespit edildi (2026-07-01)</t>
        </is>
      </c>
    </row>
    <row r="1685">
      <c r="A1685" t="inlineStr">
        <is>
          <t>T-1489</t>
        </is>
      </c>
      <c r="B1685" t="inlineStr">
        <is>
          <t>Indraprastha Gas (IGL)</t>
        </is>
      </c>
      <c r="C1685" t="inlineStr">
        <is>
          <t>Indraprastha Gas (IGL)</t>
        </is>
      </c>
      <c r="F1685" t="inlineStr">
        <is>
          <t>New Lead</t>
        </is>
      </c>
      <c r="H1685" t="inlineStr">
        <is>
          <t>CORRIGENDUM4.pdf</t>
        </is>
      </c>
      <c r="K1685" t="inlineStr">
        <is>
          <t>Not found</t>
        </is>
      </c>
      <c r="L1685" t="inlineStr">
        <is>
          <t>Unknown</t>
        </is>
      </c>
      <c r="T1685" t="inlineStr">
        <is>
          <t>https://tenders.iglonline.net/uploads/tender/CORRIGENDUM4.pdf</t>
        </is>
      </c>
      <c r="U1685" t="inlineStr">
        <is>
          <t>No</t>
        </is>
      </c>
      <c r="V1685" t="inlineStr">
        <is>
          <t>Bot tarafindan tespit edildi (2026-07-01)</t>
        </is>
      </c>
    </row>
    <row r="1686">
      <c r="A1686" t="inlineStr">
        <is>
          <t>T-1490</t>
        </is>
      </c>
      <c r="B1686" t="inlineStr">
        <is>
          <t>Indraprastha Gas (IGL)</t>
        </is>
      </c>
      <c r="C1686" t="inlineStr">
        <is>
          <t>Indraprastha Gas (IGL)</t>
        </is>
      </c>
      <c r="F1686" t="inlineStr">
        <is>
          <t>New Lead</t>
        </is>
      </c>
      <c r="H1686" t="inlineStr">
        <is>
          <t>CORRIGENDUM6.pdf</t>
        </is>
      </c>
      <c r="K1686" t="inlineStr">
        <is>
          <t>Not found</t>
        </is>
      </c>
      <c r="L1686" t="inlineStr">
        <is>
          <t>Unknown</t>
        </is>
      </c>
      <c r="T1686" t="inlineStr">
        <is>
          <t>https://tenders.iglonline.net/uploads/tender/CORRIGENDUM6.pdf</t>
        </is>
      </c>
      <c r="U1686" t="inlineStr">
        <is>
          <t>No</t>
        </is>
      </c>
      <c r="V1686" t="inlineStr">
        <is>
          <t>Bot tarafindan tespit edildi (2026-07-01)</t>
        </is>
      </c>
    </row>
    <row r="1687">
      <c r="A1687" t="inlineStr">
        <is>
          <t>T-1491</t>
        </is>
      </c>
      <c r="B1687" t="inlineStr">
        <is>
          <t>Indraprastha Gas (IGL)</t>
        </is>
      </c>
      <c r="C1687" t="inlineStr">
        <is>
          <t>Indraprastha Gas (IGL)</t>
        </is>
      </c>
      <c r="F1687" t="inlineStr">
        <is>
          <t>New Lead</t>
        </is>
      </c>
      <c r="H1687" t="inlineStr">
        <is>
          <t>View Tender</t>
        </is>
      </c>
      <c r="K1687" t="inlineStr">
        <is>
          <t>Not found</t>
        </is>
      </c>
      <c r="L1687" t="inlineStr">
        <is>
          <t>Unknown</t>
        </is>
      </c>
      <c r="T1687" t="inlineStr">
        <is>
          <t>https://tenders.iglonline.net/tenderDetail/98/Active Tenders And Corrigendum-Addendum</t>
        </is>
      </c>
      <c r="U1687" t="inlineStr">
        <is>
          <t>No</t>
        </is>
      </c>
      <c r="V1687" t="inlineStr">
        <is>
          <t>Bot tarafindan tespit edildi (2026-07-01)</t>
        </is>
      </c>
    </row>
    <row r="1688">
      <c r="A1688" t="inlineStr">
        <is>
          <t>T-1492</t>
        </is>
      </c>
      <c r="B1688" t="inlineStr">
        <is>
          <t>Indraprastha Gas (IGL)</t>
        </is>
      </c>
      <c r="C1688" t="inlineStr">
        <is>
          <t>Indraprastha Gas (IGL)</t>
        </is>
      </c>
      <c r="F1688" t="inlineStr">
        <is>
          <t>New Lead</t>
        </is>
      </c>
      <c r="H1688" t="inlineStr">
        <is>
          <t>View Tender</t>
        </is>
      </c>
      <c r="K1688" t="inlineStr">
        <is>
          <t>Not found</t>
        </is>
      </c>
      <c r="L1688" t="inlineStr">
        <is>
          <t>Unknown</t>
        </is>
      </c>
      <c r="T1688" t="inlineStr">
        <is>
          <t>https://tenders.iglonline.net/tenderDetail/97/Active Tenders And Corrigendum-Addendum</t>
        </is>
      </c>
      <c r="U1688" t="inlineStr">
        <is>
          <t>No</t>
        </is>
      </c>
      <c r="V1688" t="inlineStr">
        <is>
          <t>Bot tarafindan tespit edildi (2026-07-01)</t>
        </is>
      </c>
    </row>
    <row r="1689">
      <c r="A1689" t="inlineStr">
        <is>
          <t>T-1493</t>
        </is>
      </c>
      <c r="B1689" t="inlineStr">
        <is>
          <t>Indraprastha Gas (IGL)</t>
        </is>
      </c>
      <c r="C1689" t="inlineStr">
        <is>
          <t>Indraprastha Gas (IGL)</t>
        </is>
      </c>
      <c r="F1689" t="inlineStr">
        <is>
          <t>New Lead</t>
        </is>
      </c>
      <c r="H1689" t="inlineStr">
        <is>
          <t>View Tender</t>
        </is>
      </c>
      <c r="K1689" t="inlineStr">
        <is>
          <t>Not found</t>
        </is>
      </c>
      <c r="L1689" t="inlineStr">
        <is>
          <t>Unknown</t>
        </is>
      </c>
      <c r="T1689" t="inlineStr">
        <is>
          <t>https://tenders.iglonline.net/tenderDetail/96/Active Tenders And Corrigendum-Addendum</t>
        </is>
      </c>
      <c r="U1689" t="inlineStr">
        <is>
          <t>No</t>
        </is>
      </c>
      <c r="V1689" t="inlineStr">
        <is>
          <t>Bot tarafindan tespit edildi (2026-07-01)</t>
        </is>
      </c>
    </row>
    <row r="1690">
      <c r="A1690" t="inlineStr">
        <is>
          <t>T-1494</t>
        </is>
      </c>
      <c r="B1690" t="inlineStr">
        <is>
          <t>Indraprastha Gas (IGL)</t>
        </is>
      </c>
      <c r="C1690" t="inlineStr">
        <is>
          <t>Indraprastha Gas (IGL)</t>
        </is>
      </c>
      <c r="F1690" t="inlineStr">
        <is>
          <t>New Lead</t>
        </is>
      </c>
      <c r="H1690" t="inlineStr">
        <is>
          <t>Corrigendum_II_(1).pdf</t>
        </is>
      </c>
      <c r="K1690" t="inlineStr">
        <is>
          <t>Not found</t>
        </is>
      </c>
      <c r="L1690" t="inlineStr">
        <is>
          <t>Unknown</t>
        </is>
      </c>
      <c r="T1690" t="inlineStr">
        <is>
          <t>https://tenders.iglonline.net/uploads/tender/Corrigendum_II_(1).pdf</t>
        </is>
      </c>
      <c r="U1690" t="inlineStr">
        <is>
          <t>No</t>
        </is>
      </c>
      <c r="V1690" t="inlineStr">
        <is>
          <t>Bot tarafindan tespit edildi (2026-07-01)</t>
        </is>
      </c>
    </row>
    <row r="1691">
      <c r="A1691" t="inlineStr">
        <is>
          <t>T-1495</t>
        </is>
      </c>
      <c r="B1691" t="inlineStr">
        <is>
          <t>Indraprastha Gas (IGL)</t>
        </is>
      </c>
      <c r="C1691" t="inlineStr">
        <is>
          <t>Indraprastha Gas (IGL)</t>
        </is>
      </c>
      <c r="F1691" t="inlineStr">
        <is>
          <t>New Lead</t>
        </is>
      </c>
      <c r="H1691" t="inlineStr">
        <is>
          <t>Corrigendum_3_CC17261_(1).pdf</t>
        </is>
      </c>
      <c r="K1691" t="inlineStr">
        <is>
          <t>Not found</t>
        </is>
      </c>
      <c r="L1691" t="inlineStr">
        <is>
          <t>Unknown</t>
        </is>
      </c>
      <c r="T1691" t="inlineStr">
        <is>
          <t>https://tenders.iglonline.net/uploads/tender/Corrigendum_3_CC17261_(1).pdf</t>
        </is>
      </c>
      <c r="U1691" t="inlineStr">
        <is>
          <t>No</t>
        </is>
      </c>
      <c r="V1691" t="inlineStr">
        <is>
          <t>Bot tarafindan tespit edildi (2026-07-01)</t>
        </is>
      </c>
    </row>
    <row r="1692">
      <c r="A1692" t="inlineStr">
        <is>
          <t>T-1496</t>
        </is>
      </c>
      <c r="B1692" t="inlineStr">
        <is>
          <t>Indraprastha Gas (IGL)</t>
        </is>
      </c>
      <c r="C1692" t="inlineStr">
        <is>
          <t>Indraprastha Gas (IGL)</t>
        </is>
      </c>
      <c r="F1692" t="inlineStr">
        <is>
          <t>New Lead</t>
        </is>
      </c>
      <c r="H1692" t="inlineStr">
        <is>
          <t>Corrigendum_4_CC17261.pdf</t>
        </is>
      </c>
      <c r="K1692" t="inlineStr">
        <is>
          <t>Not found</t>
        </is>
      </c>
      <c r="L1692" t="inlineStr">
        <is>
          <t>Unknown</t>
        </is>
      </c>
      <c r="T1692" t="inlineStr">
        <is>
          <t>https://tenders.iglonline.net/uploads/tender/Corrigendum_4_CC17261.pdf</t>
        </is>
      </c>
      <c r="U1692" t="inlineStr">
        <is>
          <t>No</t>
        </is>
      </c>
      <c r="V1692" t="inlineStr">
        <is>
          <t>Bot tarafindan tespit edildi (2026-07-01)</t>
        </is>
      </c>
    </row>
    <row r="1693">
      <c r="A1693" t="inlineStr">
        <is>
          <t>T-1497</t>
        </is>
      </c>
      <c r="B1693" t="inlineStr">
        <is>
          <t>Indraprastha Gas (IGL)</t>
        </is>
      </c>
      <c r="C1693" t="inlineStr">
        <is>
          <t>Indraprastha Gas (IGL)</t>
        </is>
      </c>
      <c r="F1693" t="inlineStr">
        <is>
          <t>New Lead</t>
        </is>
      </c>
      <c r="H1693" t="inlineStr">
        <is>
          <t>Reply_to_Prebid_queries.pdf</t>
        </is>
      </c>
      <c r="K1693" t="inlineStr">
        <is>
          <t>Not found</t>
        </is>
      </c>
      <c r="L1693" t="inlineStr">
        <is>
          <t>Unknown</t>
        </is>
      </c>
      <c r="T1693" t="inlineStr">
        <is>
          <t>https://tenders.iglonline.net/uploads/tender/Reply_to_Prebid_queries.pdf</t>
        </is>
      </c>
      <c r="U1693" t="inlineStr">
        <is>
          <t>No</t>
        </is>
      </c>
      <c r="V1693" t="inlineStr">
        <is>
          <t>Bot tarafindan tespit edildi (2026-07-01)</t>
        </is>
      </c>
    </row>
    <row r="1694">
      <c r="A1694" t="inlineStr">
        <is>
          <t>T-1498</t>
        </is>
      </c>
      <c r="B1694" t="inlineStr">
        <is>
          <t>Indraprastha Gas (IGL)</t>
        </is>
      </c>
      <c r="C1694" t="inlineStr">
        <is>
          <t>Indraprastha Gas (IGL)</t>
        </is>
      </c>
      <c r="F1694" t="inlineStr">
        <is>
          <t>New Lead</t>
        </is>
      </c>
      <c r="H1694" t="inlineStr">
        <is>
          <t>View Tender</t>
        </is>
      </c>
      <c r="K1694" t="inlineStr">
        <is>
          <t>Not found</t>
        </is>
      </c>
      <c r="L1694" t="inlineStr">
        <is>
          <t>Unknown</t>
        </is>
      </c>
      <c r="T1694" t="inlineStr">
        <is>
          <t>https://tenders.iglonline.net/tenderDetail/95/Active Tenders And Corrigendum-Addendum</t>
        </is>
      </c>
      <c r="U1694" t="inlineStr">
        <is>
          <t>No</t>
        </is>
      </c>
      <c r="V1694" t="inlineStr">
        <is>
          <t>Bot tarafindan tespit edildi (2026-07-01)</t>
        </is>
      </c>
    </row>
    <row r="1695">
      <c r="A1695" t="inlineStr">
        <is>
          <t>T-1499</t>
        </is>
      </c>
      <c r="B1695" t="inlineStr">
        <is>
          <t>Indraprastha Gas (IGL)</t>
        </is>
      </c>
      <c r="C1695" t="inlineStr">
        <is>
          <t>Indraprastha Gas (IGL)</t>
        </is>
      </c>
      <c r="F1695" t="inlineStr">
        <is>
          <t>New Lead</t>
        </is>
      </c>
      <c r="H1695" t="inlineStr">
        <is>
          <t>Corrigendum_1_CM17260.pdf</t>
        </is>
      </c>
      <c r="K1695" t="inlineStr">
        <is>
          <t>Not found</t>
        </is>
      </c>
      <c r="L1695" t="inlineStr">
        <is>
          <t>Unknown</t>
        </is>
      </c>
      <c r="T1695" t="inlineStr">
        <is>
          <t>https://tenders.iglonline.net/uploads/tender/Corrigendum_1_CM17260.pdf</t>
        </is>
      </c>
      <c r="U1695" t="inlineStr">
        <is>
          <t>No</t>
        </is>
      </c>
      <c r="V1695" t="inlineStr">
        <is>
          <t>Bot tarafindan tespit edildi (2026-07-01)</t>
        </is>
      </c>
    </row>
    <row r="1696">
      <c r="A1696" t="inlineStr">
        <is>
          <t>T-1500</t>
        </is>
      </c>
      <c r="B1696" t="inlineStr">
        <is>
          <t>Indraprastha Gas (IGL)</t>
        </is>
      </c>
      <c r="C1696" t="inlineStr">
        <is>
          <t>Indraprastha Gas (IGL)</t>
        </is>
      </c>
      <c r="F1696" t="inlineStr">
        <is>
          <t>New Lead</t>
        </is>
      </c>
      <c r="H1696" t="inlineStr">
        <is>
          <t>Corrigendum_3_CM17260.pdf</t>
        </is>
      </c>
      <c r="K1696" t="inlineStr">
        <is>
          <t>Not found</t>
        </is>
      </c>
      <c r="L1696" t="inlineStr">
        <is>
          <t>Unknown</t>
        </is>
      </c>
      <c r="T1696" t="inlineStr">
        <is>
          <t>https://tenders.iglonline.net/uploads/tender/Corrigendum_3_CM17260.pdf</t>
        </is>
      </c>
      <c r="U1696" t="inlineStr">
        <is>
          <t>No</t>
        </is>
      </c>
      <c r="V1696" t="inlineStr">
        <is>
          <t>Bot tarafindan tespit edildi (2026-07-01)</t>
        </is>
      </c>
    </row>
    <row r="1697">
      <c r="A1697" t="inlineStr">
        <is>
          <t>T-1501</t>
        </is>
      </c>
      <c r="B1697" t="inlineStr">
        <is>
          <t>Indraprastha Gas (IGL)</t>
        </is>
      </c>
      <c r="C1697" t="inlineStr">
        <is>
          <t>Indraprastha Gas (IGL)</t>
        </is>
      </c>
      <c r="F1697" t="inlineStr">
        <is>
          <t>New Lead</t>
        </is>
      </c>
      <c r="H1697" t="inlineStr">
        <is>
          <t>Notice_for_Cancellation_CM17260.pdf</t>
        </is>
      </c>
      <c r="K1697" t="inlineStr">
        <is>
          <t>Not found</t>
        </is>
      </c>
      <c r="L1697" t="inlineStr">
        <is>
          <t>Unknown</t>
        </is>
      </c>
      <c r="T1697" t="inlineStr">
        <is>
          <t>https://tenders.iglonline.net/uploads/tender/Notice_for_Cancellation_CM17260.pdf</t>
        </is>
      </c>
      <c r="U1697" t="inlineStr">
        <is>
          <t>No</t>
        </is>
      </c>
      <c r="V1697" t="inlineStr">
        <is>
          <t>Bot tarafindan tespit edildi (2026-07-01)</t>
        </is>
      </c>
    </row>
    <row r="1698">
      <c r="A1698" t="inlineStr">
        <is>
          <t>T-1502</t>
        </is>
      </c>
      <c r="B1698" t="inlineStr">
        <is>
          <t>Indraprastha Gas (IGL)</t>
        </is>
      </c>
      <c r="C1698" t="inlineStr">
        <is>
          <t>Indraprastha Gas (IGL)</t>
        </is>
      </c>
      <c r="F1698" t="inlineStr">
        <is>
          <t>New Lead</t>
        </is>
      </c>
      <c r="H1698" t="inlineStr">
        <is>
          <t>View Tender</t>
        </is>
      </c>
      <c r="K1698" t="inlineStr">
        <is>
          <t>Not found</t>
        </is>
      </c>
      <c r="L1698" t="inlineStr">
        <is>
          <t>Unknown</t>
        </is>
      </c>
      <c r="T1698" t="inlineStr">
        <is>
          <t>https://tenders.iglonline.net/tenderDetail/94/Active Tenders And Corrigendum-Addendum</t>
        </is>
      </c>
      <c r="U1698" t="inlineStr">
        <is>
          <t>No</t>
        </is>
      </c>
      <c r="V1698" t="inlineStr">
        <is>
          <t>Bot tarafindan tespit edildi (2026-07-01)</t>
        </is>
      </c>
    </row>
    <row r="1699">
      <c r="A1699" t="inlineStr">
        <is>
          <t>T-1503</t>
        </is>
      </c>
      <c r="B1699" t="inlineStr">
        <is>
          <t>Indraprastha Gas (IGL)</t>
        </is>
      </c>
      <c r="C1699" t="inlineStr">
        <is>
          <t>Indraprastha Gas (IGL)</t>
        </is>
      </c>
      <c r="F1699" t="inlineStr">
        <is>
          <t>New Lead</t>
        </is>
      </c>
      <c r="H1699" t="inlineStr">
        <is>
          <t>Corrigendum_1.pdf</t>
        </is>
      </c>
      <c r="K1699" t="inlineStr">
        <is>
          <t>Not found</t>
        </is>
      </c>
      <c r="L1699" t="inlineStr">
        <is>
          <t>Unknown</t>
        </is>
      </c>
      <c r="T1699" t="inlineStr">
        <is>
          <t>https://tenders.iglonline.net/uploads/tender/Corrigendum_1.pdf</t>
        </is>
      </c>
      <c r="U1699" t="inlineStr">
        <is>
          <t>No</t>
        </is>
      </c>
      <c r="V1699" t="inlineStr">
        <is>
          <t>Bot tarafindan tespit edildi (2026-07-01)</t>
        </is>
      </c>
    </row>
    <row r="1700">
      <c r="A1700" t="inlineStr">
        <is>
          <t>T-1504</t>
        </is>
      </c>
      <c r="B1700" t="inlineStr">
        <is>
          <t>Indraprastha Gas (IGL)</t>
        </is>
      </c>
      <c r="C1700" t="inlineStr">
        <is>
          <t>Indraprastha Gas (IGL)</t>
        </is>
      </c>
      <c r="F1700" t="inlineStr">
        <is>
          <t>New Lead</t>
        </is>
      </c>
      <c r="H1700" t="inlineStr">
        <is>
          <t>Corrigendum_II.pdf</t>
        </is>
      </c>
      <c r="K1700" t="inlineStr">
        <is>
          <t>Not found</t>
        </is>
      </c>
      <c r="L1700" t="inlineStr">
        <is>
          <t>Unknown</t>
        </is>
      </c>
      <c r="T1700" t="inlineStr">
        <is>
          <t>https://tenders.iglonline.net/uploads/tender/Corrigendum_II.pdf</t>
        </is>
      </c>
      <c r="U1700" t="inlineStr">
        <is>
          <t>No</t>
        </is>
      </c>
      <c r="V1700" t="inlineStr">
        <is>
          <t>Bot tarafindan tespit edildi (2026-07-01)</t>
        </is>
      </c>
    </row>
    <row r="1701">
      <c r="A1701" t="inlineStr">
        <is>
          <t>T-1505</t>
        </is>
      </c>
      <c r="B1701" t="inlineStr">
        <is>
          <t>Indraprastha Gas (IGL)</t>
        </is>
      </c>
      <c r="C1701" t="inlineStr">
        <is>
          <t>Indraprastha Gas (IGL)</t>
        </is>
      </c>
      <c r="F1701" t="inlineStr">
        <is>
          <t>New Lead</t>
        </is>
      </c>
      <c r="H1701" t="inlineStr">
        <is>
          <t>View Tender</t>
        </is>
      </c>
      <c r="K1701" t="inlineStr">
        <is>
          <t>Not found</t>
        </is>
      </c>
      <c r="L1701" t="inlineStr">
        <is>
          <t>Unknown</t>
        </is>
      </c>
      <c r="T1701" t="inlineStr">
        <is>
          <t>https://tenders.iglonline.net/tenderDetail/93/Active Tenders And Corrigendum-Addendum</t>
        </is>
      </c>
      <c r="U1701" t="inlineStr">
        <is>
          <t>No</t>
        </is>
      </c>
      <c r="V1701" t="inlineStr">
        <is>
          <t>Bot tarafindan tespit edildi (2026-07-01)</t>
        </is>
      </c>
    </row>
    <row r="1702">
      <c r="A1702" t="inlineStr">
        <is>
          <t>T-1506</t>
        </is>
      </c>
      <c r="B1702" t="inlineStr">
        <is>
          <t>Indraprastha Gas (IGL)</t>
        </is>
      </c>
      <c r="C1702" t="inlineStr">
        <is>
          <t>Indraprastha Gas (IGL)</t>
        </is>
      </c>
      <c r="F1702" t="inlineStr">
        <is>
          <t>New Lead</t>
        </is>
      </c>
      <c r="H1702" t="inlineStr">
        <is>
          <t>CM17319_dated_19_01_2023_TID_30988_CORRIGENDUM_II_CM173192.pdf</t>
        </is>
      </c>
      <c r="K1702" t="inlineStr">
        <is>
          <t>Not found</t>
        </is>
      </c>
      <c r="L1702" t="inlineStr">
        <is>
          <t>Unknown</t>
        </is>
      </c>
      <c r="T1702" t="inlineStr">
        <is>
          <t>https://tenders.iglonline.net/uploads/tender/CM17319_dated_19_01_2023_TID_30988_CORRIGENDUM_II_CM173192.pdf</t>
        </is>
      </c>
      <c r="U1702" t="inlineStr">
        <is>
          <t>No</t>
        </is>
      </c>
      <c r="V1702" t="inlineStr">
        <is>
          <t>Bot tarafindan tespit edildi (2026-07-01)</t>
        </is>
      </c>
    </row>
    <row r="1703">
      <c r="A1703" t="inlineStr">
        <is>
          <t>T-1507</t>
        </is>
      </c>
      <c r="B1703" t="inlineStr">
        <is>
          <t>Indraprastha Gas (IGL)</t>
        </is>
      </c>
      <c r="C1703" t="inlineStr">
        <is>
          <t>Indraprastha Gas (IGL)</t>
        </is>
      </c>
      <c r="F1703" t="inlineStr">
        <is>
          <t>New Lead</t>
        </is>
      </c>
      <c r="H1703" t="inlineStr">
        <is>
          <t>CORRIGENDUM_3_CM17319.pdf</t>
        </is>
      </c>
      <c r="K1703" t="inlineStr">
        <is>
          <t>Not found</t>
        </is>
      </c>
      <c r="L1703" t="inlineStr">
        <is>
          <t>Unknown</t>
        </is>
      </c>
      <c r="T1703" t="inlineStr">
        <is>
          <t>https://tenders.iglonline.net/uploads/tender/CORRIGENDUM_3_CM17319.pdf</t>
        </is>
      </c>
      <c r="U1703" t="inlineStr">
        <is>
          <t>No</t>
        </is>
      </c>
      <c r="V1703" t="inlineStr">
        <is>
          <t>Bot tarafindan tespit edildi (2026-07-01)</t>
        </is>
      </c>
    </row>
    <row r="1704">
      <c r="A1704" t="inlineStr">
        <is>
          <t>T-1508</t>
        </is>
      </c>
      <c r="B1704" t="inlineStr">
        <is>
          <t>Indraprastha Gas (IGL)</t>
        </is>
      </c>
      <c r="C1704" t="inlineStr">
        <is>
          <t>Indraprastha Gas (IGL)</t>
        </is>
      </c>
      <c r="F1704" t="inlineStr">
        <is>
          <t>New Lead</t>
        </is>
      </c>
      <c r="H1704" t="inlineStr">
        <is>
          <t>View Tender</t>
        </is>
      </c>
      <c r="K1704" t="inlineStr">
        <is>
          <t>Not found</t>
        </is>
      </c>
      <c r="L1704" t="inlineStr">
        <is>
          <t>Unknown</t>
        </is>
      </c>
      <c r="T1704" t="inlineStr">
        <is>
          <t>https://tenders.iglonline.net/tenderDetail/92/Active Tenders And Corrigendum-Addendum</t>
        </is>
      </c>
      <c r="U1704" t="inlineStr">
        <is>
          <t>No</t>
        </is>
      </c>
      <c r="V1704" t="inlineStr">
        <is>
          <t>Bot tarafindan tespit edildi (2026-07-01)</t>
        </is>
      </c>
    </row>
    <row r="1705">
      <c r="A1705" t="inlineStr">
        <is>
          <t>T-1509</t>
        </is>
      </c>
      <c r="B1705" t="inlineStr">
        <is>
          <t>Indraprastha Gas (IGL)</t>
        </is>
      </c>
      <c r="C1705" t="inlineStr">
        <is>
          <t>Indraprastha Gas (IGL)</t>
        </is>
      </c>
      <c r="F1705" t="inlineStr">
        <is>
          <t>New Lead</t>
        </is>
      </c>
      <c r="H1705" t="inlineStr">
        <is>
          <t>Corrigendum_1_CP17326.pdf</t>
        </is>
      </c>
      <c r="K1705" t="inlineStr">
        <is>
          <t>Not found</t>
        </is>
      </c>
      <c r="L1705" t="inlineStr">
        <is>
          <t>Unknown</t>
        </is>
      </c>
      <c r="T1705" t="inlineStr">
        <is>
          <t>https://tenders.iglonline.net/uploads/tender/Corrigendum_1_CP17326.pdf</t>
        </is>
      </c>
      <c r="U1705" t="inlineStr">
        <is>
          <t>No</t>
        </is>
      </c>
      <c r="V1705" t="inlineStr">
        <is>
          <t>Bot tarafindan tespit edildi (2026-07-01)</t>
        </is>
      </c>
    </row>
    <row r="1706">
      <c r="A1706" t="inlineStr">
        <is>
          <t>T-1510</t>
        </is>
      </c>
      <c r="B1706" t="inlineStr">
        <is>
          <t>Indraprastha Gas (IGL)</t>
        </is>
      </c>
      <c r="C1706" t="inlineStr">
        <is>
          <t>Indraprastha Gas (IGL)</t>
        </is>
      </c>
      <c r="F1706" t="inlineStr">
        <is>
          <t>New Lead</t>
        </is>
      </c>
      <c r="H1706" t="inlineStr">
        <is>
          <t>IGL_Commercial_Corrigendum_10.pdf</t>
        </is>
      </c>
      <c r="K1706" t="inlineStr">
        <is>
          <t>Not found</t>
        </is>
      </c>
      <c r="L1706" t="inlineStr">
        <is>
          <t>Unknown</t>
        </is>
      </c>
      <c r="T1706" t="inlineStr">
        <is>
          <t>https://tenders.iglonline.net/uploads/tender/IGL_Commercial_Corrigendum_10.pdf</t>
        </is>
      </c>
      <c r="U1706" t="inlineStr">
        <is>
          <t>No</t>
        </is>
      </c>
      <c r="V1706" t="inlineStr">
        <is>
          <t>Bot tarafindan tespit edildi (2026-07-01)</t>
        </is>
      </c>
    </row>
    <row r="1707">
      <c r="A1707" t="inlineStr">
        <is>
          <t>T-1511</t>
        </is>
      </c>
      <c r="B1707" t="inlineStr">
        <is>
          <t>Indraprastha Gas (IGL)</t>
        </is>
      </c>
      <c r="C1707" t="inlineStr">
        <is>
          <t>Indraprastha Gas (IGL)</t>
        </is>
      </c>
      <c r="F1707" t="inlineStr">
        <is>
          <t>New Lead</t>
        </is>
      </c>
      <c r="H1707" t="inlineStr">
        <is>
          <t>Corrigendum_2_CP17326.pdf</t>
        </is>
      </c>
      <c r="K1707" t="inlineStr">
        <is>
          <t>Not found</t>
        </is>
      </c>
      <c r="L1707" t="inlineStr">
        <is>
          <t>Unknown</t>
        </is>
      </c>
      <c r="T1707" t="inlineStr">
        <is>
          <t>https://tenders.iglonline.net/uploads/tender/Corrigendum_2_CP17326.pdf</t>
        </is>
      </c>
      <c r="U1707" t="inlineStr">
        <is>
          <t>No</t>
        </is>
      </c>
      <c r="V1707" t="inlineStr">
        <is>
          <t>Bot tarafindan tespit edildi (2026-07-01)</t>
        </is>
      </c>
    </row>
    <row r="1708">
      <c r="A1708" t="inlineStr">
        <is>
          <t>T-1512</t>
        </is>
      </c>
      <c r="B1708" t="inlineStr">
        <is>
          <t>Indraprastha Gas (IGL)</t>
        </is>
      </c>
      <c r="C1708" t="inlineStr">
        <is>
          <t>Indraprastha Gas (IGL)</t>
        </is>
      </c>
      <c r="F1708" t="inlineStr">
        <is>
          <t>New Lead</t>
        </is>
      </c>
      <c r="H1708" t="inlineStr">
        <is>
          <t>View Tender</t>
        </is>
      </c>
      <c r="K1708" t="inlineStr">
        <is>
          <t>Not found</t>
        </is>
      </c>
      <c r="L1708" t="inlineStr">
        <is>
          <t>Unknown</t>
        </is>
      </c>
      <c r="T1708" t="inlineStr">
        <is>
          <t>https://tenders.iglonline.net/tenderDetail/91/Active Tenders And Corrigendum-Addendum</t>
        </is>
      </c>
      <c r="U1708" t="inlineStr">
        <is>
          <t>No</t>
        </is>
      </c>
      <c r="V1708" t="inlineStr">
        <is>
          <t>Bot tarafindan tespit edildi (2026-07-01)</t>
        </is>
      </c>
    </row>
    <row r="1709">
      <c r="A1709" t="inlineStr">
        <is>
          <t>T-1513</t>
        </is>
      </c>
      <c r="B1709" t="inlineStr">
        <is>
          <t>Indraprastha Gas (IGL)</t>
        </is>
      </c>
      <c r="C1709" t="inlineStr">
        <is>
          <t>Indraprastha Gas (IGL)</t>
        </is>
      </c>
      <c r="F1709" t="inlineStr">
        <is>
          <t>New Lead</t>
        </is>
      </c>
      <c r="H1709" t="inlineStr">
        <is>
          <t>View Tender</t>
        </is>
      </c>
      <c r="K1709" t="inlineStr">
        <is>
          <t>Not found</t>
        </is>
      </c>
      <c r="L1709" t="inlineStr">
        <is>
          <t>Unknown</t>
        </is>
      </c>
      <c r="T1709" t="inlineStr">
        <is>
          <t>https://tenders.iglonline.net/tenderDetail/90/Active Tenders And Corrigendum-Addendum</t>
        </is>
      </c>
      <c r="U1709" t="inlineStr">
        <is>
          <t>No</t>
        </is>
      </c>
      <c r="V1709" t="inlineStr">
        <is>
          <t>Bot tarafindan tespit edildi (2026-07-01)</t>
        </is>
      </c>
    </row>
    <row r="1710">
      <c r="A1710" t="inlineStr">
        <is>
          <t>T-1514</t>
        </is>
      </c>
      <c r="B1710" t="inlineStr">
        <is>
          <t>Indraprastha Gas (IGL)</t>
        </is>
      </c>
      <c r="C1710" t="inlineStr">
        <is>
          <t>Indraprastha Gas (IGL)</t>
        </is>
      </c>
      <c r="F1710" t="inlineStr">
        <is>
          <t>New Lead</t>
        </is>
      </c>
      <c r="H1710" t="inlineStr">
        <is>
          <t>CC17303_dated_03_01_2023_TID_30985_Corrigendum-I.pdf</t>
        </is>
      </c>
      <c r="K1710" t="inlineStr">
        <is>
          <t>Not found</t>
        </is>
      </c>
      <c r="L1710" t="inlineStr">
        <is>
          <t>Unknown</t>
        </is>
      </c>
      <c r="T1710" t="inlineStr">
        <is>
          <t>https://tenders.iglonline.net/uploads/tender/CC17303_dated_03_01_2023_TID_30985_Corrigendum-I.pdf</t>
        </is>
      </c>
      <c r="U1710" t="inlineStr">
        <is>
          <t>No</t>
        </is>
      </c>
      <c r="V1710" t="inlineStr">
        <is>
          <t>Bot tarafindan tespit edildi (2026-07-01)</t>
        </is>
      </c>
    </row>
    <row r="1711">
      <c r="A1711" t="inlineStr">
        <is>
          <t>T-1515</t>
        </is>
      </c>
      <c r="B1711" t="inlineStr">
        <is>
          <t>Indraprastha Gas (IGL)</t>
        </is>
      </c>
      <c r="C1711" t="inlineStr">
        <is>
          <t>Indraprastha Gas (IGL)</t>
        </is>
      </c>
      <c r="F1711" t="inlineStr">
        <is>
          <t>New Lead</t>
        </is>
      </c>
      <c r="H1711" t="inlineStr">
        <is>
          <t>View Tender</t>
        </is>
      </c>
      <c r="K1711" t="inlineStr">
        <is>
          <t>Not found</t>
        </is>
      </c>
      <c r="L1711" t="inlineStr">
        <is>
          <t>Unknown</t>
        </is>
      </c>
      <c r="T1711" t="inlineStr">
        <is>
          <t>https://tenders.iglonline.net/tenderDetail/89/Active Tenders And Corrigendum-Addendum</t>
        </is>
      </c>
      <c r="U1711" t="inlineStr">
        <is>
          <t>No</t>
        </is>
      </c>
      <c r="V1711" t="inlineStr">
        <is>
          <t>Bot tarafindan tespit edildi (2026-07-01)</t>
        </is>
      </c>
    </row>
    <row r="1712">
      <c r="A1712" t="inlineStr">
        <is>
          <t>T-1516</t>
        </is>
      </c>
      <c r="B1712" t="inlineStr">
        <is>
          <t>Indraprastha Gas (IGL)</t>
        </is>
      </c>
      <c r="C1712" t="inlineStr">
        <is>
          <t>Indraprastha Gas (IGL)</t>
        </is>
      </c>
      <c r="F1712" t="inlineStr">
        <is>
          <t>New Lead</t>
        </is>
      </c>
      <c r="H1712" t="inlineStr">
        <is>
          <t>CC17300_dated_02_01_2023_TID_30984_Corrigendum_I_CC17300.pdf</t>
        </is>
      </c>
      <c r="K1712" t="inlineStr">
        <is>
          <t>Not found</t>
        </is>
      </c>
      <c r="L1712" t="inlineStr">
        <is>
          <t>Unknown</t>
        </is>
      </c>
      <c r="T1712" t="inlineStr">
        <is>
          <t>https://tenders.iglonline.net/uploads/tender/CC17300_dated_02_01_2023_TID_30984_Corrigendum_I_CC17300.pdf</t>
        </is>
      </c>
      <c r="U1712" t="inlineStr">
        <is>
          <t>No</t>
        </is>
      </c>
      <c r="V1712" t="inlineStr">
        <is>
          <t>Bot tarafindan tespit edildi (2026-07-01)</t>
        </is>
      </c>
    </row>
    <row r="1713">
      <c r="A1713" t="inlineStr">
        <is>
          <t>T-1517</t>
        </is>
      </c>
      <c r="B1713" t="inlineStr">
        <is>
          <t>Indraprastha Gas (IGL)</t>
        </is>
      </c>
      <c r="C1713" t="inlineStr">
        <is>
          <t>Indraprastha Gas (IGL)</t>
        </is>
      </c>
      <c r="F1713" t="inlineStr">
        <is>
          <t>New Lead</t>
        </is>
      </c>
      <c r="H1713" t="inlineStr">
        <is>
          <t>View Tender</t>
        </is>
      </c>
      <c r="K1713" t="inlineStr">
        <is>
          <t>Not found</t>
        </is>
      </c>
      <c r="L1713" t="inlineStr">
        <is>
          <t>Unknown</t>
        </is>
      </c>
      <c r="T1713" t="inlineStr">
        <is>
          <t>https://tenders.iglonline.net/tenderDetail/88/Active Tenders And Corrigendum-Addendum</t>
        </is>
      </c>
      <c r="U1713" t="inlineStr">
        <is>
          <t>No</t>
        </is>
      </c>
      <c r="V1713" t="inlineStr">
        <is>
          <t>Bot tarafindan tespit edildi (2026-07-01)</t>
        </is>
      </c>
    </row>
    <row r="1714">
      <c r="A1714" t="inlineStr">
        <is>
          <t>T-1518</t>
        </is>
      </c>
      <c r="B1714" t="inlineStr">
        <is>
          <t>Indraprastha Gas (IGL)</t>
        </is>
      </c>
      <c r="C1714" t="inlineStr">
        <is>
          <t>Indraprastha Gas (IGL)</t>
        </is>
      </c>
      <c r="F1714" t="inlineStr">
        <is>
          <t>New Lead</t>
        </is>
      </c>
      <c r="H1714" t="inlineStr">
        <is>
          <t>CC17292_dated_02_01_2023_TID_30983_Corrigendum-I_CC172921.pdf</t>
        </is>
      </c>
      <c r="K1714" t="inlineStr">
        <is>
          <t>Not found</t>
        </is>
      </c>
      <c r="L1714" t="inlineStr">
        <is>
          <t>Unknown</t>
        </is>
      </c>
      <c r="T1714" t="inlineStr">
        <is>
          <t>https://tenders.iglonline.net/uploads/tender/CC17292_dated_02_01_2023_TID_30983_Corrigendum-I_CC172921.pdf</t>
        </is>
      </c>
      <c r="U1714" t="inlineStr">
        <is>
          <t>No</t>
        </is>
      </c>
      <c r="V1714" t="inlineStr">
        <is>
          <t>Bot tarafindan tespit edildi (2026-07-01)</t>
        </is>
      </c>
    </row>
    <row r="1715">
      <c r="A1715" t="inlineStr">
        <is>
          <t>T-1519</t>
        </is>
      </c>
      <c r="B1715" t="inlineStr">
        <is>
          <t>Indraprastha Gas (IGL)</t>
        </is>
      </c>
      <c r="C1715" t="inlineStr">
        <is>
          <t>Indraprastha Gas (IGL)</t>
        </is>
      </c>
      <c r="F1715" t="inlineStr">
        <is>
          <t>New Lead</t>
        </is>
      </c>
      <c r="H1715" t="inlineStr">
        <is>
          <t>CC17292_dated_02_01_2023_TID_30983_Corrigendum-II.pdf</t>
        </is>
      </c>
      <c r="K1715" t="inlineStr">
        <is>
          <t>Not found</t>
        </is>
      </c>
      <c r="L1715" t="inlineStr">
        <is>
          <t>Unknown</t>
        </is>
      </c>
      <c r="T1715" t="inlineStr">
        <is>
          <t>https://tenders.iglonline.net/uploads/tender/CC17292_dated_02_01_2023_TID_30983_Corrigendum-II.pdf</t>
        </is>
      </c>
      <c r="U1715" t="inlineStr">
        <is>
          <t>No</t>
        </is>
      </c>
      <c r="V1715" t="inlineStr">
        <is>
          <t>Bot tarafindan tespit edildi (2026-07-01)</t>
        </is>
      </c>
    </row>
    <row r="1716">
      <c r="A1716" t="inlineStr">
        <is>
          <t>T-1520</t>
        </is>
      </c>
      <c r="B1716" t="inlineStr">
        <is>
          <t>Indraprastha Gas (IGL)</t>
        </is>
      </c>
      <c r="C1716" t="inlineStr">
        <is>
          <t>Indraprastha Gas (IGL)</t>
        </is>
      </c>
      <c r="F1716" t="inlineStr">
        <is>
          <t>New Lead</t>
        </is>
      </c>
      <c r="H1716" t="inlineStr">
        <is>
          <t>View Tender</t>
        </is>
      </c>
      <c r="K1716" t="inlineStr">
        <is>
          <t>Not found</t>
        </is>
      </c>
      <c r="L1716" t="inlineStr">
        <is>
          <t>Unknown</t>
        </is>
      </c>
      <c r="T1716" t="inlineStr">
        <is>
          <t>https://tenders.iglonline.net/tenderDetail/87/Active Tenders And Corrigendum-Addendum</t>
        </is>
      </c>
      <c r="U1716" t="inlineStr">
        <is>
          <t>No</t>
        </is>
      </c>
      <c r="V1716" t="inlineStr">
        <is>
          <t>Bot tarafindan tespit edildi (2026-07-01)</t>
        </is>
      </c>
    </row>
    <row r="1717">
      <c r="A1717" t="inlineStr">
        <is>
          <t>T-1521</t>
        </is>
      </c>
      <c r="B1717" t="inlineStr">
        <is>
          <t>Indraprastha Gas (IGL)</t>
        </is>
      </c>
      <c r="C1717" t="inlineStr">
        <is>
          <t>Indraprastha Gas (IGL)</t>
        </is>
      </c>
      <c r="F1717" t="inlineStr">
        <is>
          <t>New Lead</t>
        </is>
      </c>
      <c r="H1717" t="inlineStr">
        <is>
          <t>CP17311_dated_30_12_2022_TID_30982_Corrigendum_1_CP173111.pdf</t>
        </is>
      </c>
      <c r="K1717" t="inlineStr">
        <is>
          <t>Not found</t>
        </is>
      </c>
      <c r="L1717" t="inlineStr">
        <is>
          <t>Unknown</t>
        </is>
      </c>
      <c r="T1717" t="inlineStr">
        <is>
          <t>https://tenders.iglonline.net/uploads/tender/CP17311_dated_30_12_2022_TID_30982_Corrigendum_1_CP173111.pdf</t>
        </is>
      </c>
      <c r="U1717" t="inlineStr">
        <is>
          <t>No</t>
        </is>
      </c>
      <c r="V1717" t="inlineStr">
        <is>
          <t>Bot tarafindan tespit edildi (2026-07-01)</t>
        </is>
      </c>
    </row>
    <row r="1718">
      <c r="A1718" t="inlineStr">
        <is>
          <t>T-1522</t>
        </is>
      </c>
      <c r="B1718" t="inlineStr">
        <is>
          <t>Indraprastha Gas (IGL)</t>
        </is>
      </c>
      <c r="C1718" t="inlineStr">
        <is>
          <t>Indraprastha Gas (IGL)</t>
        </is>
      </c>
      <c r="F1718" t="inlineStr">
        <is>
          <t>New Lead</t>
        </is>
      </c>
      <c r="H1718" t="inlineStr">
        <is>
          <t>View Tender</t>
        </is>
      </c>
      <c r="K1718" t="inlineStr">
        <is>
          <t>Not found</t>
        </is>
      </c>
      <c r="L1718" t="inlineStr">
        <is>
          <t>Unknown</t>
        </is>
      </c>
      <c r="T1718" t="inlineStr">
        <is>
          <t>https://tenders.iglonline.net/tenderDetail/86/Active Tenders And Corrigendum-Addendum</t>
        </is>
      </c>
      <c r="U1718" t="inlineStr">
        <is>
          <t>No</t>
        </is>
      </c>
      <c r="V1718" t="inlineStr">
        <is>
          <t>Bot tarafindan tespit edildi (2026-07-01)</t>
        </is>
      </c>
    </row>
    <row r="1719">
      <c r="A1719" t="inlineStr">
        <is>
          <t>T-1523</t>
        </is>
      </c>
      <c r="B1719" t="inlineStr">
        <is>
          <t>Indraprastha Gas (IGL)</t>
        </is>
      </c>
      <c r="C1719" t="inlineStr">
        <is>
          <t>Indraprastha Gas (IGL)</t>
        </is>
      </c>
      <c r="F1719" t="inlineStr">
        <is>
          <t>New Lead</t>
        </is>
      </c>
      <c r="H1719" t="inlineStr">
        <is>
          <t>CP17294_dated_30_12_2022_TID_30981_Corrigendum_2.pdf</t>
        </is>
      </c>
      <c r="K1719" t="inlineStr">
        <is>
          <t>Not found</t>
        </is>
      </c>
      <c r="L1719" t="inlineStr">
        <is>
          <t>Unknown</t>
        </is>
      </c>
      <c r="T1719" t="inlineStr">
        <is>
          <t>https://tenders.iglonline.net/uploads/tender/CP17294_dated_30_12_2022_TID_30981_Corrigendum_2.pdf</t>
        </is>
      </c>
      <c r="U1719" t="inlineStr">
        <is>
          <t>No</t>
        </is>
      </c>
      <c r="V1719" t="inlineStr">
        <is>
          <t>Bot tarafindan tespit edildi (2026-07-01)</t>
        </is>
      </c>
    </row>
    <row r="1720">
      <c r="A1720" t="inlineStr">
        <is>
          <t>T-1524</t>
        </is>
      </c>
      <c r="B1720" t="inlineStr">
        <is>
          <t>Indraprastha Gas (IGL)</t>
        </is>
      </c>
      <c r="C1720" t="inlineStr">
        <is>
          <t>Indraprastha Gas (IGL)</t>
        </is>
      </c>
      <c r="F1720" t="inlineStr">
        <is>
          <t>New Lead</t>
        </is>
      </c>
      <c r="H1720" t="inlineStr">
        <is>
          <t>CP17294_dated_30_12_2022_TID_30981_Annexure-1.pdf</t>
        </is>
      </c>
      <c r="K1720" t="inlineStr">
        <is>
          <t>Not found</t>
        </is>
      </c>
      <c r="L1720" t="inlineStr">
        <is>
          <t>Unknown</t>
        </is>
      </c>
      <c r="T1720" t="inlineStr">
        <is>
          <t>https://tenders.iglonline.net/uploads/tender/CP17294_dated_30_12_2022_TID_30981_Annexure-1.pdf</t>
        </is>
      </c>
      <c r="U1720" t="inlineStr">
        <is>
          <t>No</t>
        </is>
      </c>
      <c r="V1720" t="inlineStr">
        <is>
          <t>Bot tarafindan tespit edildi (2026-07-01)</t>
        </is>
      </c>
    </row>
    <row r="1721">
      <c r="A1721" t="inlineStr">
        <is>
          <t>T-1525</t>
        </is>
      </c>
      <c r="B1721" t="inlineStr">
        <is>
          <t>Indraprastha Gas (IGL)</t>
        </is>
      </c>
      <c r="C1721" t="inlineStr">
        <is>
          <t>Indraprastha Gas (IGL)</t>
        </is>
      </c>
      <c r="F1721" t="inlineStr">
        <is>
          <t>New Lead</t>
        </is>
      </c>
      <c r="H1721" t="inlineStr">
        <is>
          <t>CP17294_dated_30_12_2022_TID_30981_Replies_to_bidders_queries_(1).pdf</t>
        </is>
      </c>
      <c r="K1721" t="inlineStr">
        <is>
          <t>Not found</t>
        </is>
      </c>
      <c r="L1721" t="inlineStr">
        <is>
          <t>Unknown</t>
        </is>
      </c>
      <c r="T1721" t="inlineStr">
        <is>
          <t>https://tenders.iglonline.net/uploads/tender/CP17294_dated_30_12_2022_TID_30981_Replies_to_bidders_queries_(1).pdf</t>
        </is>
      </c>
      <c r="U1721" t="inlineStr">
        <is>
          <t>No</t>
        </is>
      </c>
      <c r="V1721" t="inlineStr">
        <is>
          <t>Bot tarafindan tespit edildi (2026-07-01)</t>
        </is>
      </c>
    </row>
    <row r="1722">
      <c r="A1722" t="inlineStr">
        <is>
          <t>T-1526</t>
        </is>
      </c>
      <c r="B1722" t="inlineStr">
        <is>
          <t>Indraprastha Gas (IGL)</t>
        </is>
      </c>
      <c r="C1722" t="inlineStr">
        <is>
          <t>Indraprastha Gas (IGL)</t>
        </is>
      </c>
      <c r="F1722" t="inlineStr">
        <is>
          <t>New Lead</t>
        </is>
      </c>
      <c r="H1722" t="inlineStr">
        <is>
          <t>CP17294_dated_30_12_2022_TID_30981_Corrigendum_4_CP17294.pdf</t>
        </is>
      </c>
      <c r="K1722" t="inlineStr">
        <is>
          <t>Not found</t>
        </is>
      </c>
      <c r="L1722" t="inlineStr">
        <is>
          <t>Unknown</t>
        </is>
      </c>
      <c r="T1722" t="inlineStr">
        <is>
          <t>https://tenders.iglonline.net/uploads/tender/CP17294_dated_30_12_2022_TID_30981_Corrigendum_4_CP17294.pdf</t>
        </is>
      </c>
      <c r="U1722" t="inlineStr">
        <is>
          <t>No</t>
        </is>
      </c>
      <c r="V1722" t="inlineStr">
        <is>
          <t>Bot tarafindan tespit edildi (2026-07-01)</t>
        </is>
      </c>
    </row>
    <row r="1723">
      <c r="A1723" t="inlineStr">
        <is>
          <t>T-1527</t>
        </is>
      </c>
      <c r="B1723" t="inlineStr">
        <is>
          <t>Indraprastha Gas (IGL)</t>
        </is>
      </c>
      <c r="C1723" t="inlineStr">
        <is>
          <t>Indraprastha Gas (IGL)</t>
        </is>
      </c>
      <c r="F1723" t="inlineStr">
        <is>
          <t>New Lead</t>
        </is>
      </c>
      <c r="H1723" t="inlineStr">
        <is>
          <t>View Tender</t>
        </is>
      </c>
      <c r="K1723" t="inlineStr">
        <is>
          <t>Not found</t>
        </is>
      </c>
      <c r="L1723" t="inlineStr">
        <is>
          <t>Unknown</t>
        </is>
      </c>
      <c r="T1723" t="inlineStr">
        <is>
          <t>https://tenders.iglonline.net/tenderDetail/85/Active Tenders And Corrigendum-Addendum</t>
        </is>
      </c>
      <c r="U1723" t="inlineStr">
        <is>
          <t>No</t>
        </is>
      </c>
      <c r="V1723" t="inlineStr">
        <is>
          <t>Bot tarafindan tespit edildi (2026-07-01)</t>
        </is>
      </c>
    </row>
    <row r="1724">
      <c r="A1724" t="inlineStr">
        <is>
          <t>T-1528</t>
        </is>
      </c>
      <c r="B1724" t="inlineStr">
        <is>
          <t>Indraprastha Gas (IGL)</t>
        </is>
      </c>
      <c r="C1724" t="inlineStr">
        <is>
          <t>Indraprastha Gas (IGL)</t>
        </is>
      </c>
      <c r="F1724" t="inlineStr">
        <is>
          <t>New Lead</t>
        </is>
      </c>
      <c r="H1724" t="inlineStr">
        <is>
          <t>CP17304_dated_28_12_2022_TID_30980_RTBQ_CP17304.pdf</t>
        </is>
      </c>
      <c r="K1724" t="inlineStr">
        <is>
          <t>Not found</t>
        </is>
      </c>
      <c r="L1724" t="inlineStr">
        <is>
          <t>Unknown</t>
        </is>
      </c>
      <c r="T1724" t="inlineStr">
        <is>
          <t>https://tenders.iglonline.net/uploads/tender/CP17304_dated_28_12_2022_TID_30980_RTBQ_CP17304.pdf</t>
        </is>
      </c>
      <c r="U1724" t="inlineStr">
        <is>
          <t>No</t>
        </is>
      </c>
      <c r="V1724" t="inlineStr">
        <is>
          <t>Bot tarafindan tespit edildi (2026-07-01)</t>
        </is>
      </c>
    </row>
    <row r="1725">
      <c r="A1725" t="inlineStr">
        <is>
          <t>T-1529</t>
        </is>
      </c>
      <c r="B1725" t="inlineStr">
        <is>
          <t>Indraprastha Gas (IGL)</t>
        </is>
      </c>
      <c r="C1725" t="inlineStr">
        <is>
          <t>Indraprastha Gas (IGL)</t>
        </is>
      </c>
      <c r="F1725" t="inlineStr">
        <is>
          <t>New Lead</t>
        </is>
      </c>
      <c r="H1725" t="inlineStr">
        <is>
          <t>View Tender</t>
        </is>
      </c>
      <c r="K1725" t="inlineStr">
        <is>
          <t>Not found</t>
        </is>
      </c>
      <c r="L1725" t="inlineStr">
        <is>
          <t>Unknown</t>
        </is>
      </c>
      <c r="T1725" t="inlineStr">
        <is>
          <t>https://tenders.iglonline.net/tenderDetail/84/Active Tenders And Corrigendum-Addendum</t>
        </is>
      </c>
      <c r="U1725" t="inlineStr">
        <is>
          <t>No</t>
        </is>
      </c>
      <c r="V1725" t="inlineStr">
        <is>
          <t>Bot tarafindan tespit edildi (2026-07-01)</t>
        </is>
      </c>
    </row>
    <row r="1726">
      <c r="A1726" t="inlineStr">
        <is>
          <t>T-1530</t>
        </is>
      </c>
      <c r="B1726" t="inlineStr">
        <is>
          <t>Indraprastha Gas (IGL)</t>
        </is>
      </c>
      <c r="C1726" t="inlineStr">
        <is>
          <t>Indraprastha Gas (IGL)</t>
        </is>
      </c>
      <c r="F1726" t="inlineStr">
        <is>
          <t>New Lead</t>
        </is>
      </c>
      <c r="H1726" t="inlineStr">
        <is>
          <t>CM17291_dated_27_12_2022_TID_30979_Corrigendum_1_CM17291.pdf</t>
        </is>
      </c>
      <c r="K1726" t="inlineStr">
        <is>
          <t>Not found</t>
        </is>
      </c>
      <c r="L1726" t="inlineStr">
        <is>
          <t>Unknown</t>
        </is>
      </c>
      <c r="T1726" t="inlineStr">
        <is>
          <t>https://tenders.iglonline.net/uploads/tender/CM17291_dated_27_12_2022_TID_30979_Corrigendum_1_CM17291.pdf</t>
        </is>
      </c>
      <c r="U1726" t="inlineStr">
        <is>
          <t>No</t>
        </is>
      </c>
      <c r="V1726" t="inlineStr">
        <is>
          <t>Bot tarafindan tespit edildi (2026-07-01)</t>
        </is>
      </c>
    </row>
    <row r="1727">
      <c r="A1727" t="inlineStr">
        <is>
          <t>T-1531</t>
        </is>
      </c>
      <c r="B1727" t="inlineStr">
        <is>
          <t>Indraprastha Gas (IGL)</t>
        </is>
      </c>
      <c r="C1727" t="inlineStr">
        <is>
          <t>Indraprastha Gas (IGL)</t>
        </is>
      </c>
      <c r="F1727" t="inlineStr">
        <is>
          <t>New Lead</t>
        </is>
      </c>
      <c r="H1727" t="inlineStr">
        <is>
          <t>CM17291_dated_27_12_2022_TID_30979_Reply_Prebid_Queries_CM17291.pdf</t>
        </is>
      </c>
      <c r="K1727" t="inlineStr">
        <is>
          <t>Not found</t>
        </is>
      </c>
      <c r="L1727" t="inlineStr">
        <is>
          <t>Unknown</t>
        </is>
      </c>
      <c r="T1727" t="inlineStr">
        <is>
          <t>https://tenders.iglonline.net/uploads/tender/CM17291_dated_27_12_2022_TID_30979_Reply_Prebid_Queries_CM17291.pdf</t>
        </is>
      </c>
      <c r="U1727" t="inlineStr">
        <is>
          <t>No</t>
        </is>
      </c>
      <c r="V1727" t="inlineStr">
        <is>
          <t>Bot tarafindan tespit edildi (2026-07-01)</t>
        </is>
      </c>
    </row>
    <row r="1728">
      <c r="A1728" t="inlineStr">
        <is>
          <t>T-1532</t>
        </is>
      </c>
      <c r="B1728" t="inlineStr">
        <is>
          <t>Indraprastha Gas (IGL)</t>
        </is>
      </c>
      <c r="C1728" t="inlineStr">
        <is>
          <t>Indraprastha Gas (IGL)</t>
        </is>
      </c>
      <c r="F1728" t="inlineStr">
        <is>
          <t>New Lead</t>
        </is>
      </c>
      <c r="H1728" t="inlineStr">
        <is>
          <t>CM17291_dated_27_12_2022_TID_30979_Corrigendum_2_CM17291.pdf</t>
        </is>
      </c>
      <c r="K1728" t="inlineStr">
        <is>
          <t>Not found</t>
        </is>
      </c>
      <c r="L1728" t="inlineStr">
        <is>
          <t>Unknown</t>
        </is>
      </c>
      <c r="T1728" t="inlineStr">
        <is>
          <t>https://tenders.iglonline.net/uploads/tender/CM17291_dated_27_12_2022_TID_30979_Corrigendum_2_CM17291.pdf</t>
        </is>
      </c>
      <c r="U1728" t="inlineStr">
        <is>
          <t>No</t>
        </is>
      </c>
      <c r="V1728" t="inlineStr">
        <is>
          <t>Bot tarafindan tespit edildi (2026-07-01)</t>
        </is>
      </c>
    </row>
    <row r="1729">
      <c r="A1729" t="inlineStr">
        <is>
          <t>T-1533</t>
        </is>
      </c>
      <c r="B1729" t="inlineStr">
        <is>
          <t>Indraprastha Gas (IGL)</t>
        </is>
      </c>
      <c r="C1729" t="inlineStr">
        <is>
          <t>Indraprastha Gas (IGL)</t>
        </is>
      </c>
      <c r="F1729" t="inlineStr">
        <is>
          <t>New Lead</t>
        </is>
      </c>
      <c r="H1729" t="inlineStr">
        <is>
          <t>View Tender</t>
        </is>
      </c>
      <c r="K1729" t="inlineStr">
        <is>
          <t>Not found</t>
        </is>
      </c>
      <c r="L1729" t="inlineStr">
        <is>
          <t>Unknown</t>
        </is>
      </c>
      <c r="T1729" t="inlineStr">
        <is>
          <t>https://tenders.iglonline.net/tenderDetail/83/Active Tenders And Corrigendum-Addendum</t>
        </is>
      </c>
      <c r="U1729" t="inlineStr">
        <is>
          <t>No</t>
        </is>
      </c>
      <c r="V1729" t="inlineStr">
        <is>
          <t>Bot tarafindan tespit edildi (2026-07-01)</t>
        </is>
      </c>
    </row>
    <row r="1730">
      <c r="A1730" t="inlineStr">
        <is>
          <t>T-1534</t>
        </is>
      </c>
      <c r="B1730" t="inlineStr">
        <is>
          <t>Indraprastha Gas (IGL)</t>
        </is>
      </c>
      <c r="C1730" t="inlineStr">
        <is>
          <t>Indraprastha Gas (IGL)</t>
        </is>
      </c>
      <c r="F1730" t="inlineStr">
        <is>
          <t>New Lead</t>
        </is>
      </c>
      <c r="H1730" t="inlineStr">
        <is>
          <t>CC17279_TID_30978_Corrigendum_I_CC17279_.pdf</t>
        </is>
      </c>
      <c r="K1730" t="inlineStr">
        <is>
          <t>Not found</t>
        </is>
      </c>
      <c r="L1730" t="inlineStr">
        <is>
          <t>Unknown</t>
        </is>
      </c>
      <c r="T1730" t="inlineStr">
        <is>
          <t>https://tenders.iglonline.net/uploads/tender/CC17279_TID_30978_Corrigendum_I_CC17279_.pdf</t>
        </is>
      </c>
      <c r="U1730" t="inlineStr">
        <is>
          <t>No</t>
        </is>
      </c>
      <c r="V1730" t="inlineStr">
        <is>
          <t>Bot tarafindan tespit edildi (2026-07-01)</t>
        </is>
      </c>
    </row>
    <row r="1731">
      <c r="A1731" t="inlineStr">
        <is>
          <t>T-1535</t>
        </is>
      </c>
      <c r="B1731" t="inlineStr">
        <is>
          <t>Indraprastha Gas (IGL)</t>
        </is>
      </c>
      <c r="C1731" t="inlineStr">
        <is>
          <t>Indraprastha Gas (IGL)</t>
        </is>
      </c>
      <c r="F1731" t="inlineStr">
        <is>
          <t>New Lead</t>
        </is>
      </c>
      <c r="H1731" t="inlineStr">
        <is>
          <t>View Tender</t>
        </is>
      </c>
      <c r="K1731" t="inlineStr">
        <is>
          <t>Not found</t>
        </is>
      </c>
      <c r="L1731" t="inlineStr">
        <is>
          <t>Unknown</t>
        </is>
      </c>
      <c r="T1731" t="inlineStr">
        <is>
          <t>https://tenders.iglonline.net/tenderDetail/82/Active Tenders And Corrigendum-Addendum</t>
        </is>
      </c>
      <c r="U1731" t="inlineStr">
        <is>
          <t>No</t>
        </is>
      </c>
      <c r="V1731" t="inlineStr">
        <is>
          <t>Bot tarafindan tespit edildi (2026-07-01)</t>
        </is>
      </c>
    </row>
    <row r="1732">
      <c r="A1732" t="inlineStr">
        <is>
          <t>T-1536</t>
        </is>
      </c>
      <c r="B1732" t="inlineStr">
        <is>
          <t>Indraprastha Gas (IGL)</t>
        </is>
      </c>
      <c r="C1732" t="inlineStr">
        <is>
          <t>Indraprastha Gas (IGL)</t>
        </is>
      </c>
      <c r="F1732" t="inlineStr">
        <is>
          <t>New Lead</t>
        </is>
      </c>
      <c r="H1732" t="inlineStr">
        <is>
          <t>CC17226_dated_09_12_2022_TID_30977_Corrigendum_3_CC17226.pdf</t>
        </is>
      </c>
      <c r="K1732" t="inlineStr">
        <is>
          <t>Not found</t>
        </is>
      </c>
      <c r="L1732" t="inlineStr">
        <is>
          <t>Unknown</t>
        </is>
      </c>
      <c r="T1732" t="inlineStr">
        <is>
          <t>https://tenders.iglonline.net/uploads/tender/CC17226_dated_09_12_2022_TID_30977_Corrigendum_3_CC17226.pdf</t>
        </is>
      </c>
      <c r="U1732" t="inlineStr">
        <is>
          <t>No</t>
        </is>
      </c>
      <c r="V1732" t="inlineStr">
        <is>
          <t>Bot tarafindan tespit edildi (2026-07-01)</t>
        </is>
      </c>
    </row>
    <row r="1733">
      <c r="A1733" t="inlineStr">
        <is>
          <t>T-1537</t>
        </is>
      </c>
      <c r="B1733" t="inlineStr">
        <is>
          <t>Indraprastha Gas (IGL)</t>
        </is>
      </c>
      <c r="C1733" t="inlineStr">
        <is>
          <t>Indraprastha Gas (IGL)</t>
        </is>
      </c>
      <c r="F1733" t="inlineStr">
        <is>
          <t>New Lead</t>
        </is>
      </c>
      <c r="H1733" t="inlineStr">
        <is>
          <t>CC17226_dated_09_12_2022_TID_30977_Addendum_1.pdf</t>
        </is>
      </c>
      <c r="K1733" t="inlineStr">
        <is>
          <t>Not found</t>
        </is>
      </c>
      <c r="L1733" t="inlineStr">
        <is>
          <t>Unknown</t>
        </is>
      </c>
      <c r="T1733" t="inlineStr">
        <is>
          <t>https://tenders.iglonline.net/uploads/tender/CC17226_dated_09_12_2022_TID_30977_Addendum_1.pdf</t>
        </is>
      </c>
      <c r="U1733" t="inlineStr">
        <is>
          <t>No</t>
        </is>
      </c>
      <c r="V1733" t="inlineStr">
        <is>
          <t>Bot tarafindan tespit edildi (2026-07-01)</t>
        </is>
      </c>
    </row>
    <row r="1734">
      <c r="A1734" t="inlineStr">
        <is>
          <t>T-1538</t>
        </is>
      </c>
      <c r="B1734" t="inlineStr">
        <is>
          <t>Indraprastha Gas (IGL)</t>
        </is>
      </c>
      <c r="C1734" t="inlineStr">
        <is>
          <t>Indraprastha Gas (IGL)</t>
        </is>
      </c>
      <c r="F1734" t="inlineStr">
        <is>
          <t>New Lead</t>
        </is>
      </c>
      <c r="H1734" t="inlineStr">
        <is>
          <t>CC17226_dated_09_12_2022_TID_30977_PREBID_REPLY.pdf</t>
        </is>
      </c>
      <c r="K1734" t="inlineStr">
        <is>
          <t>Not found</t>
        </is>
      </c>
      <c r="L1734" t="inlineStr">
        <is>
          <t>Unknown</t>
        </is>
      </c>
      <c r="T1734" t="inlineStr">
        <is>
          <t>https://tenders.iglonline.net/uploads/tender/CC17226_dated_09_12_2022_TID_30977_PREBID_REPLY.pdf</t>
        </is>
      </c>
      <c r="U1734" t="inlineStr">
        <is>
          <t>No</t>
        </is>
      </c>
      <c r="V1734" t="inlineStr">
        <is>
          <t>Bot tarafindan tespit edildi (2026-07-01)</t>
        </is>
      </c>
    </row>
    <row r="1735">
      <c r="A1735" t="inlineStr">
        <is>
          <t>T-1539</t>
        </is>
      </c>
      <c r="B1735" t="inlineStr">
        <is>
          <t>Indraprastha Gas (IGL)</t>
        </is>
      </c>
      <c r="C1735" t="inlineStr">
        <is>
          <t>Indraprastha Gas (IGL)</t>
        </is>
      </c>
      <c r="F1735" t="inlineStr">
        <is>
          <t>New Lead</t>
        </is>
      </c>
      <c r="H1735" t="inlineStr">
        <is>
          <t>CC17226_dated_09_12_2022_TID_30977_CORRIGENDUM_1unibtemp.pdf</t>
        </is>
      </c>
      <c r="K1735" t="inlineStr">
        <is>
          <t>Not found</t>
        </is>
      </c>
      <c r="L1735" t="inlineStr">
        <is>
          <t>Unknown</t>
        </is>
      </c>
      <c r="T1735" t="inlineStr">
        <is>
          <t>https://tenders.iglonline.net/uploads/tender/CC17226_dated_09_12_2022_TID_30977_CORRIGENDUM_1unibtemp.pdf</t>
        </is>
      </c>
      <c r="U1735" t="inlineStr">
        <is>
          <t>No</t>
        </is>
      </c>
      <c r="V1735" t="inlineStr">
        <is>
          <t>Bot tarafindan tespit edildi (2026-07-01)</t>
        </is>
      </c>
    </row>
    <row r="1736">
      <c r="A1736" t="inlineStr">
        <is>
          <t>T-1540</t>
        </is>
      </c>
      <c r="B1736" t="inlineStr">
        <is>
          <t>Indraprastha Gas (IGL)</t>
        </is>
      </c>
      <c r="C1736" t="inlineStr">
        <is>
          <t>Indraprastha Gas (IGL)</t>
        </is>
      </c>
      <c r="F1736" t="inlineStr">
        <is>
          <t>New Lead</t>
        </is>
      </c>
      <c r="H1736" t="inlineStr">
        <is>
          <t>View Tender</t>
        </is>
      </c>
      <c r="K1736" t="inlineStr">
        <is>
          <t>Not found</t>
        </is>
      </c>
      <c r="L1736" t="inlineStr">
        <is>
          <t>Unknown</t>
        </is>
      </c>
      <c r="T1736" t="inlineStr">
        <is>
          <t>https://tenders.iglonline.net/tenderDetail/81/Active Tenders And Corrigendum-Addendum</t>
        </is>
      </c>
      <c r="U1736" t="inlineStr">
        <is>
          <t>No</t>
        </is>
      </c>
      <c r="V1736" t="inlineStr">
        <is>
          <t>Bot tarafindan tespit edildi (2026-07-01)</t>
        </is>
      </c>
    </row>
    <row r="1737">
      <c r="A1737" t="inlineStr">
        <is>
          <t>T-1541</t>
        </is>
      </c>
      <c r="B1737" t="inlineStr">
        <is>
          <t>Indraprastha Gas (IGL)</t>
        </is>
      </c>
      <c r="C1737" t="inlineStr">
        <is>
          <t>Indraprastha Gas (IGL)</t>
        </is>
      </c>
      <c r="F1737" t="inlineStr">
        <is>
          <t>New Lead</t>
        </is>
      </c>
      <c r="H1737" t="inlineStr">
        <is>
          <t>_CM17277_dated_06_12_2022_TID_30976_CORRIGENDUNV_Calarifications_of_Queriesunibtemp.pdf</t>
        </is>
      </c>
      <c r="K1737" t="inlineStr">
        <is>
          <t>Not found</t>
        </is>
      </c>
      <c r="L1737" t="inlineStr">
        <is>
          <t>Unknown</t>
        </is>
      </c>
      <c r="T1737" t="inlineStr">
        <is>
          <t>https://tenders.iglonline.net/uploads/tender/_CM17277_dated_06_12_2022_TID_30976_CORRIGENDUNV_Calarifications_of_Queriesunibtemp.pdf</t>
        </is>
      </c>
      <c r="U1737" t="inlineStr">
        <is>
          <t>No</t>
        </is>
      </c>
      <c r="V1737" t="inlineStr">
        <is>
          <t>Bot tarafindan tespit edildi (2026-07-01)</t>
        </is>
      </c>
    </row>
    <row r="1738">
      <c r="A1738" t="inlineStr">
        <is>
          <t>T-1542</t>
        </is>
      </c>
      <c r="B1738" t="inlineStr">
        <is>
          <t>Indraprastha Gas (IGL)</t>
        </is>
      </c>
      <c r="C1738" t="inlineStr">
        <is>
          <t>Indraprastha Gas (IGL)</t>
        </is>
      </c>
      <c r="F1738" t="inlineStr">
        <is>
          <t>New Lead</t>
        </is>
      </c>
      <c r="H1738" t="inlineStr">
        <is>
          <t>_CM17277_dated_06_12_2022_TID_30976_CORRIGENDUM_IV_CM17277.pdf</t>
        </is>
      </c>
      <c r="K1738" t="inlineStr">
        <is>
          <t>Not found</t>
        </is>
      </c>
      <c r="L1738" t="inlineStr">
        <is>
          <t>Unknown</t>
        </is>
      </c>
      <c r="T1738" t="inlineStr">
        <is>
          <t>https://tenders.iglonline.net/uploads/tender/_CM17277_dated_06_12_2022_TID_30976_CORRIGENDUM_IV_CM17277.pdf</t>
        </is>
      </c>
      <c r="U1738" t="inlineStr">
        <is>
          <t>No</t>
        </is>
      </c>
      <c r="V1738" t="inlineStr">
        <is>
          <t>Bot tarafindan tespit edildi (2026-07-01)</t>
        </is>
      </c>
    </row>
    <row r="1739">
      <c r="A1739" t="inlineStr">
        <is>
          <t>T-1543</t>
        </is>
      </c>
      <c r="B1739" t="inlineStr">
        <is>
          <t>Indraprastha Gas (IGL)</t>
        </is>
      </c>
      <c r="C1739" t="inlineStr">
        <is>
          <t>Indraprastha Gas (IGL)</t>
        </is>
      </c>
      <c r="F1739" t="inlineStr">
        <is>
          <t>New Lead</t>
        </is>
      </c>
      <c r="H1739" t="inlineStr">
        <is>
          <t>_CM17277_dated_06_12_2022_TID_30976_CORRIGENDUM_III_CM17277.pdf</t>
        </is>
      </c>
      <c r="K1739" t="inlineStr">
        <is>
          <t>Not found</t>
        </is>
      </c>
      <c r="L1739" t="inlineStr">
        <is>
          <t>Unknown</t>
        </is>
      </c>
      <c r="T1739" t="inlineStr">
        <is>
          <t>https://tenders.iglonline.net/uploads/tender/_CM17277_dated_06_12_2022_TID_30976_CORRIGENDUM_III_CM17277.pdf</t>
        </is>
      </c>
      <c r="U1739" t="inlineStr">
        <is>
          <t>No</t>
        </is>
      </c>
      <c r="V1739" t="inlineStr">
        <is>
          <t>Bot tarafindan tespit edildi (2026-07-01)</t>
        </is>
      </c>
    </row>
    <row r="1740">
      <c r="A1740" t="inlineStr">
        <is>
          <t>T-1544</t>
        </is>
      </c>
      <c r="B1740" t="inlineStr">
        <is>
          <t>Indraprastha Gas (IGL)</t>
        </is>
      </c>
      <c r="C1740" t="inlineStr">
        <is>
          <t>Indraprastha Gas (IGL)</t>
        </is>
      </c>
      <c r="F1740" t="inlineStr">
        <is>
          <t>New Lead</t>
        </is>
      </c>
      <c r="H1740" t="inlineStr">
        <is>
          <t>_CM17277_dated_06_12_2022_TID_30976_CORRIGENDUM_II_Clarifications_against_pre_bid_queriesunibtemp.pdf</t>
        </is>
      </c>
      <c r="K1740" t="inlineStr">
        <is>
          <t>Not found</t>
        </is>
      </c>
      <c r="L1740" t="inlineStr">
        <is>
          <t>Unknown</t>
        </is>
      </c>
      <c r="T1740" t="inlineStr">
        <is>
          <t>https://tenders.iglonline.net/uploads/tender/_CM17277_dated_06_12_2022_TID_30976_CORRIGENDUM_II_Clarifications_against_pre_bid_queriesunibtemp.pdf</t>
        </is>
      </c>
      <c r="U1740" t="inlineStr">
        <is>
          <t>No</t>
        </is>
      </c>
      <c r="V1740" t="inlineStr">
        <is>
          <t>Bot tarafindan tespit edildi (2026-07-01)</t>
        </is>
      </c>
    </row>
    <row r="1741">
      <c r="A1741" t="inlineStr">
        <is>
          <t>T-1545</t>
        </is>
      </c>
      <c r="B1741" t="inlineStr">
        <is>
          <t>Indraprastha Gas (IGL)</t>
        </is>
      </c>
      <c r="C1741" t="inlineStr">
        <is>
          <t>Indraprastha Gas (IGL)</t>
        </is>
      </c>
      <c r="F1741" t="inlineStr">
        <is>
          <t>New Lead</t>
        </is>
      </c>
      <c r="H1741" t="inlineStr">
        <is>
          <t>_CM17277_dated_06_12_2022_TID_30976_CORRIGENDUM_1_CM17277.pdf</t>
        </is>
      </c>
      <c r="K1741" t="inlineStr">
        <is>
          <t>Not found</t>
        </is>
      </c>
      <c r="L1741" t="inlineStr">
        <is>
          <t>Unknown</t>
        </is>
      </c>
      <c r="T1741" t="inlineStr">
        <is>
          <t>https://tenders.iglonline.net/uploads/tender/_CM17277_dated_06_12_2022_TID_30976_CORRIGENDUM_1_CM17277.pdf</t>
        </is>
      </c>
      <c r="U1741" t="inlineStr">
        <is>
          <t>No</t>
        </is>
      </c>
      <c r="V1741" t="inlineStr">
        <is>
          <t>Bot tarafindan tespit edildi (2026-07-01)</t>
        </is>
      </c>
    </row>
    <row r="1742">
      <c r="A1742" t="inlineStr">
        <is>
          <t>T-1546</t>
        </is>
      </c>
      <c r="B1742" t="inlineStr">
        <is>
          <t>Indraprastha Gas (IGL)</t>
        </is>
      </c>
      <c r="C1742" t="inlineStr">
        <is>
          <t>Indraprastha Gas (IGL)</t>
        </is>
      </c>
      <c r="F1742" t="inlineStr">
        <is>
          <t>New Lead</t>
        </is>
      </c>
      <c r="H1742" t="inlineStr">
        <is>
          <t>CORRIGENDUM_VI_CM17277.pdf</t>
        </is>
      </c>
      <c r="K1742" t="inlineStr">
        <is>
          <t>Not found</t>
        </is>
      </c>
      <c r="L1742" t="inlineStr">
        <is>
          <t>Unknown</t>
        </is>
      </c>
      <c r="T1742" t="inlineStr">
        <is>
          <t>https://tenders.iglonline.net/uploads/tender/CORRIGENDUM_VI_CM17277.pdf</t>
        </is>
      </c>
      <c r="U1742" t="inlineStr">
        <is>
          <t>No</t>
        </is>
      </c>
      <c r="V1742" t="inlineStr">
        <is>
          <t>Bot tarafindan tespit edildi (2026-07-01)</t>
        </is>
      </c>
    </row>
    <row r="1743">
      <c r="A1743" t="inlineStr">
        <is>
          <t>T-1547</t>
        </is>
      </c>
      <c r="B1743" t="inlineStr">
        <is>
          <t>Indraprastha Gas (IGL)</t>
        </is>
      </c>
      <c r="C1743" t="inlineStr">
        <is>
          <t>Indraprastha Gas (IGL)</t>
        </is>
      </c>
      <c r="F1743" t="inlineStr">
        <is>
          <t>New Lead</t>
        </is>
      </c>
      <c r="H1743" t="inlineStr">
        <is>
          <t>View Tender</t>
        </is>
      </c>
      <c r="K1743" t="inlineStr">
        <is>
          <t>Not found</t>
        </is>
      </c>
      <c r="L1743" t="inlineStr">
        <is>
          <t>Unknown</t>
        </is>
      </c>
      <c r="T1743" t="inlineStr">
        <is>
          <t>https://tenders.iglonline.net/tenderDetail/80/Active Tenders And Corrigendum-Addendum</t>
        </is>
      </c>
      <c r="U1743" t="inlineStr">
        <is>
          <t>No</t>
        </is>
      </c>
      <c r="V1743" t="inlineStr">
        <is>
          <t>Bot tarafindan tespit edildi (2026-07-01)</t>
        </is>
      </c>
    </row>
    <row r="1744">
      <c r="A1744" t="inlineStr">
        <is>
          <t>T-1548</t>
        </is>
      </c>
      <c r="B1744" t="inlineStr">
        <is>
          <t>Indraprastha Gas (IGL)</t>
        </is>
      </c>
      <c r="C1744" t="inlineStr">
        <is>
          <t>Indraprastha Gas (IGL)</t>
        </is>
      </c>
      <c r="F1744" t="inlineStr">
        <is>
          <t>New Lead</t>
        </is>
      </c>
      <c r="H1744" t="inlineStr">
        <is>
          <t>CC17259_Dated_28_11_2022_TID_30975_Corrigendum_6_CC17259.pdf</t>
        </is>
      </c>
      <c r="K1744" t="inlineStr">
        <is>
          <t>Not found</t>
        </is>
      </c>
      <c r="L1744" t="inlineStr">
        <is>
          <t>Unknown</t>
        </is>
      </c>
      <c r="T1744" t="inlineStr">
        <is>
          <t>https://tenders.iglonline.net/uploads/tender/CC17259_Dated_28_11_2022_TID_30975_Corrigendum_6_CC17259.pdf</t>
        </is>
      </c>
      <c r="U1744" t="inlineStr">
        <is>
          <t>No</t>
        </is>
      </c>
      <c r="V1744" t="inlineStr">
        <is>
          <t>Bot tarafindan tespit edildi (2026-07-01)</t>
        </is>
      </c>
    </row>
    <row r="1745">
      <c r="A1745" t="inlineStr">
        <is>
          <t>T-1549</t>
        </is>
      </c>
      <c r="B1745" t="inlineStr">
        <is>
          <t>Indraprastha Gas (IGL)</t>
        </is>
      </c>
      <c r="C1745" t="inlineStr">
        <is>
          <t>Indraprastha Gas (IGL)</t>
        </is>
      </c>
      <c r="F1745" t="inlineStr">
        <is>
          <t>New Lead</t>
        </is>
      </c>
      <c r="H1745" t="inlineStr">
        <is>
          <t>CC17259_Dated_28_11_2022_TID_30975_Replies_to_bidders_queries.pdf</t>
        </is>
      </c>
      <c r="K1745" t="inlineStr">
        <is>
          <t>Not found</t>
        </is>
      </c>
      <c r="L1745" t="inlineStr">
        <is>
          <t>Unknown</t>
        </is>
      </c>
      <c r="T1745" t="inlineStr">
        <is>
          <t>https://tenders.iglonline.net/uploads/tender/CC17259_Dated_28_11_2022_TID_30975_Replies_to_bidders_queries.pdf</t>
        </is>
      </c>
      <c r="U1745" t="inlineStr">
        <is>
          <t>No</t>
        </is>
      </c>
      <c r="V1745" t="inlineStr">
        <is>
          <t>Bot tarafindan tespit edildi (2026-07-01)</t>
        </is>
      </c>
    </row>
    <row r="1746">
      <c r="A1746" t="inlineStr">
        <is>
          <t>T-1550</t>
        </is>
      </c>
      <c r="B1746" t="inlineStr">
        <is>
          <t>Indraprastha Gas (IGL)</t>
        </is>
      </c>
      <c r="C1746" t="inlineStr">
        <is>
          <t>Indraprastha Gas (IGL)</t>
        </is>
      </c>
      <c r="F1746" t="inlineStr">
        <is>
          <t>New Lead</t>
        </is>
      </c>
      <c r="H1746" t="inlineStr">
        <is>
          <t>CC17259_Dated_28_11_2022_TID_30975_Corrigendum_5_CC17259.pdf</t>
        </is>
      </c>
      <c r="K1746" t="inlineStr">
        <is>
          <t>Not found</t>
        </is>
      </c>
      <c r="L1746" t="inlineStr">
        <is>
          <t>Unknown</t>
        </is>
      </c>
      <c r="T1746" t="inlineStr">
        <is>
          <t>https://tenders.iglonline.net/uploads/tender/CC17259_Dated_28_11_2022_TID_30975_Corrigendum_5_CC17259.pdf</t>
        </is>
      </c>
      <c r="U1746" t="inlineStr">
        <is>
          <t>No</t>
        </is>
      </c>
      <c r="V1746" t="inlineStr">
        <is>
          <t>Bot tarafindan tespit edildi (2026-07-01)</t>
        </is>
      </c>
    </row>
    <row r="1747">
      <c r="A1747" t="inlineStr">
        <is>
          <t>T-1551</t>
        </is>
      </c>
      <c r="B1747" t="inlineStr">
        <is>
          <t>Indraprastha Gas (IGL)</t>
        </is>
      </c>
      <c r="C1747" t="inlineStr">
        <is>
          <t>Indraprastha Gas (IGL)</t>
        </is>
      </c>
      <c r="F1747" t="inlineStr">
        <is>
          <t>New Lead</t>
        </is>
      </c>
      <c r="H1747" t="inlineStr">
        <is>
          <t>CC17259_Dated_28_11_2022_TID_30975_Corrigendum_4_CC17259.pdf</t>
        </is>
      </c>
      <c r="K1747" t="inlineStr">
        <is>
          <t>Not found</t>
        </is>
      </c>
      <c r="L1747" t="inlineStr">
        <is>
          <t>Unknown</t>
        </is>
      </c>
      <c r="T1747" t="inlineStr">
        <is>
          <t>https://tenders.iglonline.net/uploads/tender/CC17259_Dated_28_11_2022_TID_30975_Corrigendum_4_CC17259.pdf</t>
        </is>
      </c>
      <c r="U1747" t="inlineStr">
        <is>
          <t>No</t>
        </is>
      </c>
      <c r="V1747" t="inlineStr">
        <is>
          <t>Bot tarafindan tespit edildi (2026-07-01)</t>
        </is>
      </c>
    </row>
    <row r="1748">
      <c r="A1748" t="inlineStr">
        <is>
          <t>T-1552</t>
        </is>
      </c>
      <c r="B1748" t="inlineStr">
        <is>
          <t>Indraprastha Gas (IGL)</t>
        </is>
      </c>
      <c r="C1748" t="inlineStr">
        <is>
          <t>Indraprastha Gas (IGL)</t>
        </is>
      </c>
      <c r="F1748" t="inlineStr">
        <is>
          <t>New Lead</t>
        </is>
      </c>
      <c r="H1748" t="inlineStr">
        <is>
          <t>CC17259_Dated_28_11_2022_TID_30975_Corrigendum_3_CC17259.pdf</t>
        </is>
      </c>
      <c r="K1748" t="inlineStr">
        <is>
          <t>Not found</t>
        </is>
      </c>
      <c r="L1748" t="inlineStr">
        <is>
          <t>Unknown</t>
        </is>
      </c>
      <c r="T1748" t="inlineStr">
        <is>
          <t>https://tenders.iglonline.net/uploads/tender/CC17259_Dated_28_11_2022_TID_30975_Corrigendum_3_CC17259.pdf</t>
        </is>
      </c>
      <c r="U1748" t="inlineStr">
        <is>
          <t>No</t>
        </is>
      </c>
      <c r="V1748" t="inlineStr">
        <is>
          <t>Bot tarafindan tespit edildi (2026-07-01)</t>
        </is>
      </c>
    </row>
    <row r="1749">
      <c r="A1749" t="inlineStr">
        <is>
          <t>T-1553</t>
        </is>
      </c>
      <c r="B1749" t="inlineStr">
        <is>
          <t>Indraprastha Gas (IGL)</t>
        </is>
      </c>
      <c r="C1749" t="inlineStr">
        <is>
          <t>Indraprastha Gas (IGL)</t>
        </is>
      </c>
      <c r="F1749" t="inlineStr">
        <is>
          <t>New Lead</t>
        </is>
      </c>
      <c r="H1749" t="inlineStr">
        <is>
          <t>CC17259_Dated_28_11_2022_TID_30975_Corrigendum_1_CC17259.pdf</t>
        </is>
      </c>
      <c r="K1749" t="inlineStr">
        <is>
          <t>Not found</t>
        </is>
      </c>
      <c r="L1749" t="inlineStr">
        <is>
          <t>Unknown</t>
        </is>
      </c>
      <c r="T1749" t="inlineStr">
        <is>
          <t>https://tenders.iglonline.net/uploads/tender/CC17259_Dated_28_11_2022_TID_30975_Corrigendum_1_CC17259.pdf</t>
        </is>
      </c>
      <c r="U1749" t="inlineStr">
        <is>
          <t>No</t>
        </is>
      </c>
      <c r="V1749" t="inlineStr">
        <is>
          <t>Bot tarafindan tespit edildi (2026-07-01)</t>
        </is>
      </c>
    </row>
    <row r="1750">
      <c r="A1750" t="inlineStr">
        <is>
          <t>T-1554</t>
        </is>
      </c>
      <c r="B1750" t="inlineStr">
        <is>
          <t>Indraprastha Gas (IGL)</t>
        </is>
      </c>
      <c r="C1750" t="inlineStr">
        <is>
          <t>Indraprastha Gas (IGL)</t>
        </is>
      </c>
      <c r="F1750" t="inlineStr">
        <is>
          <t>New Lead</t>
        </is>
      </c>
      <c r="H1750" t="inlineStr">
        <is>
          <t>View Tender</t>
        </is>
      </c>
      <c r="K1750" t="inlineStr">
        <is>
          <t>Not found</t>
        </is>
      </c>
      <c r="L1750" t="inlineStr">
        <is>
          <t>Unknown</t>
        </is>
      </c>
      <c r="T1750" t="inlineStr">
        <is>
          <t>https://tenders.iglonline.net/tenderDetail/79/Active Tenders And Corrigendum-Addendum</t>
        </is>
      </c>
      <c r="U1750" t="inlineStr">
        <is>
          <t>No</t>
        </is>
      </c>
      <c r="V1750" t="inlineStr">
        <is>
          <t>Bot tarafindan tespit edildi (2026-07-01)</t>
        </is>
      </c>
    </row>
    <row r="1751">
      <c r="A1751" t="inlineStr">
        <is>
          <t>T-1555</t>
        </is>
      </c>
      <c r="B1751" t="inlineStr">
        <is>
          <t>Indraprastha Gas (IGL)</t>
        </is>
      </c>
      <c r="C1751" t="inlineStr">
        <is>
          <t>Indraprastha Gas (IGL)</t>
        </is>
      </c>
      <c r="F1751" t="inlineStr">
        <is>
          <t>New Lead</t>
        </is>
      </c>
      <c r="H1751" t="inlineStr">
        <is>
          <t>CP17256_dated_25_11_2022_TID_30974_Corrigendum_4.pdf</t>
        </is>
      </c>
      <c r="K1751" t="inlineStr">
        <is>
          <t>Not found</t>
        </is>
      </c>
      <c r="L1751" t="inlineStr">
        <is>
          <t>Unknown</t>
        </is>
      </c>
      <c r="T1751" t="inlineStr">
        <is>
          <t>https://tenders.iglonline.net/uploads/tender/CP17256_dated_25_11_2022_TID_30974_Corrigendum_4.pdf</t>
        </is>
      </c>
      <c r="U1751" t="inlineStr">
        <is>
          <t>No</t>
        </is>
      </c>
      <c r="V1751" t="inlineStr">
        <is>
          <t>Bot tarafindan tespit edildi (2026-07-01)</t>
        </is>
      </c>
    </row>
    <row r="1752">
      <c r="A1752" t="inlineStr">
        <is>
          <t>T-1556</t>
        </is>
      </c>
      <c r="B1752" t="inlineStr">
        <is>
          <t>Indraprastha Gas (IGL)</t>
        </is>
      </c>
      <c r="C1752" t="inlineStr">
        <is>
          <t>Indraprastha Gas (IGL)</t>
        </is>
      </c>
      <c r="F1752" t="inlineStr">
        <is>
          <t>New Lead</t>
        </is>
      </c>
      <c r="H1752" t="inlineStr">
        <is>
          <t>CP17256_dated_25_11_2022_TID_30974_Replies_to_bidders_queries_CP17256.pdf</t>
        </is>
      </c>
      <c r="K1752" t="inlineStr">
        <is>
          <t>Not found</t>
        </is>
      </c>
      <c r="L1752" t="inlineStr">
        <is>
          <t>Unknown</t>
        </is>
      </c>
      <c r="T1752" t="inlineStr">
        <is>
          <t>https://tenders.iglonline.net/uploads/tender/CP17256_dated_25_11_2022_TID_30974_Replies_to_bidders_queries_CP17256.pdf</t>
        </is>
      </c>
      <c r="U1752" t="inlineStr">
        <is>
          <t>No</t>
        </is>
      </c>
      <c r="V1752" t="inlineStr">
        <is>
          <t>Bot tarafindan tespit edildi (2026-07-01)</t>
        </is>
      </c>
    </row>
    <row r="1753">
      <c r="A1753" t="inlineStr">
        <is>
          <t>T-1557</t>
        </is>
      </c>
      <c r="B1753" t="inlineStr">
        <is>
          <t>Indraprastha Gas (IGL)</t>
        </is>
      </c>
      <c r="C1753" t="inlineStr">
        <is>
          <t>Indraprastha Gas (IGL)</t>
        </is>
      </c>
      <c r="F1753" t="inlineStr">
        <is>
          <t>New Lead</t>
        </is>
      </c>
      <c r="H1753" t="inlineStr">
        <is>
          <t>CP17256_dated_25_11_2022_TID_30974_Corrigendum_3.pdf</t>
        </is>
      </c>
      <c r="K1753" t="inlineStr">
        <is>
          <t>Not found</t>
        </is>
      </c>
      <c r="L1753" t="inlineStr">
        <is>
          <t>Unknown</t>
        </is>
      </c>
      <c r="T1753" t="inlineStr">
        <is>
          <t>https://tenders.iglonline.net/uploads/tender/CP17256_dated_25_11_2022_TID_30974_Corrigendum_3.pdf</t>
        </is>
      </c>
      <c r="U1753" t="inlineStr">
        <is>
          <t>No</t>
        </is>
      </c>
      <c r="V1753" t="inlineStr">
        <is>
          <t>Bot tarafindan tespit edildi (2026-07-01)</t>
        </is>
      </c>
    </row>
    <row r="1754">
      <c r="A1754" t="inlineStr">
        <is>
          <t>T-1558</t>
        </is>
      </c>
      <c r="B1754" t="inlineStr">
        <is>
          <t>Indraprastha Gas (IGL)</t>
        </is>
      </c>
      <c r="C1754" t="inlineStr">
        <is>
          <t>Indraprastha Gas (IGL)</t>
        </is>
      </c>
      <c r="F1754" t="inlineStr">
        <is>
          <t>New Lead</t>
        </is>
      </c>
      <c r="H1754" t="inlineStr">
        <is>
          <t>CP17256_dated_25_11_2022_TID_30974_Corrigendum_2.pdf</t>
        </is>
      </c>
      <c r="K1754" t="inlineStr">
        <is>
          <t>Not found</t>
        </is>
      </c>
      <c r="L1754" t="inlineStr">
        <is>
          <t>Unknown</t>
        </is>
      </c>
      <c r="T1754" t="inlineStr">
        <is>
          <t>https://tenders.iglonline.net/uploads/tender/CP17256_dated_25_11_2022_TID_30974_Corrigendum_2.pdf</t>
        </is>
      </c>
      <c r="U1754" t="inlineStr">
        <is>
          <t>No</t>
        </is>
      </c>
      <c r="V1754" t="inlineStr">
        <is>
          <t>Bot tarafindan tespit edildi (2026-07-01)</t>
        </is>
      </c>
    </row>
    <row r="1755">
      <c r="A1755" t="inlineStr">
        <is>
          <t>T-1559</t>
        </is>
      </c>
      <c r="B1755" t="inlineStr">
        <is>
          <t>Indraprastha Gas (IGL)</t>
        </is>
      </c>
      <c r="C1755" t="inlineStr">
        <is>
          <t>Indraprastha Gas (IGL)</t>
        </is>
      </c>
      <c r="F1755" t="inlineStr">
        <is>
          <t>New Lead</t>
        </is>
      </c>
      <c r="H1755" t="inlineStr">
        <is>
          <t>CP17256_dated_25_11_2022_TID_30974_Corrigendum_1.pdf</t>
        </is>
      </c>
      <c r="K1755" t="inlineStr">
        <is>
          <t>Not found</t>
        </is>
      </c>
      <c r="L1755" t="inlineStr">
        <is>
          <t>Unknown</t>
        </is>
      </c>
      <c r="T1755" t="inlineStr">
        <is>
          <t>https://tenders.iglonline.net/uploads/tender/CP17256_dated_25_11_2022_TID_30974_Corrigendum_1.pdf</t>
        </is>
      </c>
      <c r="U1755" t="inlineStr">
        <is>
          <t>No</t>
        </is>
      </c>
      <c r="V1755" t="inlineStr">
        <is>
          <t>Bot tarafindan tespit edildi (2026-07-01)</t>
        </is>
      </c>
    </row>
    <row r="1756">
      <c r="A1756" t="inlineStr">
        <is>
          <t>T-1560</t>
        </is>
      </c>
      <c r="B1756" t="inlineStr">
        <is>
          <t>Indraprastha Gas (IGL)</t>
        </is>
      </c>
      <c r="C1756" t="inlineStr">
        <is>
          <t>Indraprastha Gas (IGL)</t>
        </is>
      </c>
      <c r="F1756" t="inlineStr">
        <is>
          <t>New Lead</t>
        </is>
      </c>
      <c r="H1756" t="inlineStr">
        <is>
          <t>View Tender</t>
        </is>
      </c>
      <c r="K1756" t="inlineStr">
        <is>
          <t>Not found</t>
        </is>
      </c>
      <c r="L1756" t="inlineStr">
        <is>
          <t>Unknown</t>
        </is>
      </c>
      <c r="T1756" t="inlineStr">
        <is>
          <t>https://tenders.iglonline.net/tenderDetail/78/Active Tenders And Corrigendum-Addendum</t>
        </is>
      </c>
      <c r="U1756" t="inlineStr">
        <is>
          <t>No</t>
        </is>
      </c>
      <c r="V1756" t="inlineStr">
        <is>
          <t>Bot tarafindan tespit edildi (2026-07-01)</t>
        </is>
      </c>
    </row>
    <row r="1757">
      <c r="A1757" t="inlineStr">
        <is>
          <t>T-1561</t>
        </is>
      </c>
      <c r="B1757" t="inlineStr">
        <is>
          <t>Indraprastha Gas (IGL)</t>
        </is>
      </c>
      <c r="C1757" t="inlineStr">
        <is>
          <t>Indraprastha Gas (IGL)</t>
        </is>
      </c>
      <c r="F1757" t="inlineStr">
        <is>
          <t>New Lead</t>
        </is>
      </c>
      <c r="H1757" t="inlineStr">
        <is>
          <t>CC17255_Dated_23_11_2022_TID_30973_Commercial_Corrigendum_9_CC17255.pdf</t>
        </is>
      </c>
      <c r="K1757" t="inlineStr">
        <is>
          <t>Not found</t>
        </is>
      </c>
      <c r="L1757" t="inlineStr">
        <is>
          <t>Unknown</t>
        </is>
      </c>
      <c r="T1757" t="inlineStr">
        <is>
          <t>https://tenders.iglonline.net/uploads/tender/CC17255_Dated_23_11_2022_TID_30973_Commercial_Corrigendum_9_CC17255.pdf</t>
        </is>
      </c>
      <c r="U1757" t="inlineStr">
        <is>
          <t>No</t>
        </is>
      </c>
      <c r="V1757" t="inlineStr">
        <is>
          <t>Bot tarafindan tespit edildi (2026-07-01)</t>
        </is>
      </c>
    </row>
    <row r="1758">
      <c r="A1758" t="inlineStr">
        <is>
          <t>T-1562</t>
        </is>
      </c>
      <c r="B1758" t="inlineStr">
        <is>
          <t>Indraprastha Gas (IGL)</t>
        </is>
      </c>
      <c r="C1758" t="inlineStr">
        <is>
          <t>Indraprastha Gas (IGL)</t>
        </is>
      </c>
      <c r="F1758" t="inlineStr">
        <is>
          <t>New Lead</t>
        </is>
      </c>
      <c r="H1758" t="inlineStr">
        <is>
          <t>CC17255_Dated_23_11_2022_TID_30973_Reply_prebid_Queries_CC17255.pdf</t>
        </is>
      </c>
      <c r="K1758" t="inlineStr">
        <is>
          <t>Not found</t>
        </is>
      </c>
      <c r="L1758" t="inlineStr">
        <is>
          <t>Unknown</t>
        </is>
      </c>
      <c r="T1758" t="inlineStr">
        <is>
          <t>https://tenders.iglonline.net/uploads/tender/CC17255_Dated_23_11_2022_TID_30973_Reply_prebid_Queries_CC17255.pdf</t>
        </is>
      </c>
      <c r="U1758" t="inlineStr">
        <is>
          <t>No</t>
        </is>
      </c>
      <c r="V1758" t="inlineStr">
        <is>
          <t>Bot tarafindan tespit edildi (2026-07-01)</t>
        </is>
      </c>
    </row>
    <row r="1759">
      <c r="A1759" t="inlineStr">
        <is>
          <t>T-1563</t>
        </is>
      </c>
      <c r="B1759" t="inlineStr">
        <is>
          <t>Indraprastha Gas (IGL)</t>
        </is>
      </c>
      <c r="C1759" t="inlineStr">
        <is>
          <t>Indraprastha Gas (IGL)</t>
        </is>
      </c>
      <c r="F1759" t="inlineStr">
        <is>
          <t>New Lead</t>
        </is>
      </c>
      <c r="H1759" t="inlineStr">
        <is>
          <t>CC17255_Dated_23_11_2022_TID_30973_Technical_Corrigendum_1_CC17255.pdf</t>
        </is>
      </c>
      <c r="K1759" t="inlineStr">
        <is>
          <t>Not found</t>
        </is>
      </c>
      <c r="L1759" t="inlineStr">
        <is>
          <t>Unknown</t>
        </is>
      </c>
      <c r="T1759" t="inlineStr">
        <is>
          <t>https://tenders.iglonline.net/uploads/tender/CC17255_Dated_23_11_2022_TID_30973_Technical_Corrigendum_1_CC17255.pdf</t>
        </is>
      </c>
      <c r="U1759" t="inlineStr">
        <is>
          <t>No</t>
        </is>
      </c>
      <c r="V1759" t="inlineStr">
        <is>
          <t>Bot tarafindan tespit edildi (2026-07-01)</t>
        </is>
      </c>
    </row>
    <row r="1760">
      <c r="A1760" t="inlineStr">
        <is>
          <t>T-1564</t>
        </is>
      </c>
      <c r="B1760" t="inlineStr">
        <is>
          <t>Indraprastha Gas (IGL)</t>
        </is>
      </c>
      <c r="C1760" t="inlineStr">
        <is>
          <t>Indraprastha Gas (IGL)</t>
        </is>
      </c>
      <c r="F1760" t="inlineStr">
        <is>
          <t>New Lead</t>
        </is>
      </c>
      <c r="H1760" t="inlineStr">
        <is>
          <t>CC17255_Dated_23_11_2022_TID_30973_Commercial_Corrigendum_8_CC17255.pdf</t>
        </is>
      </c>
      <c r="K1760" t="inlineStr">
        <is>
          <t>Not found</t>
        </is>
      </c>
      <c r="L1760" t="inlineStr">
        <is>
          <t>Unknown</t>
        </is>
      </c>
      <c r="T1760" t="inlineStr">
        <is>
          <t>https://tenders.iglonline.net/uploads/tender/CC17255_Dated_23_11_2022_TID_30973_Commercial_Corrigendum_8_CC17255.pdf</t>
        </is>
      </c>
      <c r="U1760" t="inlineStr">
        <is>
          <t>No</t>
        </is>
      </c>
      <c r="V1760" t="inlineStr">
        <is>
          <t>Bot tarafindan tespit edildi (2026-07-01)</t>
        </is>
      </c>
    </row>
    <row r="1761">
      <c r="A1761" t="inlineStr">
        <is>
          <t>T-1565</t>
        </is>
      </c>
      <c r="B1761" t="inlineStr">
        <is>
          <t>Indraprastha Gas (IGL)</t>
        </is>
      </c>
      <c r="C1761" t="inlineStr">
        <is>
          <t>Indraprastha Gas (IGL)</t>
        </is>
      </c>
      <c r="F1761" t="inlineStr">
        <is>
          <t>New Lead</t>
        </is>
      </c>
      <c r="H1761" t="inlineStr">
        <is>
          <t>CC17255_Dated_23_11_2022_TID_30973_Commercial_Corrigendum_7_CC17255.pdf</t>
        </is>
      </c>
      <c r="K1761" t="inlineStr">
        <is>
          <t>Not found</t>
        </is>
      </c>
      <c r="L1761" t="inlineStr">
        <is>
          <t>Unknown</t>
        </is>
      </c>
      <c r="T1761" t="inlineStr">
        <is>
          <t>https://tenders.iglonline.net/uploads/tender/CC17255_Dated_23_11_2022_TID_30973_Commercial_Corrigendum_7_CC17255.pdf</t>
        </is>
      </c>
      <c r="U1761" t="inlineStr">
        <is>
          <t>No</t>
        </is>
      </c>
      <c r="V1761" t="inlineStr">
        <is>
          <t>Bot tarafindan tespit edildi (2026-07-01)</t>
        </is>
      </c>
    </row>
    <row r="1762">
      <c r="A1762" t="inlineStr">
        <is>
          <t>T-1566</t>
        </is>
      </c>
      <c r="B1762" t="inlineStr">
        <is>
          <t>Indraprastha Gas (IGL)</t>
        </is>
      </c>
      <c r="C1762" t="inlineStr">
        <is>
          <t>Indraprastha Gas (IGL)</t>
        </is>
      </c>
      <c r="F1762" t="inlineStr">
        <is>
          <t>New Lead</t>
        </is>
      </c>
      <c r="H1762" t="inlineStr">
        <is>
          <t>CC17255_Dated_23_11_2022_TID_30973_Commercial_Corrigendum_6_CC17255.pdf</t>
        </is>
      </c>
      <c r="K1762" t="inlineStr">
        <is>
          <t>Not found</t>
        </is>
      </c>
      <c r="L1762" t="inlineStr">
        <is>
          <t>Unknown</t>
        </is>
      </c>
      <c r="T1762" t="inlineStr">
        <is>
          <t>https://tenders.iglonline.net/uploads/tender/CC17255_Dated_23_11_2022_TID_30973_Commercial_Corrigendum_6_CC17255.pdf</t>
        </is>
      </c>
      <c r="U1762" t="inlineStr">
        <is>
          <t>No</t>
        </is>
      </c>
      <c r="V1762" t="inlineStr">
        <is>
          <t>Bot tarafindan tespit edildi (2026-07-01)</t>
        </is>
      </c>
    </row>
    <row r="1763">
      <c r="A1763" t="inlineStr">
        <is>
          <t>T-1567</t>
        </is>
      </c>
      <c r="B1763" t="inlineStr">
        <is>
          <t>Indraprastha Gas (IGL)</t>
        </is>
      </c>
      <c r="C1763" t="inlineStr">
        <is>
          <t>Indraprastha Gas (IGL)</t>
        </is>
      </c>
      <c r="F1763" t="inlineStr">
        <is>
          <t>New Lead</t>
        </is>
      </c>
      <c r="H1763" t="inlineStr">
        <is>
          <t>CC17255_Dated_23_11_2022_TID_30973_Commercial_Corrigendum_5_CC17255.pdf</t>
        </is>
      </c>
      <c r="K1763" t="inlineStr">
        <is>
          <t>Not found</t>
        </is>
      </c>
      <c r="L1763" t="inlineStr">
        <is>
          <t>Unknown</t>
        </is>
      </c>
      <c r="T1763" t="inlineStr">
        <is>
          <t>https://tenders.iglonline.net/uploads/tender/CC17255_Dated_23_11_2022_TID_30973_Commercial_Corrigendum_5_CC17255.pdf</t>
        </is>
      </c>
      <c r="U1763" t="inlineStr">
        <is>
          <t>No</t>
        </is>
      </c>
      <c r="V1763" t="inlineStr">
        <is>
          <t>Bot tarafindan tespit edildi (2026-07-01)</t>
        </is>
      </c>
    </row>
    <row r="1764">
      <c r="A1764" t="inlineStr">
        <is>
          <t>T-1568</t>
        </is>
      </c>
      <c r="B1764" t="inlineStr">
        <is>
          <t>Indraprastha Gas (IGL)</t>
        </is>
      </c>
      <c r="C1764" t="inlineStr">
        <is>
          <t>Indraprastha Gas (IGL)</t>
        </is>
      </c>
      <c r="F1764" t="inlineStr">
        <is>
          <t>New Lead</t>
        </is>
      </c>
      <c r="H1764" t="inlineStr">
        <is>
          <t>CC17255_Dated_23_11_2022_TID_30973_Commercial_Corrigendum_4_CC17255.pdf</t>
        </is>
      </c>
      <c r="K1764" t="inlineStr">
        <is>
          <t>Not found</t>
        </is>
      </c>
      <c r="L1764" t="inlineStr">
        <is>
          <t>Unknown</t>
        </is>
      </c>
      <c r="T1764" t="inlineStr">
        <is>
          <t>https://tenders.iglonline.net/uploads/tender/CC17255_Dated_23_11_2022_TID_30973_Commercial_Corrigendum_4_CC17255.pdf</t>
        </is>
      </c>
      <c r="U1764" t="inlineStr">
        <is>
          <t>No</t>
        </is>
      </c>
      <c r="V1764" t="inlineStr">
        <is>
          <t>Bot tarafindan tespit edildi (2026-07-01)</t>
        </is>
      </c>
    </row>
    <row r="1765">
      <c r="A1765" t="inlineStr">
        <is>
          <t>T-1569</t>
        </is>
      </c>
      <c r="B1765" t="inlineStr">
        <is>
          <t>Indraprastha Gas (IGL)</t>
        </is>
      </c>
      <c r="C1765" t="inlineStr">
        <is>
          <t>Indraprastha Gas (IGL)</t>
        </is>
      </c>
      <c r="F1765" t="inlineStr">
        <is>
          <t>New Lead</t>
        </is>
      </c>
      <c r="H1765" t="inlineStr">
        <is>
          <t>CC17255_Dated_23_11_2022_TID_30973_Commercial_Corrigendum_3_CC17255.pdf</t>
        </is>
      </c>
      <c r="K1765" t="inlineStr">
        <is>
          <t>Not found</t>
        </is>
      </c>
      <c r="L1765" t="inlineStr">
        <is>
          <t>Unknown</t>
        </is>
      </c>
      <c r="T1765" t="inlineStr">
        <is>
          <t>https://tenders.iglonline.net/uploads/tender/CC17255_Dated_23_11_2022_TID_30973_Commercial_Corrigendum_3_CC17255.pdf</t>
        </is>
      </c>
      <c r="U1765" t="inlineStr">
        <is>
          <t>No</t>
        </is>
      </c>
      <c r="V1765" t="inlineStr">
        <is>
          <t>Bot tarafindan tespit edildi (2026-07-01)</t>
        </is>
      </c>
    </row>
    <row r="1766">
      <c r="A1766" t="inlineStr">
        <is>
          <t>T-1570</t>
        </is>
      </c>
      <c r="B1766" t="inlineStr">
        <is>
          <t>Indraprastha Gas (IGL)</t>
        </is>
      </c>
      <c r="C1766" t="inlineStr">
        <is>
          <t>Indraprastha Gas (IGL)</t>
        </is>
      </c>
      <c r="F1766" t="inlineStr">
        <is>
          <t>New Lead</t>
        </is>
      </c>
      <c r="H1766" t="inlineStr">
        <is>
          <t>CC17255_Dated_23_11_2022_TID_30973_Commercial_Corrigendum_2.pdf</t>
        </is>
      </c>
      <c r="K1766" t="inlineStr">
        <is>
          <t>Not found</t>
        </is>
      </c>
      <c r="L1766" t="inlineStr">
        <is>
          <t>Unknown</t>
        </is>
      </c>
      <c r="T1766" t="inlineStr">
        <is>
          <t>https://tenders.iglonline.net/uploads/tender/CC17255_Dated_23_11_2022_TID_30973_Commercial_Corrigendum_2.pdf</t>
        </is>
      </c>
      <c r="U1766" t="inlineStr">
        <is>
          <t>No</t>
        </is>
      </c>
      <c r="V1766" t="inlineStr">
        <is>
          <t>Bot tarafindan tespit edildi (2026-07-01)</t>
        </is>
      </c>
    </row>
    <row r="1767">
      <c r="A1767" t="inlineStr">
        <is>
          <t>T-1571</t>
        </is>
      </c>
      <c r="B1767" t="inlineStr">
        <is>
          <t>Indraprastha Gas (IGL)</t>
        </is>
      </c>
      <c r="C1767" t="inlineStr">
        <is>
          <t>Indraprastha Gas (IGL)</t>
        </is>
      </c>
      <c r="F1767" t="inlineStr">
        <is>
          <t>New Lead</t>
        </is>
      </c>
      <c r="H1767" t="inlineStr">
        <is>
          <t>CC17255_Dated_23_11_2022_TID_30973_Commercial_Corrigendum_1_CC17255.pdf</t>
        </is>
      </c>
      <c r="K1767" t="inlineStr">
        <is>
          <t>Not found</t>
        </is>
      </c>
      <c r="L1767" t="inlineStr">
        <is>
          <t>Unknown</t>
        </is>
      </c>
      <c r="T1767" t="inlineStr">
        <is>
          <t>https://tenders.iglonline.net/uploads/tender/CC17255_Dated_23_11_2022_TID_30973_Commercial_Corrigendum_1_CC17255.pdf</t>
        </is>
      </c>
      <c r="U1767" t="inlineStr">
        <is>
          <t>No</t>
        </is>
      </c>
      <c r="V1767" t="inlineStr">
        <is>
          <t>Bot tarafindan tespit edildi (2026-07-01)</t>
        </is>
      </c>
    </row>
    <row r="1768">
      <c r="A1768" t="inlineStr">
        <is>
          <t>T-1572</t>
        </is>
      </c>
      <c r="B1768" t="inlineStr">
        <is>
          <t>Indraprastha Gas (IGL)</t>
        </is>
      </c>
      <c r="C1768" t="inlineStr">
        <is>
          <t>Indraprastha Gas (IGL)</t>
        </is>
      </c>
      <c r="F1768" t="inlineStr">
        <is>
          <t>New Lead</t>
        </is>
      </c>
      <c r="H1768" t="inlineStr">
        <is>
          <t>Commercial_Corrigendum_10_CC17255.pdf</t>
        </is>
      </c>
      <c r="K1768" t="inlineStr">
        <is>
          <t>Not found</t>
        </is>
      </c>
      <c r="L1768" t="inlineStr">
        <is>
          <t>Unknown</t>
        </is>
      </c>
      <c r="T1768" t="inlineStr">
        <is>
          <t>https://tenders.iglonline.net/uploads/tender/Commercial_Corrigendum_10_CC17255.pdf</t>
        </is>
      </c>
      <c r="U1768" t="inlineStr">
        <is>
          <t>No</t>
        </is>
      </c>
      <c r="V1768" t="inlineStr">
        <is>
          <t>Bot tarafindan tespit edildi (2026-07-01)</t>
        </is>
      </c>
    </row>
    <row r="1769">
      <c r="A1769" t="inlineStr">
        <is>
          <t>T-1573</t>
        </is>
      </c>
      <c r="B1769" t="inlineStr">
        <is>
          <t>Indraprastha Gas (IGL)</t>
        </is>
      </c>
      <c r="C1769" t="inlineStr">
        <is>
          <t>Indraprastha Gas (IGL)</t>
        </is>
      </c>
      <c r="F1769" t="inlineStr">
        <is>
          <t>New Lead</t>
        </is>
      </c>
      <c r="H1769" t="inlineStr">
        <is>
          <t>Commercial_Corrigendum_12_CC17255.pdf</t>
        </is>
      </c>
      <c r="K1769" t="inlineStr">
        <is>
          <t>Not found</t>
        </is>
      </c>
      <c r="L1769" t="inlineStr">
        <is>
          <t>Unknown</t>
        </is>
      </c>
      <c r="T1769" t="inlineStr">
        <is>
          <t>https://tenders.iglonline.net/uploads/tender/Commercial_Corrigendum_12_CC17255.pdf</t>
        </is>
      </c>
      <c r="U1769" t="inlineStr">
        <is>
          <t>No</t>
        </is>
      </c>
      <c r="V1769" t="inlineStr">
        <is>
          <t>Bot tarafindan tespit edildi (2026-07-01)</t>
        </is>
      </c>
    </row>
    <row r="1770">
      <c r="A1770" t="inlineStr">
        <is>
          <t>T-1574</t>
        </is>
      </c>
      <c r="B1770" t="inlineStr">
        <is>
          <t>Indraprastha Gas (IGL)</t>
        </is>
      </c>
      <c r="C1770" t="inlineStr">
        <is>
          <t>Indraprastha Gas (IGL)</t>
        </is>
      </c>
      <c r="F1770" t="inlineStr">
        <is>
          <t>New Lead</t>
        </is>
      </c>
      <c r="H1770" t="inlineStr">
        <is>
          <t>Commercial_Corrigendum_13_CC17255.pdf</t>
        </is>
      </c>
      <c r="K1770" t="inlineStr">
        <is>
          <t>Not found</t>
        </is>
      </c>
      <c r="L1770" t="inlineStr">
        <is>
          <t>Unknown</t>
        </is>
      </c>
      <c r="T1770" t="inlineStr">
        <is>
          <t>https://tenders.iglonline.net/uploads/tender/Commercial_Corrigendum_13_CC17255.pdf</t>
        </is>
      </c>
      <c r="U1770" t="inlineStr">
        <is>
          <t>No</t>
        </is>
      </c>
      <c r="V1770" t="inlineStr">
        <is>
          <t>Bot tarafindan tespit edildi (2026-07-01)</t>
        </is>
      </c>
    </row>
    <row r="1771">
      <c r="A1771" t="inlineStr">
        <is>
          <t>T-1575</t>
        </is>
      </c>
      <c r="B1771" t="inlineStr">
        <is>
          <t>Indraprastha Gas (IGL)</t>
        </is>
      </c>
      <c r="C1771" t="inlineStr">
        <is>
          <t>Indraprastha Gas (IGL)</t>
        </is>
      </c>
      <c r="F1771" t="inlineStr">
        <is>
          <t>New Lead</t>
        </is>
      </c>
      <c r="H1771" t="inlineStr">
        <is>
          <t>Notice_of_Cancellation_CC17255.pdf</t>
        </is>
      </c>
      <c r="K1771" t="inlineStr">
        <is>
          <t>Not found</t>
        </is>
      </c>
      <c r="L1771" t="inlineStr">
        <is>
          <t>Unknown</t>
        </is>
      </c>
      <c r="T1771" t="inlineStr">
        <is>
          <t>https://tenders.iglonline.net/uploads/tender/Notice_of_Cancellation_CC17255.pdf</t>
        </is>
      </c>
      <c r="U1771" t="inlineStr">
        <is>
          <t>No</t>
        </is>
      </c>
      <c r="V1771" t="inlineStr">
        <is>
          <t>Bot tarafindan tespit edildi (2026-07-01)</t>
        </is>
      </c>
    </row>
    <row r="1772">
      <c r="A1772" t="inlineStr">
        <is>
          <t>T-1576</t>
        </is>
      </c>
      <c r="B1772" t="inlineStr">
        <is>
          <t>Indraprastha Gas (IGL)</t>
        </is>
      </c>
      <c r="C1772" t="inlineStr">
        <is>
          <t>Indraprastha Gas (IGL)</t>
        </is>
      </c>
      <c r="F1772" t="inlineStr">
        <is>
          <t>New Lead</t>
        </is>
      </c>
      <c r="H1772" t="inlineStr">
        <is>
          <t>View Tender</t>
        </is>
      </c>
      <c r="K1772" t="inlineStr">
        <is>
          <t>Not found</t>
        </is>
      </c>
      <c r="L1772" t="inlineStr">
        <is>
          <t>Unknown</t>
        </is>
      </c>
      <c r="T1772" t="inlineStr">
        <is>
          <t>https://tenders.iglonline.net/tenderDetail/77/Active Tenders And Corrigendum-Addendum</t>
        </is>
      </c>
      <c r="U1772" t="inlineStr">
        <is>
          <t>No</t>
        </is>
      </c>
      <c r="V1772" t="inlineStr">
        <is>
          <t>Bot tarafindan tespit edildi (2026-07-01)</t>
        </is>
      </c>
    </row>
    <row r="1773">
      <c r="A1773" t="inlineStr">
        <is>
          <t>T-1577</t>
        </is>
      </c>
      <c r="B1773" t="inlineStr">
        <is>
          <t>Indraprastha Gas (IGL)</t>
        </is>
      </c>
      <c r="C1773" t="inlineStr">
        <is>
          <t>Indraprastha Gas (IGL)</t>
        </is>
      </c>
      <c r="F1773" t="inlineStr">
        <is>
          <t>New Lead</t>
        </is>
      </c>
      <c r="H1773" t="inlineStr">
        <is>
          <t>CC17238_dated_23_11_2022_TID_30972_Corrigendum_I_CC17238.pdf</t>
        </is>
      </c>
      <c r="K1773" t="inlineStr">
        <is>
          <t>Not found</t>
        </is>
      </c>
      <c r="L1773" t="inlineStr">
        <is>
          <t>Unknown</t>
        </is>
      </c>
      <c r="T1773" t="inlineStr">
        <is>
          <t>https://tenders.iglonline.net/uploads/tender/CC17238_dated_23_11_2022_TID_30972_Corrigendum_I_CC17238.pdf</t>
        </is>
      </c>
      <c r="U1773" t="inlineStr">
        <is>
          <t>No</t>
        </is>
      </c>
      <c r="V1773" t="inlineStr">
        <is>
          <t>Bot tarafindan tespit edildi (2026-07-01)</t>
        </is>
      </c>
    </row>
    <row r="1774">
      <c r="A1774" t="inlineStr">
        <is>
          <t>T-1578</t>
        </is>
      </c>
      <c r="B1774" t="inlineStr">
        <is>
          <t>Indraprastha Gas (IGL)</t>
        </is>
      </c>
      <c r="C1774" t="inlineStr">
        <is>
          <t>Indraprastha Gas (IGL)</t>
        </is>
      </c>
      <c r="F1774" t="inlineStr">
        <is>
          <t>New Lead</t>
        </is>
      </c>
      <c r="H1774" t="inlineStr">
        <is>
          <t>CC17238_dated_23_11_2022_TID_30972_RTBQ_CC17238.pdf</t>
        </is>
      </c>
      <c r="K1774" t="inlineStr">
        <is>
          <t>Not found</t>
        </is>
      </c>
      <c r="L1774" t="inlineStr">
        <is>
          <t>Unknown</t>
        </is>
      </c>
      <c r="T1774" t="inlineStr">
        <is>
          <t>https://tenders.iglonline.net/uploads/tender/CC17238_dated_23_11_2022_TID_30972_RTBQ_CC17238.pdf</t>
        </is>
      </c>
      <c r="U1774" t="inlineStr">
        <is>
          <t>No</t>
        </is>
      </c>
      <c r="V1774" t="inlineStr">
        <is>
          <t>Bot tarafindan tespit edildi (2026-07-01)</t>
        </is>
      </c>
    </row>
    <row r="1775">
      <c r="A1775" t="inlineStr">
        <is>
          <t>T-1579</t>
        </is>
      </c>
      <c r="B1775" t="inlineStr">
        <is>
          <t>Indraprastha Gas (IGL)</t>
        </is>
      </c>
      <c r="C1775" t="inlineStr">
        <is>
          <t>Indraprastha Gas (IGL)</t>
        </is>
      </c>
      <c r="F1775" t="inlineStr">
        <is>
          <t>New Lead</t>
        </is>
      </c>
      <c r="H1775" t="inlineStr">
        <is>
          <t>View Tender</t>
        </is>
      </c>
      <c r="K1775" t="inlineStr">
        <is>
          <t>Not found</t>
        </is>
      </c>
      <c r="L1775" t="inlineStr">
        <is>
          <t>Unknown</t>
        </is>
      </c>
      <c r="T1775" t="inlineStr">
        <is>
          <t>https://tenders.iglonline.net/tenderDetail/76/Active Tenders And Corrigendum-Addendum</t>
        </is>
      </c>
      <c r="U1775" t="inlineStr">
        <is>
          <t>No</t>
        </is>
      </c>
      <c r="V1775" t="inlineStr">
        <is>
          <t>Bot tarafindan tespit edildi (2026-07-01)</t>
        </is>
      </c>
    </row>
    <row r="1776">
      <c r="A1776" t="inlineStr">
        <is>
          <t>T-1580</t>
        </is>
      </c>
      <c r="B1776" t="inlineStr">
        <is>
          <t>Indraprastha Gas (IGL)</t>
        </is>
      </c>
      <c r="C1776" t="inlineStr">
        <is>
          <t>Indraprastha Gas (IGL)</t>
        </is>
      </c>
      <c r="F1776" t="inlineStr">
        <is>
          <t>New Lead</t>
        </is>
      </c>
      <c r="H1776" t="inlineStr">
        <is>
          <t>CM17250_dated_18_11_2022_TID_30971_Corrigendum_-I_CM17250.pdf</t>
        </is>
      </c>
      <c r="K1776" t="inlineStr">
        <is>
          <t>Not found</t>
        </is>
      </c>
      <c r="L1776" t="inlineStr">
        <is>
          <t>Unknown</t>
        </is>
      </c>
      <c r="T1776" t="inlineStr">
        <is>
          <t>https://tenders.iglonline.net/uploads/tender/CM17250_dated_18_11_2022_TID_30971_Corrigendum_-I_CM17250.pdf</t>
        </is>
      </c>
      <c r="U1776" t="inlineStr">
        <is>
          <t>No</t>
        </is>
      </c>
      <c r="V1776" t="inlineStr">
        <is>
          <t>Bot tarafindan tespit edildi (2026-07-01)</t>
        </is>
      </c>
    </row>
    <row r="1777">
      <c r="A1777" t="inlineStr">
        <is>
          <t>T-1581</t>
        </is>
      </c>
      <c r="B1777" t="inlineStr">
        <is>
          <t>Indraprastha Gas (IGL)</t>
        </is>
      </c>
      <c r="C1777" t="inlineStr">
        <is>
          <t>Indraprastha Gas (IGL)</t>
        </is>
      </c>
      <c r="F1777" t="inlineStr">
        <is>
          <t>New Lead</t>
        </is>
      </c>
      <c r="H1777" t="inlineStr">
        <is>
          <t>CM17250_dated_18_11_2022_TID_30971_Corrigendum_-II.pdf</t>
        </is>
      </c>
      <c r="K1777" t="inlineStr">
        <is>
          <t>Not found</t>
        </is>
      </c>
      <c r="L1777" t="inlineStr">
        <is>
          <t>Unknown</t>
        </is>
      </c>
      <c r="T1777" t="inlineStr">
        <is>
          <t>https://tenders.iglonline.net/uploads/tender/CM17250_dated_18_11_2022_TID_30971_Corrigendum_-II.pdf</t>
        </is>
      </c>
      <c r="U1777" t="inlineStr">
        <is>
          <t>No</t>
        </is>
      </c>
      <c r="V1777" t="inlineStr">
        <is>
          <t>Bot tarafindan tespit edildi (2026-07-01)</t>
        </is>
      </c>
    </row>
    <row r="1778">
      <c r="A1778" t="inlineStr">
        <is>
          <t>T-1582</t>
        </is>
      </c>
      <c r="B1778" t="inlineStr">
        <is>
          <t>Indraprastha Gas (IGL)</t>
        </is>
      </c>
      <c r="C1778" t="inlineStr">
        <is>
          <t>Indraprastha Gas (IGL)</t>
        </is>
      </c>
      <c r="F1778" t="inlineStr">
        <is>
          <t>New Lead</t>
        </is>
      </c>
      <c r="H1778" t="inlineStr">
        <is>
          <t>CM17250_dated_18_11_2022_TID_30971_Corrigendum-III.pdf</t>
        </is>
      </c>
      <c r="K1778" t="inlineStr">
        <is>
          <t>Not found</t>
        </is>
      </c>
      <c r="L1778" t="inlineStr">
        <is>
          <t>Unknown</t>
        </is>
      </c>
      <c r="T1778" t="inlineStr">
        <is>
          <t>https://tenders.iglonline.net/uploads/tender/CM17250_dated_18_11_2022_TID_30971_Corrigendum-III.pdf</t>
        </is>
      </c>
      <c r="U1778" t="inlineStr">
        <is>
          <t>No</t>
        </is>
      </c>
      <c r="V1778" t="inlineStr">
        <is>
          <t>Bot tarafindan tespit edildi (2026-07-01)</t>
        </is>
      </c>
    </row>
    <row r="1779">
      <c r="A1779" t="inlineStr">
        <is>
          <t>T-1583</t>
        </is>
      </c>
      <c r="B1779" t="inlineStr">
        <is>
          <t>Indraprastha Gas (IGL)</t>
        </is>
      </c>
      <c r="C1779" t="inlineStr">
        <is>
          <t>Indraprastha Gas (IGL)</t>
        </is>
      </c>
      <c r="F1779" t="inlineStr">
        <is>
          <t>New Lead</t>
        </is>
      </c>
      <c r="H1779" t="inlineStr">
        <is>
          <t>CM17250_dated_18_11_2022_TID_30971_Corrigendum_IV.pdf</t>
        </is>
      </c>
      <c r="K1779" t="inlineStr">
        <is>
          <t>Not found</t>
        </is>
      </c>
      <c r="L1779" t="inlineStr">
        <is>
          <t>Unknown</t>
        </is>
      </c>
      <c r="T1779" t="inlineStr">
        <is>
          <t>https://tenders.iglonline.net/uploads/tender/CM17250_dated_18_11_2022_TID_30971_Corrigendum_IV.pdf</t>
        </is>
      </c>
      <c r="U1779" t="inlineStr">
        <is>
          <t>No</t>
        </is>
      </c>
      <c r="V1779" t="inlineStr">
        <is>
          <t>Bot tarafindan tespit edildi (2026-07-01)</t>
        </is>
      </c>
    </row>
    <row r="1780">
      <c r="A1780" t="inlineStr">
        <is>
          <t>T-1584</t>
        </is>
      </c>
      <c r="B1780" t="inlineStr">
        <is>
          <t>Indraprastha Gas (IGL)</t>
        </is>
      </c>
      <c r="C1780" t="inlineStr">
        <is>
          <t>Indraprastha Gas (IGL)</t>
        </is>
      </c>
      <c r="F1780" t="inlineStr">
        <is>
          <t>New Lead</t>
        </is>
      </c>
      <c r="H1780" t="inlineStr">
        <is>
          <t>CM17250_dated_18_11_2022_TID_30971_Corrigendum-V_CM17250.pdf</t>
        </is>
      </c>
      <c r="K1780" t="inlineStr">
        <is>
          <t>Not found</t>
        </is>
      </c>
      <c r="L1780" t="inlineStr">
        <is>
          <t>Unknown</t>
        </is>
      </c>
      <c r="T1780" t="inlineStr">
        <is>
          <t>https://tenders.iglonline.net/uploads/tender/CM17250_dated_18_11_2022_TID_30971_Corrigendum-V_CM17250.pdf</t>
        </is>
      </c>
      <c r="U1780" t="inlineStr">
        <is>
          <t>No</t>
        </is>
      </c>
      <c r="V1780" t="inlineStr">
        <is>
          <t>Bot tarafindan tespit edildi (2026-07-01)</t>
        </is>
      </c>
    </row>
    <row r="1781">
      <c r="A1781" t="inlineStr">
        <is>
          <t>T-1585</t>
        </is>
      </c>
      <c r="B1781" t="inlineStr">
        <is>
          <t>Indraprastha Gas (IGL)</t>
        </is>
      </c>
      <c r="C1781" t="inlineStr">
        <is>
          <t>Indraprastha Gas (IGL)</t>
        </is>
      </c>
      <c r="F1781" t="inlineStr">
        <is>
          <t>New Lead</t>
        </is>
      </c>
      <c r="H1781" t="inlineStr">
        <is>
          <t>View Tender</t>
        </is>
      </c>
      <c r="K1781" t="inlineStr">
        <is>
          <t>Not found</t>
        </is>
      </c>
      <c r="L1781" t="inlineStr">
        <is>
          <t>Unknown</t>
        </is>
      </c>
      <c r="T1781" t="inlineStr">
        <is>
          <t>https://tenders.iglonline.net/tenderDetail/75/Active Tenders And Corrigendum-Addendum</t>
        </is>
      </c>
      <c r="U1781" t="inlineStr">
        <is>
          <t>No</t>
        </is>
      </c>
      <c r="V1781" t="inlineStr">
        <is>
          <t>Bot tarafindan tespit edildi (2026-07-01)</t>
        </is>
      </c>
    </row>
    <row r="1782">
      <c r="A1782" t="inlineStr">
        <is>
          <t>T-1586</t>
        </is>
      </c>
      <c r="B1782" t="inlineStr">
        <is>
          <t>Indraprastha Gas (IGL)</t>
        </is>
      </c>
      <c r="C1782" t="inlineStr">
        <is>
          <t>Indraprastha Gas (IGL)</t>
        </is>
      </c>
      <c r="F1782" t="inlineStr">
        <is>
          <t>New Lead</t>
        </is>
      </c>
      <c r="H1782" t="inlineStr">
        <is>
          <t>_CM17245_dated_03_11_2022_TID_30970_CORRIGENDUM_II_CM17245.pdf</t>
        </is>
      </c>
      <c r="K1782" t="inlineStr">
        <is>
          <t>Not found</t>
        </is>
      </c>
      <c r="L1782" t="inlineStr">
        <is>
          <t>Unknown</t>
        </is>
      </c>
      <c r="T1782" t="inlineStr">
        <is>
          <t>https://tenders.iglonline.net/uploads/tender/_CM17245_dated_03_11_2022_TID_30970_CORRIGENDUM_II_CM17245.pdf</t>
        </is>
      </c>
      <c r="U1782" t="inlineStr">
        <is>
          <t>No</t>
        </is>
      </c>
      <c r="V1782" t="inlineStr">
        <is>
          <t>Bot tarafindan tespit edildi (2026-07-01)</t>
        </is>
      </c>
    </row>
    <row r="1783">
      <c r="A1783" t="inlineStr">
        <is>
          <t>T-1587</t>
        </is>
      </c>
      <c r="B1783" t="inlineStr">
        <is>
          <t>Indraprastha Gas (IGL)</t>
        </is>
      </c>
      <c r="C1783" t="inlineStr">
        <is>
          <t>Indraprastha Gas (IGL)</t>
        </is>
      </c>
      <c r="F1783" t="inlineStr">
        <is>
          <t>New Lead</t>
        </is>
      </c>
      <c r="H1783" t="inlineStr">
        <is>
          <t>View Tender</t>
        </is>
      </c>
      <c r="K1783" t="inlineStr">
        <is>
          <t>Not found</t>
        </is>
      </c>
      <c r="L1783" t="inlineStr">
        <is>
          <t>Unknown</t>
        </is>
      </c>
      <c r="T1783" t="inlineStr">
        <is>
          <t>https://tenders.iglonline.net/tenderDetail/74/Active Tenders And Corrigendum-Addendum</t>
        </is>
      </c>
      <c r="U1783" t="inlineStr">
        <is>
          <t>No</t>
        </is>
      </c>
      <c r="V1783" t="inlineStr">
        <is>
          <t>Bot tarafindan tespit edildi (2026-07-01)</t>
        </is>
      </c>
    </row>
    <row r="1784">
      <c r="A1784" t="inlineStr">
        <is>
          <t>T-1588</t>
        </is>
      </c>
      <c r="B1784" t="inlineStr">
        <is>
          <t>Indraprastha Gas (IGL)</t>
        </is>
      </c>
      <c r="C1784" t="inlineStr">
        <is>
          <t>Indraprastha Gas (IGL)</t>
        </is>
      </c>
      <c r="F1784" t="inlineStr">
        <is>
          <t>New Lead</t>
        </is>
      </c>
      <c r="H1784" t="inlineStr">
        <is>
          <t>CC17239_dated_04_11_2022_TID_30969_IGL_Corrigendum_1.pdf</t>
        </is>
      </c>
      <c r="K1784" t="inlineStr">
        <is>
          <t>Not found</t>
        </is>
      </c>
      <c r="L1784" t="inlineStr">
        <is>
          <t>Unknown</t>
        </is>
      </c>
      <c r="T1784" t="inlineStr">
        <is>
          <t>https://tenders.iglonline.net/uploads/tender/CC17239_dated_04_11_2022_TID_30969_IGL_Corrigendum_1.pdf</t>
        </is>
      </c>
      <c r="U1784" t="inlineStr">
        <is>
          <t>No</t>
        </is>
      </c>
      <c r="V1784" t="inlineStr">
        <is>
          <t>Bot tarafindan tespit edildi (2026-07-01)</t>
        </is>
      </c>
    </row>
    <row r="1785">
      <c r="A1785" t="inlineStr">
        <is>
          <t>T-1589</t>
        </is>
      </c>
      <c r="B1785" t="inlineStr">
        <is>
          <t>Indraprastha Gas (IGL)</t>
        </is>
      </c>
      <c r="C1785" t="inlineStr">
        <is>
          <t>Indraprastha Gas (IGL)</t>
        </is>
      </c>
      <c r="F1785" t="inlineStr">
        <is>
          <t>New Lead</t>
        </is>
      </c>
      <c r="H1785" t="inlineStr">
        <is>
          <t>CC17239_dated_04_11_2022_TID_30969_IGL_Technical_Corrigendum_1.pdf</t>
        </is>
      </c>
      <c r="K1785" t="inlineStr">
        <is>
          <t>Not found</t>
        </is>
      </c>
      <c r="L1785" t="inlineStr">
        <is>
          <t>Unknown</t>
        </is>
      </c>
      <c r="T1785" t="inlineStr">
        <is>
          <t>https://tenders.iglonline.net/uploads/tender/CC17239_dated_04_11_2022_TID_30969_IGL_Technical_Corrigendum_1.pdf</t>
        </is>
      </c>
      <c r="U1785" t="inlineStr">
        <is>
          <t>No</t>
        </is>
      </c>
      <c r="V1785" t="inlineStr">
        <is>
          <t>Bot tarafindan tespit edildi (2026-07-01)</t>
        </is>
      </c>
    </row>
    <row r="1786">
      <c r="A1786" t="inlineStr">
        <is>
          <t>T-1590</t>
        </is>
      </c>
      <c r="B1786" t="inlineStr">
        <is>
          <t>Indraprastha Gas (IGL)</t>
        </is>
      </c>
      <c r="C1786" t="inlineStr">
        <is>
          <t>Indraprastha Gas (IGL)</t>
        </is>
      </c>
      <c r="F1786" t="inlineStr">
        <is>
          <t>New Lead</t>
        </is>
      </c>
      <c r="H1786" t="inlineStr">
        <is>
          <t>CC17239_dated_04_11_2022_TID_30969_IGL_Commercial_Corrigendum_2.pdf</t>
        </is>
      </c>
      <c r="K1786" t="inlineStr">
        <is>
          <t>Not found</t>
        </is>
      </c>
      <c r="L1786" t="inlineStr">
        <is>
          <t>Unknown</t>
        </is>
      </c>
      <c r="T1786" t="inlineStr">
        <is>
          <t>https://tenders.iglonline.net/uploads/tender/CC17239_dated_04_11_2022_TID_30969_IGL_Commercial_Corrigendum_2.pdf</t>
        </is>
      </c>
      <c r="U1786" t="inlineStr">
        <is>
          <t>No</t>
        </is>
      </c>
      <c r="V1786" t="inlineStr">
        <is>
          <t>Bot tarafindan tespit edildi (2026-07-01)</t>
        </is>
      </c>
    </row>
    <row r="1787">
      <c r="A1787" t="inlineStr">
        <is>
          <t>T-1591</t>
        </is>
      </c>
      <c r="B1787" t="inlineStr">
        <is>
          <t>Indraprastha Gas (IGL)</t>
        </is>
      </c>
      <c r="C1787" t="inlineStr">
        <is>
          <t>Indraprastha Gas (IGL)</t>
        </is>
      </c>
      <c r="F1787" t="inlineStr">
        <is>
          <t>New Lead</t>
        </is>
      </c>
      <c r="H1787" t="inlineStr">
        <is>
          <t>CC17239_dated_04_11_2022_TID_30969_CC17239_corr3.pdf</t>
        </is>
      </c>
      <c r="K1787" t="inlineStr">
        <is>
          <t>Not found</t>
        </is>
      </c>
      <c r="L1787" t="inlineStr">
        <is>
          <t>Unknown</t>
        </is>
      </c>
      <c r="T1787" t="inlineStr">
        <is>
          <t>https://tenders.iglonline.net/uploads/tender/CC17239_dated_04_11_2022_TID_30969_CC17239_corr3.pdf</t>
        </is>
      </c>
      <c r="U1787" t="inlineStr">
        <is>
          <t>No</t>
        </is>
      </c>
      <c r="V1787" t="inlineStr">
        <is>
          <t>Bot tarafindan tespit edildi (2026-07-01)</t>
        </is>
      </c>
    </row>
    <row r="1788">
      <c r="A1788" t="inlineStr">
        <is>
          <t>T-1592</t>
        </is>
      </c>
      <c r="B1788" t="inlineStr">
        <is>
          <t>Indraprastha Gas (IGL)</t>
        </is>
      </c>
      <c r="C1788" t="inlineStr">
        <is>
          <t>Indraprastha Gas (IGL)</t>
        </is>
      </c>
      <c r="F1788" t="inlineStr">
        <is>
          <t>New Lead</t>
        </is>
      </c>
      <c r="H1788" t="inlineStr">
        <is>
          <t>CC17239_dated_04_11_2022_TID_30969_IGLdispTechcorr2Web.pdf</t>
        </is>
      </c>
      <c r="K1788" t="inlineStr">
        <is>
          <t>Not found</t>
        </is>
      </c>
      <c r="L1788" t="inlineStr">
        <is>
          <t>Unknown</t>
        </is>
      </c>
      <c r="T1788" t="inlineStr">
        <is>
          <t>https://tenders.iglonline.net/uploads/tender/CC17239_dated_04_11_2022_TID_30969_IGLdispTechcorr2Web.pdf</t>
        </is>
      </c>
      <c r="U1788" t="inlineStr">
        <is>
          <t>No</t>
        </is>
      </c>
      <c r="V1788" t="inlineStr">
        <is>
          <t>Bot tarafindan tespit edildi (2026-07-01)</t>
        </is>
      </c>
    </row>
    <row r="1789">
      <c r="A1789" t="inlineStr">
        <is>
          <t>T-1593</t>
        </is>
      </c>
      <c r="B1789" t="inlineStr">
        <is>
          <t>Indraprastha Gas (IGL)</t>
        </is>
      </c>
      <c r="C1789" t="inlineStr">
        <is>
          <t>Indraprastha Gas (IGL)</t>
        </is>
      </c>
      <c r="F1789" t="inlineStr">
        <is>
          <t>New Lead</t>
        </is>
      </c>
      <c r="H1789" t="inlineStr">
        <is>
          <t>CC17239_dated_04_11_2022_TID_30969_IGL_RPBQ_1_CC17239.pdf</t>
        </is>
      </c>
      <c r="K1789" t="inlineStr">
        <is>
          <t>Not found</t>
        </is>
      </c>
      <c r="L1789" t="inlineStr">
        <is>
          <t>Unknown</t>
        </is>
      </c>
      <c r="T1789" t="inlineStr">
        <is>
          <t>https://tenders.iglonline.net/uploads/tender/CC17239_dated_04_11_2022_TID_30969_IGL_RPBQ_1_CC17239.pdf</t>
        </is>
      </c>
      <c r="U1789" t="inlineStr">
        <is>
          <t>No</t>
        </is>
      </c>
      <c r="V1789" t="inlineStr">
        <is>
          <t>Bot tarafindan tespit edildi (2026-07-01)</t>
        </is>
      </c>
    </row>
    <row r="1790">
      <c r="A1790" t="inlineStr">
        <is>
          <t>T-1594</t>
        </is>
      </c>
      <c r="B1790" t="inlineStr">
        <is>
          <t>Indraprastha Gas (IGL)</t>
        </is>
      </c>
      <c r="C1790" t="inlineStr">
        <is>
          <t>Indraprastha Gas (IGL)</t>
        </is>
      </c>
      <c r="F1790" t="inlineStr">
        <is>
          <t>New Lead</t>
        </is>
      </c>
      <c r="H1790" t="inlineStr">
        <is>
          <t>CC17239_dated_04_11_2022_TID_30969_IGL_RPBQ_2_CC17239.pdf</t>
        </is>
      </c>
      <c r="K1790" t="inlineStr">
        <is>
          <t>Not found</t>
        </is>
      </c>
      <c r="L1790" t="inlineStr">
        <is>
          <t>Unknown</t>
        </is>
      </c>
      <c r="T1790" t="inlineStr">
        <is>
          <t>https://tenders.iglonline.net/uploads/tender/CC17239_dated_04_11_2022_TID_30969_IGL_RPBQ_2_CC17239.pdf</t>
        </is>
      </c>
      <c r="U1790" t="inlineStr">
        <is>
          <t>No</t>
        </is>
      </c>
      <c r="V1790" t="inlineStr">
        <is>
          <t>Bot tarafindan tespit edildi (2026-07-01)</t>
        </is>
      </c>
    </row>
    <row r="1791">
      <c r="A1791" t="inlineStr">
        <is>
          <t>T-1595</t>
        </is>
      </c>
      <c r="B1791" t="inlineStr">
        <is>
          <t>Indraprastha Gas (IGL)</t>
        </is>
      </c>
      <c r="C1791" t="inlineStr">
        <is>
          <t>Indraprastha Gas (IGL)</t>
        </is>
      </c>
      <c r="F1791" t="inlineStr">
        <is>
          <t>New Lead</t>
        </is>
      </c>
      <c r="H1791" t="inlineStr">
        <is>
          <t>CC17239_dated_04_11_2022_TID_30969_IGL_Commercial_Corrigendum_3.pdf</t>
        </is>
      </c>
      <c r="K1791" t="inlineStr">
        <is>
          <t>Not found</t>
        </is>
      </c>
      <c r="L1791" t="inlineStr">
        <is>
          <t>Unknown</t>
        </is>
      </c>
      <c r="T1791" t="inlineStr">
        <is>
          <t>https://tenders.iglonline.net/uploads/tender/CC17239_dated_04_11_2022_TID_30969_IGL_Commercial_Corrigendum_3.pdf</t>
        </is>
      </c>
      <c r="U1791" t="inlineStr">
        <is>
          <t>No</t>
        </is>
      </c>
      <c r="V1791" t="inlineStr">
        <is>
          <t>Bot tarafindan tespit edildi (2026-07-01)</t>
        </is>
      </c>
    </row>
    <row r="1792">
      <c r="A1792" t="inlineStr">
        <is>
          <t>T-1596</t>
        </is>
      </c>
      <c r="B1792" t="inlineStr">
        <is>
          <t>Indraprastha Gas (IGL)</t>
        </is>
      </c>
      <c r="C1792" t="inlineStr">
        <is>
          <t>Indraprastha Gas (IGL)</t>
        </is>
      </c>
      <c r="F1792" t="inlineStr">
        <is>
          <t>New Lead</t>
        </is>
      </c>
      <c r="H1792" t="inlineStr">
        <is>
          <t>CC17239_dated_04_11_2022_TID_30969_IGL_Commercial_Corrigendum_4.pdf</t>
        </is>
      </c>
      <c r="K1792" t="inlineStr">
        <is>
          <t>Not found</t>
        </is>
      </c>
      <c r="L1792" t="inlineStr">
        <is>
          <t>Unknown</t>
        </is>
      </c>
      <c r="T1792" t="inlineStr">
        <is>
          <t>https://tenders.iglonline.net/uploads/tender/CC17239_dated_04_11_2022_TID_30969_IGL_Commercial_Corrigendum_4.pdf</t>
        </is>
      </c>
      <c r="U1792" t="inlineStr">
        <is>
          <t>No</t>
        </is>
      </c>
      <c r="V1792" t="inlineStr">
        <is>
          <t>Bot tarafindan tespit edildi (2026-07-01)</t>
        </is>
      </c>
    </row>
    <row r="1793">
      <c r="A1793" t="inlineStr">
        <is>
          <t>T-1597</t>
        </is>
      </c>
      <c r="B1793" t="inlineStr">
        <is>
          <t>Indraprastha Gas (IGL)</t>
        </is>
      </c>
      <c r="C1793" t="inlineStr">
        <is>
          <t>Indraprastha Gas (IGL)</t>
        </is>
      </c>
      <c r="F1793" t="inlineStr">
        <is>
          <t>New Lead</t>
        </is>
      </c>
      <c r="H1793" t="inlineStr">
        <is>
          <t>CC17239_dated_04_11_2022_TID_30969_IGL_Commercial_Corrigendum_5.pdf</t>
        </is>
      </c>
      <c r="K1793" t="inlineStr">
        <is>
          <t>Not found</t>
        </is>
      </c>
      <c r="L1793" t="inlineStr">
        <is>
          <t>Unknown</t>
        </is>
      </c>
      <c r="T1793" t="inlineStr">
        <is>
          <t>https://tenders.iglonline.net/uploads/tender/CC17239_dated_04_11_2022_TID_30969_IGL_Commercial_Corrigendum_5.pdf</t>
        </is>
      </c>
      <c r="U1793" t="inlineStr">
        <is>
          <t>No</t>
        </is>
      </c>
      <c r="V1793" t="inlineStr">
        <is>
          <t>Bot tarafindan tespit edildi (2026-07-01)</t>
        </is>
      </c>
    </row>
    <row r="1794">
      <c r="A1794" t="inlineStr">
        <is>
          <t>T-1598</t>
        </is>
      </c>
      <c r="B1794" t="inlineStr">
        <is>
          <t>Indraprastha Gas (IGL)</t>
        </is>
      </c>
      <c r="C1794" t="inlineStr">
        <is>
          <t>Indraprastha Gas (IGL)</t>
        </is>
      </c>
      <c r="F1794" t="inlineStr">
        <is>
          <t>New Lead</t>
        </is>
      </c>
      <c r="H1794" t="inlineStr">
        <is>
          <t>CC17239_dated_04_11_2022_TID_30969_IGL_Commercial_Corrigendum_6.pdf</t>
        </is>
      </c>
      <c r="K1794" t="inlineStr">
        <is>
          <t>Not found</t>
        </is>
      </c>
      <c r="L1794" t="inlineStr">
        <is>
          <t>Unknown</t>
        </is>
      </c>
      <c r="T1794" t="inlineStr">
        <is>
          <t>https://tenders.iglonline.net/uploads/tender/CC17239_dated_04_11_2022_TID_30969_IGL_Commercial_Corrigendum_6.pdf</t>
        </is>
      </c>
      <c r="U1794" t="inlineStr">
        <is>
          <t>No</t>
        </is>
      </c>
      <c r="V1794" t="inlineStr">
        <is>
          <t>Bot tarafindan tespit edildi (2026-07-01)</t>
        </is>
      </c>
    </row>
    <row r="1795">
      <c r="A1795" t="inlineStr">
        <is>
          <t>T-1599</t>
        </is>
      </c>
      <c r="B1795" t="inlineStr">
        <is>
          <t>Indraprastha Gas (IGL)</t>
        </is>
      </c>
      <c r="C1795" t="inlineStr">
        <is>
          <t>Indraprastha Gas (IGL)</t>
        </is>
      </c>
      <c r="F1795" t="inlineStr">
        <is>
          <t>New Lead</t>
        </is>
      </c>
      <c r="H1795" t="inlineStr">
        <is>
          <t>CC17239_dated_04_11_2022_TID_30969_IGL_Commercial_Corrigendum_7.pdf</t>
        </is>
      </c>
      <c r="K1795" t="inlineStr">
        <is>
          <t>Not found</t>
        </is>
      </c>
      <c r="L1795" t="inlineStr">
        <is>
          <t>Unknown</t>
        </is>
      </c>
      <c r="T1795" t="inlineStr">
        <is>
          <t>https://tenders.iglonline.net/uploads/tender/CC17239_dated_04_11_2022_TID_30969_IGL_Commercial_Corrigendum_7.pdf</t>
        </is>
      </c>
      <c r="U1795" t="inlineStr">
        <is>
          <t>No</t>
        </is>
      </c>
      <c r="V1795" t="inlineStr">
        <is>
          <t>Bot tarafindan tespit edildi (2026-07-01)</t>
        </is>
      </c>
    </row>
    <row r="1796">
      <c r="A1796" t="inlineStr">
        <is>
          <t>T-1600</t>
        </is>
      </c>
      <c r="B1796" t="inlineStr">
        <is>
          <t>Indraprastha Gas (IGL)</t>
        </is>
      </c>
      <c r="C1796" t="inlineStr">
        <is>
          <t>Indraprastha Gas (IGL)</t>
        </is>
      </c>
      <c r="F1796" t="inlineStr">
        <is>
          <t>New Lead</t>
        </is>
      </c>
      <c r="H1796" t="inlineStr">
        <is>
          <t>CC17239_dated_04_11_2022_TID_30969_IGL_Commercial_Corrigendum_8.pdf</t>
        </is>
      </c>
      <c r="K1796" t="inlineStr">
        <is>
          <t>Not found</t>
        </is>
      </c>
      <c r="L1796" t="inlineStr">
        <is>
          <t>Unknown</t>
        </is>
      </c>
      <c r="T1796" t="inlineStr">
        <is>
          <t>https://tenders.iglonline.net/uploads/tender/CC17239_dated_04_11_2022_TID_30969_IGL_Commercial_Corrigendum_8.pdf</t>
        </is>
      </c>
      <c r="U1796" t="inlineStr">
        <is>
          <t>No</t>
        </is>
      </c>
      <c r="V1796" t="inlineStr">
        <is>
          <t>Bot tarafindan tespit edildi (2026-07-01)</t>
        </is>
      </c>
    </row>
    <row r="1797">
      <c r="A1797" t="inlineStr">
        <is>
          <t>T-1601</t>
        </is>
      </c>
      <c r="B1797" t="inlineStr">
        <is>
          <t>Indraprastha Gas (IGL)</t>
        </is>
      </c>
      <c r="C1797" t="inlineStr">
        <is>
          <t>Indraprastha Gas (IGL)</t>
        </is>
      </c>
      <c r="F1797" t="inlineStr">
        <is>
          <t>New Lead</t>
        </is>
      </c>
      <c r="H1797" t="inlineStr">
        <is>
          <t>CC17239_dated_04_11_2022_TID_30969_IGL_Technical_Corrigendum_3.pdf</t>
        </is>
      </c>
      <c r="K1797" t="inlineStr">
        <is>
          <t>Not found</t>
        </is>
      </c>
      <c r="L1797" t="inlineStr">
        <is>
          <t>Unknown</t>
        </is>
      </c>
      <c r="T1797" t="inlineStr">
        <is>
          <t>https://tenders.iglonline.net/uploads/tender/CC17239_dated_04_11_2022_TID_30969_IGL_Technical_Corrigendum_3.pdf</t>
        </is>
      </c>
      <c r="U1797" t="inlineStr">
        <is>
          <t>No</t>
        </is>
      </c>
      <c r="V1797" t="inlineStr">
        <is>
          <t>Bot tarafindan tespit edildi (2026-07-01)</t>
        </is>
      </c>
    </row>
    <row r="1798">
      <c r="A1798" t="inlineStr">
        <is>
          <t>T-1602</t>
        </is>
      </c>
      <c r="B1798" t="inlineStr">
        <is>
          <t>Indraprastha Gas (IGL)</t>
        </is>
      </c>
      <c r="C1798" t="inlineStr">
        <is>
          <t>Indraprastha Gas (IGL)</t>
        </is>
      </c>
      <c r="F1798" t="inlineStr">
        <is>
          <t>New Lead</t>
        </is>
      </c>
      <c r="H1798" t="inlineStr">
        <is>
          <t>CC17239_dated_04_11_2022_TID_30969_IGL_Commercial_Corrigendum_9.pdf</t>
        </is>
      </c>
      <c r="K1798" t="inlineStr">
        <is>
          <t>Not found</t>
        </is>
      </c>
      <c r="L1798" t="inlineStr">
        <is>
          <t>Unknown</t>
        </is>
      </c>
      <c r="T1798" t="inlineStr">
        <is>
          <t>https://tenders.iglonline.net/uploads/tender/CC17239_dated_04_11_2022_TID_30969_IGL_Commercial_Corrigendum_9.pdf</t>
        </is>
      </c>
      <c r="U1798" t="inlineStr">
        <is>
          <t>No</t>
        </is>
      </c>
      <c r="V1798" t="inlineStr">
        <is>
          <t>Bot tarafindan tespit edildi (2026-07-01)</t>
        </is>
      </c>
    </row>
    <row r="1799">
      <c r="A1799" t="inlineStr">
        <is>
          <t>T-1603</t>
        </is>
      </c>
      <c r="B1799" t="inlineStr">
        <is>
          <t>Indraprastha Gas (IGL)</t>
        </is>
      </c>
      <c r="C1799" t="inlineStr">
        <is>
          <t>Indraprastha Gas (IGL)</t>
        </is>
      </c>
      <c r="F1799" t="inlineStr">
        <is>
          <t>New Lead</t>
        </is>
      </c>
      <c r="H1799" t="inlineStr">
        <is>
          <t>IGL_Commercial_Corrigendum_101.pdf</t>
        </is>
      </c>
      <c r="K1799" t="inlineStr">
        <is>
          <t>Not found</t>
        </is>
      </c>
      <c r="L1799" t="inlineStr">
        <is>
          <t>Unknown</t>
        </is>
      </c>
      <c r="T1799" t="inlineStr">
        <is>
          <t>https://tenders.iglonline.net/uploads/tender/IGL_Commercial_Corrigendum_101.pdf</t>
        </is>
      </c>
      <c r="U1799" t="inlineStr">
        <is>
          <t>No</t>
        </is>
      </c>
      <c r="V1799" t="inlineStr">
        <is>
          <t>Bot tarafindan tespit edildi (2026-07-01)</t>
        </is>
      </c>
    </row>
    <row r="1800">
      <c r="A1800" t="inlineStr">
        <is>
          <t>T-1604</t>
        </is>
      </c>
      <c r="B1800" t="inlineStr">
        <is>
          <t>Indraprastha Gas (IGL)</t>
        </is>
      </c>
      <c r="C1800" t="inlineStr">
        <is>
          <t>Indraprastha Gas (IGL)</t>
        </is>
      </c>
      <c r="F1800" t="inlineStr">
        <is>
          <t>New Lead</t>
        </is>
      </c>
      <c r="H1800" t="inlineStr">
        <is>
          <t>Notice_of_Cancellation_CC17239.pdf</t>
        </is>
      </c>
      <c r="K1800" t="inlineStr">
        <is>
          <t>Not found</t>
        </is>
      </c>
      <c r="L1800" t="inlineStr">
        <is>
          <t>Unknown</t>
        </is>
      </c>
      <c r="T1800" t="inlineStr">
        <is>
          <t>https://tenders.iglonline.net/uploads/tender/Notice_of_Cancellation_CC17239.pdf</t>
        </is>
      </c>
      <c r="U1800" t="inlineStr">
        <is>
          <t>No</t>
        </is>
      </c>
      <c r="V1800" t="inlineStr">
        <is>
          <t>Bot tarafindan tespit edildi (2026-07-01)</t>
        </is>
      </c>
    </row>
    <row r="1801">
      <c r="A1801" t="inlineStr">
        <is>
          <t>T-1605</t>
        </is>
      </c>
      <c r="B1801" t="inlineStr">
        <is>
          <t>Indraprastha Gas (IGL)</t>
        </is>
      </c>
      <c r="C1801" t="inlineStr">
        <is>
          <t>Indraprastha Gas (IGL)</t>
        </is>
      </c>
      <c r="F1801" t="inlineStr">
        <is>
          <t>New Lead</t>
        </is>
      </c>
      <c r="H1801" t="inlineStr">
        <is>
          <t>View Tender</t>
        </is>
      </c>
      <c r="K1801" t="inlineStr">
        <is>
          <t>Not found</t>
        </is>
      </c>
      <c r="L1801" t="inlineStr">
        <is>
          <t>Unknown</t>
        </is>
      </c>
      <c r="T1801" t="inlineStr">
        <is>
          <t>https://tenders.iglonline.net/tenderDetail/73/Active Tenders And Corrigendum-Addendum</t>
        </is>
      </c>
      <c r="U1801" t="inlineStr">
        <is>
          <t>No</t>
        </is>
      </c>
      <c r="V1801" t="inlineStr">
        <is>
          <t>Bot tarafindan tespit edildi (2026-07-01)</t>
        </is>
      </c>
    </row>
    <row r="1802">
      <c r="A1802" t="inlineStr">
        <is>
          <t>T-1606</t>
        </is>
      </c>
      <c r="B1802" t="inlineStr">
        <is>
          <t>Indraprastha Gas (IGL)</t>
        </is>
      </c>
      <c r="C1802" t="inlineStr">
        <is>
          <t>Indraprastha Gas (IGL)</t>
        </is>
      </c>
      <c r="F1802" t="inlineStr">
        <is>
          <t>New Lead</t>
        </is>
      </c>
      <c r="H1802" t="inlineStr">
        <is>
          <t>_CC17215_dated_03_11_2022_TID_30967_CORRIGENDUM_2_CM_172152.pdf</t>
        </is>
      </c>
      <c r="K1802" t="inlineStr">
        <is>
          <t>Not found</t>
        </is>
      </c>
      <c r="L1802" t="inlineStr">
        <is>
          <t>Unknown</t>
        </is>
      </c>
      <c r="T1802" t="inlineStr">
        <is>
          <t>https://tenders.iglonline.net/uploads/tender/_CC17215_dated_03_11_2022_TID_30967_CORRIGENDUM_2_CM_172152.pdf</t>
        </is>
      </c>
      <c r="U1802" t="inlineStr">
        <is>
          <t>No</t>
        </is>
      </c>
      <c r="V1802" t="inlineStr">
        <is>
          <t>Bot tarafindan tespit edildi (2026-07-01)</t>
        </is>
      </c>
    </row>
    <row r="1803">
      <c r="A1803" t="inlineStr">
        <is>
          <t>T-1607</t>
        </is>
      </c>
      <c r="B1803" t="inlineStr">
        <is>
          <t>Indraprastha Gas (IGL)</t>
        </is>
      </c>
      <c r="C1803" t="inlineStr">
        <is>
          <t>Indraprastha Gas (IGL)</t>
        </is>
      </c>
      <c r="F1803" t="inlineStr">
        <is>
          <t>New Lead</t>
        </is>
      </c>
      <c r="H1803" t="inlineStr">
        <is>
          <t>_CC17215_dated_03_11_2022_TID_30967_CORRIGENDUM_3_CM_172151.pdf</t>
        </is>
      </c>
      <c r="K1803" t="inlineStr">
        <is>
          <t>Not found</t>
        </is>
      </c>
      <c r="L1803" t="inlineStr">
        <is>
          <t>Unknown</t>
        </is>
      </c>
      <c r="T1803" t="inlineStr">
        <is>
          <t>https://tenders.iglonline.net/uploads/tender/_CC17215_dated_03_11_2022_TID_30967_CORRIGENDUM_3_CM_172151.pdf</t>
        </is>
      </c>
      <c r="U1803" t="inlineStr">
        <is>
          <t>No</t>
        </is>
      </c>
      <c r="V1803" t="inlineStr">
        <is>
          <t>Bot tarafindan tespit edildi (2026-07-01)</t>
        </is>
      </c>
    </row>
    <row r="1804">
      <c r="A1804" t="inlineStr">
        <is>
          <t>T-1608</t>
        </is>
      </c>
      <c r="B1804" t="inlineStr">
        <is>
          <t>Indraprastha Gas (IGL)</t>
        </is>
      </c>
      <c r="C1804" t="inlineStr">
        <is>
          <t>Indraprastha Gas (IGL)</t>
        </is>
      </c>
      <c r="F1804" t="inlineStr">
        <is>
          <t>New Lead</t>
        </is>
      </c>
      <c r="H1804" t="inlineStr">
        <is>
          <t>_CC17215_dated_03_11_2022_TID_30967_CORRIGENDUM_-CM172151.pdf</t>
        </is>
      </c>
      <c r="K1804" t="inlineStr">
        <is>
          <t>Not found</t>
        </is>
      </c>
      <c r="L1804" t="inlineStr">
        <is>
          <t>Unknown</t>
        </is>
      </c>
      <c r="T1804" t="inlineStr">
        <is>
          <t>https://tenders.iglonline.net/uploads/tender/_CC17215_dated_03_11_2022_TID_30967_CORRIGENDUM_-CM172151.pdf</t>
        </is>
      </c>
      <c r="U1804" t="inlineStr">
        <is>
          <t>No</t>
        </is>
      </c>
      <c r="V1804" t="inlineStr">
        <is>
          <t>Bot tarafindan tespit edildi (2026-07-01)</t>
        </is>
      </c>
    </row>
    <row r="1805">
      <c r="A1805" t="inlineStr">
        <is>
          <t>T-1609</t>
        </is>
      </c>
      <c r="B1805" t="inlineStr">
        <is>
          <t>Indraprastha Gas (IGL)</t>
        </is>
      </c>
      <c r="C1805" t="inlineStr">
        <is>
          <t>Indraprastha Gas (IGL)</t>
        </is>
      </c>
      <c r="F1805" t="inlineStr">
        <is>
          <t>New Lead</t>
        </is>
      </c>
      <c r="H1805" t="inlineStr">
        <is>
          <t>_CC17215_dated_03_11_2022_TID_30967_Revised_PPEs_specification_-_ANNEXURE_A1.pdf</t>
        </is>
      </c>
      <c r="K1805" t="inlineStr">
        <is>
          <t>Not found</t>
        </is>
      </c>
      <c r="L1805" t="inlineStr">
        <is>
          <t>Unknown</t>
        </is>
      </c>
      <c r="T1805" t="inlineStr">
        <is>
          <t>https://tenders.iglonline.net/uploads/tender/_CC17215_dated_03_11_2022_TID_30967_Revised_PPEs_specification_-_ANNEXURE_A1.pdf</t>
        </is>
      </c>
      <c r="U1805" t="inlineStr">
        <is>
          <t>No</t>
        </is>
      </c>
      <c r="V1805" t="inlineStr">
        <is>
          <t>Bot tarafindan tespit edildi (2026-07-01)</t>
        </is>
      </c>
    </row>
    <row r="1806">
      <c r="A1806" t="inlineStr">
        <is>
          <t>T-1610</t>
        </is>
      </c>
      <c r="B1806" t="inlineStr">
        <is>
          <t>Indraprastha Gas (IGL)</t>
        </is>
      </c>
      <c r="C1806" t="inlineStr">
        <is>
          <t>Indraprastha Gas (IGL)</t>
        </is>
      </c>
      <c r="F1806" t="inlineStr">
        <is>
          <t>New Lead</t>
        </is>
      </c>
      <c r="H1806" t="inlineStr">
        <is>
          <t>_CC17215_dated_03_11_2022_TID_30967_Tender1.pdf</t>
        </is>
      </c>
      <c r="K1806" t="inlineStr">
        <is>
          <t>Not found</t>
        </is>
      </c>
      <c r="L1806" t="inlineStr">
        <is>
          <t>Unknown</t>
        </is>
      </c>
      <c r="T1806" t="inlineStr">
        <is>
          <t>https://tenders.iglonline.net/uploads/tender/_CC17215_dated_03_11_2022_TID_30967_Tender1.pdf</t>
        </is>
      </c>
      <c r="U1806" t="inlineStr">
        <is>
          <t>No</t>
        </is>
      </c>
      <c r="V1806" t="inlineStr">
        <is>
          <t>Bot tarafindan tespit edildi (2026-07-01)</t>
        </is>
      </c>
    </row>
    <row r="1807">
      <c r="A1807" t="inlineStr">
        <is>
          <t>T-1611</t>
        </is>
      </c>
      <c r="B1807" t="inlineStr">
        <is>
          <t>Indraprastha Gas (IGL)</t>
        </is>
      </c>
      <c r="C1807" t="inlineStr">
        <is>
          <t>Indraprastha Gas (IGL)</t>
        </is>
      </c>
      <c r="F1807" t="inlineStr">
        <is>
          <t>New Lead</t>
        </is>
      </c>
      <c r="H1807" t="inlineStr">
        <is>
          <t>View Tender</t>
        </is>
      </c>
      <c r="K1807" t="inlineStr">
        <is>
          <t>Not found</t>
        </is>
      </c>
      <c r="L1807" t="inlineStr">
        <is>
          <t>Unknown</t>
        </is>
      </c>
      <c r="T1807" t="inlineStr">
        <is>
          <t>https://tenders.iglonline.net/tenderDetail/72/Active Tenders And Corrigendum-Addendum</t>
        </is>
      </c>
      <c r="U1807" t="inlineStr">
        <is>
          <t>No</t>
        </is>
      </c>
      <c r="V1807" t="inlineStr">
        <is>
          <t>Bot tarafindan tespit edildi (2026-07-01)</t>
        </is>
      </c>
    </row>
    <row r="1808">
      <c r="A1808" t="inlineStr">
        <is>
          <t>T-1612</t>
        </is>
      </c>
      <c r="B1808" t="inlineStr">
        <is>
          <t>Indraprastha Gas (IGL)</t>
        </is>
      </c>
      <c r="C1808" t="inlineStr">
        <is>
          <t>Indraprastha Gas (IGL)</t>
        </is>
      </c>
      <c r="F1808" t="inlineStr">
        <is>
          <t>New Lead</t>
        </is>
      </c>
      <c r="H1808" t="inlineStr">
        <is>
          <t>_CC17215_dated_03_11_2022_TID_30967_CORRIGENDUM_2_CM_17215.pdf</t>
        </is>
      </c>
      <c r="K1808" t="inlineStr">
        <is>
          <t>Not found</t>
        </is>
      </c>
      <c r="L1808" t="inlineStr">
        <is>
          <t>Unknown</t>
        </is>
      </c>
      <c r="T1808" t="inlineStr">
        <is>
          <t>https://tenders.iglonline.net/uploads/tender/_CC17215_dated_03_11_2022_TID_30967_CORRIGENDUM_2_CM_17215.pdf</t>
        </is>
      </c>
      <c r="U1808" t="inlineStr">
        <is>
          <t>No</t>
        </is>
      </c>
      <c r="V1808" t="inlineStr">
        <is>
          <t>Bot tarafindan tespit edildi (2026-07-01)</t>
        </is>
      </c>
    </row>
    <row r="1809">
      <c r="A1809" t="inlineStr">
        <is>
          <t>T-1613</t>
        </is>
      </c>
      <c r="B1809" t="inlineStr">
        <is>
          <t>Indraprastha Gas (IGL)</t>
        </is>
      </c>
      <c r="C1809" t="inlineStr">
        <is>
          <t>Indraprastha Gas (IGL)</t>
        </is>
      </c>
      <c r="F1809" t="inlineStr">
        <is>
          <t>New Lead</t>
        </is>
      </c>
      <c r="H1809" t="inlineStr">
        <is>
          <t>_CC17215_dated_03_11_2022_TID_30967_CORRIGENDUM_3_CM_17215.pdf</t>
        </is>
      </c>
      <c r="K1809" t="inlineStr">
        <is>
          <t>Not found</t>
        </is>
      </c>
      <c r="L1809" t="inlineStr">
        <is>
          <t>Unknown</t>
        </is>
      </c>
      <c r="T1809" t="inlineStr">
        <is>
          <t>https://tenders.iglonline.net/uploads/tender/_CC17215_dated_03_11_2022_TID_30967_CORRIGENDUM_3_CM_17215.pdf</t>
        </is>
      </c>
      <c r="U1809" t="inlineStr">
        <is>
          <t>No</t>
        </is>
      </c>
      <c r="V1809" t="inlineStr">
        <is>
          <t>Bot tarafindan tespit edildi (2026-07-01)</t>
        </is>
      </c>
    </row>
    <row r="1810">
      <c r="A1810" t="inlineStr">
        <is>
          <t>T-1614</t>
        </is>
      </c>
      <c r="B1810" t="inlineStr">
        <is>
          <t>Indraprastha Gas (IGL)</t>
        </is>
      </c>
      <c r="C1810" t="inlineStr">
        <is>
          <t>Indraprastha Gas (IGL)</t>
        </is>
      </c>
      <c r="F1810" t="inlineStr">
        <is>
          <t>New Lead</t>
        </is>
      </c>
      <c r="H1810" t="inlineStr">
        <is>
          <t>_CC17215_dated_03_11_2022_TID_30967_CORRIGENDUM_-CM17215.pdf</t>
        </is>
      </c>
      <c r="K1810" t="inlineStr">
        <is>
          <t>Not found</t>
        </is>
      </c>
      <c r="L1810" t="inlineStr">
        <is>
          <t>Unknown</t>
        </is>
      </c>
      <c r="T1810" t="inlineStr">
        <is>
          <t>https://tenders.iglonline.net/uploads/tender/_CC17215_dated_03_11_2022_TID_30967_CORRIGENDUM_-CM17215.pdf</t>
        </is>
      </c>
      <c r="U1810" t="inlineStr">
        <is>
          <t>No</t>
        </is>
      </c>
      <c r="V1810" t="inlineStr">
        <is>
          <t>Bot tarafindan tespit edildi (2026-07-01)</t>
        </is>
      </c>
    </row>
    <row r="1811">
      <c r="A1811" t="inlineStr">
        <is>
          <t>T-1615</t>
        </is>
      </c>
      <c r="B1811" t="inlineStr">
        <is>
          <t>Indraprastha Gas (IGL)</t>
        </is>
      </c>
      <c r="C1811" t="inlineStr">
        <is>
          <t>Indraprastha Gas (IGL)</t>
        </is>
      </c>
      <c r="F1811" t="inlineStr">
        <is>
          <t>New Lead</t>
        </is>
      </c>
      <c r="H1811" t="inlineStr">
        <is>
          <t>_CC17215_dated_03_11_2022_TID_30967_Revised_PPEs_specification_-_ANNEXURE_A.pdf</t>
        </is>
      </c>
      <c r="K1811" t="inlineStr">
        <is>
          <t>Not found</t>
        </is>
      </c>
      <c r="L1811" t="inlineStr">
        <is>
          <t>Unknown</t>
        </is>
      </c>
      <c r="T1811" t="inlineStr">
        <is>
          <t>https://tenders.iglonline.net/uploads/tender/_CC17215_dated_03_11_2022_TID_30967_Revised_PPEs_specification_-_ANNEXURE_A.pdf</t>
        </is>
      </c>
      <c r="U1811" t="inlineStr">
        <is>
          <t>No</t>
        </is>
      </c>
      <c r="V1811" t="inlineStr">
        <is>
          <t>Bot tarafindan tespit edildi (2026-07-01)</t>
        </is>
      </c>
    </row>
    <row r="1812">
      <c r="A1812" t="inlineStr">
        <is>
          <t>T-1616</t>
        </is>
      </c>
      <c r="B1812" t="inlineStr">
        <is>
          <t>Indraprastha Gas (IGL)</t>
        </is>
      </c>
      <c r="C1812" t="inlineStr">
        <is>
          <t>Indraprastha Gas (IGL)</t>
        </is>
      </c>
      <c r="F1812" t="inlineStr">
        <is>
          <t>New Lead</t>
        </is>
      </c>
      <c r="H1812" t="inlineStr">
        <is>
          <t>View Tender</t>
        </is>
      </c>
      <c r="K1812" t="inlineStr">
        <is>
          <t>Not found</t>
        </is>
      </c>
      <c r="L1812" t="inlineStr">
        <is>
          <t>Unknown</t>
        </is>
      </c>
      <c r="T1812" t="inlineStr">
        <is>
          <t>https://tenders.iglonline.net/tenderDetail/71/Active Tenders And Corrigendum-Addendum</t>
        </is>
      </c>
      <c r="U1812" t="inlineStr">
        <is>
          <t>No</t>
        </is>
      </c>
      <c r="V1812" t="inlineStr">
        <is>
          <t>Bot tarafindan tespit edildi (2026-07-01)</t>
        </is>
      </c>
    </row>
    <row r="1813">
      <c r="A1813" t="inlineStr">
        <is>
          <t>T-1617</t>
        </is>
      </c>
      <c r="B1813" t="inlineStr">
        <is>
          <t>Indraprastha Gas (IGL)</t>
        </is>
      </c>
      <c r="C1813" t="inlineStr">
        <is>
          <t>Indraprastha Gas (IGL)</t>
        </is>
      </c>
      <c r="F1813" t="inlineStr">
        <is>
          <t>New Lead</t>
        </is>
      </c>
      <c r="H1813" t="inlineStr">
        <is>
          <t>CORRIGENDUM_1_CM17244_-M1.pdf</t>
        </is>
      </c>
      <c r="K1813" t="inlineStr">
        <is>
          <t>Not found</t>
        </is>
      </c>
      <c r="L1813" t="inlineStr">
        <is>
          <t>Unknown</t>
        </is>
      </c>
      <c r="T1813" t="inlineStr">
        <is>
          <t>https://tenders.iglonline.net/uploads/tender/CORRIGENDUM_1_CM17244_-M1.pdf</t>
        </is>
      </c>
      <c r="U1813" t="inlineStr">
        <is>
          <t>No</t>
        </is>
      </c>
      <c r="V1813" t="inlineStr">
        <is>
          <t>Bot tarafindan tespit edildi (2026-07-01)</t>
        </is>
      </c>
    </row>
    <row r="1814">
      <c r="A1814" t="inlineStr">
        <is>
          <t>T-1618</t>
        </is>
      </c>
      <c r="B1814" t="inlineStr">
        <is>
          <t>Indraprastha Gas (IGL)</t>
        </is>
      </c>
      <c r="C1814" t="inlineStr">
        <is>
          <t>Indraprastha Gas (IGL)</t>
        </is>
      </c>
      <c r="F1814" t="inlineStr">
        <is>
          <t>New Lead</t>
        </is>
      </c>
      <c r="H1814" t="inlineStr">
        <is>
          <t>View Tender</t>
        </is>
      </c>
      <c r="K1814" t="inlineStr">
        <is>
          <t>Not found</t>
        </is>
      </c>
      <c r="L1814" t="inlineStr">
        <is>
          <t>Unknown</t>
        </is>
      </c>
      <c r="T1814" t="inlineStr">
        <is>
          <t>https://tenders.iglonline.net/tenderDetail/69/Active Tenders And Corrigendum-Addendum</t>
        </is>
      </c>
      <c r="U1814" t="inlineStr">
        <is>
          <t>No</t>
        </is>
      </c>
      <c r="V1814" t="inlineStr">
        <is>
          <t>Bot tarafindan tespit edildi (2026-07-01)</t>
        </is>
      </c>
    </row>
    <row r="1815">
      <c r="A1815" t="inlineStr">
        <is>
          <t>T-1619</t>
        </is>
      </c>
      <c r="B1815" t="inlineStr">
        <is>
          <t>Indraprastha Gas (IGL)</t>
        </is>
      </c>
      <c r="C1815" t="inlineStr">
        <is>
          <t>Indraprastha Gas (IGL)</t>
        </is>
      </c>
      <c r="F1815" t="inlineStr">
        <is>
          <t>New Lead</t>
        </is>
      </c>
      <c r="H1815" t="inlineStr">
        <is>
          <t>CP17227_dated_02_11_2022_TID_30965_Corrigendum_1_CP17227.pdf</t>
        </is>
      </c>
      <c r="K1815" t="inlineStr">
        <is>
          <t>Not found</t>
        </is>
      </c>
      <c r="L1815" t="inlineStr">
        <is>
          <t>Unknown</t>
        </is>
      </c>
      <c r="T1815" t="inlineStr">
        <is>
          <t>https://tenders.iglonline.net/uploads/tender/CP17227_dated_02_11_2022_TID_30965_Corrigendum_1_CP17227.pdf</t>
        </is>
      </c>
      <c r="U1815" t="inlineStr">
        <is>
          <t>No</t>
        </is>
      </c>
      <c r="V1815" t="inlineStr">
        <is>
          <t>Bot tarafindan tespit edildi (2026-07-01)</t>
        </is>
      </c>
    </row>
    <row r="1816">
      <c r="A1816" t="inlineStr">
        <is>
          <t>T-1620</t>
        </is>
      </c>
      <c r="B1816" t="inlineStr">
        <is>
          <t>Indraprastha Gas (IGL)</t>
        </is>
      </c>
      <c r="C1816" t="inlineStr">
        <is>
          <t>Indraprastha Gas (IGL)</t>
        </is>
      </c>
      <c r="F1816" t="inlineStr">
        <is>
          <t>New Lead</t>
        </is>
      </c>
      <c r="H1816" t="inlineStr">
        <is>
          <t>Code of Conduct</t>
        </is>
      </c>
      <c r="K1816" t="inlineStr">
        <is>
          <t>Not found</t>
        </is>
      </c>
      <c r="L1816" t="inlineStr">
        <is>
          <t>Unknown</t>
        </is>
      </c>
      <c r="T1816" t="inlineStr">
        <is>
          <t>https://www.iglonline.net/uploads/files/Code_of_Conduct.pdf</t>
        </is>
      </c>
      <c r="U1816" t="inlineStr">
        <is>
          <t>No</t>
        </is>
      </c>
      <c r="V1816" t="inlineStr">
        <is>
          <t>Bot tarafindan tespit edildi (2026-07-01)</t>
        </is>
      </c>
    </row>
    <row r="1817">
      <c r="A1817" t="inlineStr">
        <is>
          <t>T-1621</t>
        </is>
      </c>
      <c r="B1817" t="inlineStr">
        <is>
          <t>Indraprastha Gas (IGL)</t>
        </is>
      </c>
      <c r="C1817" t="inlineStr">
        <is>
          <t>Indraprastha Gas (IGL)</t>
        </is>
      </c>
      <c r="D1817" t="inlineStr">
        <is>
          <t>Fees/Commission</t>
        </is>
      </c>
      <c r="F1817" t="inlineStr">
        <is>
          <t>Awarded</t>
        </is>
      </c>
      <c r="G1817" t="inlineStr">
        <is>
          <t>RMS</t>
        </is>
      </c>
      <c r="H1817" t="inlineStr">
        <is>
          <t>Independent Directors</t>
        </is>
      </c>
      <c r="K1817" t="inlineStr">
        <is>
          <t>Not found</t>
        </is>
      </c>
      <c r="L1817" t="inlineStr">
        <is>
          <t>Unknown</t>
        </is>
      </c>
      <c r="T1817" t="inlineStr">
        <is>
          <t>https://www.iglonline.net//uploads/files/Terms_and_Conditions_of_Appointment_of_Independent_Directors.pdf</t>
        </is>
      </c>
      <c r="U1817" t="inlineStr">
        <is>
          <t>No</t>
        </is>
      </c>
      <c r="V1817" t="inlineStr">
        <is>
          <t>Bot tarafindan tespit edildi (2026-07-01) | Bot enrich; date=2026-07-01; type=pdf; score=300; pdf_conf=Low</t>
        </is>
      </c>
    </row>
    <row r="1818">
      <c r="A1818" t="inlineStr">
        <is>
          <t>T-1622</t>
        </is>
      </c>
      <c r="B1818" t="inlineStr">
        <is>
          <t>Indraprastha Gas (IGL)</t>
        </is>
      </c>
      <c r="C1818" t="inlineStr">
        <is>
          <t>Indraprastha Gas (IGL)</t>
        </is>
      </c>
      <c r="F1818" t="inlineStr">
        <is>
          <t>New Lead</t>
        </is>
      </c>
      <c r="H1818" t="inlineStr">
        <is>
          <t>Committees of Board</t>
        </is>
      </c>
      <c r="K1818" t="inlineStr">
        <is>
          <t>Not found</t>
        </is>
      </c>
      <c r="L1818" t="inlineStr">
        <is>
          <t>Unknown</t>
        </is>
      </c>
      <c r="T1818" t="inlineStr">
        <is>
          <t>https://www.iglonline.net//uploads/files/Committees_of_Board_(1).pdf</t>
        </is>
      </c>
      <c r="U1818" t="inlineStr">
        <is>
          <t>No</t>
        </is>
      </c>
      <c r="V1818" t="inlineStr">
        <is>
          <t>Bot tarafindan tespit edildi (2026-07-01)</t>
        </is>
      </c>
    </row>
    <row r="1819">
      <c r="A1819" t="inlineStr">
        <is>
          <t>T-1623</t>
        </is>
      </c>
      <c r="B1819" t="inlineStr">
        <is>
          <t>Indraprastha Gas (IGL)</t>
        </is>
      </c>
      <c r="C1819" t="inlineStr">
        <is>
          <t>Indraprastha Gas (IGL)</t>
        </is>
      </c>
      <c r="F1819" t="inlineStr">
        <is>
          <t>New Lead</t>
        </is>
      </c>
      <c r="H1819" t="inlineStr">
        <is>
          <t>Payable Service &amp; Charges</t>
        </is>
      </c>
      <c r="K1819" t="inlineStr">
        <is>
          <t>Not found</t>
        </is>
      </c>
      <c r="L1819" t="inlineStr">
        <is>
          <t>Unknown</t>
        </is>
      </c>
      <c r="T1819" t="inlineStr">
        <is>
          <t>https://www.iglonline.net//uploads/files/IGL_-_TARIFF_CARD_EXCEL_REVISED_20_08_2023_F_-_Copy_(1).xlsx</t>
        </is>
      </c>
      <c r="U1819" t="inlineStr">
        <is>
          <t>No</t>
        </is>
      </c>
      <c r="V1819" t="inlineStr">
        <is>
          <t>Bot tarafindan tespit edildi (2026-07-01)</t>
        </is>
      </c>
    </row>
    <row r="1820">
      <c r="A1820" t="inlineStr">
        <is>
          <t>T-1624</t>
        </is>
      </c>
      <c r="B1820" t="inlineStr">
        <is>
          <t>Indraprastha Gas (IGL)</t>
        </is>
      </c>
      <c r="C1820" t="inlineStr">
        <is>
          <t>Indraprastha Gas (IGL)</t>
        </is>
      </c>
      <c r="F1820" t="inlineStr">
        <is>
          <t>New Lead</t>
        </is>
      </c>
      <c r="H1820" t="inlineStr">
        <is>
          <t>Precurement Plan</t>
        </is>
      </c>
      <c r="K1820" t="inlineStr">
        <is>
          <t>Not found</t>
        </is>
      </c>
      <c r="L1820" t="inlineStr">
        <is>
          <t>Unknown</t>
        </is>
      </c>
      <c r="T1820" t="inlineStr">
        <is>
          <t>https://www.iglonline.net/uploads/files/Proc_Plan_5Y.PDF</t>
        </is>
      </c>
      <c r="U1820" t="inlineStr">
        <is>
          <t>No</t>
        </is>
      </c>
      <c r="V1820" t="inlineStr">
        <is>
          <t>Bot tarafindan tespit edildi (2026-07-01)</t>
        </is>
      </c>
    </row>
    <row r="1821">
      <c r="A1821" t="inlineStr">
        <is>
          <t>T-1625</t>
        </is>
      </c>
      <c r="B1821" t="inlineStr">
        <is>
          <t>Indraprastha Gas (IGL)</t>
        </is>
      </c>
      <c r="C1821" t="inlineStr">
        <is>
          <t>Indraprastha Gas (IGL)</t>
        </is>
      </c>
      <c r="F1821" t="inlineStr">
        <is>
          <t>New Lead</t>
        </is>
      </c>
      <c r="H1821" t="inlineStr">
        <is>
          <t>EMERGENCY CONTACTS</t>
        </is>
      </c>
      <c r="K1821" t="inlineStr">
        <is>
          <t>Not found</t>
        </is>
      </c>
      <c r="L1821" t="inlineStr">
        <is>
          <t>Unknown</t>
        </is>
      </c>
      <c r="T1821" t="inlineStr">
        <is>
          <t>https://www.iglonline.net/uploads/files/PNG_CR_Contact_list_NWCS_NCRE_GA_Required_on_27_04_26.xlsx</t>
        </is>
      </c>
      <c r="U1821" t="inlineStr">
        <is>
          <t>No</t>
        </is>
      </c>
      <c r="V1821" t="inlineStr">
        <is>
          <t>Bot tarafindan tespit edildi (2026-07-01)</t>
        </is>
      </c>
    </row>
    <row r="1822">
      <c r="A1822" t="inlineStr">
        <is>
          <t>T-1626</t>
        </is>
      </c>
      <c r="B1822" t="inlineStr">
        <is>
          <t>Indraprastha Gas (IGL)</t>
        </is>
      </c>
      <c r="C1822" t="inlineStr">
        <is>
          <t>Indraprastha Gas (IGL)</t>
        </is>
      </c>
      <c r="F1822" t="inlineStr">
        <is>
          <t>New Lead</t>
        </is>
      </c>
      <c r="G1822" t="inlineStr">
        <is>
          <t>RMS</t>
        </is>
      </c>
      <c r="H1822" t="inlineStr">
        <is>
          <t>Terms &amp; Conditions</t>
        </is>
      </c>
      <c r="K1822" t="inlineStr">
        <is>
          <t>Not found</t>
        </is>
      </c>
      <c r="L1822" t="inlineStr">
        <is>
          <t>Unknown</t>
        </is>
      </c>
      <c r="T1822" t="inlineStr">
        <is>
          <t>https://www.iglonline.net/terms--amp--conditions</t>
        </is>
      </c>
      <c r="U1822" t="inlineStr">
        <is>
          <t>No</t>
        </is>
      </c>
      <c r="V1822" t="inlineStr">
        <is>
          <t>Bot tarafindan tespit edildi (2026-07-01)</t>
        </is>
      </c>
    </row>
    <row r="1823">
      <c r="A1823" t="inlineStr">
        <is>
          <t>T-1627</t>
        </is>
      </c>
      <c r="B1823" t="inlineStr">
        <is>
          <t>Gujarat Gas (GGL)</t>
        </is>
      </c>
      <c r="C1823" t="inlineStr">
        <is>
          <t>Gujarat Gas (GGL)</t>
        </is>
      </c>
      <c r="F1823" t="inlineStr">
        <is>
          <t>New Lead</t>
        </is>
      </c>
      <c r="H1823" t="inlineStr">
        <is>
          <t>Downloads</t>
        </is>
      </c>
      <c r="K1823" t="inlineStr">
        <is>
          <t>Not found</t>
        </is>
      </c>
      <c r="L1823" t="inlineStr">
        <is>
          <t>Unknown</t>
        </is>
      </c>
      <c r="T1823" t="inlineStr">
        <is>
          <t>https://www.gujaratgas.com/resources/downloads/</t>
        </is>
      </c>
      <c r="U1823" t="inlineStr">
        <is>
          <t>No</t>
        </is>
      </c>
      <c r="V1823" t="inlineStr">
        <is>
          <t>Bot tarafindan tespit edildi (2026-07-01)</t>
        </is>
      </c>
    </row>
    <row r="1824">
      <c r="A1824" t="inlineStr">
        <is>
          <t>T-1628</t>
        </is>
      </c>
      <c r="B1824" t="inlineStr">
        <is>
          <t>Gujarat Gas (GGL)</t>
        </is>
      </c>
      <c r="C1824" t="inlineStr">
        <is>
          <t>Gujarat Gas (GGL)</t>
        </is>
      </c>
      <c r="D1824" t="inlineStr">
        <is>
          <t>Policy</t>
        </is>
      </c>
      <c r="F1824" t="inlineStr">
        <is>
          <t>New Lead</t>
        </is>
      </c>
      <c r="G1824" t="inlineStr">
        <is>
          <t>RMS</t>
        </is>
      </c>
      <c r="H1824" t="inlineStr">
        <is>
          <t>Vendors</t>
        </is>
      </c>
      <c r="K1824" t="inlineStr">
        <is>
          <t>Not found</t>
        </is>
      </c>
      <c r="L1824" t="inlineStr">
        <is>
          <t>Unknown</t>
        </is>
      </c>
      <c r="T1824" t="inlineStr">
        <is>
          <t>https://www.gujaratgas.com/tenders/</t>
        </is>
      </c>
      <c r="U1824" t="inlineStr">
        <is>
          <t>No</t>
        </is>
      </c>
      <c r="V1824" t="inlineStr">
        <is>
          <t>Bot tarafindan tespit edildi (2026-07-01) | Bot enrich; date=2026-07-01; type=html; score=180; Bot clean extraction (2026-07-01); meta:score=100;priority=High;source_type=html_table;closing_date=;equipment=Regulating / metering station;quality_status=market_target;market_relevance=High;document_type=tender;unit_price_inr=;amount_label=;matched_terms=Regulating / metering station;reject_reasons=;scope=market_intelligence_only;excluded_scope=no_bid_or_offer_submission_automation</t>
        </is>
      </c>
    </row>
    <row r="1825">
      <c r="A1825" t="inlineStr">
        <is>
          <t>T-1629</t>
        </is>
      </c>
      <c r="B1825" t="inlineStr">
        <is>
          <t>Gujarat Gas (GGL)</t>
        </is>
      </c>
      <c r="C1825" t="inlineStr">
        <is>
          <t>Gujarat Gas (GGL)</t>
        </is>
      </c>
      <c r="F1825" t="inlineStr">
        <is>
          <t>New Lead</t>
        </is>
      </c>
      <c r="H1825" t="inlineStr">
        <is>
          <t>Current Tenders</t>
        </is>
      </c>
      <c r="K1825" t="inlineStr">
        <is>
          <t>Not found</t>
        </is>
      </c>
      <c r="L1825" t="inlineStr">
        <is>
          <t>Unknown</t>
        </is>
      </c>
      <c r="T1825" t="inlineStr">
        <is>
          <t>https://www.gujaratgas.com/ggl-current-tender/</t>
        </is>
      </c>
      <c r="U1825" t="inlineStr">
        <is>
          <t>No</t>
        </is>
      </c>
      <c r="V1825" t="inlineStr">
        <is>
          <t>Bot tarafindan tespit edildi (2026-07-01)</t>
        </is>
      </c>
    </row>
    <row r="1826">
      <c r="A1826" t="inlineStr">
        <is>
          <t>T-1630</t>
        </is>
      </c>
      <c r="B1826" t="inlineStr">
        <is>
          <t>Gujarat Gas (GGL)</t>
        </is>
      </c>
      <c r="C1826" t="inlineStr">
        <is>
          <t>Gujarat Gas (GGL)</t>
        </is>
      </c>
      <c r="F1826" t="inlineStr">
        <is>
          <t>New Lead</t>
        </is>
      </c>
      <c r="H1826" t="inlineStr">
        <is>
          <t>Expression of Interest (EOI)</t>
        </is>
      </c>
      <c r="K1826" t="inlineStr">
        <is>
          <t>Not found</t>
        </is>
      </c>
      <c r="L1826" t="inlineStr">
        <is>
          <t>Unknown</t>
        </is>
      </c>
      <c r="T1826" t="inlineStr">
        <is>
          <t>https://www.gujaratgas.com/EOI/</t>
        </is>
      </c>
      <c r="U1826" t="inlineStr">
        <is>
          <t>No</t>
        </is>
      </c>
      <c r="V1826" t="inlineStr">
        <is>
          <t>Bot tarafindan tespit edildi (2026-07-01)</t>
        </is>
      </c>
    </row>
    <row r="1827">
      <c r="A1827" t="inlineStr">
        <is>
          <t>T-1631</t>
        </is>
      </c>
      <c r="B1827" t="inlineStr">
        <is>
          <t>Gujarat Gas (GGL)</t>
        </is>
      </c>
      <c r="C1827" t="inlineStr">
        <is>
          <t>Gujarat Gas (GGL)</t>
        </is>
      </c>
      <c r="D1827" t="inlineStr">
        <is>
          <t>Tender Forms</t>
        </is>
      </c>
      <c r="F1827" t="inlineStr">
        <is>
          <t>New Lead</t>
        </is>
      </c>
      <c r="G1827" t="inlineStr">
        <is>
          <t>RMS</t>
        </is>
      </c>
      <c r="H1827" t="inlineStr">
        <is>
          <t>Tender FormsNew</t>
        </is>
      </c>
      <c r="K1827" t="inlineStr">
        <is>
          <t>Not found</t>
        </is>
      </c>
      <c r="L1827" t="inlineStr">
        <is>
          <t>Unknown</t>
        </is>
      </c>
      <c r="T1827" t="inlineStr">
        <is>
          <t>https://www.gujaratgas.com/ggl-tender-forms/</t>
        </is>
      </c>
      <c r="U1827" t="inlineStr">
        <is>
          <t>No</t>
        </is>
      </c>
      <c r="V1827" t="inlineStr">
        <is>
          <t>Bot tarafindan tespit edildi (2026-07-01) | Bot enrich; date=2026-07-01; type=html; score=180; Bot tespit/zenginlestirme (2026-07-01); meta:score=60;priority=Medium;source_type=html_link;closing_date=;equipment=Regulating station;reasons=equipment:Regulating station,station/skid keyword; Bot clean extraction (2026-07-01); meta:score=90;priority=High;source_type=html_link;closing_date=;equipment=Regulating / metering station;quality_status=market_target;market_relevance=High;document_type=unknown;unit_price_inr=;amount_label=;matched_terms=Regulating / metering station;reject_reasons=;scope=market_intelligence_only;excluded_scope=no_bid_or_offer_submission_automation</t>
        </is>
      </c>
    </row>
    <row r="1828">
      <c r="A1828" t="inlineStr">
        <is>
          <t>T-1632</t>
        </is>
      </c>
      <c r="B1828" t="inlineStr">
        <is>
          <t>Gujarat Gas (GGL)</t>
        </is>
      </c>
      <c r="C1828" t="inlineStr">
        <is>
          <t>Gujarat Gas (GGL)</t>
        </is>
      </c>
      <c r="D1828" t="inlineStr">
        <is>
          <t>com/pdf/terms-and-condition.pdf</t>
        </is>
      </c>
      <c r="F1828" t="inlineStr">
        <is>
          <t>New Lead</t>
        </is>
      </c>
      <c r="G1828" t="inlineStr">
        <is>
          <t>RMS</t>
        </is>
      </c>
      <c r="H1828" t="inlineStr">
        <is>
          <t>Terms and Conditions</t>
        </is>
      </c>
      <c r="K1828" t="inlineStr">
        <is>
          <t>Not found</t>
        </is>
      </c>
      <c r="L1828" t="inlineStr">
        <is>
          <t>Unknown</t>
        </is>
      </c>
      <c r="T1828" t="inlineStr">
        <is>
          <t>https://www.gujaratgas.com/pdf/terms-and-condition.pdf</t>
        </is>
      </c>
      <c r="U1828" t="inlineStr">
        <is>
          <t>No</t>
        </is>
      </c>
      <c r="V1828" t="inlineStr">
        <is>
          <t>Bot tarafindan tespit edildi (2026-07-01) | Bot enrich; date=2026-07-01; type=pdf; score=185</t>
        </is>
      </c>
    </row>
    <row r="1829">
      <c r="A1829" t="inlineStr">
        <is>
          <t>T-1633</t>
        </is>
      </c>
      <c r="B1829" t="inlineStr">
        <is>
          <t>Adani Total Gas (ATGL)</t>
        </is>
      </c>
      <c r="C1829" t="inlineStr">
        <is>
          <t>Adani Total Gas (ATGL)</t>
        </is>
      </c>
      <c r="F1829" t="inlineStr">
        <is>
          <t>New Lead</t>
        </is>
      </c>
      <c r="H1829" t="inlineStr">
        <is>
          <t>CNG EOI Form</t>
        </is>
      </c>
      <c r="K1829" t="inlineStr">
        <is>
          <t>Not found</t>
        </is>
      </c>
      <c r="L1829" t="inlineStr">
        <is>
          <t>Unknown</t>
        </is>
      </c>
      <c r="T1829" t="inlineStr">
        <is>
          <t>https://www.adanigas.com/en/cng/cng-dodo-form</t>
        </is>
      </c>
      <c r="U1829" t="inlineStr">
        <is>
          <t>No</t>
        </is>
      </c>
      <c r="V1829" t="inlineStr">
        <is>
          <t>Bot tarafindan tespit edildi (2026-07-01)</t>
        </is>
      </c>
    </row>
    <row r="1830">
      <c r="A1830" t="inlineStr">
        <is>
          <t>T-1634</t>
        </is>
      </c>
      <c r="B1830" t="inlineStr">
        <is>
          <t>Adani Total Gas (ATGL)</t>
        </is>
      </c>
      <c r="C1830" t="inlineStr">
        <is>
          <t>Adani Total Gas (ATGL)</t>
        </is>
      </c>
      <c r="F1830" t="inlineStr">
        <is>
          <t>New Lead</t>
        </is>
      </c>
      <c r="H1830" t="inlineStr">
        <is>
          <t>Download App</t>
        </is>
      </c>
      <c r="K1830" t="inlineStr">
        <is>
          <t>Not found</t>
        </is>
      </c>
      <c r="L1830" t="inlineStr">
        <is>
          <t>Unknown</t>
        </is>
      </c>
      <c r="T1830" t="inlineStr">
        <is>
          <t>https://play.google.com/store/apps/details?id=com.adani.myagl&amp;hl=en&amp;gl=US</t>
        </is>
      </c>
      <c r="U1830" t="inlineStr">
        <is>
          <t>No</t>
        </is>
      </c>
      <c r="V1830" t="inlineStr">
        <is>
          <t>Bot tarafindan tespit edildi (2026-07-01)</t>
        </is>
      </c>
    </row>
    <row r="1831">
      <c r="A1831" t="inlineStr">
        <is>
          <t>T-1635</t>
        </is>
      </c>
      <c r="B1831" t="inlineStr">
        <is>
          <t>Adani Total Gas (ATGL)</t>
        </is>
      </c>
      <c r="C1831" t="inlineStr">
        <is>
          <t>Adani Total Gas (ATGL)</t>
        </is>
      </c>
      <c r="F1831" t="inlineStr">
        <is>
          <t>New Lead</t>
        </is>
      </c>
      <c r="H1831" t="inlineStr">
        <is>
          <t>Downloads</t>
        </is>
      </c>
      <c r="K1831" t="inlineStr">
        <is>
          <t>Not found</t>
        </is>
      </c>
      <c r="L1831" t="inlineStr">
        <is>
          <t>Unknown</t>
        </is>
      </c>
      <c r="T1831" t="inlineStr">
        <is>
          <t>https://www.adanigas.com/en/png-residential/downloads</t>
        </is>
      </c>
      <c r="U1831" t="inlineStr">
        <is>
          <t>No</t>
        </is>
      </c>
      <c r="V1831" t="inlineStr">
        <is>
          <t>Bot tarafindan tespit edildi (2026-07-01)</t>
        </is>
      </c>
    </row>
    <row r="1832">
      <c r="A1832" t="inlineStr">
        <is>
          <t>T-1636</t>
        </is>
      </c>
      <c r="B1832" t="inlineStr">
        <is>
          <t>Adani Total Gas (ATGL)</t>
        </is>
      </c>
      <c r="C1832" t="inlineStr">
        <is>
          <t>Adani Total Gas (ATGL)</t>
        </is>
      </c>
      <c r="F1832" t="inlineStr">
        <is>
          <t>New Lead</t>
        </is>
      </c>
      <c r="H1832" t="inlineStr">
        <is>
          <t>Downloads</t>
        </is>
      </c>
      <c r="K1832" t="inlineStr">
        <is>
          <t>Not found</t>
        </is>
      </c>
      <c r="L1832" t="inlineStr">
        <is>
          <t>Unknown</t>
        </is>
      </c>
      <c r="T1832" t="inlineStr">
        <is>
          <t>https://www.adanigas.com/en/png-commercial/downloads</t>
        </is>
      </c>
      <c r="U1832" t="inlineStr">
        <is>
          <t>No</t>
        </is>
      </c>
      <c r="V1832" t="inlineStr">
        <is>
          <t>Bot tarafindan tespit edildi (2026-07-01)</t>
        </is>
      </c>
    </row>
    <row r="1833">
      <c r="A1833" t="inlineStr">
        <is>
          <t>T-1637</t>
        </is>
      </c>
      <c r="B1833" t="inlineStr">
        <is>
          <t>Adani Total Gas (ATGL)</t>
        </is>
      </c>
      <c r="C1833" t="inlineStr">
        <is>
          <t>Adani Total Gas (ATGL)</t>
        </is>
      </c>
      <c r="F1833" t="inlineStr">
        <is>
          <t>New Lead</t>
        </is>
      </c>
      <c r="H1833" t="inlineStr">
        <is>
          <t>Downloads</t>
        </is>
      </c>
      <c r="K1833" t="inlineStr">
        <is>
          <t>Not found</t>
        </is>
      </c>
      <c r="L1833" t="inlineStr">
        <is>
          <t>Unknown</t>
        </is>
      </c>
      <c r="T1833" t="inlineStr">
        <is>
          <t>https://www.adanigas.com/en/png-industrial/downloads</t>
        </is>
      </c>
      <c r="U1833" t="inlineStr">
        <is>
          <t>No</t>
        </is>
      </c>
      <c r="V1833" t="inlineStr">
        <is>
          <t>Bot tarafindan tespit edildi (2026-07-01)</t>
        </is>
      </c>
    </row>
    <row r="1834">
      <c r="A1834" t="inlineStr">
        <is>
          <t>T-1638</t>
        </is>
      </c>
      <c r="B1834" t="inlineStr">
        <is>
          <t>Adani Total Gas (ATGL)</t>
        </is>
      </c>
      <c r="C1834" t="inlineStr">
        <is>
          <t>Adani Total Gas (ATGL)</t>
        </is>
      </c>
      <c r="F1834" t="inlineStr">
        <is>
          <t>New Lead</t>
        </is>
      </c>
      <c r="H1834" t="inlineStr">
        <is>
          <t>Downloads</t>
        </is>
      </c>
      <c r="K1834" t="inlineStr">
        <is>
          <t>Not found</t>
        </is>
      </c>
      <c r="L1834" t="inlineStr">
        <is>
          <t>Unknown</t>
        </is>
      </c>
      <c r="T1834" t="inlineStr">
        <is>
          <t>https://www.adanigas.com/en/cng/downloads</t>
        </is>
      </c>
      <c r="U1834" t="inlineStr">
        <is>
          <t>No</t>
        </is>
      </c>
      <c r="V1834" t="inlineStr">
        <is>
          <t>Bot tarafindan tespit edildi (2026-07-01)</t>
        </is>
      </c>
    </row>
    <row r="1835">
      <c r="A1835" t="inlineStr">
        <is>
          <t>T-1639</t>
        </is>
      </c>
      <c r="B1835" t="inlineStr">
        <is>
          <t>Adani Total Gas (ATGL)</t>
        </is>
      </c>
      <c r="C1835" t="inlineStr">
        <is>
          <t>Adani Total Gas (ATGL)</t>
        </is>
      </c>
      <c r="F1835" t="inlineStr">
        <is>
          <t>New Lead</t>
        </is>
      </c>
      <c r="H1835" t="inlineStr">
        <is>
          <t>View</t>
        </is>
      </c>
      <c r="K1835" t="inlineStr">
        <is>
          <t>Not found</t>
        </is>
      </c>
      <c r="L1835" t="inlineStr">
        <is>
          <t>Unknown</t>
        </is>
      </c>
      <c r="T1835" t="inlineStr">
        <is>
          <t>https://www.adanigas.com/-/media/Project/AdaniGas/Commercials/Bhilwara-Steel-Laying-Tender.zip</t>
        </is>
      </c>
      <c r="U1835" t="inlineStr">
        <is>
          <t>No</t>
        </is>
      </c>
      <c r="V1835" t="inlineStr">
        <is>
          <t>Bot tarafindan tespit edildi (2026-07-01)</t>
        </is>
      </c>
    </row>
    <row r="1836">
      <c r="A1836" t="inlineStr">
        <is>
          <t>T-1640</t>
        </is>
      </c>
      <c r="B1836" t="inlineStr">
        <is>
          <t>Adani Total Gas (ATGL)</t>
        </is>
      </c>
      <c r="C1836" t="inlineStr">
        <is>
          <t>Adani Total Gas (ATGL)</t>
        </is>
      </c>
      <c r="D1836" t="inlineStr">
        <is>
          <t>media/Project/AdaniGas/Commercials/EOI-for-site-works-for-EV-Charging-Station.pdf</t>
        </is>
      </c>
      <c r="F1836" t="inlineStr">
        <is>
          <t>New Lead</t>
        </is>
      </c>
      <c r="G1836" t="inlineStr">
        <is>
          <t>Unclassified</t>
        </is>
      </c>
      <c r="H1836" t="inlineStr">
        <is>
          <t>View</t>
        </is>
      </c>
      <c r="K1836" t="inlineStr">
        <is>
          <t>Not found</t>
        </is>
      </c>
      <c r="L1836" t="inlineStr">
        <is>
          <t>Unknown</t>
        </is>
      </c>
      <c r="T1836" t="inlineStr">
        <is>
          <t>https://www.adanigas.com/-/media/Project/AdaniGas/Commercials/EOI-for-site-works-for-EV-Charging-Station.pdf?q=1</t>
        </is>
      </c>
      <c r="U1836" t="inlineStr">
        <is>
          <t>No</t>
        </is>
      </c>
      <c r="V1836" t="inlineStr">
        <is>
          <t>Bot tarafindan tespit edildi (2026-07-01) | Bot enrich; date=2026-07-01; type=pdf; score=105; Bot tespit/zenginlestirme (2026-07-01); meta:score=35;priority=Low;source_type=html_table;closing_date=;equipment=Unclassified;reasons=document source,tender reference signal</t>
        </is>
      </c>
    </row>
    <row r="1837">
      <c r="A1837" t="inlineStr">
        <is>
          <t>T-1641</t>
        </is>
      </c>
      <c r="B1837" t="inlineStr">
        <is>
          <t>Adani Total Gas (ATGL)</t>
        </is>
      </c>
      <c r="C1837" t="inlineStr">
        <is>
          <t>Adani Total Gas (ATGL)</t>
        </is>
      </c>
      <c r="D1837" t="inlineStr">
        <is>
          <t>media/Project/AdaniGas/Commercials/EOI-for-steel-pipeline-laying-at-Bhilwara.pdf</t>
        </is>
      </c>
      <c r="F1837" t="inlineStr">
        <is>
          <t>New Lead</t>
        </is>
      </c>
      <c r="G1837" t="inlineStr">
        <is>
          <t>Unclassified</t>
        </is>
      </c>
      <c r="H1837" t="inlineStr">
        <is>
          <t>View</t>
        </is>
      </c>
      <c r="K1837" t="inlineStr">
        <is>
          <t>Not found</t>
        </is>
      </c>
      <c r="L1837" t="inlineStr">
        <is>
          <t>Unknown</t>
        </is>
      </c>
      <c r="T1837" t="inlineStr">
        <is>
          <t>https://www.adanigas.com/-/media/Project/AdaniGas/Commercials/EOI-for-steel-pipeline-laying-at-Bhilwara.pdf?q=1</t>
        </is>
      </c>
      <c r="U1837" t="inlineStr">
        <is>
          <t>No</t>
        </is>
      </c>
      <c r="V1837" t="inlineStr">
        <is>
          <t>Bot tarafindan tespit edildi (2026-07-01) | Bot enrich; date=2026-07-01; type=pdf; score=105; Bot tespit/zenginlestirme (2026-07-01); meta:score=35;priority=Low;source_type=html_table;closing_date=;equipment=Unclassified;reasons=document source,tender reference signal</t>
        </is>
      </c>
    </row>
    <row r="1838">
      <c r="A1838" t="inlineStr">
        <is>
          <t>T-1642</t>
        </is>
      </c>
      <c r="B1838" t="inlineStr">
        <is>
          <t>Adani Total Gas (ATGL)</t>
        </is>
      </c>
      <c r="C1838" t="inlineStr">
        <is>
          <t>Adani Total Gas (ATGL)</t>
        </is>
      </c>
      <c r="D1838" t="inlineStr">
        <is>
          <t>media/Project/AdaniGas/Commercials/RFP-for-Napier-Grass.pdf</t>
        </is>
      </c>
      <c r="F1838" t="inlineStr">
        <is>
          <t>New Lead</t>
        </is>
      </c>
      <c r="G1838" t="inlineStr">
        <is>
          <t>Unclassified</t>
        </is>
      </c>
      <c r="H1838" t="inlineStr">
        <is>
          <t>View</t>
        </is>
      </c>
      <c r="K1838" t="inlineStr">
        <is>
          <t>Not found</t>
        </is>
      </c>
      <c r="L1838" t="inlineStr">
        <is>
          <t>Unknown</t>
        </is>
      </c>
      <c r="T1838" t="inlineStr">
        <is>
          <t>https://www.adanigas.com/-/media/Project/AdaniGas/Commercials/RFP-for-Napier-Grass.pdf?q=1</t>
        </is>
      </c>
      <c r="U1838" t="inlineStr">
        <is>
          <t>No</t>
        </is>
      </c>
      <c r="V1838" t="inlineStr">
        <is>
          <t>Bot tarafindan tespit edildi (2026-07-01) | Bot enrich; date=2026-07-01; type=pdf; score=105; Bot tespit/zenginlestirme (2026-07-01); meta:score=35;priority=Low;source_type=html_table;closing_date=;equipment=Unclassified;reasons=document source,tender reference signal</t>
        </is>
      </c>
    </row>
    <row r="1839">
      <c r="A1839" t="inlineStr">
        <is>
          <t>T-1643</t>
        </is>
      </c>
      <c r="B1839" t="inlineStr">
        <is>
          <t>Adani Total Gas (ATGL)</t>
        </is>
      </c>
      <c r="C1839" t="inlineStr">
        <is>
          <t>Adani Total Gas (ATGL)</t>
        </is>
      </c>
      <c r="D1839" t="inlineStr">
        <is>
          <t>media/Project/AdaniGas/Commercials/EOI-for-Canopy-and-Branding-work-at-EV-Charging-Stations.pdf</t>
        </is>
      </c>
      <c r="F1839" t="inlineStr">
        <is>
          <t>New Lead</t>
        </is>
      </c>
      <c r="G1839" t="inlineStr">
        <is>
          <t>Unclassified</t>
        </is>
      </c>
      <c r="H1839" t="inlineStr">
        <is>
          <t>View</t>
        </is>
      </c>
      <c r="K1839" t="inlineStr">
        <is>
          <t>Not found</t>
        </is>
      </c>
      <c r="L1839" t="inlineStr">
        <is>
          <t>Unknown</t>
        </is>
      </c>
      <c r="T1839" t="inlineStr">
        <is>
          <t>https://www.adanigas.com/-/media/Project/AdaniGas/Commercials/EOI-for-Canopy-and-Branding-work-at-EV-Charging-Stations.pdf?q=1</t>
        </is>
      </c>
      <c r="U1839" t="inlineStr">
        <is>
          <t>No</t>
        </is>
      </c>
      <c r="V1839" t="inlineStr">
        <is>
          <t>Bot tarafindan tespit edildi (2026-07-01) | Bot enrich; date=2026-07-01; type=pdf; score=105; Bot tespit/zenginlestirme (2026-07-01); meta:score=35;priority=Low;source_type=html_table;closing_date=;equipment=Unclassified;reasons=document source,tender reference signal</t>
        </is>
      </c>
    </row>
    <row r="1840">
      <c r="A1840" t="inlineStr">
        <is>
          <t>T-1644</t>
        </is>
      </c>
      <c r="B1840" t="inlineStr">
        <is>
          <t>Adani Total Gas (ATGL)</t>
        </is>
      </c>
      <c r="C1840" t="inlineStr">
        <is>
          <t>Adani Total Gas (ATGL)</t>
        </is>
      </c>
      <c r="D1840" t="inlineStr">
        <is>
          <t>media/Project/AdaniGas/Commercials/EOI-for-Consultancy-work-for-Power-Connection-at-EV-Charging-Stations.pdf</t>
        </is>
      </c>
      <c r="F1840" t="inlineStr">
        <is>
          <t>New Lead</t>
        </is>
      </c>
      <c r="G1840" t="inlineStr">
        <is>
          <t>Unclassified</t>
        </is>
      </c>
      <c r="H1840" t="inlineStr">
        <is>
          <t>View</t>
        </is>
      </c>
      <c r="K1840" t="inlineStr">
        <is>
          <t>Not found</t>
        </is>
      </c>
      <c r="L1840" t="inlineStr">
        <is>
          <t>Unknown</t>
        </is>
      </c>
      <c r="T1840" t="inlineStr">
        <is>
          <t>https://www.adanigas.com/-/media/Project/AdaniGas/Commercials/EOI-for-Consultancy-work-for-Power-Connection-at-EV-Charging-Stations.pdf?q=1</t>
        </is>
      </c>
      <c r="U1840" t="inlineStr">
        <is>
          <t>No</t>
        </is>
      </c>
      <c r="V1840" t="inlineStr">
        <is>
          <t>Bot tarafindan tespit edildi (2026-07-01) | Bot enrich; date=2026-07-01; type=pdf; score=105; Bot tespit/zenginlestirme (2026-07-01); meta:score=35;priority=Low;source_type=html_table;closing_date=;equipment=Unclassified;reasons=document source,tender reference signal</t>
        </is>
      </c>
    </row>
    <row r="1841">
      <c r="A1841" t="inlineStr">
        <is>
          <t>T-1645</t>
        </is>
      </c>
      <c r="B1841" t="inlineStr">
        <is>
          <t>Adani Total Gas (ATGL)</t>
        </is>
      </c>
      <c r="C1841" t="inlineStr">
        <is>
          <t>Adani Total Gas (ATGL)</t>
        </is>
      </c>
      <c r="D1841" t="inlineStr">
        <is>
          <t>media/Project/AdaniGas/Commercials/EOI-for-LT-Power-Connection-for-EV-Charging-Station.pdf</t>
        </is>
      </c>
      <c r="F1841" t="inlineStr">
        <is>
          <t>New Lead</t>
        </is>
      </c>
      <c r="G1841" t="inlineStr">
        <is>
          <t>Unclassified</t>
        </is>
      </c>
      <c r="H1841" t="inlineStr">
        <is>
          <t>View</t>
        </is>
      </c>
      <c r="K1841" t="inlineStr">
        <is>
          <t>Not found</t>
        </is>
      </c>
      <c r="L1841" t="inlineStr">
        <is>
          <t>Unknown</t>
        </is>
      </c>
      <c r="T1841" t="inlineStr">
        <is>
          <t>https://www.adanigas.com/-/media/Project/AdaniGas/Commercials/EOI-for-LT-Power-Connection-for-EV-Charging-Station.pdf?q=1</t>
        </is>
      </c>
      <c r="U1841" t="inlineStr">
        <is>
          <t>No</t>
        </is>
      </c>
      <c r="V1841" t="inlineStr">
        <is>
          <t>Bot tarafindan tespit edildi (2026-07-01) | Bot enrich; date=2026-07-01; type=pdf; score=105; Bot tespit/zenginlestirme (2026-07-01); meta:score=35;priority=Low;source_type=html_table;closing_date=;equipment=Unclassified;reasons=document source,tender reference signal</t>
        </is>
      </c>
    </row>
    <row r="1842">
      <c r="A1842" t="inlineStr">
        <is>
          <t>T-1646</t>
        </is>
      </c>
      <c r="B1842" t="inlineStr">
        <is>
          <t>Adani Total Gas (ATGL)</t>
        </is>
      </c>
      <c r="C1842" t="inlineStr">
        <is>
          <t>Adani Total Gas (ATGL)</t>
        </is>
      </c>
      <c r="D1842" t="inlineStr">
        <is>
          <t>media/Project/AdaniGas/Commercials/EOI-for-ATGL_NIT_Ahmedabad-MSW.pdf</t>
        </is>
      </c>
      <c r="F1842" t="inlineStr">
        <is>
          <t>New Lead</t>
        </is>
      </c>
      <c r="G1842" t="inlineStr">
        <is>
          <t>Unclassified</t>
        </is>
      </c>
      <c r="H1842" t="inlineStr">
        <is>
          <t>View</t>
        </is>
      </c>
      <c r="K1842" t="inlineStr">
        <is>
          <t>Not found</t>
        </is>
      </c>
      <c r="L1842" t="inlineStr">
        <is>
          <t>Unknown</t>
        </is>
      </c>
      <c r="T1842" t="inlineStr">
        <is>
          <t>https://www.adanigas.com/-/media/Project/AdaniGas/Commercials/EOI-for-ATGL_NIT_Ahmedabad-MSW.pdf?q=1</t>
        </is>
      </c>
      <c r="U1842" t="inlineStr">
        <is>
          <t>No</t>
        </is>
      </c>
      <c r="V1842" t="inlineStr">
        <is>
          <t>Bot tarafindan tespit edildi (2026-07-01) | Bot enrich; date=2026-07-01; type=pdf; score=105; Bot tespit/zenginlestirme (2026-07-01); meta:score=35;priority=Low;source_type=html_table;closing_date=;equipment=Unclassified;reasons=document source,tender reference signal</t>
        </is>
      </c>
    </row>
    <row r="1843">
      <c r="A1843" t="inlineStr">
        <is>
          <t>T-1647</t>
        </is>
      </c>
      <c r="B1843" t="inlineStr">
        <is>
          <t>Adani Total Gas (ATGL)</t>
        </is>
      </c>
      <c r="C1843" t="inlineStr">
        <is>
          <t>Adani Total Gas (ATGL)</t>
        </is>
      </c>
      <c r="D1843" t="inlineStr">
        <is>
          <t>media/Project/AdaniGas/Commercials/RFP-for-Gas-Meters.zip</t>
        </is>
      </c>
      <c r="F1843" t="inlineStr">
        <is>
          <t>New Lead</t>
        </is>
      </c>
      <c r="H1843" t="inlineStr">
        <is>
          <t>View</t>
        </is>
      </c>
      <c r="K1843" t="inlineStr">
        <is>
          <t>Not found</t>
        </is>
      </c>
      <c r="L1843" t="inlineStr">
        <is>
          <t>Unknown</t>
        </is>
      </c>
      <c r="T1843" t="inlineStr">
        <is>
          <t>https://www.adanigas.com/-/media/Project/AdaniGas/Commercials/RFP-for-Gas-Meters.zip?q=1</t>
        </is>
      </c>
      <c r="U1843" t="inlineStr">
        <is>
          <t>No</t>
        </is>
      </c>
      <c r="V1843" t="inlineStr">
        <is>
          <t>Bot tarafindan tespit edildi (2026-07-01) | Bot enrich; date=2026-07-01; type=zip; score=105</t>
        </is>
      </c>
    </row>
    <row r="1844">
      <c r="A1844" t="inlineStr">
        <is>
          <t>T-1648</t>
        </is>
      </c>
      <c r="B1844" t="inlineStr">
        <is>
          <t>Adani Total Gas (ATGL)</t>
        </is>
      </c>
      <c r="C1844" t="inlineStr">
        <is>
          <t>Adani Total Gas (ATGL)</t>
        </is>
      </c>
      <c r="D1844" t="inlineStr">
        <is>
          <t>media/Project/AdaniGas/Commercials/EOI-for-Digital-Platfrom-ATEL.pdf</t>
        </is>
      </c>
      <c r="F1844" t="inlineStr">
        <is>
          <t>New Lead</t>
        </is>
      </c>
      <c r="G1844" t="inlineStr">
        <is>
          <t>Unclassified</t>
        </is>
      </c>
      <c r="H1844" t="inlineStr">
        <is>
          <t>View</t>
        </is>
      </c>
      <c r="K1844" t="inlineStr">
        <is>
          <t>Not found</t>
        </is>
      </c>
      <c r="L1844" t="inlineStr">
        <is>
          <t>Unknown</t>
        </is>
      </c>
      <c r="T1844" t="inlineStr">
        <is>
          <t>https://www.adanigas.com/-/media/Project/AdaniGas/Commercials/EOI-for-Digital-Platfrom-ATEL.pdf?q=1</t>
        </is>
      </c>
      <c r="U1844" t="inlineStr">
        <is>
          <t>No</t>
        </is>
      </c>
      <c r="V1844" t="inlineStr">
        <is>
          <t>Bot tarafindan tespit edildi (2026-07-01) | Bot enrich; date=2026-07-01; type=pdf; score=105; Bot tespit/zenginlestirme (2026-07-01); meta:score=35;priority=Low;source_type=html_table;closing_date=;equipment=Unclassified;reasons=document source,tender reference signal</t>
        </is>
      </c>
    </row>
    <row r="1845">
      <c r="A1845" t="inlineStr">
        <is>
          <t>T-1649</t>
        </is>
      </c>
      <c r="B1845" t="inlineStr">
        <is>
          <t>Adani Total Gas (ATGL)</t>
        </is>
      </c>
      <c r="C1845" t="inlineStr">
        <is>
          <t>Adani Total Gas (ATGL)</t>
        </is>
      </c>
      <c r="F1845" t="inlineStr">
        <is>
          <t>New Lead</t>
        </is>
      </c>
      <c r="H1845" t="inlineStr">
        <is>
          <t>Downloads</t>
        </is>
      </c>
      <c r="K1845" t="inlineStr">
        <is>
          <t>Not found</t>
        </is>
      </c>
      <c r="L1845" t="inlineStr">
        <is>
          <t>Unknown</t>
        </is>
      </c>
      <c r="T1845" t="inlineStr">
        <is>
          <t>https://www.adanigas.com/en/downloads</t>
        </is>
      </c>
      <c r="U1845" t="inlineStr">
        <is>
          <t>No</t>
        </is>
      </c>
      <c r="V1845" t="inlineStr">
        <is>
          <t>Bot tarafindan tespit edildi (2026-07-01)</t>
        </is>
      </c>
    </row>
    <row r="1846">
      <c r="A1846" t="inlineStr">
        <is>
          <t>T-1650</t>
        </is>
      </c>
      <c r="B1846" t="inlineStr">
        <is>
          <t>Adani Total Gas (ATGL)</t>
        </is>
      </c>
      <c r="C1846" t="inlineStr">
        <is>
          <t>Adani Total Gas (ATGL)</t>
        </is>
      </c>
      <c r="F1846" t="inlineStr">
        <is>
          <t>New Lead</t>
        </is>
      </c>
      <c r="H1846" t="inlineStr">
        <is>
          <t>https://facebook.com/adanitotalgas/</t>
        </is>
      </c>
      <c r="K1846" t="inlineStr">
        <is>
          <t>Not found</t>
        </is>
      </c>
      <c r="L1846" t="inlineStr">
        <is>
          <t>Unknown</t>
        </is>
      </c>
      <c r="T1846" t="inlineStr">
        <is>
          <t>https://facebook.com/adanitotalgas/</t>
        </is>
      </c>
      <c r="U1846" t="inlineStr">
        <is>
          <t>No</t>
        </is>
      </c>
      <c r="V1846" t="inlineStr">
        <is>
          <t>Bot tarafindan tespit edildi (2026-07-01)</t>
        </is>
      </c>
    </row>
    <row r="1847">
      <c r="A1847" t="inlineStr">
        <is>
          <t>T-1651</t>
        </is>
      </c>
      <c r="B1847" t="inlineStr">
        <is>
          <t>Adani Total Gas (ATGL)</t>
        </is>
      </c>
      <c r="C1847" t="inlineStr">
        <is>
          <t>Adani Total Gas (ATGL)</t>
        </is>
      </c>
      <c r="D1847" t="inlineStr">
        <is>
          <t>otal_gas/</t>
        </is>
      </c>
      <c r="F1847" t="inlineStr">
        <is>
          <t>New Lead</t>
        </is>
      </c>
      <c r="G1847" t="inlineStr">
        <is>
          <t>Unclassified</t>
        </is>
      </c>
      <c r="H1847" t="inlineStr">
        <is>
          <t>https://www.instagram.com/adanitotal_gas/?utm_medium=copy_link</t>
        </is>
      </c>
      <c r="K1847" t="inlineStr">
        <is>
          <t>Not found</t>
        </is>
      </c>
      <c r="L1847" t="inlineStr">
        <is>
          <t>Unknown</t>
        </is>
      </c>
      <c r="T1847" t="inlineStr">
        <is>
          <t>https://www.instagram.com/adanitotal_gas/?utm_medium=copy_link</t>
        </is>
      </c>
      <c r="U1847" t="inlineStr">
        <is>
          <t>No</t>
        </is>
      </c>
      <c r="V1847" t="inlineStr">
        <is>
          <t>Bot tarafindan tespit edildi (2026-07-01); Bot tespit/zenginlestirme (2026-07-01); meta:score=15;priority=Low;source_type=html_link;closing_date=;equipment=Unclassified;reasons=tender reference signal</t>
        </is>
      </c>
    </row>
    <row r="1848">
      <c r="A1848" t="inlineStr">
        <is>
          <t>T-1652</t>
        </is>
      </c>
      <c r="B1848" t="inlineStr">
        <is>
          <t>Adani Total Gas (ATGL)</t>
        </is>
      </c>
      <c r="C1848" t="inlineStr">
        <is>
          <t>Adani Total Gas (ATGL)</t>
        </is>
      </c>
      <c r="F1848" t="inlineStr">
        <is>
          <t>New Lead</t>
        </is>
      </c>
      <c r="G1848" t="inlineStr">
        <is>
          <t>RMS</t>
        </is>
      </c>
      <c r="H1848" t="inlineStr">
        <is>
          <t>Terms &amp; Conditions</t>
        </is>
      </c>
      <c r="K1848" t="inlineStr">
        <is>
          <t>Not found</t>
        </is>
      </c>
      <c r="L1848" t="inlineStr">
        <is>
          <t>Unknown</t>
        </is>
      </c>
      <c r="T1848" t="inlineStr">
        <is>
          <t>https://www.adanigas.com/terms-and-conditions</t>
        </is>
      </c>
      <c r="U1848" t="inlineStr">
        <is>
          <t>No</t>
        </is>
      </c>
      <c r="V1848" t="inlineStr">
        <is>
          <t>Bot tarafindan tespit edildi (2026-07-01)</t>
        </is>
      </c>
    </row>
    <row r="1849">
      <c r="A1849" t="inlineStr">
        <is>
          <t>T-1653</t>
        </is>
      </c>
      <c r="B1849" t="inlineStr">
        <is>
          <t>Adani Total Gas (ATGL)</t>
        </is>
      </c>
      <c r="C1849" t="inlineStr">
        <is>
          <t>Adani Total Gas (ATGL)</t>
        </is>
      </c>
      <c r="F1849" t="inlineStr">
        <is>
          <t>New Lead</t>
        </is>
      </c>
      <c r="H1849" t="inlineStr">
        <is>
          <t>Downloads</t>
        </is>
      </c>
      <c r="K1849" t="inlineStr">
        <is>
          <t>Not found</t>
        </is>
      </c>
      <c r="L1849" t="inlineStr">
        <is>
          <t>Unknown</t>
        </is>
      </c>
      <c r="T1849" t="inlineStr">
        <is>
          <t>https://www.adanigas.com/downloads</t>
        </is>
      </c>
      <c r="U1849" t="inlineStr">
        <is>
          <t>No</t>
        </is>
      </c>
      <c r="V1849" t="inlineStr">
        <is>
          <t>Bot tarafindan tespit edildi (2026-07-01)</t>
        </is>
      </c>
    </row>
    <row r="1850">
      <c r="A1850" t="inlineStr">
        <is>
          <t>T-1654</t>
        </is>
      </c>
      <c r="B1850" t="inlineStr">
        <is>
          <t>Adani Total Gas (ATGL)</t>
        </is>
      </c>
      <c r="C1850" t="inlineStr">
        <is>
          <t>Adani Total Gas (ATGL)</t>
        </is>
      </c>
      <c r="D1850" t="inlineStr">
        <is>
          <t>en/terms-and-conditions</t>
        </is>
      </c>
      <c r="F1850" t="inlineStr">
        <is>
          <t>New Lead</t>
        </is>
      </c>
      <c r="G1850" t="inlineStr">
        <is>
          <t>RMS</t>
        </is>
      </c>
      <c r="H1850" t="inlineStr">
        <is>
          <t>Terms &amp; Conditions</t>
        </is>
      </c>
      <c r="K1850" t="inlineStr">
        <is>
          <t>Not found</t>
        </is>
      </c>
      <c r="L1850" t="inlineStr">
        <is>
          <t>Unknown</t>
        </is>
      </c>
      <c r="T1850" t="inlineStr">
        <is>
          <t>https://www.adanigas.com/en/terms-and-conditions</t>
        </is>
      </c>
      <c r="U1850" t="inlineStr">
        <is>
          <t>No</t>
        </is>
      </c>
      <c r="V1850" t="inlineStr">
        <is>
          <t>Bot tarafindan tespit edildi (2026-07-01) | Bot enrich; date=2026-07-01; type=html; score=160</t>
        </is>
      </c>
    </row>
    <row r="1851">
      <c r="A1851" t="inlineStr">
        <is>
          <t>T-1655</t>
        </is>
      </c>
      <c r="B1851" t="inlineStr">
        <is>
          <t>Torrent Gas</t>
        </is>
      </c>
      <c r="C1851" t="inlineStr">
        <is>
          <t>Torrent Gas</t>
        </is>
      </c>
      <c r="D1851" t="inlineStr">
        <is>
          <t>User/Info/TermsConditions</t>
        </is>
      </c>
      <c r="F1851" t="inlineStr">
        <is>
          <t>New Lead</t>
        </is>
      </c>
      <c r="G1851" t="inlineStr">
        <is>
          <t>RMS</t>
        </is>
      </c>
      <c r="H1851" t="inlineStr">
        <is>
          <t>Terms &amp; Conditions</t>
        </is>
      </c>
      <c r="K1851" t="inlineStr">
        <is>
          <t>Not found</t>
        </is>
      </c>
      <c r="L1851" t="inlineStr">
        <is>
          <t>Unknown</t>
        </is>
      </c>
      <c r="T1851" t="inlineStr">
        <is>
          <t>https://www.torrentgas.com/User/Info/TermsConditions</t>
        </is>
      </c>
      <c r="U1851" t="inlineStr">
        <is>
          <t>No</t>
        </is>
      </c>
      <c r="V1851" t="inlineStr">
        <is>
          <t>Bot tarafindan tespit edildi (2026-07-01) | Bot enrich; date=2026-07-01; type=html; score=160</t>
        </is>
      </c>
    </row>
    <row r="1852">
      <c r="A1852" t="inlineStr">
        <is>
          <t>T-1656</t>
        </is>
      </c>
      <c r="B1852" t="inlineStr">
        <is>
          <t>IndianOil-Adani Gas (IOAGPL)</t>
        </is>
      </c>
      <c r="C1852" t="inlineStr">
        <is>
          <t>IndianOil-Adani Gas (IOAGPL)</t>
        </is>
      </c>
      <c r="D1852" t="inlineStr">
        <is>
          <t>Policy</t>
        </is>
      </c>
      <c r="F1852" t="inlineStr">
        <is>
          <t>Awarded</t>
        </is>
      </c>
      <c r="G1852" t="inlineStr">
        <is>
          <t>Irrelevant / non-target</t>
        </is>
      </c>
      <c r="H1852" t="inlineStr">
        <is>
          <t>CSR Policy</t>
        </is>
      </c>
      <c r="K1852" t="inlineStr">
        <is>
          <t>Not found</t>
        </is>
      </c>
      <c r="L1852" t="inlineStr">
        <is>
          <t>Unknown</t>
        </is>
      </c>
      <c r="T1852" t="inlineStr">
        <is>
          <t>https://ioagpl.com/wp-content/uploads/2021/10/IOAGPL-CSR-Policy.pdf</t>
        </is>
      </c>
      <c r="U1852" t="inlineStr">
        <is>
          <t>No</t>
        </is>
      </c>
      <c r="V1852" t="inlineStr">
        <is>
          <t>Bot tarafindan tespit edildi (2026-07-01) | Bot enrich; date=2026-07-01; type=pdf; score=160; Bot tespit/zenginlestirme (2026-07-01); meta:score=;priority=Low;source_type=html_link;closing_date=;equipment=Irrelevant / non-target;reasons=irrelevant_equipment,document source,website noise</t>
        </is>
      </c>
    </row>
    <row r="1853">
      <c r="A1853" t="inlineStr">
        <is>
          <t>T-1657</t>
        </is>
      </c>
      <c r="B1853" t="inlineStr">
        <is>
          <t>IndianOil-Adani Gas (IOAGPL)</t>
        </is>
      </c>
      <c r="C1853" t="inlineStr">
        <is>
          <t>IndianOil-Adani Gas (IOAGPL)</t>
        </is>
      </c>
      <c r="D1853" t="inlineStr">
        <is>
          <t>com/wp-content/uploads/2021/10/Terms-Conditions_Domestic-PNG-Application-Form_General.pdf</t>
        </is>
      </c>
      <c r="F1853" t="inlineStr">
        <is>
          <t>Awarded</t>
        </is>
      </c>
      <c r="G1853" t="inlineStr">
        <is>
          <t>RMS</t>
        </is>
      </c>
      <c r="H1853" t="inlineStr">
        <is>
          <t>Application Form T&amp;C</t>
        </is>
      </c>
      <c r="K1853" t="inlineStr">
        <is>
          <t>Not found</t>
        </is>
      </c>
      <c r="L1853" t="inlineStr">
        <is>
          <t>Unknown</t>
        </is>
      </c>
      <c r="T1853" t="inlineStr">
        <is>
          <t>https://ioagpl.com/wp-content/uploads/2021/10/Terms-Conditions_Domestic-PNG-Application-Form_General.pdf</t>
        </is>
      </c>
      <c r="U1853" t="inlineStr">
        <is>
          <t>No</t>
        </is>
      </c>
      <c r="V1853" t="inlineStr">
        <is>
          <t>Bot tarafindan tespit edildi (2026-07-01) | Bot enrich; date=2026-07-01; type=pdf; score=300</t>
        </is>
      </c>
    </row>
    <row r="1854">
      <c r="A1854" t="inlineStr">
        <is>
          <t>T-1658</t>
        </is>
      </c>
      <c r="B1854" t="inlineStr">
        <is>
          <t>IndianOil-Adani Gas (IOAGPL)</t>
        </is>
      </c>
      <c r="C1854" t="inlineStr">
        <is>
          <t>IndianOil-Adani Gas (IOAGPL)</t>
        </is>
      </c>
      <c r="D1854" t="inlineStr">
        <is>
          <t>com/wp-content/uploads/2021/10/Self-Billing.pdf</t>
        </is>
      </c>
      <c r="F1854" t="inlineStr">
        <is>
          <t>Awarded</t>
        </is>
      </c>
      <c r="G1854" t="inlineStr">
        <is>
          <t>Unclassified</t>
        </is>
      </c>
      <c r="H1854" t="inlineStr">
        <is>
          <t>Self Billing Manual</t>
        </is>
      </c>
      <c r="K1854" t="inlineStr">
        <is>
          <t>Not found</t>
        </is>
      </c>
      <c r="L1854" t="inlineStr">
        <is>
          <t>Unknown</t>
        </is>
      </c>
      <c r="T1854" t="inlineStr">
        <is>
          <t>https://ioagpl.com/wp-content/uploads/2021/10/Self-Billing.pdf</t>
        </is>
      </c>
      <c r="U1854" t="inlineStr">
        <is>
          <t>No</t>
        </is>
      </c>
      <c r="V1854" t="inlineStr">
        <is>
          <t>Bot tarafindan tespit edildi (2026-07-01) | Bot enrich; date=2026-07-01; type=pdf; score=140; Bot tespit/zenginlestirme (2026-07-01); meta:score=20;priority=Low;source_type=html_link;closing_date=;equipment=Unclassified;reasons=document source</t>
        </is>
      </c>
    </row>
    <row r="1855">
      <c r="A1855" t="inlineStr">
        <is>
          <t>T-1659</t>
        </is>
      </c>
      <c r="B1855" t="inlineStr">
        <is>
          <t>IndianOil-Adani Gas (IOAGPL)</t>
        </is>
      </c>
      <c r="C1855" t="inlineStr">
        <is>
          <t>IndianOil-Adani Gas (IOAGPL)</t>
        </is>
      </c>
      <c r="F1855" t="inlineStr">
        <is>
          <t>New Lead</t>
        </is>
      </c>
      <c r="H1855" t="inlineStr">
        <is>
          <t>Download</t>
        </is>
      </c>
      <c r="K1855" t="inlineStr">
        <is>
          <t>Not found</t>
        </is>
      </c>
      <c r="L1855" t="inlineStr">
        <is>
          <t>Unknown</t>
        </is>
      </c>
      <c r="T1855" t="inlineStr">
        <is>
          <t>https://ioagpl.com/downloads/</t>
        </is>
      </c>
      <c r="U1855" t="inlineStr">
        <is>
          <t>No</t>
        </is>
      </c>
      <c r="V1855" t="inlineStr">
        <is>
          <t>Bot tarafindan tespit edildi (2026-07-01)</t>
        </is>
      </c>
    </row>
    <row r="1856">
      <c r="A1856" t="inlineStr">
        <is>
          <t>T-1660</t>
        </is>
      </c>
      <c r="B1856" t="inlineStr">
        <is>
          <t>IndianOil-Adani Gas (IOAGPL)</t>
        </is>
      </c>
      <c r="C1856" t="inlineStr">
        <is>
          <t>IndianOil-Adani Gas (IOAGPL)</t>
        </is>
      </c>
      <c r="F1856" t="inlineStr">
        <is>
          <t>New Lead</t>
        </is>
      </c>
      <c r="H1856" t="inlineStr">
        <is>
          <t>Active tenders</t>
        </is>
      </c>
      <c r="K1856" t="inlineStr">
        <is>
          <t>Not found</t>
        </is>
      </c>
      <c r="L1856" t="inlineStr">
        <is>
          <t>Unknown</t>
        </is>
      </c>
      <c r="T1856" t="inlineStr">
        <is>
          <t>https://ioagpl.com/active-tenders/</t>
        </is>
      </c>
      <c r="U1856" t="inlineStr">
        <is>
          <t>No</t>
        </is>
      </c>
      <c r="V1856" t="inlineStr">
        <is>
          <t>Bot tarafindan tespit edildi (2026-07-01)</t>
        </is>
      </c>
    </row>
    <row r="1857">
      <c r="A1857" t="inlineStr">
        <is>
          <t>T-1661</t>
        </is>
      </c>
      <c r="B1857" t="inlineStr">
        <is>
          <t>IndianOil-Adani Gas (IOAGPL)</t>
        </is>
      </c>
      <c r="C1857" t="inlineStr">
        <is>
          <t>IndianOil-Adani Gas (IOAGPL)</t>
        </is>
      </c>
      <c r="D1857" t="inlineStr">
        <is>
          <t>Blacklist/Holiday</t>
        </is>
      </c>
      <c r="F1857" t="inlineStr">
        <is>
          <t>Awarded</t>
        </is>
      </c>
      <c r="G1857" t="inlineStr">
        <is>
          <t>Unclassified</t>
        </is>
      </c>
      <c r="H1857" t="inlineStr">
        <is>
          <t>Blacklist/Holiday Vendor</t>
        </is>
      </c>
      <c r="K1857" t="inlineStr">
        <is>
          <t>Not found</t>
        </is>
      </c>
      <c r="L1857" t="inlineStr">
        <is>
          <t>Unknown</t>
        </is>
      </c>
      <c r="T1857" t="inlineStr">
        <is>
          <t>https://ioagpl.com/wp-content/uploads/2021/10/HOLIDAY-LIST-2025.pdf</t>
        </is>
      </c>
      <c r="U1857" t="inlineStr">
        <is>
          <t>No</t>
        </is>
      </c>
      <c r="V1857" t="inlineStr">
        <is>
          <t>Bot tarafindan tespit edildi (2026-07-01) | Bot enrich; date=2026-07-01; type=pdf; score=160; Bot tespit/zenginlestirme (2026-07-01); meta:score=20;priority=Low;source_type=html_link;closing_date=;equipment=Unclassified;reasons=document source</t>
        </is>
      </c>
    </row>
    <row r="1858">
      <c r="A1858" t="inlineStr">
        <is>
          <t>T-1662</t>
        </is>
      </c>
      <c r="B1858" t="inlineStr">
        <is>
          <t>IndianOil-Adani Gas (IOAGPL)</t>
        </is>
      </c>
      <c r="C1858" t="inlineStr">
        <is>
          <t>IndianOil-Adani Gas (IOAGPL)</t>
        </is>
      </c>
      <c r="D1858" t="inlineStr">
        <is>
          <t>com/wp-content/uploads/2021/10/Final-DMA-brochure.pdf</t>
        </is>
      </c>
      <c r="F1858" t="inlineStr">
        <is>
          <t>Awarded</t>
        </is>
      </c>
      <c r="G1858" t="inlineStr">
        <is>
          <t>Unclassified</t>
        </is>
      </c>
      <c r="H1858" t="inlineStr">
        <is>
          <t>EOI for Empanelment of DMA Agency</t>
        </is>
      </c>
      <c r="K1858" t="inlineStr">
        <is>
          <t>Not found</t>
        </is>
      </c>
      <c r="L1858" t="inlineStr">
        <is>
          <t>Unknown</t>
        </is>
      </c>
      <c r="T1858" t="inlineStr">
        <is>
          <t>https://ioagpl.com/wp-content/uploads/2021/10/Final-DMA-brochure.pdf</t>
        </is>
      </c>
      <c r="U1858" t="inlineStr">
        <is>
          <t>No</t>
        </is>
      </c>
      <c r="V1858" t="inlineStr">
        <is>
          <t>Bot tarafindan tespit edildi (2026-07-01) | Bot enrich; date=2026-07-01; type=pdf; score=140; Bot tespit/zenginlestirme (2026-07-01); meta:score=35;priority=Low;source_type=html_link;closing_date=;equipment=Unclassified;reasons=document source,tender reference signal</t>
        </is>
      </c>
    </row>
    <row r="1859">
      <c r="A1859" t="inlineStr">
        <is>
          <t>T-1663</t>
        </is>
      </c>
      <c r="B1859" t="inlineStr">
        <is>
          <t>IndianOil-Adani Gas (IOAGPL)</t>
        </is>
      </c>
      <c r="C1859" t="inlineStr">
        <is>
          <t>IndianOil-Adani Gas (IOAGPL)</t>
        </is>
      </c>
      <c r="D1859" t="inlineStr">
        <is>
          <t>com/wp-content/uploads/2021/10/Vendor-Registration-Form-1.pdf</t>
        </is>
      </c>
      <c r="F1859" t="inlineStr">
        <is>
          <t>Awarded</t>
        </is>
      </c>
      <c r="G1859" t="inlineStr">
        <is>
          <t>Gas-related / review</t>
        </is>
      </c>
      <c r="H1859" t="inlineStr">
        <is>
          <t>Vendor Registration Form</t>
        </is>
      </c>
      <c r="K1859" t="inlineStr">
        <is>
          <t>Not found</t>
        </is>
      </c>
      <c r="L1859" t="inlineStr">
        <is>
          <t>Unknown</t>
        </is>
      </c>
      <c r="T1859" t="inlineStr">
        <is>
          <t>https://ioagpl.com/wp-content/uploads/2021/10/Vendor-Registration-Form-1.pdf</t>
        </is>
      </c>
      <c r="U1859" t="inlineStr">
        <is>
          <t>No</t>
        </is>
      </c>
      <c r="V1859" t="inlineStr">
        <is>
          <t>Bot tarafindan tespit edildi (2026-07-01) | Bot enrich; date=2026-07-01; type=pdf; score=140; Bot tespit/zenginlestirme (2026-07-01); meta:score=;priority=Low;source_type=html_table;closing_date=;equipment=Gas-related / review;reasons=equipment:Gas-related / review,document source,access/action page</t>
        </is>
      </c>
    </row>
    <row r="1860">
      <c r="A1860" t="inlineStr">
        <is>
          <t>T-1664</t>
        </is>
      </c>
      <c r="B1860" t="inlineStr">
        <is>
          <t>Maharashtra Natural Gas (MNGL)</t>
        </is>
      </c>
      <c r="C1860" t="inlineStr">
        <is>
          <t>Maharashtra Natural Gas (MNGL)</t>
        </is>
      </c>
      <c r="F1860" t="inlineStr">
        <is>
          <t>New Lead</t>
        </is>
      </c>
      <c r="G1860" t="inlineStr">
        <is>
          <t>Unclassified</t>
        </is>
      </c>
      <c r="H1860" t="inlineStr">
        <is>
          <t>Career</t>
        </is>
      </c>
      <c r="K1860" t="inlineStr">
        <is>
          <t>Not found</t>
        </is>
      </c>
      <c r="L1860" t="inlineStr">
        <is>
          <t>Unknown</t>
        </is>
      </c>
      <c r="T1860" t="inlineStr">
        <is>
          <t>https://mngl.in/current-opportunities</t>
        </is>
      </c>
      <c r="U1860" t="inlineStr">
        <is>
          <t>No</t>
        </is>
      </c>
      <c r="V1860" t="inlineStr">
        <is>
          <t>Bot tarafindan tespit edildi (2026-07-01); Bot tespit/zenginlestirme (2026-07-01); meta:score=15;priority=Low;source_type=html_link;closing_date=;equipment=Unclassified;reasons=tender reference signal</t>
        </is>
      </c>
    </row>
    <row r="1861">
      <c r="A1861" t="inlineStr">
        <is>
          <t>T-1665</t>
        </is>
      </c>
      <c r="B1861" t="inlineStr">
        <is>
          <t>Maharashtra Natural Gas (MNGL)</t>
        </is>
      </c>
      <c r="C1861" t="inlineStr">
        <is>
          <t>Maharashtra Natural Gas (MNGL)</t>
        </is>
      </c>
      <c r="D1861" t="inlineStr">
        <is>
          <t>in/uploads/pdf/Terms</t>
        </is>
      </c>
      <c r="F1861" t="inlineStr">
        <is>
          <t>Awarded</t>
        </is>
      </c>
      <c r="G1861" t="inlineStr">
        <is>
          <t>RMS</t>
        </is>
      </c>
      <c r="H1861" t="inlineStr">
        <is>
          <t>Terms &amp; conditions of PNG Domestic connection</t>
        </is>
      </c>
      <c r="K1861" t="inlineStr">
        <is>
          <t>Not found</t>
        </is>
      </c>
      <c r="L1861" t="inlineStr">
        <is>
          <t>Unknown</t>
        </is>
      </c>
      <c r="T1861" t="inlineStr">
        <is>
          <t>https://mngl.in/uploads/pdf/Terms &amp; Conditions.pdf</t>
        </is>
      </c>
      <c r="U1861" t="inlineStr">
        <is>
          <t>No</t>
        </is>
      </c>
      <c r="V1861" t="inlineStr">
        <is>
          <t>Bot tarafindan tespit edildi (2026-07-01) | Bot enrich; date=2026-07-01; type=pdf; score=300</t>
        </is>
      </c>
    </row>
    <row r="1862">
      <c r="A1862" t="inlineStr">
        <is>
          <t>T-1666</t>
        </is>
      </c>
      <c r="B1862" t="inlineStr">
        <is>
          <t>Maharashtra Natural Gas (MNGL)</t>
        </is>
      </c>
      <c r="C1862" t="inlineStr">
        <is>
          <t>Maharashtra Natural Gas (MNGL)</t>
        </is>
      </c>
      <c r="F1862" t="inlineStr">
        <is>
          <t>New Lead</t>
        </is>
      </c>
      <c r="G1862" t="inlineStr">
        <is>
          <t>Unclassified</t>
        </is>
      </c>
      <c r="H1862" t="inlineStr">
        <is>
          <t>Instruction to Bidders</t>
        </is>
      </c>
      <c r="K1862" t="inlineStr">
        <is>
          <t>Not found</t>
        </is>
      </c>
      <c r="L1862" t="inlineStr">
        <is>
          <t>Unknown</t>
        </is>
      </c>
      <c r="T1862" t="inlineStr">
        <is>
          <t>https://mngl.in/vendor/instructions-to-bridders</t>
        </is>
      </c>
      <c r="U1862" t="inlineStr">
        <is>
          <t>No</t>
        </is>
      </c>
      <c r="V1862" t="inlineStr">
        <is>
          <t>Bot tarafindan tespit edildi (2026-07-01); Bot tespit/zenginlestirme (2026-07-01); meta:score=;priority=Low;source_type=html_link;closing_date=;equipment=Unclassified;reasons=</t>
        </is>
      </c>
    </row>
    <row r="1863">
      <c r="A1863" t="inlineStr">
        <is>
          <t>T-1667</t>
        </is>
      </c>
      <c r="B1863" t="inlineStr">
        <is>
          <t>Maharashtra Natural Gas (MNGL)</t>
        </is>
      </c>
      <c r="C1863" t="inlineStr">
        <is>
          <t>Maharashtra Natural Gas (MNGL)</t>
        </is>
      </c>
      <c r="F1863" t="inlineStr">
        <is>
          <t>New Lead</t>
        </is>
      </c>
      <c r="G1863" t="inlineStr">
        <is>
          <t>Unclassified</t>
        </is>
      </c>
      <c r="H1863" t="inlineStr">
        <is>
          <t>Active Tenders</t>
        </is>
      </c>
      <c r="K1863" t="inlineStr">
        <is>
          <t>Not found</t>
        </is>
      </c>
      <c r="L1863" t="inlineStr">
        <is>
          <t>Unknown</t>
        </is>
      </c>
      <c r="T1863" t="inlineStr">
        <is>
          <t>https://mngl.in/active-tenders</t>
        </is>
      </c>
      <c r="U1863" t="inlineStr">
        <is>
          <t>No</t>
        </is>
      </c>
      <c r="V1863" t="inlineStr">
        <is>
          <t>Bot tarafindan tespit edildi (2026-07-01); Bot tespit/zenginlestirme (2026-07-01); meta:score=;priority=Low;source_type=html_link;closing_date=;equipment=Unclassified;reasons=</t>
        </is>
      </c>
    </row>
    <row r="1864">
      <c r="A1864" t="inlineStr">
        <is>
          <t>T-1668</t>
        </is>
      </c>
      <c r="B1864" t="inlineStr">
        <is>
          <t>Maharashtra Natural Gas (MNGL)</t>
        </is>
      </c>
      <c r="C1864" t="inlineStr">
        <is>
          <t>Maharashtra Natural Gas (MNGL)</t>
        </is>
      </c>
      <c r="F1864" t="inlineStr">
        <is>
          <t>New Lead</t>
        </is>
      </c>
      <c r="G1864" t="inlineStr">
        <is>
          <t>Unclassified</t>
        </is>
      </c>
      <c r="H1864" t="inlineStr">
        <is>
          <t>NIT / EOI</t>
        </is>
      </c>
      <c r="K1864" t="inlineStr">
        <is>
          <t>Not found</t>
        </is>
      </c>
      <c r="L1864" t="inlineStr">
        <is>
          <t>Unknown</t>
        </is>
      </c>
      <c r="T1864" t="inlineStr">
        <is>
          <t>https://mngl.in/vendor/nit-eoi</t>
        </is>
      </c>
      <c r="U1864" t="inlineStr">
        <is>
          <t>No</t>
        </is>
      </c>
      <c r="V1864" t="inlineStr">
        <is>
          <t>Bot tarafindan tespit edildi (2026-07-01); Bot tespit/zenginlestirme (2026-07-01); meta:score=15;priority=Low;source_type=html_link;closing_date=;equipment=Unclassified;reasons=tender reference signal</t>
        </is>
      </c>
    </row>
    <row r="1865">
      <c r="A1865" t="inlineStr">
        <is>
          <t>T-1669</t>
        </is>
      </c>
      <c r="B1865" t="inlineStr">
        <is>
          <t>Maharashtra Natural Gas (MNGL)</t>
        </is>
      </c>
      <c r="C1865" t="inlineStr">
        <is>
          <t>Maharashtra Natural Gas (MNGL)</t>
        </is>
      </c>
      <c r="D1865" t="inlineStr">
        <is>
          <t>in/National-PNG/Kickstart</t>
        </is>
      </c>
      <c r="F1865" t="inlineStr">
        <is>
          <t>New Lead</t>
        </is>
      </c>
      <c r="G1865" t="inlineStr">
        <is>
          <t>Gas-related / review</t>
        </is>
      </c>
      <c r="H1865" t="inlineStr">
        <is>
          <t>Other major Initiatives</t>
        </is>
      </c>
      <c r="K1865" t="inlineStr">
        <is>
          <t>Not found</t>
        </is>
      </c>
      <c r="L1865" t="inlineStr">
        <is>
          <t>Unknown</t>
        </is>
      </c>
      <c r="T1865" t="inlineStr">
        <is>
          <t>https://mngl.in/National-PNG/Kickstart</t>
        </is>
      </c>
      <c r="U1865" t="inlineStr">
        <is>
          <t>No</t>
        </is>
      </c>
      <c r="V1865" t="inlineStr">
        <is>
          <t>Bot tarafindan tespit edildi (2026-07-01) | Bot enrich; date=2026-07-01; type=html; score=60; Bot tespit/zenginlestirme (2026-07-01); meta:score=30;priority=Low;source_type=html_link;closing_date=;equipment=Gas-related / review;reasons=equipment:Gas-related / review,tender reference signal; Bot clean extraction (2026-07-01); meta:score=28;priority=Low;source_type=html_link;closing_date=;equipment=Gas-related / review;quality_status=needs_review;market_relevance=Medium;document_type=unknown;unit_price_inr=;amount_label=;matched_terms=gas_context;reject_reasons=;scope=market_intelligence_only;excluded_scope=no_bid_or_offer_submission_automation</t>
        </is>
      </c>
    </row>
    <row r="1866">
      <c r="A1866" t="inlineStr">
        <is>
          <t>T-1670</t>
        </is>
      </c>
      <c r="B1866" t="inlineStr">
        <is>
          <t>Maharashtra Natural Gas (MNGL)</t>
        </is>
      </c>
      <c r="C1866" t="inlineStr">
        <is>
          <t>Maharashtra Natural Gas (MNGL)</t>
        </is>
      </c>
      <c r="D1866" t="inlineStr">
        <is>
          <t>gle/jVDsn2BwahBsfwN77</t>
        </is>
      </c>
      <c r="F1866" t="inlineStr">
        <is>
          <t>New Lead</t>
        </is>
      </c>
      <c r="G1866" t="inlineStr">
        <is>
          <t>RMS</t>
        </is>
      </c>
      <c r="H1866" t="inlineStr">
        <is>
          <t>Apply for PNG Gas – Hotels &amp; Restaurants</t>
        </is>
      </c>
      <c r="K1866" t="inlineStr">
        <is>
          <t>Not found</t>
        </is>
      </c>
      <c r="L1866" t="inlineStr">
        <is>
          <t>Unknown</t>
        </is>
      </c>
      <c r="T1866" t="inlineStr">
        <is>
          <t>https://forms.gle/jVDsn2BwahBsfwN77</t>
        </is>
      </c>
      <c r="U1866" t="inlineStr">
        <is>
          <t>No</t>
        </is>
      </c>
      <c r="V1866" t="inlineStr">
        <is>
          <t>Bot tarafindan tespit edildi (2026-07-01) | Bot enrich; date=2026-07-01; type=html; score=160; Bot tespit/zenginlestirme (2026-07-01); meta:score=60;priority=Medium;source_type=html_link;closing_date=;equipment=Regulating station;reasons=equipment:Regulating station,station/skid keyword; Bot clean extraction (2026-07-01); meta:score=90;priority=High;source_type=html_link;closing_date=;equipment=Regulating / metering station;quality_status=market_target;market_relevance=High;document_type=unknown;unit_price_inr=;amount_label=;matched_terms=Regulating / metering station;reject_reasons=;scope=market_intelligence_only;excluded_scope=no_bid_or_offer_submission_automation</t>
        </is>
      </c>
    </row>
    <row r="1867">
      <c r="A1867" t="inlineStr">
        <is>
          <t>T-1671</t>
        </is>
      </c>
      <c r="B1867" t="inlineStr">
        <is>
          <t>Maharashtra Natural Gas (MNGL)</t>
        </is>
      </c>
      <c r="C1867" t="inlineStr">
        <is>
          <t>Maharashtra Natural Gas (MNGL)</t>
        </is>
      </c>
      <c r="D1867" t="inlineStr">
        <is>
          <t>in/storage/170963/Tendernotice_1---2026-06-27T121607.775.pdf</t>
        </is>
      </c>
      <c r="F1867" t="inlineStr">
        <is>
          <t>New Lead</t>
        </is>
      </c>
      <c r="G1867" t="inlineStr">
        <is>
          <t>Unclassified</t>
        </is>
      </c>
      <c r="H1867" t="inlineStr">
        <is>
          <t>https://mngl.in/storage/170963/Tendernotice_1---2026-06-27T121607.775.pdf</t>
        </is>
      </c>
      <c r="K1867" t="inlineStr">
        <is>
          <t>Not found</t>
        </is>
      </c>
      <c r="L1867" t="inlineStr">
        <is>
          <t>Unknown</t>
        </is>
      </c>
      <c r="T1867" t="inlineStr">
        <is>
          <t>https://mngl.in/storage/170963/Tendernotice_1---2026-06-27T121607.775.pdf</t>
        </is>
      </c>
      <c r="U1867" t="inlineStr">
        <is>
          <t>No</t>
        </is>
      </c>
      <c r="V1867" t="inlineStr">
        <is>
          <t>Bot tarafindan tespit edildi (2026-07-01) | Bot enrich; date=2026-07-01; type=pdf; score=105; Bot tespit/zenginlestirme (2026-07-01); meta:score=35;priority=Low;source_type=html_table;closing_date=;equipment=Unclassified;reasons=document source,tender reference signal</t>
        </is>
      </c>
    </row>
    <row r="1868">
      <c r="A1868" t="inlineStr">
        <is>
          <t>T-1672</t>
        </is>
      </c>
      <c r="B1868" t="inlineStr">
        <is>
          <t>Maharashtra Natural Gas (MNGL)</t>
        </is>
      </c>
      <c r="C1868" t="inlineStr">
        <is>
          <t>Maharashtra Natural Gas (MNGL)</t>
        </is>
      </c>
      <c r="D1868" t="inlineStr">
        <is>
          <t>EOI Document</t>
        </is>
      </c>
      <c r="F1868" t="inlineStr">
        <is>
          <t>New Lead</t>
        </is>
      </c>
      <c r="G1868" t="inlineStr">
        <is>
          <t>Unclassified</t>
        </is>
      </c>
      <c r="H1868" t="inlineStr">
        <is>
          <t>https://mngl.in/storage/170196/EOI_Part1.pdf</t>
        </is>
      </c>
      <c r="K1868" t="inlineStr">
        <is>
          <t>Not found</t>
        </is>
      </c>
      <c r="L1868" t="inlineStr">
        <is>
          <t>Unknown</t>
        </is>
      </c>
      <c r="T1868" t="inlineStr">
        <is>
          <t>https://mngl.in/storage/170196/EOI_Part1.pdf</t>
        </is>
      </c>
      <c r="U1868" t="inlineStr">
        <is>
          <t>No</t>
        </is>
      </c>
      <c r="V1868" t="inlineStr">
        <is>
          <t>Bot tarafindan tespit edildi (2026-07-01) | Bot enrich; date=2026-07-01; type=pdf; score=125; Bot tespit/zenginlestirme (2026-07-01); meta:score=35;priority=Low;source_type=html_table;closing_date=;equipment=Unclassified;reasons=document source,tender reference signal</t>
        </is>
      </c>
    </row>
    <row r="1869">
      <c r="A1869" t="inlineStr">
        <is>
          <t>T-1673</t>
        </is>
      </c>
      <c r="B1869" t="inlineStr">
        <is>
          <t>Maharashtra Natural Gas (MNGL)</t>
        </is>
      </c>
      <c r="C1869" t="inlineStr">
        <is>
          <t>Maharashtra Natural Gas (MNGL)</t>
        </is>
      </c>
      <c r="D1869" t="inlineStr">
        <is>
          <t>EOI Document</t>
        </is>
      </c>
      <c r="F1869" t="inlineStr">
        <is>
          <t>New Lead</t>
        </is>
      </c>
      <c r="G1869" t="inlineStr">
        <is>
          <t>Unclassified</t>
        </is>
      </c>
      <c r="H1869" t="inlineStr">
        <is>
          <t>https://mngl.in/storage/170198/EOI_Part2.pdf</t>
        </is>
      </c>
      <c r="K1869" t="inlineStr">
        <is>
          <t>Not found</t>
        </is>
      </c>
      <c r="L1869" t="inlineStr">
        <is>
          <t>Unknown</t>
        </is>
      </c>
      <c r="T1869" t="inlineStr">
        <is>
          <t>https://mngl.in/storage/170198/EOI_Part2.pdf</t>
        </is>
      </c>
      <c r="U1869" t="inlineStr">
        <is>
          <t>No</t>
        </is>
      </c>
      <c r="V1869" t="inlineStr">
        <is>
          <t>Bot tarafindan tespit edildi (2026-07-01) | Bot enrich; date=2026-07-01; type=pdf; score=125; Bot tespit/zenginlestirme (2026-07-01); meta:score=35;priority=Low;source_type=html_table;closing_date=;equipment=Unclassified;reasons=document source,tender reference signal</t>
        </is>
      </c>
    </row>
    <row r="1870">
      <c r="A1870" t="inlineStr">
        <is>
          <t>T-1674</t>
        </is>
      </c>
      <c r="B1870" t="inlineStr">
        <is>
          <t>Maharashtra Natural Gas (MNGL)</t>
        </is>
      </c>
      <c r="C1870" t="inlineStr">
        <is>
          <t>Maharashtra Natural Gas (MNGL)</t>
        </is>
      </c>
      <c r="D1870" t="inlineStr">
        <is>
          <t>EOI Document</t>
        </is>
      </c>
      <c r="F1870" t="inlineStr">
        <is>
          <t>New Lead</t>
        </is>
      </c>
      <c r="G1870" t="inlineStr">
        <is>
          <t>Unclassified</t>
        </is>
      </c>
      <c r="H1870" t="inlineStr">
        <is>
          <t>https://mngl.in/storage/170200/EOI_Part3.pdf</t>
        </is>
      </c>
      <c r="K1870" t="inlineStr">
        <is>
          <t>Not found</t>
        </is>
      </c>
      <c r="L1870" t="inlineStr">
        <is>
          <t>Unknown</t>
        </is>
      </c>
      <c r="T1870" t="inlineStr">
        <is>
          <t>https://mngl.in/storage/170200/EOI_Part3.pdf</t>
        </is>
      </c>
      <c r="U1870" t="inlineStr">
        <is>
          <t>No</t>
        </is>
      </c>
      <c r="V1870" t="inlineStr">
        <is>
          <t>Bot tarafindan tespit edildi (2026-07-01) | Bot enrich; date=2026-07-01; type=pdf; score=125; Bot tespit/zenginlestirme (2026-07-01); meta:score=35;priority=Low;source_type=html_table;closing_date=;equipment=Unclassified;reasons=document source,tender reference signal</t>
        </is>
      </c>
    </row>
    <row r="1871">
      <c r="A1871" t="inlineStr">
        <is>
          <t>T-1675</t>
        </is>
      </c>
      <c r="B1871" t="inlineStr">
        <is>
          <t>Maharashtra Natural Gas (MNGL)</t>
        </is>
      </c>
      <c r="C1871" t="inlineStr">
        <is>
          <t>Maharashtra Natural Gas (MNGL)</t>
        </is>
      </c>
      <c r="D1871" t="inlineStr">
        <is>
          <t>EOI Document</t>
        </is>
      </c>
      <c r="E1871" t="inlineStr">
        <is>
          <t>2026-27/02</t>
        </is>
      </c>
      <c r="F1871" t="inlineStr">
        <is>
          <t>New Lead</t>
        </is>
      </c>
      <c r="G1871" t="inlineStr">
        <is>
          <t>Unclassified</t>
        </is>
      </c>
      <c r="H1871" t="inlineStr">
        <is>
          <t>https://mngl.in/storage/170201/BOQ.pdf</t>
        </is>
      </c>
      <c r="K1871" t="inlineStr">
        <is>
          <t>withinspecifiedschedule at no extra cost to MNGL. SupplyandinstallationofGIsleeve</t>
        </is>
      </c>
      <c r="L1871" t="inlineStr">
        <is>
          <t>Unknown</t>
        </is>
      </c>
      <c r="T1871" t="inlineStr">
        <is>
          <t>https://mngl.in/storage/170201/BOQ.pdf</t>
        </is>
      </c>
      <c r="U1871" t="inlineStr">
        <is>
          <t>No</t>
        </is>
      </c>
      <c r="V1871" t="inlineStr">
        <is>
          <t>Bot tarafindan tespit edildi (2026-07-01) | Bot enrich; date=2026-07-01; type=pdf; score=125; Bot tespit/zenginlestirme (2026-07-01); meta:score=55;priority=Medium;source_type=html_table;closing_date=;equipment=Unclassified;reasons=document source,commercial/price signal,tender reference signal</t>
        </is>
      </c>
    </row>
    <row r="1872">
      <c r="A1872" t="inlineStr">
        <is>
          <t>T-1676</t>
        </is>
      </c>
      <c r="B1872" t="inlineStr">
        <is>
          <t>Maharashtra Natural Gas (MNGL)</t>
        </is>
      </c>
      <c r="C1872" t="inlineStr">
        <is>
          <t>Maharashtra Natural Gas (MNGL)</t>
        </is>
      </c>
      <c r="D1872" t="inlineStr">
        <is>
          <t>EOI Document</t>
        </is>
      </c>
      <c r="F1872" t="inlineStr">
        <is>
          <t>New Lead</t>
        </is>
      </c>
      <c r="G1872" t="inlineStr">
        <is>
          <t>Unclassified</t>
        </is>
      </c>
      <c r="H1872" t="inlineStr">
        <is>
          <t>https://mngl.in/storage/170202/Drawings_EOI.pdf</t>
        </is>
      </c>
      <c r="K1872" t="inlineStr">
        <is>
          <t>Not found</t>
        </is>
      </c>
      <c r="L1872" t="inlineStr">
        <is>
          <t>Unknown</t>
        </is>
      </c>
      <c r="T1872" t="inlineStr">
        <is>
          <t>https://mngl.in/storage/170202/Drawings_EOI.pdf</t>
        </is>
      </c>
      <c r="U1872" t="inlineStr">
        <is>
          <t>No</t>
        </is>
      </c>
      <c r="V1872" t="inlineStr">
        <is>
          <t>Bot tarafindan tespit edildi (2026-07-01) | Bot enrich; date=2026-07-01; type=pdf; score=125; Bot tespit/zenginlestirme (2026-07-01); meta:score=35;priority=Low;source_type=html_table;closing_date=;equipment=Unclassified;reasons=document source,tender reference signal</t>
        </is>
      </c>
    </row>
    <row r="1873">
      <c r="A1873" t="inlineStr">
        <is>
          <t>T-1677</t>
        </is>
      </c>
      <c r="B1873" t="inlineStr">
        <is>
          <t>Maharashtra Natural Gas (MNGL)</t>
        </is>
      </c>
      <c r="C1873" t="inlineStr">
        <is>
          <t>Maharashtra Natural Gas (MNGL)</t>
        </is>
      </c>
      <c r="D1873" t="inlineStr">
        <is>
          <t>in/storage/170965/NIT_EOI_25062026.pdf</t>
        </is>
      </c>
      <c r="F1873" t="inlineStr">
        <is>
          <t>New Lead</t>
        </is>
      </c>
      <c r="G1873" t="inlineStr">
        <is>
          <t>Unclassified</t>
        </is>
      </c>
      <c r="H1873" t="inlineStr">
        <is>
          <t>https://mngl.in/storage/170965/NIT_EOI_25062026.pdf</t>
        </is>
      </c>
      <c r="K1873" t="inlineStr">
        <is>
          <t>Not found</t>
        </is>
      </c>
      <c r="L1873" t="inlineStr">
        <is>
          <t>Unknown</t>
        </is>
      </c>
      <c r="T1873" t="inlineStr">
        <is>
          <t>https://mngl.in/storage/170965/NIT_EOI_25062026.pdf</t>
        </is>
      </c>
      <c r="U1873" t="inlineStr">
        <is>
          <t>No</t>
        </is>
      </c>
      <c r="V1873" t="inlineStr">
        <is>
          <t>Bot tarafindan tespit edildi (2026-07-01) | Bot enrich; date=2026-07-01; type=pdf; score=105; Bot tespit/zenginlestirme (2026-07-01); meta:score=35;priority=Low;source_type=html_table;closing_date=;equipment=Unclassified;reasons=document source,tender reference signal</t>
        </is>
      </c>
    </row>
    <row r="1874">
      <c r="A1874" t="inlineStr">
        <is>
          <t>T-1678</t>
        </is>
      </c>
      <c r="B1874" t="inlineStr">
        <is>
          <t>Maharashtra Natural Gas (MNGL)</t>
        </is>
      </c>
      <c r="C1874" t="inlineStr">
        <is>
          <t>Maharashtra Natural Gas (MNGL)</t>
        </is>
      </c>
      <c r="D1874" t="inlineStr">
        <is>
          <t>in/storage/169918/Tendernotice_1---2026-06-23T212545.210.pdf</t>
        </is>
      </c>
      <c r="F1874" t="inlineStr">
        <is>
          <t>New Lead</t>
        </is>
      </c>
      <c r="G1874" t="inlineStr">
        <is>
          <t>Unclassified</t>
        </is>
      </c>
      <c r="H1874" t="inlineStr">
        <is>
          <t>https://mngl.in/storage/169918/Tendernotice_1---2026-06-23T212545.210.pdf</t>
        </is>
      </c>
      <c r="K1874" t="inlineStr">
        <is>
          <t>Not found</t>
        </is>
      </c>
      <c r="L1874" t="inlineStr">
        <is>
          <t>Unknown</t>
        </is>
      </c>
      <c r="T1874" t="inlineStr">
        <is>
          <t>https://mngl.in/storage/169918/Tendernotice_1---2026-06-23T212545.210.pdf</t>
        </is>
      </c>
      <c r="U1874" t="inlineStr">
        <is>
          <t>No</t>
        </is>
      </c>
      <c r="V1874" t="inlineStr">
        <is>
          <t>Bot tarafindan tespit edildi (2026-07-01) | Bot enrich; date=2026-07-01; type=pdf; score=105; Bot tespit/zenginlestirme (2026-07-01); meta:score=35;priority=Low;source_type=html_table;closing_date=;equipment=Unclassified;reasons=document source,tender reference signal</t>
        </is>
      </c>
    </row>
    <row r="1875">
      <c r="A1875" t="inlineStr">
        <is>
          <t>T-1679</t>
        </is>
      </c>
      <c r="B1875" t="inlineStr">
        <is>
          <t>Maharashtra Natural Gas (MNGL)</t>
        </is>
      </c>
      <c r="C1875" t="inlineStr">
        <is>
          <t>Maharashtra Natural Gas (MNGL)</t>
        </is>
      </c>
      <c r="D1875" t="inlineStr">
        <is>
          <t>in/storage/169917/Tendernotice_1---2026-06-23T212432.307.pdf</t>
        </is>
      </c>
      <c r="F1875" t="inlineStr">
        <is>
          <t>New Lead</t>
        </is>
      </c>
      <c r="G1875" t="inlineStr">
        <is>
          <t>Unclassified</t>
        </is>
      </c>
      <c r="H1875" t="inlineStr">
        <is>
          <t>https://mngl.in/storage/169917/Tendernotice_1---2026-06-23T212432.307.pdf</t>
        </is>
      </c>
      <c r="K1875" t="inlineStr">
        <is>
          <t>Not found</t>
        </is>
      </c>
      <c r="L1875" t="inlineStr">
        <is>
          <t>Unknown</t>
        </is>
      </c>
      <c r="T1875" t="inlineStr">
        <is>
          <t>https://mngl.in/storage/169917/Tendernotice_1---2026-06-23T212432.307.pdf</t>
        </is>
      </c>
      <c r="U1875" t="inlineStr">
        <is>
          <t>No</t>
        </is>
      </c>
      <c r="V1875" t="inlineStr">
        <is>
          <t>Bot tarafindan tespit edildi (2026-07-01) | Bot enrich; date=2026-07-01; type=pdf; score=105; Bot tespit/zenginlestirme (2026-07-01); meta:score=35;priority=Low;source_type=html_table;closing_date=;equipment=Unclassified;reasons=document source,tender reference signal</t>
        </is>
      </c>
    </row>
    <row r="1876">
      <c r="A1876" t="inlineStr">
        <is>
          <t>T-1680</t>
        </is>
      </c>
      <c r="B1876" t="inlineStr">
        <is>
          <t>Maharashtra Natural Gas (MNGL)</t>
        </is>
      </c>
      <c r="C1876" t="inlineStr">
        <is>
          <t>Maharashtra Natural Gas (MNGL)</t>
        </is>
      </c>
      <c r="D1876" t="inlineStr">
        <is>
          <t>in/storage/169915/Tendernotice_1---2026-06-23T212306.050.pdf</t>
        </is>
      </c>
      <c r="F1876" t="inlineStr">
        <is>
          <t>New Lead</t>
        </is>
      </c>
      <c r="G1876" t="inlineStr">
        <is>
          <t>Unclassified</t>
        </is>
      </c>
      <c r="H1876" t="inlineStr">
        <is>
          <t>https://mngl.in/storage/169915/Tendernotice_1---2026-06-23T212306.050.pdf</t>
        </is>
      </c>
      <c r="K1876" t="inlineStr">
        <is>
          <t>Not found</t>
        </is>
      </c>
      <c r="L1876" t="inlineStr">
        <is>
          <t>Unknown</t>
        </is>
      </c>
      <c r="T1876" t="inlineStr">
        <is>
          <t>https://mngl.in/storage/169915/Tendernotice_1---2026-06-23T212306.050.pdf</t>
        </is>
      </c>
      <c r="U1876" t="inlineStr">
        <is>
          <t>No</t>
        </is>
      </c>
      <c r="V1876" t="inlineStr">
        <is>
          <t>Bot tarafindan tespit edildi (2026-07-01) | Bot enrich; date=2026-07-01; type=pdf; score=105; Bot tespit/zenginlestirme (2026-07-01); meta:score=35;priority=Low;source_type=html_table;closing_date=;equipment=Unclassified;reasons=document source,tender reference signal</t>
        </is>
      </c>
    </row>
    <row r="1877">
      <c r="A1877" t="inlineStr">
        <is>
          <t>T-1681</t>
        </is>
      </c>
      <c r="B1877" t="inlineStr">
        <is>
          <t>Maharashtra Natural Gas (MNGL)</t>
        </is>
      </c>
      <c r="C1877" t="inlineStr">
        <is>
          <t>Maharashtra Natural Gas (MNGL)</t>
        </is>
      </c>
      <c r="D1877" t="inlineStr">
        <is>
          <t>in/storage/169910/Tendernotice_1---2026-06-23T211951.309.pdf</t>
        </is>
      </c>
      <c r="F1877" t="inlineStr">
        <is>
          <t>New Lead</t>
        </is>
      </c>
      <c r="G1877" t="inlineStr">
        <is>
          <t>Unclassified</t>
        </is>
      </c>
      <c r="H1877" t="inlineStr">
        <is>
          <t>https://mngl.in/storage/169910/Tendernotice_1---2026-06-23T211951.309.pdf</t>
        </is>
      </c>
      <c r="K1877" t="inlineStr">
        <is>
          <t>Not found</t>
        </is>
      </c>
      <c r="L1877" t="inlineStr">
        <is>
          <t>Unknown</t>
        </is>
      </c>
      <c r="T1877" t="inlineStr">
        <is>
          <t>https://mngl.in/storage/169910/Tendernotice_1---2026-06-23T211951.309.pdf</t>
        </is>
      </c>
      <c r="U1877" t="inlineStr">
        <is>
          <t>No</t>
        </is>
      </c>
      <c r="V1877" t="inlineStr">
        <is>
          <t>Bot tarafindan tespit edildi (2026-07-01) | Bot enrich; date=2026-07-01; type=pdf; score=105; Bot tespit/zenginlestirme (2026-07-01); meta:score=35;priority=Low;source_type=html_table;closing_date=;equipment=Unclassified;reasons=document source,tender reference signal</t>
        </is>
      </c>
    </row>
    <row r="1878">
      <c r="A1878" t="inlineStr">
        <is>
          <t>T-1682</t>
        </is>
      </c>
      <c r="B1878" t="inlineStr">
        <is>
          <t>Maharashtra Natural Gas (MNGL)</t>
        </is>
      </c>
      <c r="C1878" t="inlineStr">
        <is>
          <t>Maharashtra Natural Gas (MNGL)</t>
        </is>
      </c>
      <c r="D1878" t="inlineStr">
        <is>
          <t>in/storage/169907/Tendernotice_1---2026-06-23T211730.873.pdf</t>
        </is>
      </c>
      <c r="F1878" t="inlineStr">
        <is>
          <t>New Lead</t>
        </is>
      </c>
      <c r="G1878" t="inlineStr">
        <is>
          <t>Unclassified</t>
        </is>
      </c>
      <c r="H1878" t="inlineStr">
        <is>
          <t>https://mngl.in/storage/169907/Tendernotice_1---2026-06-23T211730.873.pdf</t>
        </is>
      </c>
      <c r="K1878" t="inlineStr">
        <is>
          <t>Not found</t>
        </is>
      </c>
      <c r="L1878" t="inlineStr">
        <is>
          <t>Unknown</t>
        </is>
      </c>
      <c r="T1878" t="inlineStr">
        <is>
          <t>https://mngl.in/storage/169907/Tendernotice_1---2026-06-23T211730.873.pdf</t>
        </is>
      </c>
      <c r="U1878" t="inlineStr">
        <is>
          <t>No</t>
        </is>
      </c>
      <c r="V1878" t="inlineStr">
        <is>
          <t>Bot tarafindan tespit edildi (2026-07-01) | Bot enrich; date=2026-07-01; type=pdf; score=105; Bot tespit/zenginlestirme (2026-07-01); meta:score=35;priority=Low;source_type=html_table;closing_date=;equipment=Unclassified;reasons=document source,tender reference signal</t>
        </is>
      </c>
    </row>
    <row r="1879">
      <c r="A1879" t="inlineStr">
        <is>
          <t>T-1683</t>
        </is>
      </c>
      <c r="B1879" t="inlineStr">
        <is>
          <t>Maharashtra Natural Gas (MNGL)</t>
        </is>
      </c>
      <c r="C1879" t="inlineStr">
        <is>
          <t>Maharashtra Natural Gas (MNGL)</t>
        </is>
      </c>
      <c r="D1879" t="inlineStr">
        <is>
          <t>in/storage/166938/Tendernotice_1---2026-06-13T195430.314.pdf</t>
        </is>
      </c>
      <c r="F1879" t="inlineStr">
        <is>
          <t>New Lead</t>
        </is>
      </c>
      <c r="G1879" t="inlineStr">
        <is>
          <t>Unclassified</t>
        </is>
      </c>
      <c r="H1879" t="inlineStr">
        <is>
          <t>https://mngl.in/storage/166938/Tendernotice_1---2026-06-13T195430.314.pdf</t>
        </is>
      </c>
      <c r="K1879" t="inlineStr">
        <is>
          <t>Not found</t>
        </is>
      </c>
      <c r="L1879" t="inlineStr">
        <is>
          <t>Unknown</t>
        </is>
      </c>
      <c r="T1879" t="inlineStr">
        <is>
          <t>https://mngl.in/storage/166938/Tendernotice_1---2026-06-13T195430.314.pdf</t>
        </is>
      </c>
      <c r="U1879" t="inlineStr">
        <is>
          <t>No</t>
        </is>
      </c>
      <c r="V1879" t="inlineStr">
        <is>
          <t>Bot tarafindan tespit edildi (2026-07-01) | Bot enrich; date=2026-07-01; type=pdf; score=105; Bot tespit/zenginlestirme (2026-07-01); meta:score=35;priority=Low;source_type=html_table;closing_date=;equipment=Unclassified;reasons=document source,tender reference signal</t>
        </is>
      </c>
    </row>
    <row r="1880">
      <c r="A1880" t="inlineStr">
        <is>
          <t>T-1684</t>
        </is>
      </c>
      <c r="B1880" t="inlineStr">
        <is>
          <t>Maharashtra Natural Gas (MNGL)</t>
        </is>
      </c>
      <c r="C1880" t="inlineStr">
        <is>
          <t>Maharashtra Natural Gas (MNGL)</t>
        </is>
      </c>
      <c r="D1880" t="inlineStr">
        <is>
          <t>in/storage/166936/Tendernotice_1---2026-06-13T195306.212.pdf</t>
        </is>
      </c>
      <c r="F1880" t="inlineStr">
        <is>
          <t>New Lead</t>
        </is>
      </c>
      <c r="G1880" t="inlineStr">
        <is>
          <t>Unclassified</t>
        </is>
      </c>
      <c r="H1880" t="inlineStr">
        <is>
          <t>https://mngl.in/storage/166936/Tendernotice_1---2026-06-13T195306.212.pdf</t>
        </is>
      </c>
      <c r="K1880" t="inlineStr">
        <is>
          <t>Not found</t>
        </is>
      </c>
      <c r="L1880" t="inlineStr">
        <is>
          <t>Unknown</t>
        </is>
      </c>
      <c r="T1880" t="inlineStr">
        <is>
          <t>https://mngl.in/storage/166936/Tendernotice_1---2026-06-13T195306.212.pdf</t>
        </is>
      </c>
      <c r="U1880" t="inlineStr">
        <is>
          <t>No</t>
        </is>
      </c>
      <c r="V1880" t="inlineStr">
        <is>
          <t>Bot tarafindan tespit edildi (2026-07-01) | Bot enrich; date=2026-07-01; type=pdf; score=105; Bot tespit/zenginlestirme (2026-07-01); meta:score=35;priority=Low;source_type=html_table;closing_date=;equipment=Unclassified;reasons=document source,tender reference signal</t>
        </is>
      </c>
    </row>
    <row r="1881">
      <c r="A1881" t="inlineStr">
        <is>
          <t>T-1685</t>
        </is>
      </c>
      <c r="B1881" t="inlineStr">
        <is>
          <t>Maharashtra Natural Gas (MNGL)</t>
        </is>
      </c>
      <c r="C1881" t="inlineStr">
        <is>
          <t>Maharashtra Natural Gas (MNGL)</t>
        </is>
      </c>
      <c r="D1881" t="inlineStr">
        <is>
          <t>in/storage/166933/Tendernotice_1_47.pdf</t>
        </is>
      </c>
      <c r="F1881" t="inlineStr">
        <is>
          <t>New Lead</t>
        </is>
      </c>
      <c r="G1881" t="inlineStr">
        <is>
          <t>Unclassified</t>
        </is>
      </c>
      <c r="H1881" t="inlineStr">
        <is>
          <t>https://mngl.in/storage/166933/Tendernotice_1_47.pdf</t>
        </is>
      </c>
      <c r="K1881" t="inlineStr">
        <is>
          <t>Not found</t>
        </is>
      </c>
      <c r="L1881" t="inlineStr">
        <is>
          <t>Unknown</t>
        </is>
      </c>
      <c r="T1881" t="inlineStr">
        <is>
          <t>https://mngl.in/storage/166933/Tendernotice_1_47.pdf</t>
        </is>
      </c>
      <c r="U1881" t="inlineStr">
        <is>
          <t>No</t>
        </is>
      </c>
      <c r="V1881" t="inlineStr">
        <is>
          <t>Bot tarafindan tespit edildi (2026-07-01) | Bot enrich; date=2026-07-01; type=pdf; score=105; Bot tespit/zenginlestirme (2026-07-01); meta:score=35;priority=Low;source_type=html_table;closing_date=;equipment=Unclassified;reasons=document source,tender reference signal</t>
        </is>
      </c>
    </row>
    <row r="1882">
      <c r="A1882" t="inlineStr">
        <is>
          <t>T-1686</t>
        </is>
      </c>
      <c r="B1882" t="inlineStr">
        <is>
          <t>Maharashtra Natural Gas (MNGL)</t>
        </is>
      </c>
      <c r="C1882" t="inlineStr">
        <is>
          <t>Maharashtra Natural Gas (MNGL)</t>
        </is>
      </c>
      <c r="D1882" t="inlineStr">
        <is>
          <t>in/storage/164607/Tendernotice_1---2026-06-05T095310.087.pdf</t>
        </is>
      </c>
      <c r="F1882" t="inlineStr">
        <is>
          <t>New Lead</t>
        </is>
      </c>
      <c r="G1882" t="inlineStr">
        <is>
          <t>Unclassified</t>
        </is>
      </c>
      <c r="H1882" t="inlineStr">
        <is>
          <t>https://mngl.in/storage/164607/Tendernotice_1---2026-06-05T095310.087.pdf</t>
        </is>
      </c>
      <c r="K1882" t="inlineStr">
        <is>
          <t>Not found</t>
        </is>
      </c>
      <c r="L1882" t="inlineStr">
        <is>
          <t>Unknown</t>
        </is>
      </c>
      <c r="T1882" t="inlineStr">
        <is>
          <t>https://mngl.in/storage/164607/Tendernotice_1---2026-06-05T095310.087.pdf</t>
        </is>
      </c>
      <c r="U1882" t="inlineStr">
        <is>
          <t>No</t>
        </is>
      </c>
      <c r="V1882" t="inlineStr">
        <is>
          <t>Bot tarafindan tespit edildi (2026-07-01) | Bot enrich; date=2026-07-01; type=pdf; score=105; Bot tespit/zenginlestirme (2026-07-01); meta:score=35;priority=Low;source_type=html_table;closing_date=;equipment=Unclassified;reasons=document source,tender reference signal</t>
        </is>
      </c>
    </row>
    <row r="1883">
      <c r="A1883" t="inlineStr">
        <is>
          <t>T-1687</t>
        </is>
      </c>
      <c r="B1883" t="inlineStr">
        <is>
          <t>Maharashtra Natural Gas (MNGL)</t>
        </is>
      </c>
      <c r="C1883" t="inlineStr">
        <is>
          <t>Maharashtra Natural Gas (MNGL)</t>
        </is>
      </c>
      <c r="D1883" t="inlineStr">
        <is>
          <t>in/storage/162981/Tendernotice_44.pdf</t>
        </is>
      </c>
      <c r="F1883" t="inlineStr">
        <is>
          <t>New Lead</t>
        </is>
      </c>
      <c r="G1883" t="inlineStr">
        <is>
          <t>Unclassified</t>
        </is>
      </c>
      <c r="H1883" t="inlineStr">
        <is>
          <t>https://mngl.in/storage/162981/Tendernotice_44.pdf</t>
        </is>
      </c>
      <c r="K1883" t="inlineStr">
        <is>
          <t>Not found</t>
        </is>
      </c>
      <c r="L1883" t="inlineStr">
        <is>
          <t>Unknown</t>
        </is>
      </c>
      <c r="T1883" t="inlineStr">
        <is>
          <t>https://mngl.in/storage/162981/Tendernotice_44.pdf</t>
        </is>
      </c>
      <c r="U1883" t="inlineStr">
        <is>
          <t>No</t>
        </is>
      </c>
      <c r="V1883" t="inlineStr">
        <is>
          <t>Bot tarafindan tespit edildi (2026-07-01) | Bot enrich; date=2026-07-01; type=pdf; score=105; Bot tespit/zenginlestirme (2026-07-01); meta:score=35;priority=Low;source_type=html_table;closing_date=;equipment=Unclassified;reasons=document source,tender reference signal</t>
        </is>
      </c>
    </row>
    <row r="1884">
      <c r="A1884" t="inlineStr">
        <is>
          <t>T-1688</t>
        </is>
      </c>
      <c r="B1884" t="inlineStr">
        <is>
          <t>Maharashtra Natural Gas (MNGL)</t>
        </is>
      </c>
      <c r="C1884" t="inlineStr">
        <is>
          <t>Maharashtra Natural Gas (MNGL)</t>
        </is>
      </c>
      <c r="D1884" t="inlineStr">
        <is>
          <t>in/storage/162650/Tendernotice_1---2026-05-28T141455.080.pdf</t>
        </is>
      </c>
      <c r="F1884" t="inlineStr">
        <is>
          <t>New Lead</t>
        </is>
      </c>
      <c r="G1884" t="inlineStr">
        <is>
          <t>Unclassified</t>
        </is>
      </c>
      <c r="H1884" t="inlineStr">
        <is>
          <t>https://mngl.in/storage/162650/Tendernotice_1---2026-05-28T141455.080.pdf</t>
        </is>
      </c>
      <c r="K1884" t="inlineStr">
        <is>
          <t>Not found</t>
        </is>
      </c>
      <c r="L1884" t="inlineStr">
        <is>
          <t>Unknown</t>
        </is>
      </c>
      <c r="T1884" t="inlineStr">
        <is>
          <t>https://mngl.in/storage/162650/Tendernotice_1---2026-05-28T141455.080.pdf</t>
        </is>
      </c>
      <c r="U1884" t="inlineStr">
        <is>
          <t>No</t>
        </is>
      </c>
      <c r="V1884" t="inlineStr">
        <is>
          <t>Bot tarafindan tespit edildi (2026-07-01) | Bot enrich; date=2026-07-01; type=pdf; score=105; Bot tespit/zenginlestirme (2026-07-01); meta:score=35;priority=Low;source_type=html_table;closing_date=;equipment=Unclassified;reasons=document source,tender reference signal</t>
        </is>
      </c>
    </row>
    <row r="1885">
      <c r="A1885" t="inlineStr">
        <is>
          <t>T-1689</t>
        </is>
      </c>
      <c r="B1885" t="inlineStr">
        <is>
          <t>Maharashtra Natural Gas (MNGL)</t>
        </is>
      </c>
      <c r="C1885" t="inlineStr">
        <is>
          <t>Maharashtra Natural Gas (MNGL)</t>
        </is>
      </c>
      <c r="D1885" t="inlineStr">
        <is>
          <t>in/storage/162648/Tendernotice_1---2026-05-28T141323.934.pdf</t>
        </is>
      </c>
      <c r="F1885" t="inlineStr">
        <is>
          <t>New Lead</t>
        </is>
      </c>
      <c r="G1885" t="inlineStr">
        <is>
          <t>Unclassified</t>
        </is>
      </c>
      <c r="H1885" t="inlineStr">
        <is>
          <t>https://mngl.in/storage/162648/Tendernotice_1---2026-05-28T141323.934.pdf</t>
        </is>
      </c>
      <c r="K1885" t="inlineStr">
        <is>
          <t>Not found</t>
        </is>
      </c>
      <c r="L1885" t="inlineStr">
        <is>
          <t>Unknown</t>
        </is>
      </c>
      <c r="T1885" t="inlineStr">
        <is>
          <t>https://mngl.in/storage/162648/Tendernotice_1---2026-05-28T141323.934.pdf</t>
        </is>
      </c>
      <c r="U1885" t="inlineStr">
        <is>
          <t>No</t>
        </is>
      </c>
      <c r="V1885" t="inlineStr">
        <is>
          <t>Bot tarafindan tespit edildi (2026-07-01) | Bot enrich; date=2026-07-01; type=pdf; score=105; Bot tespit/zenginlestirme (2026-07-01); meta:score=35;priority=Low;source_type=html_table;closing_date=;equipment=Unclassified;reasons=document source,tender reference signal</t>
        </is>
      </c>
    </row>
    <row r="1886">
      <c r="A1886" t="inlineStr">
        <is>
          <t>T-1690</t>
        </is>
      </c>
      <c r="B1886" t="inlineStr">
        <is>
          <t>Maharashtra Natural Gas (MNGL)</t>
        </is>
      </c>
      <c r="C1886" t="inlineStr">
        <is>
          <t>Maharashtra Natural Gas (MNGL)</t>
        </is>
      </c>
      <c r="D1886" t="inlineStr">
        <is>
          <t>in/storage/160297/Tendernotice_1---2026-05-18T115136.428.pdf</t>
        </is>
      </c>
      <c r="F1886" t="inlineStr">
        <is>
          <t>New Lead</t>
        </is>
      </c>
      <c r="G1886" t="inlineStr">
        <is>
          <t>Unclassified</t>
        </is>
      </c>
      <c r="H1886" t="inlineStr">
        <is>
          <t>https://mngl.in/storage/160297/Tendernotice_1---2026-05-18T115136.428.pdf</t>
        </is>
      </c>
      <c r="K1886" t="inlineStr">
        <is>
          <t>Not found</t>
        </is>
      </c>
      <c r="L1886" t="inlineStr">
        <is>
          <t>Unknown</t>
        </is>
      </c>
      <c r="T1886" t="inlineStr">
        <is>
          <t>https://mngl.in/storage/160297/Tendernotice_1---2026-05-18T115136.428.pdf</t>
        </is>
      </c>
      <c r="U1886" t="inlineStr">
        <is>
          <t>No</t>
        </is>
      </c>
      <c r="V1886" t="inlineStr">
        <is>
          <t>Bot tarafindan tespit edildi (2026-07-01) | Bot enrich; date=2026-07-01; type=pdf; score=105; Bot tespit/zenginlestirme (2026-07-01); meta:score=35;priority=Low;source_type=html_table;closing_date=;equipment=Unclassified;reasons=document source,tender reference signal</t>
        </is>
      </c>
    </row>
    <row r="1887">
      <c r="A1887" t="inlineStr">
        <is>
          <t>T-1691</t>
        </is>
      </c>
      <c r="B1887" t="inlineStr">
        <is>
          <t>Maharashtra Natural Gas (MNGL)</t>
        </is>
      </c>
      <c r="C1887" t="inlineStr">
        <is>
          <t>Maharashtra Natural Gas (MNGL)</t>
        </is>
      </c>
      <c r="D1887" t="inlineStr">
        <is>
          <t>in/storage/157178/Tendernotice_1---2026-05-01T105736.176.pdf</t>
        </is>
      </c>
      <c r="F1887" t="inlineStr">
        <is>
          <t>New Lead</t>
        </is>
      </c>
      <c r="G1887" t="inlineStr">
        <is>
          <t>Unclassified</t>
        </is>
      </c>
      <c r="H1887" t="inlineStr">
        <is>
          <t>https://mngl.in/storage/157178/Tendernotice_1---2026-05-01T105736.176.pdf</t>
        </is>
      </c>
      <c r="K1887" t="inlineStr">
        <is>
          <t>Not found</t>
        </is>
      </c>
      <c r="L1887" t="inlineStr">
        <is>
          <t>Unknown</t>
        </is>
      </c>
      <c r="T1887" t="inlineStr">
        <is>
          <t>https://mngl.in/storage/157178/Tendernotice_1---2026-05-01T105736.176.pdf</t>
        </is>
      </c>
      <c r="U1887" t="inlineStr">
        <is>
          <t>No</t>
        </is>
      </c>
      <c r="V1887" t="inlineStr">
        <is>
          <t>Bot tarafindan tespit edildi (2026-07-01) | Bot enrich; date=2026-07-01; type=pdf; score=105; Bot tespit/zenginlestirme (2026-07-01); meta:score=35;priority=Low;source_type=html_table;closing_date=;equipment=Unclassified;reasons=document source,tender reference signal</t>
        </is>
      </c>
    </row>
    <row r="1888">
      <c r="A1888" t="inlineStr">
        <is>
          <t>T-1692</t>
        </is>
      </c>
      <c r="B1888" t="inlineStr">
        <is>
          <t>Maharashtra Natural Gas (MNGL)</t>
        </is>
      </c>
      <c r="C1888" t="inlineStr">
        <is>
          <t>Maharashtra Natural Gas (MNGL)</t>
        </is>
      </c>
      <c r="D1888" t="inlineStr">
        <is>
          <t>in/storage/157106/Tendernotice_1---2026-04-30T210931.652.pdf</t>
        </is>
      </c>
      <c r="F1888" t="inlineStr">
        <is>
          <t>New Lead</t>
        </is>
      </c>
      <c r="G1888" t="inlineStr">
        <is>
          <t>Unclassified</t>
        </is>
      </c>
      <c r="H1888" t="inlineStr">
        <is>
          <t>https://mngl.in/storage/157106/Tendernotice_1---2026-04-30T210931.652.pdf</t>
        </is>
      </c>
      <c r="K1888" t="inlineStr">
        <is>
          <t>Not found</t>
        </is>
      </c>
      <c r="L1888" t="inlineStr">
        <is>
          <t>Unknown</t>
        </is>
      </c>
      <c r="T1888" t="inlineStr">
        <is>
          <t>https://mngl.in/storage/157106/Tendernotice_1---2026-04-30T210931.652.pdf</t>
        </is>
      </c>
      <c r="U1888" t="inlineStr">
        <is>
          <t>No</t>
        </is>
      </c>
      <c r="V1888" t="inlineStr">
        <is>
          <t>Bot tarafindan tespit edildi (2026-07-01) | Bot enrich; date=2026-07-01; type=pdf; score=105; Bot tespit/zenginlestirme (2026-07-01); meta:score=35;priority=Low;source_type=html_table;closing_date=;equipment=Unclassified;reasons=document source,tender reference signal</t>
        </is>
      </c>
    </row>
    <row r="1889">
      <c r="A1889" t="inlineStr">
        <is>
          <t>T-1693</t>
        </is>
      </c>
      <c r="B1889" t="inlineStr">
        <is>
          <t>Maharashtra Natural Gas (MNGL)</t>
        </is>
      </c>
      <c r="C1889" t="inlineStr">
        <is>
          <t>Maharashtra Natural Gas (MNGL)</t>
        </is>
      </c>
      <c r="D1889" t="inlineStr">
        <is>
          <t>in/storage/157101/Tendernotice_1---2026-04-30T210108.396.pdf</t>
        </is>
      </c>
      <c r="F1889" t="inlineStr">
        <is>
          <t>New Lead</t>
        </is>
      </c>
      <c r="G1889" t="inlineStr">
        <is>
          <t>Unclassified</t>
        </is>
      </c>
      <c r="H1889" t="inlineStr">
        <is>
          <t>https://mngl.in/storage/157101/Tendernotice_1---2026-04-30T210108.396.pdf</t>
        </is>
      </c>
      <c r="K1889" t="inlineStr">
        <is>
          <t>Not found</t>
        </is>
      </c>
      <c r="L1889" t="inlineStr">
        <is>
          <t>Unknown</t>
        </is>
      </c>
      <c r="T1889" t="inlineStr">
        <is>
          <t>https://mngl.in/storage/157101/Tendernotice_1---2026-04-30T210108.396.pdf</t>
        </is>
      </c>
      <c r="U1889" t="inlineStr">
        <is>
          <t>No</t>
        </is>
      </c>
      <c r="V1889" t="inlineStr">
        <is>
          <t>Bot tarafindan tespit edildi (2026-07-01) | Bot enrich; date=2026-07-01; type=pdf; score=105; Bot tespit/zenginlestirme (2026-07-01); meta:score=35;priority=Low;source_type=html_table;closing_date=;equipment=Unclassified;reasons=document source,tender reference signal</t>
        </is>
      </c>
    </row>
    <row r="1890">
      <c r="A1890" t="inlineStr">
        <is>
          <t>T-1694</t>
        </is>
      </c>
      <c r="B1890" t="inlineStr">
        <is>
          <t>Maharashtra Natural Gas (MNGL)</t>
        </is>
      </c>
      <c r="C1890" t="inlineStr">
        <is>
          <t>Maharashtra Natural Gas (MNGL)</t>
        </is>
      </c>
      <c r="D1890" t="inlineStr">
        <is>
          <t>in/storage/157100/Tendernotice_1---2026-04-30T205716.902.pdf</t>
        </is>
      </c>
      <c r="F1890" t="inlineStr">
        <is>
          <t>New Lead</t>
        </is>
      </c>
      <c r="G1890" t="inlineStr">
        <is>
          <t>Unclassified</t>
        </is>
      </c>
      <c r="H1890" t="inlineStr">
        <is>
          <t>https://mngl.in/storage/157100/Tendernotice_1---2026-04-30T205716.902.pdf</t>
        </is>
      </c>
      <c r="K1890" t="inlineStr">
        <is>
          <t>Not found</t>
        </is>
      </c>
      <c r="L1890" t="inlineStr">
        <is>
          <t>Unknown</t>
        </is>
      </c>
      <c r="T1890" t="inlineStr">
        <is>
          <t>https://mngl.in/storage/157100/Tendernotice_1---2026-04-30T205716.902.pdf</t>
        </is>
      </c>
      <c r="U1890" t="inlineStr">
        <is>
          <t>No</t>
        </is>
      </c>
      <c r="V1890" t="inlineStr">
        <is>
          <t>Bot tarafindan tespit edildi (2026-07-01) | Bot enrich; date=2026-07-01; type=pdf; score=105; Bot tespit/zenginlestirme (2026-07-01); meta:score=35;priority=Low;source_type=html_table;closing_date=;equipment=Unclassified;reasons=document source,tender reference signal</t>
        </is>
      </c>
    </row>
    <row r="1891">
      <c r="A1891" t="inlineStr">
        <is>
          <t>T-1695</t>
        </is>
      </c>
      <c r="B1891" t="inlineStr">
        <is>
          <t>Maharashtra Natural Gas (MNGL)</t>
        </is>
      </c>
      <c r="C1891" t="inlineStr">
        <is>
          <t>Maharashtra Natural Gas (MNGL)</t>
        </is>
      </c>
      <c r="D1891" t="inlineStr">
        <is>
          <t>in/storage/155755/Tendernotice_1---2026-04-24T124247.981.pdf</t>
        </is>
      </c>
      <c r="F1891" t="inlineStr">
        <is>
          <t>New Lead</t>
        </is>
      </c>
      <c r="G1891" t="inlineStr">
        <is>
          <t>Unclassified</t>
        </is>
      </c>
      <c r="H1891" t="inlineStr">
        <is>
          <t>https://mngl.in/storage/155755/Tendernotice_1---2026-04-24T124247.981.pdf</t>
        </is>
      </c>
      <c r="K1891" t="inlineStr">
        <is>
          <t>Not found</t>
        </is>
      </c>
      <c r="L1891" t="inlineStr">
        <is>
          <t>Unknown</t>
        </is>
      </c>
      <c r="T1891" t="inlineStr">
        <is>
          <t>https://mngl.in/storage/155755/Tendernotice_1---2026-04-24T124247.981.pdf</t>
        </is>
      </c>
      <c r="U1891" t="inlineStr">
        <is>
          <t>No</t>
        </is>
      </c>
      <c r="V1891" t="inlineStr">
        <is>
          <t>Bot tarafindan tespit edildi (2026-07-01) | Bot enrich; date=2026-07-01; type=pdf; score=105; Bot tespit/zenginlestirme (2026-07-01); meta:score=35;priority=Low;source_type=html_table;closing_date=;equipment=Unclassified;reasons=document source,tender reference signal</t>
        </is>
      </c>
    </row>
    <row r="1892">
      <c r="A1892" t="inlineStr">
        <is>
          <t>T-1696</t>
        </is>
      </c>
      <c r="B1892" t="inlineStr">
        <is>
          <t>Maharashtra Natural Gas (MNGL)</t>
        </is>
      </c>
      <c r="C1892" t="inlineStr">
        <is>
          <t>Maharashtra Natural Gas (MNGL)</t>
        </is>
      </c>
      <c r="D1892" t="inlineStr">
        <is>
          <t>in/storage/155276/Tendernotice_1---2026-04-22T083429.316.pdf</t>
        </is>
      </c>
      <c r="F1892" t="inlineStr">
        <is>
          <t>New Lead</t>
        </is>
      </c>
      <c r="G1892" t="inlineStr">
        <is>
          <t>Unclassified</t>
        </is>
      </c>
      <c r="H1892" t="inlineStr">
        <is>
          <t>https://mngl.in/storage/155276/Tendernotice_1---2026-04-22T083429.316.pdf</t>
        </is>
      </c>
      <c r="K1892" t="inlineStr">
        <is>
          <t>Not found</t>
        </is>
      </c>
      <c r="L1892" t="inlineStr">
        <is>
          <t>Unknown</t>
        </is>
      </c>
      <c r="T1892" t="inlineStr">
        <is>
          <t>https://mngl.in/storage/155276/Tendernotice_1---2026-04-22T083429.316.pdf</t>
        </is>
      </c>
      <c r="U1892" t="inlineStr">
        <is>
          <t>No</t>
        </is>
      </c>
      <c r="V1892" t="inlineStr">
        <is>
          <t>Bot tarafindan tespit edildi (2026-07-01) | Bot enrich; date=2026-07-01; type=pdf; score=105; Bot tespit/zenginlestirme (2026-07-01); meta:score=35;priority=Low;source_type=html_table;closing_date=;equipment=Unclassified;reasons=document source,tender reference signal</t>
        </is>
      </c>
    </row>
    <row r="1893">
      <c r="A1893" t="inlineStr">
        <is>
          <t>T-1697</t>
        </is>
      </c>
      <c r="B1893" t="inlineStr">
        <is>
          <t>Maharashtra Natural Gas (MNGL)</t>
        </is>
      </c>
      <c r="C1893" t="inlineStr">
        <is>
          <t>Maharashtra Natural Gas (MNGL)</t>
        </is>
      </c>
      <c r="D1893" t="inlineStr">
        <is>
          <t>in/storage/154668/Tendernotice_1---2026-04-19T111059.324.pdf</t>
        </is>
      </c>
      <c r="F1893" t="inlineStr">
        <is>
          <t>New Lead</t>
        </is>
      </c>
      <c r="G1893" t="inlineStr">
        <is>
          <t>Unclassified</t>
        </is>
      </c>
      <c r="H1893" t="inlineStr">
        <is>
          <t>https://mngl.in/storage/154668/Tendernotice_1---2026-04-19T111059.324.pdf</t>
        </is>
      </c>
      <c r="K1893" t="inlineStr">
        <is>
          <t>Not found</t>
        </is>
      </c>
      <c r="L1893" t="inlineStr">
        <is>
          <t>Unknown</t>
        </is>
      </c>
      <c r="T1893" t="inlineStr">
        <is>
          <t>https://mngl.in/storage/154668/Tendernotice_1---2026-04-19T111059.324.pdf</t>
        </is>
      </c>
      <c r="U1893" t="inlineStr">
        <is>
          <t>No</t>
        </is>
      </c>
      <c r="V1893" t="inlineStr">
        <is>
          <t>Bot tarafindan tespit edildi (2026-07-01) | Bot enrich; date=2026-07-01; type=pdf; score=105; Bot tespit/zenginlestirme (2026-07-01); meta:score=35;priority=Low;source_type=html_table;closing_date=;equipment=Unclassified;reasons=document source,tender reference signal</t>
        </is>
      </c>
    </row>
    <row r="1894">
      <c r="A1894" t="inlineStr">
        <is>
          <t>T-1698</t>
        </is>
      </c>
      <c r="B1894" t="inlineStr">
        <is>
          <t>Maharashtra Natural Gas (MNGL)</t>
        </is>
      </c>
      <c r="C1894" t="inlineStr">
        <is>
          <t>Maharashtra Natural Gas (MNGL)</t>
        </is>
      </c>
      <c r="D1894" t="inlineStr">
        <is>
          <t>in/storage/154196/Tendernotice_1---2026-04-16T225701.807.pdf</t>
        </is>
      </c>
      <c r="F1894" t="inlineStr">
        <is>
          <t>New Lead</t>
        </is>
      </c>
      <c r="G1894" t="inlineStr">
        <is>
          <t>Unclassified</t>
        </is>
      </c>
      <c r="H1894" t="inlineStr">
        <is>
          <t>https://mngl.in/storage/154196/Tendernotice_1---2026-04-16T225701.807.pdf</t>
        </is>
      </c>
      <c r="K1894" t="inlineStr">
        <is>
          <t>Not found</t>
        </is>
      </c>
      <c r="L1894" t="inlineStr">
        <is>
          <t>Unknown</t>
        </is>
      </c>
      <c r="T1894" t="inlineStr">
        <is>
          <t>https://mngl.in/storage/154196/Tendernotice_1---2026-04-16T225701.807.pdf</t>
        </is>
      </c>
      <c r="U1894" t="inlineStr">
        <is>
          <t>No</t>
        </is>
      </c>
      <c r="V1894" t="inlineStr">
        <is>
          <t>Bot tarafindan tespit edildi (2026-07-01) | Bot enrich; date=2026-07-01; type=pdf; score=105; Bot tespit/zenginlestirme (2026-07-01); meta:score=35;priority=Low;source_type=html_table;closing_date=;equipment=Unclassified;reasons=document source,tender reference signal</t>
        </is>
      </c>
    </row>
    <row r="1895">
      <c r="A1895" t="inlineStr">
        <is>
          <t>T-1699</t>
        </is>
      </c>
      <c r="B1895" t="inlineStr">
        <is>
          <t>Maharashtra Natural Gas (MNGL)</t>
        </is>
      </c>
      <c r="C1895" t="inlineStr">
        <is>
          <t>Maharashtra Natural Gas (MNGL)</t>
        </is>
      </c>
      <c r="D1895" t="inlineStr">
        <is>
          <t>in/storage/154194/Tendernotice_1---2026-04-16T225520.343.pdf</t>
        </is>
      </c>
      <c r="F1895" t="inlineStr">
        <is>
          <t>New Lead</t>
        </is>
      </c>
      <c r="G1895" t="inlineStr">
        <is>
          <t>Unclassified</t>
        </is>
      </c>
      <c r="H1895" t="inlineStr">
        <is>
          <t>https://mngl.in/storage/154194/Tendernotice_1---2026-04-16T225520.343.pdf</t>
        </is>
      </c>
      <c r="K1895" t="inlineStr">
        <is>
          <t>Not found</t>
        </is>
      </c>
      <c r="L1895" t="inlineStr">
        <is>
          <t>Unknown</t>
        </is>
      </c>
      <c r="T1895" t="inlineStr">
        <is>
          <t>https://mngl.in/storage/154194/Tendernotice_1---2026-04-16T225520.343.pdf</t>
        </is>
      </c>
      <c r="U1895" t="inlineStr">
        <is>
          <t>No</t>
        </is>
      </c>
      <c r="V1895" t="inlineStr">
        <is>
          <t>Bot tarafindan tespit edildi (2026-07-01) | Bot enrich; date=2026-07-01; type=pdf; score=105; Bot tespit/zenginlestirme (2026-07-01); meta:score=35;priority=Low;source_type=html_table;closing_date=;equipment=Unclassified;reasons=document source,tender reference signal</t>
        </is>
      </c>
    </row>
    <row r="1896">
      <c r="A1896" t="inlineStr">
        <is>
          <t>T-1700</t>
        </is>
      </c>
      <c r="B1896" t="inlineStr">
        <is>
          <t>Maharashtra Natural Gas (MNGL)</t>
        </is>
      </c>
      <c r="C1896" t="inlineStr">
        <is>
          <t>Maharashtra Natural Gas (MNGL)</t>
        </is>
      </c>
      <c r="D1896" t="inlineStr">
        <is>
          <t>in/storage/154190/Tendernotice_1---2026-04-16T225236.443.pdf</t>
        </is>
      </c>
      <c r="F1896" t="inlineStr">
        <is>
          <t>New Lead</t>
        </is>
      </c>
      <c r="G1896" t="inlineStr">
        <is>
          <t>Unclassified</t>
        </is>
      </c>
      <c r="H1896" t="inlineStr">
        <is>
          <t>https://mngl.in/storage/154190/Tendernotice_1---2026-04-16T225236.443.pdf</t>
        </is>
      </c>
      <c r="K1896" t="inlineStr">
        <is>
          <t>Not found</t>
        </is>
      </c>
      <c r="L1896" t="inlineStr">
        <is>
          <t>Unknown</t>
        </is>
      </c>
      <c r="T1896" t="inlineStr">
        <is>
          <t>https://mngl.in/storage/154190/Tendernotice_1---2026-04-16T225236.443.pdf</t>
        </is>
      </c>
      <c r="U1896" t="inlineStr">
        <is>
          <t>No</t>
        </is>
      </c>
      <c r="V1896" t="inlineStr">
        <is>
          <t>Bot tarafindan tespit edildi (2026-07-01) | Bot enrich; date=2026-07-01; type=pdf; score=105; Bot tespit/zenginlestirme (2026-07-01); meta:score=35;priority=Low;source_type=html_table;closing_date=;equipment=Unclassified;reasons=document source,tender reference signal</t>
        </is>
      </c>
    </row>
    <row r="1897">
      <c r="A1897" t="inlineStr">
        <is>
          <t>T-1701</t>
        </is>
      </c>
      <c r="B1897" t="inlineStr">
        <is>
          <t>Maharashtra Natural Gas (MNGL)</t>
        </is>
      </c>
      <c r="C1897" t="inlineStr">
        <is>
          <t>Maharashtra Natural Gas (MNGL)</t>
        </is>
      </c>
      <c r="D1897" t="inlineStr">
        <is>
          <t>in/storage/153483/Tendernotice_1---2026-04-14T103650.268.pdf</t>
        </is>
      </c>
      <c r="F1897" t="inlineStr">
        <is>
          <t>New Lead</t>
        </is>
      </c>
      <c r="G1897" t="inlineStr">
        <is>
          <t>Unclassified</t>
        </is>
      </c>
      <c r="H1897" t="inlineStr">
        <is>
          <t>https://mngl.in/storage/153483/Tendernotice_1---2026-04-14T103650.268.pdf</t>
        </is>
      </c>
      <c r="K1897" t="inlineStr">
        <is>
          <t>Not found</t>
        </is>
      </c>
      <c r="L1897" t="inlineStr">
        <is>
          <t>Unknown</t>
        </is>
      </c>
      <c r="T1897" t="inlineStr">
        <is>
          <t>https://mngl.in/storage/153483/Tendernotice_1---2026-04-14T103650.268.pdf</t>
        </is>
      </c>
      <c r="U1897" t="inlineStr">
        <is>
          <t>No</t>
        </is>
      </c>
      <c r="V1897" t="inlineStr">
        <is>
          <t>Bot tarafindan tespit edildi (2026-07-01) | Bot enrich; date=2026-07-01; type=pdf; score=105; Bot tespit/zenginlestirme (2026-07-01); meta:score=35;priority=Low;source_type=html_table;closing_date=;equipment=Unclassified;reasons=document source,tender reference signal</t>
        </is>
      </c>
    </row>
    <row r="1898">
      <c r="A1898" t="inlineStr">
        <is>
          <t>T-1702</t>
        </is>
      </c>
      <c r="B1898" t="inlineStr">
        <is>
          <t>Maharashtra Natural Gas (MNGL)</t>
        </is>
      </c>
      <c r="C1898" t="inlineStr">
        <is>
          <t>Maharashtra Natural Gas (MNGL)</t>
        </is>
      </c>
      <c r="D1898" t="inlineStr">
        <is>
          <t>in/storage/153481/Tendernotice_1---2026-04-14T103525.248.pdf</t>
        </is>
      </c>
      <c r="F1898" t="inlineStr">
        <is>
          <t>New Lead</t>
        </is>
      </c>
      <c r="G1898" t="inlineStr">
        <is>
          <t>Unclassified</t>
        </is>
      </c>
      <c r="H1898" t="inlineStr">
        <is>
          <t>https://mngl.in/storage/153481/Tendernotice_1---2026-04-14T103525.248.pdf</t>
        </is>
      </c>
      <c r="K1898" t="inlineStr">
        <is>
          <t>Not found</t>
        </is>
      </c>
      <c r="L1898" t="inlineStr">
        <is>
          <t>Unknown</t>
        </is>
      </c>
      <c r="T1898" t="inlineStr">
        <is>
          <t>https://mngl.in/storage/153481/Tendernotice_1---2026-04-14T103525.248.pdf</t>
        </is>
      </c>
      <c r="U1898" t="inlineStr">
        <is>
          <t>No</t>
        </is>
      </c>
      <c r="V1898" t="inlineStr">
        <is>
          <t>Bot tarafindan tespit edildi (2026-07-01) | Bot enrich; date=2026-07-01; type=pdf; score=105; Bot tespit/zenginlestirme (2026-07-01); meta:score=35;priority=Low;source_type=html_table;closing_date=;equipment=Unclassified;reasons=document source,tender reference signal</t>
        </is>
      </c>
    </row>
    <row r="1899">
      <c r="A1899" t="inlineStr">
        <is>
          <t>T-1703</t>
        </is>
      </c>
      <c r="B1899" t="inlineStr">
        <is>
          <t>Maharashtra Natural Gas (MNGL)</t>
        </is>
      </c>
      <c r="C1899" t="inlineStr">
        <is>
          <t>Maharashtra Natural Gas (MNGL)</t>
        </is>
      </c>
      <c r="D1899" t="inlineStr">
        <is>
          <t>in/storage/153473/Tendernotice_1---2026-04-14T103155.820.pdf</t>
        </is>
      </c>
      <c r="F1899" t="inlineStr">
        <is>
          <t>New Lead</t>
        </is>
      </c>
      <c r="G1899" t="inlineStr">
        <is>
          <t>Unclassified</t>
        </is>
      </c>
      <c r="H1899" t="inlineStr">
        <is>
          <t>https://mngl.in/storage/153473/Tendernotice_1---2026-04-14T103155.820.pdf</t>
        </is>
      </c>
      <c r="K1899" t="inlineStr">
        <is>
          <t>Not found</t>
        </is>
      </c>
      <c r="L1899" t="inlineStr">
        <is>
          <t>Unknown</t>
        </is>
      </c>
      <c r="T1899" t="inlineStr">
        <is>
          <t>https://mngl.in/storage/153473/Tendernotice_1---2026-04-14T103155.820.pdf</t>
        </is>
      </c>
      <c r="U1899" t="inlineStr">
        <is>
          <t>No</t>
        </is>
      </c>
      <c r="V1899" t="inlineStr">
        <is>
          <t>Bot tarafindan tespit edildi (2026-07-01) | Bot enrich; date=2026-07-01; type=pdf; score=105; Bot tespit/zenginlestirme (2026-07-01); meta:score=35;priority=Low;source_type=html_table;closing_date=;equipment=Unclassified;reasons=document source,tender reference signal</t>
        </is>
      </c>
    </row>
    <row r="1900">
      <c r="A1900" t="inlineStr">
        <is>
          <t>T-1704</t>
        </is>
      </c>
      <c r="B1900" t="inlineStr">
        <is>
          <t>Maharashtra Natural Gas (MNGL)</t>
        </is>
      </c>
      <c r="C1900" t="inlineStr">
        <is>
          <t>Maharashtra Natural Gas (MNGL)</t>
        </is>
      </c>
      <c r="D1900" t="inlineStr">
        <is>
          <t>in/storage/146883/Tendernotice_1---2026-04-01T123517.925.pdf</t>
        </is>
      </c>
      <c r="F1900" t="inlineStr">
        <is>
          <t>New Lead</t>
        </is>
      </c>
      <c r="G1900" t="inlineStr">
        <is>
          <t>Unclassified</t>
        </is>
      </c>
      <c r="H1900" t="inlineStr">
        <is>
          <t>https://mngl.in/storage/146883/Tendernotice_1---2026-04-01T123517.925.pdf</t>
        </is>
      </c>
      <c r="K1900" t="inlineStr">
        <is>
          <t>Not found</t>
        </is>
      </c>
      <c r="L1900" t="inlineStr">
        <is>
          <t>Unknown</t>
        </is>
      </c>
      <c r="T1900" t="inlineStr">
        <is>
          <t>https://mngl.in/storage/146883/Tendernotice_1---2026-04-01T123517.925.pdf</t>
        </is>
      </c>
      <c r="U1900" t="inlineStr">
        <is>
          <t>No</t>
        </is>
      </c>
      <c r="V1900" t="inlineStr">
        <is>
          <t>Bot tarafindan tespit edildi (2026-07-01) | Bot enrich; date=2026-07-01; type=pdf; score=105; Bot tespit/zenginlestirme (2026-07-01); meta:score=35;priority=Low;source_type=html_table;closing_date=;equipment=Unclassified;reasons=document source,tender reference signal</t>
        </is>
      </c>
    </row>
    <row r="1901">
      <c r="A1901" t="inlineStr">
        <is>
          <t>T-1705</t>
        </is>
      </c>
      <c r="B1901" t="inlineStr">
        <is>
          <t>Maharashtra Natural Gas (MNGL)</t>
        </is>
      </c>
      <c r="C1901" t="inlineStr">
        <is>
          <t>Maharashtra Natural Gas (MNGL)</t>
        </is>
      </c>
      <c r="D1901" t="inlineStr">
        <is>
          <t>in/storage/146820/Tendernotice_1---2026-04-01T115129.906.pdf</t>
        </is>
      </c>
      <c r="F1901" t="inlineStr">
        <is>
          <t>New Lead</t>
        </is>
      </c>
      <c r="G1901" t="inlineStr">
        <is>
          <t>Unclassified</t>
        </is>
      </c>
      <c r="H1901" t="inlineStr">
        <is>
          <t>https://mngl.in/storage/146820/Tendernotice_1---2026-04-01T115129.906.pdf</t>
        </is>
      </c>
      <c r="K1901" t="inlineStr">
        <is>
          <t>Not found</t>
        </is>
      </c>
      <c r="L1901" t="inlineStr">
        <is>
          <t>Unknown</t>
        </is>
      </c>
      <c r="T1901" t="inlineStr">
        <is>
          <t>https://mngl.in/storage/146820/Tendernotice_1---2026-04-01T115129.906.pdf</t>
        </is>
      </c>
      <c r="U1901" t="inlineStr">
        <is>
          <t>No</t>
        </is>
      </c>
      <c r="V1901" t="inlineStr">
        <is>
          <t>Bot tarafindan tespit edildi (2026-07-01) | Bot enrich; date=2026-07-01; type=pdf; score=105; Bot tespit/zenginlestirme (2026-07-01); meta:score=35;priority=Low;source_type=html_table;closing_date=;equipment=Unclassified;reasons=document source,tender reference signal</t>
        </is>
      </c>
    </row>
    <row r="1902">
      <c r="A1902" t="inlineStr">
        <is>
          <t>T-1706</t>
        </is>
      </c>
      <c r="B1902" t="inlineStr">
        <is>
          <t>Maharashtra Natural Gas (MNGL)</t>
        </is>
      </c>
      <c r="C1902" t="inlineStr">
        <is>
          <t>Maharashtra Natural Gas (MNGL)</t>
        </is>
      </c>
      <c r="D1902" t="inlineStr">
        <is>
          <t>in/storage/146780/Tendernotice_1---2026-04-01T112357.183.pdf</t>
        </is>
      </c>
      <c r="F1902" t="inlineStr">
        <is>
          <t>New Lead</t>
        </is>
      </c>
      <c r="G1902" t="inlineStr">
        <is>
          <t>Unclassified</t>
        </is>
      </c>
      <c r="H1902" t="inlineStr">
        <is>
          <t>https://mngl.in/storage/146780/Tendernotice_1---2026-04-01T112357.183.pdf</t>
        </is>
      </c>
      <c r="K1902" t="inlineStr">
        <is>
          <t>Not found</t>
        </is>
      </c>
      <c r="L1902" t="inlineStr">
        <is>
          <t>Unknown</t>
        </is>
      </c>
      <c r="T1902" t="inlineStr">
        <is>
          <t>https://mngl.in/storage/146780/Tendernotice_1---2026-04-01T112357.183.pdf</t>
        </is>
      </c>
      <c r="U1902" t="inlineStr">
        <is>
          <t>No</t>
        </is>
      </c>
      <c r="V1902" t="inlineStr">
        <is>
          <t>Bot tarafindan tespit edildi (2026-07-01) | Bot enrich; date=2026-07-01; type=pdf; score=105; Bot tespit/zenginlestirme (2026-07-01); meta:score=35;priority=Low;source_type=html_table;closing_date=;equipment=Unclassified;reasons=document source,tender reference signal</t>
        </is>
      </c>
    </row>
    <row r="1903">
      <c r="A1903" t="inlineStr">
        <is>
          <t>T-1707</t>
        </is>
      </c>
      <c r="B1903" t="inlineStr">
        <is>
          <t>Maharashtra Natural Gas (MNGL)</t>
        </is>
      </c>
      <c r="C1903" t="inlineStr">
        <is>
          <t>Maharashtra Natural Gas (MNGL)</t>
        </is>
      </c>
      <c r="D1903" t="inlineStr">
        <is>
          <t>in/storage/146764/Tendernotice_1---2026-04-01T111553.314.pdf</t>
        </is>
      </c>
      <c r="F1903" t="inlineStr">
        <is>
          <t>New Lead</t>
        </is>
      </c>
      <c r="G1903" t="inlineStr">
        <is>
          <t>Unclassified</t>
        </is>
      </c>
      <c r="H1903" t="inlineStr">
        <is>
          <t>https://mngl.in/storage/146764/Tendernotice_1---2026-04-01T111553.314.pdf</t>
        </is>
      </c>
      <c r="K1903" t="inlineStr">
        <is>
          <t>Not found</t>
        </is>
      </c>
      <c r="L1903" t="inlineStr">
        <is>
          <t>Unknown</t>
        </is>
      </c>
      <c r="T1903" t="inlineStr">
        <is>
          <t>https://mngl.in/storage/146764/Tendernotice_1---2026-04-01T111553.314.pdf</t>
        </is>
      </c>
      <c r="U1903" t="inlineStr">
        <is>
          <t>No</t>
        </is>
      </c>
      <c r="V1903" t="inlineStr">
        <is>
          <t>Bot tarafindan tespit edildi (2026-07-01) | Bot enrich; date=2026-07-01; type=pdf; score=105; Bot tespit/zenginlestirme (2026-07-01); meta:score=35;priority=Low;source_type=html_table;closing_date=;equipment=Unclassified;reasons=document source,tender reference signal</t>
        </is>
      </c>
    </row>
    <row r="1904">
      <c r="A1904" t="inlineStr">
        <is>
          <t>T-1708</t>
        </is>
      </c>
      <c r="B1904" t="inlineStr">
        <is>
          <t>Maharashtra Natural Gas (MNGL)</t>
        </is>
      </c>
      <c r="C1904" t="inlineStr">
        <is>
          <t>Maharashtra Natural Gas (MNGL)</t>
        </is>
      </c>
      <c r="D1904" t="inlineStr">
        <is>
          <t>in/storage/140582/Tendernotice_1_161.pdf</t>
        </is>
      </c>
      <c r="F1904" t="inlineStr">
        <is>
          <t>New Lead</t>
        </is>
      </c>
      <c r="G1904" t="inlineStr">
        <is>
          <t>Unclassified</t>
        </is>
      </c>
      <c r="H1904" t="inlineStr">
        <is>
          <t>https://mngl.in/storage/140582/Tendernotice_1_161.pdf</t>
        </is>
      </c>
      <c r="K1904" t="inlineStr">
        <is>
          <t>Not found</t>
        </is>
      </c>
      <c r="L1904" t="inlineStr">
        <is>
          <t>Unknown</t>
        </is>
      </c>
      <c r="T1904" t="inlineStr">
        <is>
          <t>https://mngl.in/storage/140582/Tendernotice_1_161.pdf</t>
        </is>
      </c>
      <c r="U1904" t="inlineStr">
        <is>
          <t>No</t>
        </is>
      </c>
      <c r="V1904" t="inlineStr">
        <is>
          <t>Bot tarafindan tespit edildi (2026-07-01) | Bot enrich; date=2026-07-01; type=pdf; score=105; Bot tespit/zenginlestirme (2026-07-01); meta:score=35;priority=Low;source_type=html_table;closing_date=;equipment=Unclassified;reasons=document source,tender reference signal</t>
        </is>
      </c>
    </row>
    <row r="1905">
      <c r="A1905" t="inlineStr">
        <is>
          <t>T-1709</t>
        </is>
      </c>
      <c r="B1905" t="inlineStr">
        <is>
          <t>Maharashtra Natural Gas (MNGL)</t>
        </is>
      </c>
      <c r="C1905" t="inlineStr">
        <is>
          <t>Maharashtra Natural Gas (MNGL)</t>
        </is>
      </c>
      <c r="D1905" t="inlineStr">
        <is>
          <t>in/storage/135803/Tendernotice_1---2026-03-19T130351.398.pdf</t>
        </is>
      </c>
      <c r="F1905" t="inlineStr">
        <is>
          <t>New Lead</t>
        </is>
      </c>
      <c r="G1905" t="inlineStr">
        <is>
          <t>Unclassified</t>
        </is>
      </c>
      <c r="H1905" t="inlineStr">
        <is>
          <t>https://mngl.in/storage/135803/Tendernotice_1---2026-03-19T130351.398.pdf</t>
        </is>
      </c>
      <c r="K1905" t="inlineStr">
        <is>
          <t>Not found</t>
        </is>
      </c>
      <c r="L1905" t="inlineStr">
        <is>
          <t>Unknown</t>
        </is>
      </c>
      <c r="T1905" t="inlineStr">
        <is>
          <t>https://mngl.in/storage/135803/Tendernotice_1---2026-03-19T130351.398.pdf</t>
        </is>
      </c>
      <c r="U1905" t="inlineStr">
        <is>
          <t>No</t>
        </is>
      </c>
      <c r="V1905" t="inlineStr">
        <is>
          <t>Bot tarafindan tespit edildi (2026-07-01) | Bot enrich; date=2026-07-01; type=pdf; score=105; Bot tespit/zenginlestirme (2026-07-01); meta:score=35;priority=Low;source_type=html_table;closing_date=;equipment=Unclassified;reasons=document source,tender reference signal</t>
        </is>
      </c>
    </row>
    <row r="1906">
      <c r="A1906" t="inlineStr">
        <is>
          <t>T-1710</t>
        </is>
      </c>
      <c r="B1906" t="inlineStr">
        <is>
          <t>Maharashtra Natural Gas (MNGL)</t>
        </is>
      </c>
      <c r="C1906" t="inlineStr">
        <is>
          <t>Maharashtra Natural Gas (MNGL)</t>
        </is>
      </c>
      <c r="D1906" t="inlineStr">
        <is>
          <t>Tender Document</t>
        </is>
      </c>
      <c r="F1906" t="inlineStr">
        <is>
          <t>New Lead</t>
        </is>
      </c>
      <c r="G1906" t="inlineStr">
        <is>
          <t>CGS</t>
        </is>
      </c>
      <c r="H1906" t="inlineStr">
        <is>
          <t>https://mngl.in/storage/121380/114_Tender-Document-for-CGS-Hadapsar.pdf</t>
        </is>
      </c>
      <c r="K1906" t="inlineStr">
        <is>
          <t>shall be measured through an authorized competent person and the payment shall be made by MNGL</t>
        </is>
      </c>
      <c r="L1906" t="inlineStr">
        <is>
          <t>Unknown</t>
        </is>
      </c>
      <c r="T1906" t="inlineStr">
        <is>
          <t>https://mngl.in/storage/121380/114_Tender-Document-for-CGS-Hadapsar.pdf</t>
        </is>
      </c>
      <c r="U1906" t="inlineStr">
        <is>
          <t>No</t>
        </is>
      </c>
      <c r="V1906" t="inlineStr">
        <is>
          <t>Bot tarafindan tespit edildi (2026-07-01) | Bot enrich; date=2026-07-01; type=pdf; score=205; Bot tespit/zenginlestirme (2026-07-01); meta:score=45;priority=Medium;source_type=html_table;closing_date=;equipment=Unclassified;reasons=station/skid keyword,document source; Bot clean extraction (2026-07-01); meta:score=90;priority=High;source_type=html_table;closing_date=None;equipment=Regulating / metering station;quality_status=market_target;market_relevance=High;document_type=award;unit_price_inr=;amount_label=;matched_terms=Regulating / metering station;reject_reasons=employment/corporate;scope=market_intelligence_only;excluded_scope=no_bid_or_offer_submission_automation</t>
        </is>
      </c>
    </row>
    <row r="1907">
      <c r="A1907" t="inlineStr">
        <is>
          <t>T-1711</t>
        </is>
      </c>
      <c r="B1907" t="inlineStr">
        <is>
          <t>Maharashtra Natural Gas (MNGL)</t>
        </is>
      </c>
      <c r="C1907" t="inlineStr">
        <is>
          <t>Maharashtra Natural Gas (MNGL)</t>
        </is>
      </c>
      <c r="F1907" t="inlineStr">
        <is>
          <t>New Lead</t>
        </is>
      </c>
      <c r="H1907" t="inlineStr">
        <is>
          <t>https://mngl.in/storage/121379/113_Tender-Document-for-Pig-Launcher.pdf</t>
        </is>
      </c>
      <c r="K1907" t="inlineStr">
        <is>
          <t>Not found</t>
        </is>
      </c>
      <c r="L1907" t="inlineStr">
        <is>
          <t>Unknown</t>
        </is>
      </c>
      <c r="T1907" t="inlineStr">
        <is>
          <t>https://mngl.in/storage/121379/113_Tender-Document-for-Pig-Launcher.pdf</t>
        </is>
      </c>
      <c r="U1907" t="inlineStr">
        <is>
          <t>No</t>
        </is>
      </c>
      <c r="V1907" t="inlineStr">
        <is>
          <t>Bot tarafindan tespit edildi (2026-07-01)</t>
        </is>
      </c>
    </row>
    <row r="1908">
      <c r="A1908" t="inlineStr">
        <is>
          <t>T-1712</t>
        </is>
      </c>
      <c r="B1908" t="inlineStr">
        <is>
          <t>Maharashtra Natural Gas (MNGL)</t>
        </is>
      </c>
      <c r="C1908" t="inlineStr">
        <is>
          <t>Maharashtra Natural Gas (MNGL)</t>
        </is>
      </c>
      <c r="F1908" t="inlineStr">
        <is>
          <t>New Lead</t>
        </is>
      </c>
      <c r="H1908" t="inlineStr">
        <is>
          <t>https://mngl.in/storage/82123/126_Pig-Launcher-land-Tender.pdf</t>
        </is>
      </c>
      <c r="K1908" t="inlineStr">
        <is>
          <t>Not found</t>
        </is>
      </c>
      <c r="L1908" t="inlineStr">
        <is>
          <t>Unknown</t>
        </is>
      </c>
      <c r="T1908" t="inlineStr">
        <is>
          <t>https://mngl.in/storage/82123/126_Pig-Launcher-land-Tender.pdf</t>
        </is>
      </c>
      <c r="U1908" t="inlineStr">
        <is>
          <t>No</t>
        </is>
      </c>
      <c r="V1908" t="inlineStr">
        <is>
          <t>Bot tarafindan tespit edildi (2026-07-01)</t>
        </is>
      </c>
    </row>
    <row r="1909">
      <c r="A1909" t="inlineStr">
        <is>
          <t>T-1713</t>
        </is>
      </c>
      <c r="B1909" t="inlineStr">
        <is>
          <t>Maharashtra Natural Gas (MNGL)</t>
        </is>
      </c>
      <c r="C1909" t="inlineStr">
        <is>
          <t>Maharashtra Natural Gas (MNGL)</t>
        </is>
      </c>
      <c r="D1909" t="inlineStr">
        <is>
          <t>in/storage/80576/Tendernotice_1---2024-10-21T145611.910.pdf</t>
        </is>
      </c>
      <c r="F1909" t="inlineStr">
        <is>
          <t>New Lead</t>
        </is>
      </c>
      <c r="G1909" t="inlineStr">
        <is>
          <t>Unclassified</t>
        </is>
      </c>
      <c r="H1909" t="inlineStr">
        <is>
          <t>https://mngl.in/storage/80576/Tendernotice_1---2024-10-21T145611.910.pdf</t>
        </is>
      </c>
      <c r="K1909" t="inlineStr">
        <is>
          <t>Not found</t>
        </is>
      </c>
      <c r="L1909" t="inlineStr">
        <is>
          <t>Unknown</t>
        </is>
      </c>
      <c r="T1909" t="inlineStr">
        <is>
          <t>https://mngl.in/storage/80576/Tendernotice_1---2024-10-21T145611.910.pdf</t>
        </is>
      </c>
      <c r="U1909" t="inlineStr">
        <is>
          <t>No</t>
        </is>
      </c>
      <c r="V1909" t="inlineStr">
        <is>
          <t>Bot tarafindan tespit edildi (2026-07-01) | Bot enrich; date=2026-07-01; type=pdf; score=105; Bot tespit/zenginlestirme (2026-07-01); meta:score=35;priority=Low;source_type=html_table;closing_date=;equipment=Unclassified;reasons=document source,tender reference signal</t>
        </is>
      </c>
    </row>
    <row r="1910">
      <c r="A1910" t="inlineStr">
        <is>
          <t>T-1714</t>
        </is>
      </c>
      <c r="B1910" t="inlineStr">
        <is>
          <t>Maharashtra Natural Gas (MNGL)</t>
        </is>
      </c>
      <c r="C1910" t="inlineStr">
        <is>
          <t>Maharashtra Natural Gas (MNGL)</t>
        </is>
      </c>
      <c r="D1910" t="inlineStr">
        <is>
          <t>in/storage/72570/Tendernotice_1---2024-06-26T122904.924.pdf</t>
        </is>
      </c>
      <c r="F1910" t="inlineStr">
        <is>
          <t>New Lead</t>
        </is>
      </c>
      <c r="G1910" t="inlineStr">
        <is>
          <t>Unclassified</t>
        </is>
      </c>
      <c r="H1910" t="inlineStr">
        <is>
          <t>https://mngl.in/storage/72570/Tendernotice_1---2024-06-26T122904.924.pdf</t>
        </is>
      </c>
      <c r="K1910" t="inlineStr">
        <is>
          <t>Not found</t>
        </is>
      </c>
      <c r="L1910" t="inlineStr">
        <is>
          <t>Unknown</t>
        </is>
      </c>
      <c r="T1910" t="inlineStr">
        <is>
          <t>https://mngl.in/storage/72570/Tendernotice_1---2024-06-26T122904.924.pdf</t>
        </is>
      </c>
      <c r="U1910" t="inlineStr">
        <is>
          <t>No</t>
        </is>
      </c>
      <c r="V1910" t="inlineStr">
        <is>
          <t>Bot tarafindan tespit edildi (2026-07-01) | Bot enrich; date=2026-07-01; type=pdf; score=105; Bot tespit/zenginlestirme (2026-07-01); meta:score=35;priority=Low;source_type=html_table;closing_date=;equipment=Unclassified;reasons=document source,tender reference signal</t>
        </is>
      </c>
    </row>
    <row r="1911">
      <c r="A1911" t="inlineStr">
        <is>
          <t>T-1715</t>
        </is>
      </c>
      <c r="B1911" t="inlineStr">
        <is>
          <t>Maharashtra Natural Gas (MNGL)</t>
        </is>
      </c>
      <c r="C1911" t="inlineStr">
        <is>
          <t>Maharashtra Natural Gas (MNGL)</t>
        </is>
      </c>
      <c r="D1911" t="inlineStr">
        <is>
          <t>in/storage/71967/Tendernotice_1---2024-06-19T141819.152.pdf</t>
        </is>
      </c>
      <c r="F1911" t="inlineStr">
        <is>
          <t>New Lead</t>
        </is>
      </c>
      <c r="G1911" t="inlineStr">
        <is>
          <t>Unclassified</t>
        </is>
      </c>
      <c r="H1911" t="inlineStr">
        <is>
          <t>https://mngl.in/storage/71967/Tendernotice_1---2024-06-19T141819.152.pdf</t>
        </is>
      </c>
      <c r="K1911" t="inlineStr">
        <is>
          <t>Not found</t>
        </is>
      </c>
      <c r="L1911" t="inlineStr">
        <is>
          <t>Unknown</t>
        </is>
      </c>
      <c r="T1911" t="inlineStr">
        <is>
          <t>https://mngl.in/storage/71967/Tendernotice_1---2024-06-19T141819.152.pdf</t>
        </is>
      </c>
      <c r="U1911" t="inlineStr">
        <is>
          <t>No</t>
        </is>
      </c>
      <c r="V1911" t="inlineStr">
        <is>
          <t>Bot tarafindan tespit edildi (2026-07-01) | Bot enrich; date=2026-07-01; type=pdf; score=105; Bot tespit/zenginlestirme (2026-07-01); meta:score=35;priority=Low;source_type=html_table;closing_date=;equipment=Unclassified;reasons=document source,tender reference signal</t>
        </is>
      </c>
    </row>
    <row r="1912">
      <c r="A1912" t="inlineStr">
        <is>
          <t>T-1716</t>
        </is>
      </c>
      <c r="B1912" t="inlineStr">
        <is>
          <t>Maharashtra Natural Gas (MNGL)</t>
        </is>
      </c>
      <c r="C1912" t="inlineStr">
        <is>
          <t>Maharashtra Natural Gas (MNGL)</t>
        </is>
      </c>
      <c r="F1912" t="inlineStr">
        <is>
          <t>New Lead</t>
        </is>
      </c>
      <c r="H1912" t="inlineStr">
        <is>
          <t>MNGL Successfully Ignites Govinda's Kitchen, ISKCON, Camp Pune with Piped Natural Gas (PNG)Jun 17, 2026</t>
        </is>
      </c>
      <c r="K1912" t="inlineStr">
        <is>
          <t>Not found</t>
        </is>
      </c>
      <c r="L1912" t="inlineStr">
        <is>
          <t>Unknown</t>
        </is>
      </c>
      <c r="T1912" t="inlineStr">
        <is>
          <t>https://mngl.in/latest-news-detail/21</t>
        </is>
      </c>
      <c r="U1912" t="inlineStr">
        <is>
          <t>No</t>
        </is>
      </c>
      <c r="V1912" t="inlineStr">
        <is>
          <t>Bot tarafindan tespit edildi (2026-07-01)</t>
        </is>
      </c>
    </row>
    <row r="1913">
      <c r="A1913" t="inlineStr">
        <is>
          <t>T-1717</t>
        </is>
      </c>
      <c r="B1913" t="inlineStr">
        <is>
          <t>Gasonet Services</t>
        </is>
      </c>
      <c r="C1913" t="inlineStr">
        <is>
          <t>Gasonet Services</t>
        </is>
      </c>
      <c r="F1913" t="inlineStr">
        <is>
          <t>New Lead</t>
        </is>
      </c>
      <c r="H1913" t="inlineStr">
        <is>
          <t>Tenders</t>
        </is>
      </c>
      <c r="K1913" t="inlineStr">
        <is>
          <t>Not found</t>
        </is>
      </c>
      <c r="L1913" t="inlineStr">
        <is>
          <t>Unknown</t>
        </is>
      </c>
      <c r="T1913" t="inlineStr">
        <is>
          <t>https://www.gasonet.in/tenders.html</t>
        </is>
      </c>
      <c r="U1913" t="inlineStr">
        <is>
          <t>No</t>
        </is>
      </c>
      <c r="V1913" t="inlineStr">
        <is>
          <t>Bot tarafindan tespit edildi (2026-07-01)</t>
        </is>
      </c>
    </row>
    <row r="1914">
      <c r="A1914" t="inlineStr">
        <is>
          <t>T-1718</t>
        </is>
      </c>
      <c r="B1914" t="inlineStr">
        <is>
          <t>Gasonet Services</t>
        </is>
      </c>
      <c r="C1914" t="inlineStr">
        <is>
          <t>Gasonet Services</t>
        </is>
      </c>
      <c r="D1914" t="inlineStr">
        <is>
          <t>Bid Queries_Compressor</t>
        </is>
      </c>
      <c r="F1914" t="inlineStr">
        <is>
          <t>New Lead</t>
        </is>
      </c>
      <c r="G1914" t="inlineStr">
        <is>
          <t>Gas-related / review</t>
        </is>
      </c>
      <c r="H1914" t="inlineStr">
        <is>
          <t>Replies to Pre-Bid Queries_Compressor</t>
        </is>
      </c>
      <c r="K1914" t="inlineStr">
        <is>
          <t>Not found</t>
        </is>
      </c>
      <c r="L1914" t="inlineStr">
        <is>
          <t>Unknown</t>
        </is>
      </c>
      <c r="T1914" t="inlineStr">
        <is>
          <t>https://www.gasonet.in/files/Replies to Pre-Bid Queries_Compressor.pdf</t>
        </is>
      </c>
      <c r="U1914" t="inlineStr">
        <is>
          <t>No</t>
        </is>
      </c>
      <c r="V1914" t="inlineStr">
        <is>
          <t>Bot tarafindan tespit edildi (2026-07-01) | Bot enrich; date=2026-07-01; type=pdf; score=195; Bot tespit/zenginlestirme (2026-07-01); meta:score=35;priority=Low;source_type=html_table;closing_date=;equipment=Gas-related / review;reasons=equipment:Gas-related / review,document source</t>
        </is>
      </c>
    </row>
    <row r="1915">
      <c r="A1915" t="inlineStr">
        <is>
          <t>T-1719</t>
        </is>
      </c>
      <c r="B1915" t="inlineStr">
        <is>
          <t>Gasonet Services</t>
        </is>
      </c>
      <c r="C1915" t="inlineStr">
        <is>
          <t>Gasonet Services</t>
        </is>
      </c>
      <c r="D1915" t="inlineStr">
        <is>
          <t>Bid Queries_Compressor</t>
        </is>
      </c>
      <c r="F1915" t="inlineStr">
        <is>
          <t>New Lead</t>
        </is>
      </c>
      <c r="G1915" t="inlineStr">
        <is>
          <t>Gas-related / review</t>
        </is>
      </c>
      <c r="H1915" t="inlineStr">
        <is>
          <t>Corrigendum-01_Compressor</t>
        </is>
      </c>
      <c r="K1915" t="inlineStr">
        <is>
          <t>Not found</t>
        </is>
      </c>
      <c r="L1915" t="inlineStr">
        <is>
          <t>Unknown</t>
        </is>
      </c>
      <c r="T1915" t="inlineStr">
        <is>
          <t>https://www.gasonet.in/files/Corrigendum-01_Compressor.pdf</t>
        </is>
      </c>
      <c r="U1915" t="inlineStr">
        <is>
          <t>No</t>
        </is>
      </c>
      <c r="V1915" t="inlineStr">
        <is>
          <t>Bot tarafindan tespit edildi (2026-07-01) | Bot enrich; date=2026-07-01; type=pdf; score=195; Bot tespit/zenginlestirme (2026-07-01); meta:score=35;priority=Low;source_type=html_table;closing_date=;equipment=Gas-related / review;reasons=equipment:Gas-related / review,document source</t>
        </is>
      </c>
    </row>
    <row r="1916">
      <c r="A1916" t="inlineStr">
        <is>
          <t>T-1720</t>
        </is>
      </c>
      <c r="B1916" t="inlineStr">
        <is>
          <t>Gasonet Services</t>
        </is>
      </c>
      <c r="C1916" t="inlineStr">
        <is>
          <t>Gasonet Services</t>
        </is>
      </c>
      <c r="D1916" t="inlineStr">
        <is>
          <t>files/Replies</t>
        </is>
      </c>
      <c r="F1916" t="inlineStr">
        <is>
          <t>New Lead</t>
        </is>
      </c>
      <c r="G1916" t="inlineStr">
        <is>
          <t>Gas-related / review</t>
        </is>
      </c>
      <c r="H1916" t="inlineStr">
        <is>
          <t>Replies to Bidder's Queries_Cascade</t>
        </is>
      </c>
      <c r="K1916" t="inlineStr">
        <is>
          <t>Not found</t>
        </is>
      </c>
      <c r="L1916" t="inlineStr">
        <is>
          <t>Unknown</t>
        </is>
      </c>
      <c r="T1916" t="inlineStr">
        <is>
          <t>https://www.gasonet.in/files/Replies to Bidder's Queries_Cascade.pdf</t>
        </is>
      </c>
      <c r="U1916" t="inlineStr">
        <is>
          <t>No</t>
        </is>
      </c>
      <c r="V1916" t="inlineStr">
        <is>
          <t>Bot tarafindan tespit edildi (2026-07-01) | Bot enrich; date=2026-07-01; type=pdf; score=175; Bot tespit/zenginlestirme (2026-07-01); meta:score=35;priority=Low;source_type=html_table;closing_date=;equipment=Gas-related / review;reasons=equipment:Gas-related / review,document source</t>
        </is>
      </c>
    </row>
    <row r="1917">
      <c r="A1917" t="inlineStr">
        <is>
          <t>T-1721</t>
        </is>
      </c>
      <c r="B1917" t="inlineStr">
        <is>
          <t>Gasonet Services</t>
        </is>
      </c>
      <c r="C1917" t="inlineStr">
        <is>
          <t>Gasonet Services</t>
        </is>
      </c>
      <c r="D1917" t="inlineStr">
        <is>
          <t>files/Corrigendum-01</t>
        </is>
      </c>
      <c r="F1917" t="inlineStr">
        <is>
          <t>New Lead</t>
        </is>
      </c>
      <c r="G1917" t="inlineStr">
        <is>
          <t>Gas-related / review</t>
        </is>
      </c>
      <c r="H1917" t="inlineStr">
        <is>
          <t>Corrigendum-01 and Additional Replies to Bidder's Queries</t>
        </is>
      </c>
      <c r="K1917" t="inlineStr">
        <is>
          <t>Not found</t>
        </is>
      </c>
      <c r="L1917" t="inlineStr">
        <is>
          <t>Unknown</t>
        </is>
      </c>
      <c r="T1917" t="inlineStr">
        <is>
          <t>https://www.gasonet.in/files/Corrigendum-01 and Additional Replies to Bidder's Queries.pdf</t>
        </is>
      </c>
      <c r="U1917" t="inlineStr">
        <is>
          <t>No</t>
        </is>
      </c>
      <c r="V1917" t="inlineStr">
        <is>
          <t>Bot tarafindan tespit edildi (2026-07-01) | Bot enrich; date=2026-07-01; type=pdf; score=175; Bot tespit/zenginlestirme (2026-07-01); meta:score=35;priority=Low;source_type=html_table;closing_date=;equipment=Gas-related / review;reasons=equipment:Gas-related / review,document source</t>
        </is>
      </c>
    </row>
    <row r="1918">
      <c r="A1918" t="inlineStr">
        <is>
          <t>T-1722</t>
        </is>
      </c>
      <c r="B1918" t="inlineStr">
        <is>
          <t>Gasonet Services</t>
        </is>
      </c>
      <c r="C1918" t="inlineStr">
        <is>
          <t>Gasonet Services</t>
        </is>
      </c>
      <c r="D1918" t="inlineStr">
        <is>
          <t>files/Corrigendum-02_Cascade.pdf</t>
        </is>
      </c>
      <c r="F1918" t="inlineStr">
        <is>
          <t>New Lead</t>
        </is>
      </c>
      <c r="G1918" t="inlineStr">
        <is>
          <t>Gas-related / review</t>
        </is>
      </c>
      <c r="H1918" t="inlineStr">
        <is>
          <t>Corrigendum-02_Cascade</t>
        </is>
      </c>
      <c r="K1918" t="inlineStr">
        <is>
          <t>Not found</t>
        </is>
      </c>
      <c r="L1918" t="inlineStr">
        <is>
          <t>Unknown</t>
        </is>
      </c>
      <c r="T1918" t="inlineStr">
        <is>
          <t>https://www.gasonet.in/files/Corrigendum-02_Cascade.pdf</t>
        </is>
      </c>
      <c r="U1918" t="inlineStr">
        <is>
          <t>No</t>
        </is>
      </c>
      <c r="V1918" t="inlineStr">
        <is>
          <t>Bot tarafindan tespit edildi (2026-07-01) | Bot enrich; date=2026-07-01; type=pdf; score=175; Bot tespit/zenginlestirme (2026-07-01); meta:score=35;priority=Low;source_type=html_table;closing_date=;equipment=Gas-related / review;reasons=equipment:Gas-related / review,document source</t>
        </is>
      </c>
    </row>
    <row r="1919">
      <c r="A1919" t="inlineStr">
        <is>
          <t>T-1723</t>
        </is>
      </c>
      <c r="B1919" t="inlineStr">
        <is>
          <t>Gasonet Services</t>
        </is>
      </c>
      <c r="C1919" t="inlineStr">
        <is>
          <t>Gasonet Services</t>
        </is>
      </c>
      <c r="D1919" t="inlineStr">
        <is>
          <t>bid queries_Dispenser</t>
        </is>
      </c>
      <c r="F1919" t="inlineStr">
        <is>
          <t>New Lead</t>
        </is>
      </c>
      <c r="G1919" t="inlineStr">
        <is>
          <t>Gas-related / review</t>
        </is>
      </c>
      <c r="H1919" t="inlineStr">
        <is>
          <t>Corrigendum 01_Dispenser</t>
        </is>
      </c>
      <c r="K1919" t="inlineStr">
        <is>
          <t>Not found</t>
        </is>
      </c>
      <c r="L1919" t="inlineStr">
        <is>
          <t>Unknown</t>
        </is>
      </c>
      <c r="T1919" t="inlineStr">
        <is>
          <t>https://www.gasonet.in/files/Corrigendum 01_Dispenser.pdf</t>
        </is>
      </c>
      <c r="U1919" t="inlineStr">
        <is>
          <t>No</t>
        </is>
      </c>
      <c r="V1919" t="inlineStr">
        <is>
          <t>Bot tarafindan tespit edildi (2026-07-01) | Bot enrich; date=2026-07-01; type=pdf; score=195; Bot tespit/zenginlestirme (2026-07-01); meta:score=35;priority=Low;source_type=html_table;closing_date=;equipment=Gas-related / review;reasons=equipment:Gas-related / review,document source</t>
        </is>
      </c>
    </row>
    <row r="1920">
      <c r="A1920" t="inlineStr">
        <is>
          <t>T-1724</t>
        </is>
      </c>
      <c r="B1920" t="inlineStr">
        <is>
          <t>Gasonet Services</t>
        </is>
      </c>
      <c r="C1920" t="inlineStr">
        <is>
          <t>Gasonet Services</t>
        </is>
      </c>
      <c r="D1920" t="inlineStr">
        <is>
          <t>bid queries_Dispenser</t>
        </is>
      </c>
      <c r="F1920" t="inlineStr">
        <is>
          <t>New Lead</t>
        </is>
      </c>
      <c r="G1920" t="inlineStr">
        <is>
          <t>Gas-related / review</t>
        </is>
      </c>
      <c r="H1920" t="inlineStr">
        <is>
          <t>Replies on pre-bid queries_Dispenser</t>
        </is>
      </c>
      <c r="K1920" t="inlineStr">
        <is>
          <t>Not found</t>
        </is>
      </c>
      <c r="L1920" t="inlineStr">
        <is>
          <t>Unknown</t>
        </is>
      </c>
      <c r="T1920" t="inlineStr">
        <is>
          <t>https://www.gasonet.in/files/Replies on pre-bid queries_Dispenser.pdf</t>
        </is>
      </c>
      <c r="U1920" t="inlineStr">
        <is>
          <t>No</t>
        </is>
      </c>
      <c r="V1920" t="inlineStr">
        <is>
          <t>Bot tarafindan tespit edildi (2026-07-01) | Bot enrich; date=2026-07-01; type=pdf; score=195; Bot tespit/zenginlestirme (2026-07-01); meta:score=35;priority=Low;source_type=html_table;closing_date=;equipment=Gas-related / review;reasons=equipment:Gas-related / review,document source</t>
        </is>
      </c>
    </row>
    <row r="1921">
      <c r="A1921" t="inlineStr">
        <is>
          <t>T-1725</t>
        </is>
      </c>
      <c r="B1921" t="inlineStr">
        <is>
          <t>Gasonet Services</t>
        </is>
      </c>
      <c r="C1921" t="inlineStr">
        <is>
          <t>Gasonet Services</t>
        </is>
      </c>
      <c r="D1921" t="inlineStr">
        <is>
          <t>bid queries_Dispenser</t>
        </is>
      </c>
      <c r="F1921" t="inlineStr">
        <is>
          <t>New Lead</t>
        </is>
      </c>
      <c r="G1921" t="inlineStr">
        <is>
          <t>Gas-related / review</t>
        </is>
      </c>
      <c r="H1921" t="inlineStr">
        <is>
          <t>Corrigendum 02_Dispenser</t>
        </is>
      </c>
      <c r="K1921" t="inlineStr">
        <is>
          <t>Not found</t>
        </is>
      </c>
      <c r="L1921" t="inlineStr">
        <is>
          <t>Unknown</t>
        </is>
      </c>
      <c r="T1921" t="inlineStr">
        <is>
          <t>https://www.gasonet.in/files/Corrigendum 02_Dispenser.pdf</t>
        </is>
      </c>
      <c r="U1921" t="inlineStr">
        <is>
          <t>No</t>
        </is>
      </c>
      <c r="V1921" t="inlineStr">
        <is>
          <t>Bot tarafindan tespit edildi (2026-07-01) | Bot enrich; date=2026-07-01; type=pdf; score=195; Bot tespit/zenginlestirme (2026-07-01); meta:score=35;priority=Low;source_type=html_table;closing_date=;equipment=Gas-related / review;reasons=equipment:Gas-related / review,document source</t>
        </is>
      </c>
    </row>
    <row r="1922">
      <c r="A1922" t="inlineStr">
        <is>
          <t>T-1726</t>
        </is>
      </c>
      <c r="B1922" t="inlineStr">
        <is>
          <t>Gasonet Services</t>
        </is>
      </c>
      <c r="C1922" t="inlineStr">
        <is>
          <t>Gasonet Services</t>
        </is>
      </c>
      <c r="D1922" t="inlineStr">
        <is>
          <t>bid queries_Dispenser</t>
        </is>
      </c>
      <c r="F1922" t="inlineStr">
        <is>
          <t>New Lead</t>
        </is>
      </c>
      <c r="G1922" t="inlineStr">
        <is>
          <t>Gas-related / review</t>
        </is>
      </c>
      <c r="H1922" t="inlineStr">
        <is>
          <t>Corrigendum-3</t>
        </is>
      </c>
      <c r="K1922" t="inlineStr">
        <is>
          <t>Not found</t>
        </is>
      </c>
      <c r="L1922" t="inlineStr">
        <is>
          <t>Unknown</t>
        </is>
      </c>
      <c r="T1922" t="inlineStr">
        <is>
          <t>https://www.gasonet.in/files/Corrigendum-3.pdf</t>
        </is>
      </c>
      <c r="U1922" t="inlineStr">
        <is>
          <t>No</t>
        </is>
      </c>
      <c r="V1922" t="inlineStr">
        <is>
          <t>Bot tarafindan tespit edildi (2026-07-01) | Bot enrich; date=2026-07-01; type=pdf; score=195; Bot tespit/zenginlestirme (2026-07-01); meta:score=35;priority=Low;source_type=html_table;closing_date=;equipment=Gas-related / review;reasons=equipment:Gas-related / review,document source</t>
        </is>
      </c>
    </row>
    <row r="1923">
      <c r="A1923" t="inlineStr">
        <is>
          <t>T-1727</t>
        </is>
      </c>
      <c r="B1923" t="inlineStr">
        <is>
          <t>Gasonet Services</t>
        </is>
      </c>
      <c r="C1923" t="inlineStr">
        <is>
          <t>Gasonet Services</t>
        </is>
      </c>
      <c r="D1923" t="inlineStr">
        <is>
          <t>bid queries_Dispenser</t>
        </is>
      </c>
      <c r="F1923" t="inlineStr">
        <is>
          <t>New Lead</t>
        </is>
      </c>
      <c r="G1923" t="inlineStr">
        <is>
          <t>Gas-related / review</t>
        </is>
      </c>
      <c r="H1923" t="inlineStr">
        <is>
          <t>Additional Replies to pre-bid queries_Dispenser</t>
        </is>
      </c>
      <c r="K1923" t="inlineStr">
        <is>
          <t>Not found</t>
        </is>
      </c>
      <c r="L1923" t="inlineStr">
        <is>
          <t>Unknown</t>
        </is>
      </c>
      <c r="T1923" t="inlineStr">
        <is>
          <t>https://www.gasonet.in/files/Additional Replies to pre-bid queries_Dispenser.pdf</t>
        </is>
      </c>
      <c r="U1923" t="inlineStr">
        <is>
          <t>No</t>
        </is>
      </c>
      <c r="V1923" t="inlineStr">
        <is>
          <t>Bot tarafindan tespit edildi (2026-07-01) | Bot enrich; date=2026-07-01; type=pdf; score=195; Bot tespit/zenginlestirme (2026-07-01); meta:score=35;priority=Low;source_type=html_table;closing_date=;equipment=Gas-related / review;reasons=equipment:Gas-related / review,document source</t>
        </is>
      </c>
    </row>
    <row r="1924">
      <c r="A1924" t="inlineStr">
        <is>
          <t>T-1728</t>
        </is>
      </c>
      <c r="B1924" t="inlineStr">
        <is>
          <t>Gasonet Services</t>
        </is>
      </c>
      <c r="C1924" t="inlineStr">
        <is>
          <t>Gasonet Services</t>
        </is>
      </c>
      <c r="D1924" t="inlineStr">
        <is>
          <t>bid queries_Dispenser</t>
        </is>
      </c>
      <c r="F1924" t="inlineStr">
        <is>
          <t>New Lead</t>
        </is>
      </c>
      <c r="G1924" t="inlineStr">
        <is>
          <t>Gas-related / review</t>
        </is>
      </c>
      <c r="H1924" t="inlineStr">
        <is>
          <t>Corrigendum 04</t>
        </is>
      </c>
      <c r="K1924" t="inlineStr">
        <is>
          <t>Not found</t>
        </is>
      </c>
      <c r="L1924" t="inlineStr">
        <is>
          <t>Unknown</t>
        </is>
      </c>
      <c r="T1924" t="inlineStr">
        <is>
          <t>https://www.gasonet.in/files/Corrigendum 04.pdf</t>
        </is>
      </c>
      <c r="U1924" t="inlineStr">
        <is>
          <t>No</t>
        </is>
      </c>
      <c r="V1924" t="inlineStr">
        <is>
          <t>Bot tarafindan tespit edildi (2026-07-01) | Bot enrich; date=2026-07-01; type=pdf; score=195; Bot tespit/zenginlestirme (2026-07-01); meta:score=35;priority=Low;source_type=html_table;closing_date=;equipment=Gas-related / review;reasons=equipment:Gas-related / review,document source</t>
        </is>
      </c>
    </row>
    <row r="1925">
      <c r="A1925" t="inlineStr">
        <is>
          <t>T-1729</t>
        </is>
      </c>
      <c r="B1925" t="inlineStr">
        <is>
          <t>Gasonet Services</t>
        </is>
      </c>
      <c r="C1925" t="inlineStr">
        <is>
          <t>Gasonet Services</t>
        </is>
      </c>
      <c r="F1925" t="inlineStr">
        <is>
          <t>New Lead</t>
        </is>
      </c>
      <c r="H1925" t="inlineStr">
        <is>
          <t>Replies to Bidder Queries_CNG Works</t>
        </is>
      </c>
      <c r="K1925" t="inlineStr">
        <is>
          <t>Not found</t>
        </is>
      </c>
      <c r="L1925" t="inlineStr">
        <is>
          <t>Unknown</t>
        </is>
      </c>
      <c r="T1925" t="inlineStr">
        <is>
          <t>https://www.gasonet.in/files/Replies to Bidder Queries_CNG Works.pdf</t>
        </is>
      </c>
      <c r="U1925" t="inlineStr">
        <is>
          <t>No</t>
        </is>
      </c>
      <c r="V1925" t="inlineStr">
        <is>
          <t>Bot tarafindan tespit edildi (2026-07-01)</t>
        </is>
      </c>
    </row>
    <row r="1926">
      <c r="A1926" t="inlineStr">
        <is>
          <t>T-1730</t>
        </is>
      </c>
      <c r="B1926" t="inlineStr">
        <is>
          <t>Gasonet Services</t>
        </is>
      </c>
      <c r="C1926" t="inlineStr">
        <is>
          <t>Gasonet Services</t>
        </is>
      </c>
      <c r="D1926" t="inlineStr">
        <is>
          <t>TENDER DOCUMENT</t>
        </is>
      </c>
      <c r="F1926" t="inlineStr">
        <is>
          <t>New Lead</t>
        </is>
      </c>
      <c r="G1926" t="inlineStr">
        <is>
          <t>Gas-related / review</t>
        </is>
      </c>
      <c r="H1926" t="inlineStr">
        <is>
          <t>TENDER DOCUMENT HCV-MCV-LCV HIRING-Comments</t>
        </is>
      </c>
      <c r="K1926" t="inlineStr">
        <is>
          <t>Not found</t>
        </is>
      </c>
      <c r="L1926" t="inlineStr">
        <is>
          <t>Unknown</t>
        </is>
      </c>
      <c r="T1926" t="inlineStr">
        <is>
          <t>https://www.gasonet.in/files/TENDER DOCUMENT HCV-MCV-LCV HIRING-Comments.pdf</t>
        </is>
      </c>
      <c r="U1926" t="inlineStr">
        <is>
          <t>No</t>
        </is>
      </c>
      <c r="V1926" t="inlineStr">
        <is>
          <t>Bot tarafindan tespit edildi (2026-07-01) | Bot enrich; date=2026-07-01; type=pdf; score=195; Bot tespit/zenginlestirme (2026-07-01); meta:score=35;priority=Low;source_type=html_table;closing_date=;equipment=Gas-related / review;reasons=equipment:Gas-related / review,document source</t>
        </is>
      </c>
    </row>
    <row r="1927">
      <c r="A1927" t="inlineStr">
        <is>
          <t>T-1731</t>
        </is>
      </c>
      <c r="B1927" t="inlineStr">
        <is>
          <t>Gasonet Services</t>
        </is>
      </c>
      <c r="C1927" t="inlineStr">
        <is>
          <t>Gasonet Services</t>
        </is>
      </c>
      <c r="D1927" t="inlineStr">
        <is>
          <t>TENDER DOCUMENT</t>
        </is>
      </c>
      <c r="F1927" t="inlineStr">
        <is>
          <t>New Lead</t>
        </is>
      </c>
      <c r="G1927" t="inlineStr">
        <is>
          <t>Gas-related / review</t>
        </is>
      </c>
      <c r="H1927" t="inlineStr">
        <is>
          <t>Corrigendum-01</t>
        </is>
      </c>
      <c r="K1927" t="inlineStr">
        <is>
          <t>Not found</t>
        </is>
      </c>
      <c r="L1927" t="inlineStr">
        <is>
          <t>Unknown</t>
        </is>
      </c>
      <c r="T1927" t="inlineStr">
        <is>
          <t>https://www.gasonet.in/files/Corrigendum-01 (1).pdf</t>
        </is>
      </c>
      <c r="U1927" t="inlineStr">
        <is>
          <t>No</t>
        </is>
      </c>
      <c r="V1927" t="inlineStr">
        <is>
          <t>Bot tarafindan tespit edildi (2026-07-01) | Bot enrich; date=2026-07-01; type=pdf; score=195; Bot tespit/zenginlestirme (2026-07-01); meta:score=35;priority=Low;source_type=html_table;closing_date=;equipment=Gas-related / review;reasons=equipment:Gas-related / review,document source</t>
        </is>
      </c>
    </row>
    <row r="1928">
      <c r="A1928" t="inlineStr">
        <is>
          <t>T-1732</t>
        </is>
      </c>
      <c r="B1928" t="inlineStr">
        <is>
          <t>Gasonet Services</t>
        </is>
      </c>
      <c r="C1928" t="inlineStr">
        <is>
          <t>Gasonet Services</t>
        </is>
      </c>
      <c r="F1928" t="inlineStr">
        <is>
          <t>New Lead</t>
        </is>
      </c>
      <c r="G1928" t="inlineStr">
        <is>
          <t>Unclassified</t>
        </is>
      </c>
      <c r="H1928" t="inlineStr">
        <is>
          <t>Corrigendum-01</t>
        </is>
      </c>
      <c r="K1928" t="inlineStr">
        <is>
          <t>Not found</t>
        </is>
      </c>
      <c r="L1928" t="inlineStr">
        <is>
          <t>Unknown</t>
        </is>
      </c>
      <c r="T1928" t="inlineStr">
        <is>
          <t>https://www.gasonet.in/files/Corrigendum-01.pdf</t>
        </is>
      </c>
      <c r="U1928" t="inlineStr">
        <is>
          <t>No</t>
        </is>
      </c>
      <c r="V1928" t="inlineStr">
        <is>
          <t>Bot tarafindan tespit edildi (2026-07-01); Bot tespit/zenginlestirme (2026-07-01); meta:score=20;priority=Low;source_type=html_table;closing_date=;equipment=Unclassified;reasons=document source</t>
        </is>
      </c>
    </row>
    <row r="1929">
      <c r="A1929" t="inlineStr">
        <is>
          <t>T-1733</t>
        </is>
      </c>
      <c r="B1929" t="inlineStr">
        <is>
          <t>Gasonet Services</t>
        </is>
      </c>
      <c r="C1929" t="inlineStr">
        <is>
          <t>Gasonet Services</t>
        </is>
      </c>
      <c r="F1929" t="inlineStr">
        <is>
          <t>New Lead</t>
        </is>
      </c>
      <c r="G1929" t="inlineStr">
        <is>
          <t>Unclassified</t>
        </is>
      </c>
      <c r="H1929" t="inlineStr">
        <is>
          <t>Corrigendum-02</t>
        </is>
      </c>
      <c r="K1929" t="inlineStr">
        <is>
          <t>Not found</t>
        </is>
      </c>
      <c r="L1929" t="inlineStr">
        <is>
          <t>Unknown</t>
        </is>
      </c>
      <c r="T1929" t="inlineStr">
        <is>
          <t>https://www.gasonet.in/files/CORRIGENDUM-02 (2).pdf</t>
        </is>
      </c>
      <c r="U1929" t="inlineStr">
        <is>
          <t>No</t>
        </is>
      </c>
      <c r="V1929" t="inlineStr">
        <is>
          <t>Bot tarafindan tespit edildi (2026-07-01); Bot tespit/zenginlestirme (2026-07-01); meta:score=20;priority=Low;source_type=html_table;closing_date=;equipment=Unclassified;reasons=document source</t>
        </is>
      </c>
    </row>
    <row r="1930">
      <c r="A1930" t="inlineStr">
        <is>
          <t>T-1734</t>
        </is>
      </c>
      <c r="B1930" t="inlineStr">
        <is>
          <t>Gasonet Services</t>
        </is>
      </c>
      <c r="C1930" t="inlineStr">
        <is>
          <t>Gasonet Services</t>
        </is>
      </c>
      <c r="F1930" t="inlineStr">
        <is>
          <t>New Lead</t>
        </is>
      </c>
      <c r="G1930" t="inlineStr">
        <is>
          <t>Unclassified</t>
        </is>
      </c>
      <c r="H1930" t="inlineStr">
        <is>
          <t>Corrigendum-03</t>
        </is>
      </c>
      <c r="K1930" t="inlineStr">
        <is>
          <t>Not found</t>
        </is>
      </c>
      <c r="L1930" t="inlineStr">
        <is>
          <t>Unknown</t>
        </is>
      </c>
      <c r="T1930" t="inlineStr">
        <is>
          <t>https://www.gasonet.in/files/Corrigendum-03 Line Pipe.pdf</t>
        </is>
      </c>
      <c r="U1930" t="inlineStr">
        <is>
          <t>No</t>
        </is>
      </c>
      <c r="V1930" t="inlineStr">
        <is>
          <t>Bot tarafindan tespit edildi (2026-07-01); Bot tespit/zenginlestirme (2026-07-01); meta:score=20;priority=Low;source_type=html_table;closing_date=;equipment=Unclassified;reasons=document source</t>
        </is>
      </c>
    </row>
    <row r="1931">
      <c r="A1931" t="inlineStr">
        <is>
          <t>T-1735</t>
        </is>
      </c>
      <c r="B1931" t="inlineStr">
        <is>
          <t>Gasonet Services</t>
        </is>
      </c>
      <c r="C1931" t="inlineStr">
        <is>
          <t>Gasonet Services</t>
        </is>
      </c>
      <c r="D1931" t="inlineStr">
        <is>
          <t>GSL/REPL/011/LNG</t>
        </is>
      </c>
      <c r="E1931" t="inlineStr">
        <is>
          <t>19-06-2023</t>
        </is>
      </c>
      <c r="F1931" t="inlineStr">
        <is>
          <t>New Lead</t>
        </is>
      </c>
      <c r="G1931" t="inlineStr">
        <is>
          <t>Unclassified</t>
        </is>
      </c>
      <c r="H1931" t="inlineStr">
        <is>
          <t>Corrigendum-01</t>
        </is>
      </c>
      <c r="K1931" t="inlineStr">
        <is>
          <t>REMAINS LIABLE TO PAY COMPENSATION IF ACTION NOT TAKEN This clause is not accepta</t>
        </is>
      </c>
      <c r="L1931" t="inlineStr">
        <is>
          <t>Unknown</t>
        </is>
      </c>
      <c r="M1931" t="n">
        <v>1200000</v>
      </c>
      <c r="T1931" t="inlineStr">
        <is>
          <t>https://www.gasonet.in/files/Corrigendum-01-2023.pdf</t>
        </is>
      </c>
      <c r="U1931" t="inlineStr">
        <is>
          <t>No</t>
        </is>
      </c>
      <c r="V1931" t="inlineStr">
        <is>
          <t>Bot tarafindan tespit edildi (2026-07-01); Bot tespit/zenginlestirme (2026-07-01); meta:score=55;priority=Medium;source_type=html_table;closing_date=;equipment=Unclassified;reasons=document source,quantity signal,tender reference signal</t>
        </is>
      </c>
    </row>
    <row r="1932">
      <c r="A1932" t="inlineStr">
        <is>
          <t>T-1736</t>
        </is>
      </c>
      <c r="B1932" t="inlineStr">
        <is>
          <t>Gasonet Services</t>
        </is>
      </c>
      <c r="C1932" t="inlineStr">
        <is>
          <t>Gasonet Services</t>
        </is>
      </c>
      <c r="D1932" t="inlineStr">
        <is>
          <t>GSL/REPL/011/LNG</t>
        </is>
      </c>
      <c r="E1932" t="inlineStr">
        <is>
          <t>23-06-2023</t>
        </is>
      </c>
      <c r="F1932" t="inlineStr">
        <is>
          <t>New Lead</t>
        </is>
      </c>
      <c r="G1932" t="inlineStr">
        <is>
          <t>Unclassified</t>
        </is>
      </c>
      <c r="H1932" t="inlineStr">
        <is>
          <t>Corrigendum-02</t>
        </is>
      </c>
      <c r="K1932" t="inlineStr">
        <is>
          <t>partner having a vision of achieving Clause No. 77 of Special Condition of Contra</t>
        </is>
      </c>
      <c r="L1932" t="inlineStr">
        <is>
          <t>Unknown</t>
        </is>
      </c>
      <c r="T1932" t="inlineStr">
        <is>
          <t>https://www.gasonet.in/files/Corrigendum-02.pdf</t>
        </is>
      </c>
      <c r="U1932" t="inlineStr">
        <is>
          <t>No</t>
        </is>
      </c>
      <c r="V1932" t="inlineStr">
        <is>
          <t>Bot tarafindan tespit edildi (2026-07-01); Bot tespit/zenginlestirme (2026-07-01); meta:score=55;priority=Medium;source_type=html_table;closing_date=;equipment=Unclassified;reasons=document source,quantity signal,tender reference signal</t>
        </is>
      </c>
    </row>
    <row r="1933">
      <c r="A1933" t="inlineStr">
        <is>
          <t>T-1737</t>
        </is>
      </c>
      <c r="B1933" t="inlineStr">
        <is>
          <t>Gasonet Services</t>
        </is>
      </c>
      <c r="C1933" t="inlineStr">
        <is>
          <t>Gasonet Services</t>
        </is>
      </c>
      <c r="D1933" t="inlineStr">
        <is>
          <t>GSL/REPL/011/LNG</t>
        </is>
      </c>
      <c r="E1933" t="inlineStr">
        <is>
          <t>04-07-2023</t>
        </is>
      </c>
      <c r="F1933" t="inlineStr">
        <is>
          <t>New Lead</t>
        </is>
      </c>
      <c r="G1933" t="inlineStr">
        <is>
          <t>Unclassified</t>
        </is>
      </c>
      <c r="H1933" t="inlineStr">
        <is>
          <t>Corrigendum-03</t>
        </is>
      </c>
      <c r="K1933" t="inlineStr">
        <is>
          <t>Not found</t>
        </is>
      </c>
      <c r="L1933" t="inlineStr">
        <is>
          <t>Unknown</t>
        </is>
      </c>
      <c r="T1933" t="inlineStr">
        <is>
          <t>https://www.gasonet.in/files/Corrigendum-03.pdf</t>
        </is>
      </c>
      <c r="U1933" t="inlineStr">
        <is>
          <t>No</t>
        </is>
      </c>
      <c r="V1933" t="inlineStr">
        <is>
          <t>Bot tarafindan tespit edildi (2026-07-01); Bot tespit/zenginlestirme (2026-07-01); meta:score=55;priority=Medium;source_type=html_table;closing_date=;equipment=Unclassified;reasons=document source,quantity signal,tender reference signal</t>
        </is>
      </c>
    </row>
    <row r="1934">
      <c r="A1934" t="inlineStr">
        <is>
          <t>T-1738</t>
        </is>
      </c>
      <c r="B1934" t="inlineStr">
        <is>
          <t>Gasonet Services</t>
        </is>
      </c>
      <c r="C1934" t="inlineStr">
        <is>
          <t>Gasonet Services</t>
        </is>
      </c>
      <c r="F1934" t="inlineStr">
        <is>
          <t>New Lead</t>
        </is>
      </c>
      <c r="H1934" t="inlineStr">
        <is>
          <t>Tender Forecourt</t>
        </is>
      </c>
      <c r="K1934" t="inlineStr">
        <is>
          <t>Not found</t>
        </is>
      </c>
      <c r="L1934" t="inlineStr">
        <is>
          <t>Unknown</t>
        </is>
      </c>
      <c r="T1934" t="inlineStr">
        <is>
          <t>https://www.gasonet.in/files/Tender_Forecourt_Bhagirathi Filling Station (1).pdf</t>
        </is>
      </c>
      <c r="U1934" t="inlineStr">
        <is>
          <t>No</t>
        </is>
      </c>
      <c r="V1934" t="inlineStr">
        <is>
          <t>Bot tarafindan tespit edildi (2026-07-01)</t>
        </is>
      </c>
    </row>
    <row r="1935">
      <c r="A1935" t="inlineStr">
        <is>
          <t>T-1739</t>
        </is>
      </c>
      <c r="B1935" t="inlineStr">
        <is>
          <t>Gasonet Services</t>
        </is>
      </c>
      <c r="C1935" t="inlineStr">
        <is>
          <t>Gasonet Services</t>
        </is>
      </c>
      <c r="F1935" t="inlineStr">
        <is>
          <t>New Lead</t>
        </is>
      </c>
      <c r="H1935" t="inlineStr">
        <is>
          <t>Replies to Bidder's Queries Bhagirathi Filling Station</t>
        </is>
      </c>
      <c r="K1935" t="inlineStr">
        <is>
          <t>Not found</t>
        </is>
      </c>
      <c r="L1935" t="inlineStr">
        <is>
          <t>Unknown</t>
        </is>
      </c>
      <c r="T1935" t="inlineStr">
        <is>
          <t>https://www.gasonet.in/files/Replies to Bidder's Queries_Bhagirathi Filling Station.pdf</t>
        </is>
      </c>
      <c r="U1935" t="inlineStr">
        <is>
          <t>No</t>
        </is>
      </c>
      <c r="V1935" t="inlineStr">
        <is>
          <t>Bot tarafindan tespit edildi (2026-07-01)</t>
        </is>
      </c>
    </row>
    <row r="1936">
      <c r="A1936" t="inlineStr">
        <is>
          <t>T-1740</t>
        </is>
      </c>
      <c r="B1936" t="inlineStr">
        <is>
          <t>Gasonet Services</t>
        </is>
      </c>
      <c r="C1936" t="inlineStr">
        <is>
          <t>Gasonet Services</t>
        </is>
      </c>
      <c r="D1936" t="inlineStr">
        <is>
          <t>files/Corrigendum-01_GSLREPL018STPL.pdf</t>
        </is>
      </c>
      <c r="E1936" t="inlineStr">
        <is>
          <t>14/12/2023</t>
        </is>
      </c>
      <c r="F1936" t="inlineStr">
        <is>
          <t>New Lead</t>
        </is>
      </c>
      <c r="G1936" t="inlineStr">
        <is>
          <t>Unclassified</t>
        </is>
      </c>
      <c r="H1936" t="inlineStr">
        <is>
          <t>Corrigendum-01_GSLREPL018STPL</t>
        </is>
      </c>
      <c r="K1936" t="inlineStr">
        <is>
          <t>Not found</t>
        </is>
      </c>
      <c r="L1936" t="inlineStr">
        <is>
          <t>Unknown</t>
        </is>
      </c>
      <c r="T1936" t="inlineStr">
        <is>
          <t>https://www.gasonet.in/files/Corrigendum-01_GSLREPL018STPL.pdf</t>
        </is>
      </c>
      <c r="U1936" t="inlineStr">
        <is>
          <t>No</t>
        </is>
      </c>
      <c r="V1936" t="inlineStr">
        <is>
          <t>Bot tarafindan tespit edildi (2026-07-01) | Bot enrich; date=2026-07-01; type=pdf; score=125; Bot tespit/zenginlestirme (2026-07-01); meta:score=20;priority=Low;source_type=html_table;closing_date=;equipment=Unclassified;reasons=document source</t>
        </is>
      </c>
    </row>
    <row r="1937">
      <c r="A1937" t="inlineStr">
        <is>
          <t>T-1741</t>
        </is>
      </c>
      <c r="B1937" t="inlineStr">
        <is>
          <t>Gasonet Services</t>
        </is>
      </c>
      <c r="C1937" t="inlineStr">
        <is>
          <t>Gasonet Services</t>
        </is>
      </c>
      <c r="F1937" t="inlineStr">
        <is>
          <t>New Lead</t>
        </is>
      </c>
      <c r="H1937" t="inlineStr">
        <is>
          <t>Corrigendum#02_GSLREPL012STPL</t>
        </is>
      </c>
      <c r="K1937" t="inlineStr">
        <is>
          <t>Not found</t>
        </is>
      </c>
      <c r="L1937" t="inlineStr">
        <is>
          <t>Unknown</t>
        </is>
      </c>
      <c r="T1937" t="inlineStr">
        <is>
          <t>https://www.gasonet.in/files/Corrigendum#02_GSLREPL012STPL.pdf</t>
        </is>
      </c>
      <c r="U1937" t="inlineStr">
        <is>
          <t>No</t>
        </is>
      </c>
      <c r="V1937" t="inlineStr">
        <is>
          <t>Bot tarafindan tespit edildi (2026-07-01)</t>
        </is>
      </c>
    </row>
    <row r="1938">
      <c r="A1938" t="inlineStr">
        <is>
          <t>T-1742</t>
        </is>
      </c>
      <c r="B1938" t="inlineStr">
        <is>
          <t>Gasonet Services</t>
        </is>
      </c>
      <c r="C1938" t="inlineStr">
        <is>
          <t>Gasonet Services</t>
        </is>
      </c>
      <c r="D1938" t="inlineStr">
        <is>
          <t>files/Corrigendum-03_GSLREPL018STPL.pdf</t>
        </is>
      </c>
      <c r="E1938" t="inlineStr">
        <is>
          <t>14/12/2023</t>
        </is>
      </c>
      <c r="F1938" t="inlineStr">
        <is>
          <t>New Lead</t>
        </is>
      </c>
      <c r="G1938" t="inlineStr">
        <is>
          <t>Unclassified</t>
        </is>
      </c>
      <c r="H1938" t="inlineStr">
        <is>
          <t>Corrigendum-03_GSLREPL018STPL</t>
        </is>
      </c>
      <c r="K1938" t="inlineStr">
        <is>
          <t>Not found</t>
        </is>
      </c>
      <c r="L1938" t="inlineStr">
        <is>
          <t>Unknown</t>
        </is>
      </c>
      <c r="T1938" t="inlineStr">
        <is>
          <t>https://www.gasonet.in/files/Corrigendum-03_GSLREPL018STPL.pdf</t>
        </is>
      </c>
      <c r="U1938" t="inlineStr">
        <is>
          <t>No</t>
        </is>
      </c>
      <c r="V1938" t="inlineStr">
        <is>
          <t>Bot tarafindan tespit edildi (2026-07-01) | Bot enrich; date=2026-07-01; type=pdf; score=125; Bot tespit/zenginlestirme (2026-07-01); meta:score=20;priority=Low;source_type=html_table;closing_date=;equipment=Unclassified;reasons=document source</t>
        </is>
      </c>
    </row>
    <row r="1939">
      <c r="A1939" t="inlineStr">
        <is>
          <t>T-1743</t>
        </is>
      </c>
      <c r="B1939" t="inlineStr">
        <is>
          <t>Gasonet Services</t>
        </is>
      </c>
      <c r="C1939" t="inlineStr">
        <is>
          <t>Gasonet Services</t>
        </is>
      </c>
      <c r="D1939" t="inlineStr">
        <is>
          <t>TENDER No. BD202401P004</t>
        </is>
      </c>
      <c r="E1939" t="inlineStr">
        <is>
          <t>18/01/2024</t>
        </is>
      </c>
      <c r="F1939" t="inlineStr">
        <is>
          <t>New Lead</t>
        </is>
      </c>
      <c r="G1939" t="inlineStr">
        <is>
          <t>Irrelevant / non-target</t>
        </is>
      </c>
      <c r="H1939" t="inlineStr">
        <is>
          <t>TENDER No. BD202401P004 - CIVIL WORK</t>
        </is>
      </c>
      <c r="K1939" t="inlineStr">
        <is>
          <t>Not found</t>
        </is>
      </c>
      <c r="L1939" t="inlineStr">
        <is>
          <t>Unknown</t>
        </is>
      </c>
      <c r="T1939" t="inlineStr">
        <is>
          <t>https://www.gasonet.in/files/TENDER No. BD202401P004 - CIVIL WORK.pdf</t>
        </is>
      </c>
      <c r="U1939" t="inlineStr">
        <is>
          <t>No</t>
        </is>
      </c>
      <c r="V1939" t="inlineStr">
        <is>
          <t>Bot tarafindan tespit edildi (2026-07-01) | Bot enrich; date=2026-07-01; type=pdf; score=145; Bot tespit/zenginlestirme (2026-07-01); meta:score=;priority=Low;source_type=html_table;closing_date=;equipment=Irrelevant / non-target;reasons=irrelevant_equipment,document source,tender reference signal</t>
        </is>
      </c>
    </row>
    <row r="1940">
      <c r="A1940" t="inlineStr">
        <is>
          <t>T-1744</t>
        </is>
      </c>
      <c r="B1940" t="inlineStr">
        <is>
          <t>Gasonet Services</t>
        </is>
      </c>
      <c r="C1940" t="inlineStr">
        <is>
          <t>Gasonet Services</t>
        </is>
      </c>
      <c r="D1940" t="inlineStr">
        <is>
          <t>TENDER No. BD202401P004</t>
        </is>
      </c>
      <c r="E1940" t="inlineStr">
        <is>
          <t>18/01/2024</t>
        </is>
      </c>
      <c r="F1940" t="inlineStr">
        <is>
          <t>New Lead</t>
        </is>
      </c>
      <c r="G1940" t="inlineStr">
        <is>
          <t>Irrelevant / non-target</t>
        </is>
      </c>
      <c r="H1940" t="inlineStr">
        <is>
          <t>Corrigendum 1_BD202401P004 - CIVIL WORK.pdf</t>
        </is>
      </c>
      <c r="K1940" t="inlineStr">
        <is>
          <t>Not found</t>
        </is>
      </c>
      <c r="L1940" t="inlineStr">
        <is>
          <t>Unknown</t>
        </is>
      </c>
      <c r="T1940" t="inlineStr">
        <is>
          <t>https://www.gasonet.in/files/Corrigendum 1_BD202401P004 - CIVIL WORK.pdf</t>
        </is>
      </c>
      <c r="U1940" t="inlineStr">
        <is>
          <t>No</t>
        </is>
      </c>
      <c r="V1940" t="inlineStr">
        <is>
          <t>Bot tarafindan tespit edildi (2026-07-01) | Bot enrich; date=2026-07-01; type=pdf; score=145; Bot tespit/zenginlestirme (2026-07-01); meta:score=;priority=Low;source_type=html_table;closing_date=;equipment=Irrelevant / non-target;reasons=irrelevant_equipment,document source,tender reference signal</t>
        </is>
      </c>
    </row>
    <row r="1941">
      <c r="A1941" t="inlineStr">
        <is>
          <t>T-1745</t>
        </is>
      </c>
      <c r="B1941" t="inlineStr">
        <is>
          <t>Gasonet Services</t>
        </is>
      </c>
      <c r="C1941" t="inlineStr">
        <is>
          <t>Gasonet Services</t>
        </is>
      </c>
      <c r="F1941" t="inlineStr">
        <is>
          <t>New Lead</t>
        </is>
      </c>
      <c r="G1941" t="inlineStr">
        <is>
          <t>Irrelevant / non-target</t>
        </is>
      </c>
      <c r="H1941" t="inlineStr">
        <is>
          <t>Corrigendum 1_BD202401P004 - CIVIL WORK.pdf</t>
        </is>
      </c>
      <c r="K1941" t="inlineStr">
        <is>
          <t>Not found</t>
        </is>
      </c>
      <c r="L1941" t="inlineStr">
        <is>
          <t>Unknown</t>
        </is>
      </c>
      <c r="T1941" t="inlineStr">
        <is>
          <t>https://www.gasonet.in/files/Technical Volume II of II _GSPL_PE_08.02.2024.pdf</t>
        </is>
      </c>
      <c r="U1941" t="inlineStr">
        <is>
          <t>No</t>
        </is>
      </c>
      <c r="V1941" t="inlineStr">
        <is>
          <t>Bot tarafindan tespit edildi (2026-07-01); Bot tespit/zenginlestirme (2026-07-01); meta:score=;priority=Low;source_type=html_table;closing_date=;equipment=Irrelevant / non-target;reasons=irrelevant_equipment,document source</t>
        </is>
      </c>
    </row>
    <row r="1942">
      <c r="A1942" t="inlineStr">
        <is>
          <t>T-1746</t>
        </is>
      </c>
      <c r="B1942" t="inlineStr">
        <is>
          <t>Gasonet Services</t>
        </is>
      </c>
      <c r="C1942" t="inlineStr">
        <is>
          <t>Gasonet Services</t>
        </is>
      </c>
      <c r="F1942" t="inlineStr">
        <is>
          <t>New Lead</t>
        </is>
      </c>
      <c r="G1942" t="inlineStr">
        <is>
          <t>Irrelevant / non-target</t>
        </is>
      </c>
      <c r="H1942" t="inlineStr">
        <is>
          <t>Corrigendum-16.02.2023</t>
        </is>
      </c>
      <c r="K1942" t="inlineStr">
        <is>
          <t>Not found</t>
        </is>
      </c>
      <c r="L1942" t="inlineStr">
        <is>
          <t>Unknown</t>
        </is>
      </c>
      <c r="T1942" t="inlineStr">
        <is>
          <t>https://www.gasonet.in/files/Corrigendum-16.02.2023.pdf</t>
        </is>
      </c>
      <c r="U1942" t="inlineStr">
        <is>
          <t>No</t>
        </is>
      </c>
      <c r="V1942" t="inlineStr">
        <is>
          <t>Bot tarafindan tespit edildi (2026-07-01); Bot tespit/zenginlestirme (2026-07-01); meta:score=;priority=Low;source_type=html_table;closing_date=;equipment=Irrelevant / non-target;reasons=irrelevant_equipment,document source</t>
        </is>
      </c>
    </row>
    <row r="1943">
      <c r="A1943" t="inlineStr">
        <is>
          <t>T-1747</t>
        </is>
      </c>
      <c r="B1943" t="inlineStr">
        <is>
          <t>Gasonet Services</t>
        </is>
      </c>
      <c r="C1943" t="inlineStr">
        <is>
          <t>Gasonet Services</t>
        </is>
      </c>
      <c r="F1943" t="inlineStr">
        <is>
          <t>New Lead</t>
        </is>
      </c>
      <c r="G1943" t="inlineStr">
        <is>
          <t>Unclassified</t>
        </is>
      </c>
      <c r="H1943" t="inlineStr">
        <is>
          <t>NIT_LNG Liquefaction Plant</t>
        </is>
      </c>
      <c r="K1943" t="inlineStr">
        <is>
          <t>Not found</t>
        </is>
      </c>
      <c r="L1943" t="inlineStr">
        <is>
          <t>Unknown</t>
        </is>
      </c>
      <c r="T1943" t="inlineStr">
        <is>
          <t>https://www.gasonet.in/files/NIT_LNG Liquefaction Plant.pdf</t>
        </is>
      </c>
      <c r="U1943" t="inlineStr">
        <is>
          <t>No</t>
        </is>
      </c>
      <c r="V1943" t="inlineStr">
        <is>
          <t>Bot tarafindan tespit edildi (2026-07-01); Bot tespit/zenginlestirme (2026-07-01); meta:score=35;priority=Low;source_type=html_table;closing_date=;equipment=Unclassified;reasons=document source,tender reference signal</t>
        </is>
      </c>
    </row>
    <row r="1944">
      <c r="A1944" t="inlineStr">
        <is>
          <t>T-1748</t>
        </is>
      </c>
      <c r="B1944" t="inlineStr">
        <is>
          <t>Gasonet Services</t>
        </is>
      </c>
      <c r="C1944" t="inlineStr">
        <is>
          <t>Gasonet Services</t>
        </is>
      </c>
      <c r="F1944" t="inlineStr">
        <is>
          <t>New Lead</t>
        </is>
      </c>
      <c r="H1944" t="inlineStr">
        <is>
          <t>Tender- Domestic Diaphragm meter</t>
        </is>
      </c>
      <c r="K1944" t="inlineStr">
        <is>
          <t>Not found</t>
        </is>
      </c>
      <c r="L1944" t="inlineStr">
        <is>
          <t>Unknown</t>
        </is>
      </c>
      <c r="T1944" t="inlineStr">
        <is>
          <t>https://www.gasonet.in/files/Tender- Domestic Diaphragm meter.pdf</t>
        </is>
      </c>
      <c r="U1944" t="inlineStr">
        <is>
          <t>No</t>
        </is>
      </c>
      <c r="V1944" t="inlineStr">
        <is>
          <t>Bot tarafindan tespit edildi (2026-07-01)</t>
        </is>
      </c>
    </row>
    <row r="1945">
      <c r="A1945" t="inlineStr">
        <is>
          <t>T-1749</t>
        </is>
      </c>
      <c r="B1945" t="inlineStr">
        <is>
          <t>Gasonet Services</t>
        </is>
      </c>
      <c r="C1945" t="inlineStr">
        <is>
          <t>Gasonet Services</t>
        </is>
      </c>
      <c r="F1945" t="inlineStr">
        <is>
          <t>New Lead</t>
        </is>
      </c>
      <c r="H1945" t="inlineStr">
        <is>
          <t>Replies to Bidder's Queries Diaphragm Meter</t>
        </is>
      </c>
      <c r="K1945" t="inlineStr">
        <is>
          <t>Not found</t>
        </is>
      </c>
      <c r="L1945" t="inlineStr">
        <is>
          <t>Unknown</t>
        </is>
      </c>
      <c r="T1945" t="inlineStr">
        <is>
          <t>https://www.gasonet.in/files/Replies to Bidder's Queries _Diaphragm Meter.pdf</t>
        </is>
      </c>
      <c r="U1945" t="inlineStr">
        <is>
          <t>No</t>
        </is>
      </c>
      <c r="V1945" t="inlineStr">
        <is>
          <t>Bot tarafindan tespit edildi (2026-07-01)</t>
        </is>
      </c>
    </row>
    <row r="1946">
      <c r="A1946" t="inlineStr">
        <is>
          <t>T-1750</t>
        </is>
      </c>
      <c r="B1946" t="inlineStr">
        <is>
          <t>Gasonet Services</t>
        </is>
      </c>
      <c r="C1946" t="inlineStr">
        <is>
          <t>Gasonet Services</t>
        </is>
      </c>
      <c r="D1946" t="inlineStr">
        <is>
          <t>Tender- Domestic</t>
        </is>
      </c>
      <c r="E1946" t="inlineStr">
        <is>
          <t>22/02/2024</t>
        </is>
      </c>
      <c r="F1946" t="inlineStr">
        <is>
          <t>New Lead</t>
        </is>
      </c>
      <c r="G1946" t="inlineStr">
        <is>
          <t>service regulator</t>
        </is>
      </c>
      <c r="H1946" t="inlineStr">
        <is>
          <t>Tender- Domestic Service Regulator</t>
        </is>
      </c>
      <c r="K1946" t="inlineStr">
        <is>
          <t>will be expected to complete the scope of the Bid within the period stated in Spe</t>
        </is>
      </c>
      <c r="L1946" t="inlineStr">
        <is>
          <t>Unknown</t>
        </is>
      </c>
      <c r="M1946" t="n">
        <v>1000000000</v>
      </c>
      <c r="T1946" t="inlineStr">
        <is>
          <t>https://www.gasonet.in/files/Tender- Domestic Service Regulator.pdf</t>
        </is>
      </c>
      <c r="U1946" t="inlineStr">
        <is>
          <t>No</t>
        </is>
      </c>
      <c r="V1946" t="inlineStr">
        <is>
          <t>Bot tarafindan tespit edildi (2026-07-01) | Bot enrich; date=2026-07-01; type=pdf; score=205; Bot tespit/zenginlestirme (2026-07-01); meta:score=85;priority=High;source_type=html_table;closing_date=22/02/2024;equipment=Service regulator;reasons=equipment:Service regulator,target regulator keyword,document source; Bot clean extraction (2026-07-01); meta:score=90;priority=High;source_type=html_table;closing_date=22/02/2024;equipment=Domestic gas regulator;quality_status=market_target;market_relevance=High;document_type=award;unit_price_inr=;amount_label=currency_near_total;matched_terms=Domestic gas regulator,Service / pressure regulator;reject_reasons=employment/corporate;scope=market_intelligence_only;excluded_scope=no_bid_or_offer_submission_automation</t>
        </is>
      </c>
    </row>
    <row r="1947">
      <c r="A1947" t="inlineStr">
        <is>
          <t>T-1751</t>
        </is>
      </c>
      <c r="B1947" t="inlineStr">
        <is>
          <t>Gasonet Services</t>
        </is>
      </c>
      <c r="C1947" t="inlineStr">
        <is>
          <t>Gasonet Services</t>
        </is>
      </c>
      <c r="D1947" t="inlineStr">
        <is>
          <t>Tender- Domestic</t>
        </is>
      </c>
      <c r="F1947" t="inlineStr">
        <is>
          <t>New Lead</t>
        </is>
      </c>
      <c r="G1947" t="inlineStr">
        <is>
          <t>service regulator</t>
        </is>
      </c>
      <c r="H1947" t="inlineStr">
        <is>
          <t>Regulator Datasheet</t>
        </is>
      </c>
      <c r="K1947" t="inlineStr">
        <is>
          <t>shall submit the QAP after the placement of the order. The regulator shall be ind</t>
        </is>
      </c>
      <c r="L1947" t="inlineStr">
        <is>
          <t>Unknown</t>
        </is>
      </c>
      <c r="T1947" t="inlineStr">
        <is>
          <t>https://www.gasonet.in/files/Regulator Datasheet.pdf</t>
        </is>
      </c>
      <c r="U1947" t="inlineStr">
        <is>
          <t>No</t>
        </is>
      </c>
      <c r="V1947" t="inlineStr">
        <is>
          <t>Bot tarafindan tespit edildi (2026-07-01) | Bot enrich; date=2026-07-01; type=pdf; score=205; Bot tespit/zenginlestirme (2026-07-01); meta:score=85;priority=High;source_type=html_table;closing_date=None;equipment=Service regulator;reasons=equipment:Service regulator,target regulator keyword,document source; Bot clean extraction (2026-07-01); meta:score=90;priority=High;source_type=html_table;closing_date=None;equipment=Domestic gas regulator;quality_status=market_target;market_relevance=High;document_type=award;unit_price_inr=;amount_label=;matched_terms=Domestic gas regulator,Service / pressure regulator,Safety / shut-off equipment;reject_reasons=;scope=market_intelligence_only;excluded_scope=no_bid_or_offer_submission_automation</t>
        </is>
      </c>
    </row>
    <row r="1948">
      <c r="A1948" t="inlineStr">
        <is>
          <t>T-1752</t>
        </is>
      </c>
      <c r="B1948" t="inlineStr">
        <is>
          <t>Gasonet Services</t>
        </is>
      </c>
      <c r="C1948" t="inlineStr">
        <is>
          <t>Gasonet Services</t>
        </is>
      </c>
      <c r="F1948" t="inlineStr">
        <is>
          <t>New Lead</t>
        </is>
      </c>
      <c r="G1948" t="inlineStr">
        <is>
          <t>Unclassified</t>
        </is>
      </c>
      <c r="H1948" t="inlineStr">
        <is>
          <t>Tender- DCU</t>
        </is>
      </c>
      <c r="K1948" t="inlineStr">
        <is>
          <t>Not found</t>
        </is>
      </c>
      <c r="L1948" t="inlineStr">
        <is>
          <t>Unknown</t>
        </is>
      </c>
      <c r="T1948" t="inlineStr">
        <is>
          <t>https://www.gasonet.in/files/Tender- DCU .pdf</t>
        </is>
      </c>
      <c r="U1948" t="inlineStr">
        <is>
          <t>No</t>
        </is>
      </c>
      <c r="V1948" t="inlineStr">
        <is>
          <t>Bot tarafindan tespit edildi (2026-07-01); Bot tespit/zenginlestirme (2026-07-01); meta:score=35;priority=Low;source_type=html_table;closing_date=;equipment=Unclassified;reasons=document source,tender reference signal</t>
        </is>
      </c>
    </row>
    <row r="1949">
      <c r="A1949" t="inlineStr">
        <is>
          <t>T-1753</t>
        </is>
      </c>
      <c r="B1949" t="inlineStr">
        <is>
          <t>Gasonet Services</t>
        </is>
      </c>
      <c r="C1949" t="inlineStr">
        <is>
          <t>Gasonet Services</t>
        </is>
      </c>
      <c r="D1949" t="inlineStr">
        <is>
          <t>Tender No. : GSRJL/C</t>
        </is>
      </c>
      <c r="E1949" t="inlineStr">
        <is>
          <t>2024-25/01</t>
        </is>
      </c>
      <c r="F1949" t="inlineStr">
        <is>
          <t>New Lead</t>
        </is>
      </c>
      <c r="G1949" t="inlineStr">
        <is>
          <t>CGS</t>
        </is>
      </c>
      <c r="H1949" t="inlineStr">
        <is>
          <t>Tender - CGS</t>
        </is>
      </c>
      <c r="K1949" t="inlineStr">
        <is>
          <t>has developed a full City Gate Station, Civil execution certificate issued Construction including all</t>
        </is>
      </c>
      <c r="L1949" t="inlineStr">
        <is>
          <t>Unknown</t>
        </is>
      </c>
      <c r="M1949" t="n">
        <v>41000000</v>
      </c>
      <c r="T1949" t="inlineStr">
        <is>
          <t>https://www.gasonet.in/files/01. Tender - Composite Work for CGS cum Mother Station at Churu, Rajasthan_SEP.pdf</t>
        </is>
      </c>
      <c r="U1949" t="inlineStr">
        <is>
          <t>No</t>
        </is>
      </c>
      <c r="V1949" t="inlineStr">
        <is>
          <t>Bot tarafindan tespit edildi (2026-07-01) | Bot enrich; date=2026-07-01; type=pdf; score=295; Bot tespit/zenginlestirme (2026-07-01); meta:score=10;priority=Low;source_type=html_table;closing_date=;equipment=Irrelevant / non-target;reasons=irrelevant_equipment,station/skid keyword,document source,tender reference signal; Bot clean extraction (2026-07-01); meta:score=100;priority=High;source_type=html_table;closing_date=2024-25/01;equipment=Regulating / metering station;quality_status=market_target;market_relevance=High;document_type=award;unit_price_inr=;amount_label=currency_near_total;matched_terms=Regulating / metering station;reject_reasons=employment/corporate,non-product service;scope=market_intelligence_only;excluded_scope=no_bid_or_offer_submission_automation</t>
        </is>
      </c>
    </row>
    <row r="1950">
      <c r="A1950" t="inlineStr">
        <is>
          <t>T-1754</t>
        </is>
      </c>
      <c r="B1950" t="inlineStr">
        <is>
          <t>Gasonet Services</t>
        </is>
      </c>
      <c r="C1950" t="inlineStr">
        <is>
          <t>Gasonet Services</t>
        </is>
      </c>
      <c r="D1950" t="inlineStr">
        <is>
          <t>Tender No. : GSRJL/C</t>
        </is>
      </c>
      <c r="E1950" t="inlineStr">
        <is>
          <t>2024-25/01</t>
        </is>
      </c>
      <c r="F1950" t="inlineStr">
        <is>
          <t>New Lead</t>
        </is>
      </c>
      <c r="G1950" t="inlineStr">
        <is>
          <t>CGS</t>
        </is>
      </c>
      <c r="H1950" t="inlineStr">
        <is>
          <t>SOR Composite Work</t>
        </is>
      </c>
      <c r="K1950" t="inlineStr">
        <is>
          <t>Not found</t>
        </is>
      </c>
      <c r="L1950" t="inlineStr">
        <is>
          <t>Unknown</t>
        </is>
      </c>
      <c r="T1950" t="inlineStr">
        <is>
          <t>https://www.gasonet.in/files/06. SOR - Composite Work_CGS_SEP.xlsx</t>
        </is>
      </c>
      <c r="U1950" t="inlineStr">
        <is>
          <t>No</t>
        </is>
      </c>
      <c r="V1950" t="inlineStr">
        <is>
          <t>Bot tarafindan tespit edildi (2026-07-01) | Bot enrich; date=2026-07-01; type=excel; score=295; Bot tespit/zenginlestirme (2026-07-01); meta:score=10;priority=Low;source_type=html_table;closing_date=;equipment=Irrelevant / non-target;reasons=irrelevant_equipment,station/skid keyword,document source,tender reference signal</t>
        </is>
      </c>
    </row>
    <row r="1951">
      <c r="A1951" t="inlineStr">
        <is>
          <t>T-1755</t>
        </is>
      </c>
      <c r="B1951" t="inlineStr">
        <is>
          <t>Gasonet Services</t>
        </is>
      </c>
      <c r="C1951" t="inlineStr">
        <is>
          <t>Gasonet Services</t>
        </is>
      </c>
      <c r="D1951" t="inlineStr">
        <is>
          <t>Tender No. : GSRJL/C</t>
        </is>
      </c>
      <c r="E1951" t="inlineStr">
        <is>
          <t>2024-25/01</t>
        </is>
      </c>
      <c r="F1951" t="inlineStr">
        <is>
          <t>New Lead</t>
        </is>
      </c>
      <c r="G1951" t="inlineStr">
        <is>
          <t>CGS</t>
        </is>
      </c>
      <c r="H1951" t="inlineStr">
        <is>
          <t>Replies To Bidder</t>
        </is>
      </c>
      <c r="K1951" t="inlineStr">
        <is>
          <t>specializing in</t>
        </is>
      </c>
      <c r="L1951" t="inlineStr">
        <is>
          <t>Unknown</t>
        </is>
      </c>
      <c r="M1951" t="n">
        <v>160000000</v>
      </c>
      <c r="T1951" t="inlineStr">
        <is>
          <t>https://www.gasonet.in/files/Replies to Bidder Queries .pdf</t>
        </is>
      </c>
      <c r="U1951" t="inlineStr">
        <is>
          <t>No</t>
        </is>
      </c>
      <c r="V1951" t="inlineStr">
        <is>
          <t>Bot tarafindan tespit edildi (2026-07-01) | Bot enrich; date=2026-07-01; type=pdf; score=295; Bot tespit/zenginlestirme (2026-07-01); meta:score=10;priority=Low;source_type=html_table;closing_date=;equipment=Irrelevant / non-target;reasons=irrelevant_equipment,station/skid keyword,document source,tender reference signal; Bot clean extraction (2026-07-01); meta:score=100;priority=High;source_type=html_table;closing_date=26/09/2024;equipment=Regulating / metering station;quality_status=market_target;market_relevance=High;document_type=award;unit_price_inr=;amount_label=currency_near_total;matched_terms=Regulating / metering station;reject_reasons=employment/corporate,non-product service,retail/cng station noise;scope=market_intelligence_only;excluded_scope=no_bid_or_offer_submission_automation</t>
        </is>
      </c>
    </row>
    <row r="1952">
      <c r="A1952" t="inlineStr">
        <is>
          <t>T-1756</t>
        </is>
      </c>
      <c r="B1952" t="inlineStr">
        <is>
          <t>Gasonet Services</t>
        </is>
      </c>
      <c r="C1952" t="inlineStr">
        <is>
          <t>Gasonet Services</t>
        </is>
      </c>
      <c r="D1952" t="inlineStr">
        <is>
          <t>Tender No. : GSRJL/C</t>
        </is>
      </c>
      <c r="E1952" t="inlineStr">
        <is>
          <t>2024-25/01</t>
        </is>
      </c>
      <c r="F1952" t="inlineStr">
        <is>
          <t>New Lead</t>
        </is>
      </c>
      <c r="G1952" t="inlineStr">
        <is>
          <t>CGS</t>
        </is>
      </c>
      <c r="H1952" t="inlineStr">
        <is>
          <t>SOR- Composite Work_CGS Rev1</t>
        </is>
      </c>
      <c r="K1952" t="inlineStr">
        <is>
          <t>Not found</t>
        </is>
      </c>
      <c r="L1952" t="inlineStr">
        <is>
          <t>Unknown</t>
        </is>
      </c>
      <c r="T1952" t="inlineStr">
        <is>
          <t>https://www.gasonet.in/files/16 SOR - Composite Work_CGS Rev 1-check.xlsx</t>
        </is>
      </c>
      <c r="U1952" t="inlineStr">
        <is>
          <t>No</t>
        </is>
      </c>
      <c r="V1952" t="inlineStr">
        <is>
          <t>Bot tarafindan tespit edildi (2026-07-01) | Bot enrich; date=2026-07-01; type=excel; score=295; Bot tespit/zenginlestirme (2026-07-01); meta:score=10;priority=Low;source_type=html_table;closing_date=;equipment=Irrelevant / non-target;reasons=irrelevant_equipment,station/skid keyword,document source,tender reference signal</t>
        </is>
      </c>
    </row>
    <row r="1953">
      <c r="A1953" t="inlineStr">
        <is>
          <t>T-1757</t>
        </is>
      </c>
      <c r="B1953" t="inlineStr">
        <is>
          <t>Gasonet Services</t>
        </is>
      </c>
      <c r="C1953" t="inlineStr">
        <is>
          <t>Gasonet Services</t>
        </is>
      </c>
      <c r="D1953" t="inlineStr">
        <is>
          <t>Tender No. : GSRJL/C</t>
        </is>
      </c>
      <c r="E1953" t="inlineStr">
        <is>
          <t>2025-26/01</t>
        </is>
      </c>
      <c r="F1953" t="inlineStr">
        <is>
          <t>New Lead</t>
        </is>
      </c>
      <c r="G1953" t="inlineStr">
        <is>
          <t>Gas-related / review</t>
        </is>
      </c>
      <c r="H1953" t="inlineStr">
        <is>
          <t>Tender Document</t>
        </is>
      </c>
      <c r="K1953" t="inlineStr">
        <is>
          <t>will be expected to complete the scope of the Bid within the period stated in Spe</t>
        </is>
      </c>
      <c r="L1953" t="inlineStr">
        <is>
          <t>Unknown</t>
        </is>
      </c>
      <c r="T1953" t="inlineStr">
        <is>
          <t>https://www.gasonet.in/files/Tender-for-Hiring-of-Agency-for-Construction-Management-Services-for-CGD-Project_pagenumber.pdf</t>
        </is>
      </c>
      <c r="U1953" t="inlineStr">
        <is>
          <t>No</t>
        </is>
      </c>
      <c r="V1953" t="inlineStr">
        <is>
          <t>Bot tarafindan tespit edildi (2026-07-01) | Bot enrich; date=2026-07-01; type=pdf; score=135; Bot tespit/zenginlestirme (2026-07-01); meta:score=50;priority=Medium;source_type=html_table;closing_date=;equipment=Gas-related / review;reasons=equipment:Gas-related / review,document source,tender reference signal</t>
        </is>
      </c>
    </row>
    <row r="1954">
      <c r="A1954" t="inlineStr">
        <is>
          <t>T-1758</t>
        </is>
      </c>
      <c r="B1954" t="inlineStr">
        <is>
          <t>Gasonet Services</t>
        </is>
      </c>
      <c r="C1954" t="inlineStr">
        <is>
          <t>Gasonet Services</t>
        </is>
      </c>
      <c r="D1954" t="inlineStr">
        <is>
          <t>Tender No. : GSRJL/C</t>
        </is>
      </c>
      <c r="E1954" t="inlineStr">
        <is>
          <t>2025-26/01</t>
        </is>
      </c>
      <c r="F1954" t="inlineStr">
        <is>
          <t>New Lead</t>
        </is>
      </c>
      <c r="G1954" t="inlineStr">
        <is>
          <t>Gas-related / review</t>
        </is>
      </c>
      <c r="H1954" t="inlineStr">
        <is>
          <t>Replies to Bidders Queries</t>
        </is>
      </c>
      <c r="K1954" t="inlineStr">
        <is>
          <t>Not found</t>
        </is>
      </c>
      <c r="L1954" t="inlineStr">
        <is>
          <t>Unknown</t>
        </is>
      </c>
      <c r="T1954" t="inlineStr">
        <is>
          <t>https://www.gasonet.in/files/Replies to Bidders Queries-4-6-25.pdf</t>
        </is>
      </c>
      <c r="U1954" t="inlineStr">
        <is>
          <t>No</t>
        </is>
      </c>
      <c r="V1954" t="inlineStr">
        <is>
          <t>Bot tarafindan tespit edildi (2026-07-01) | Bot enrich; date=2026-07-01; type=pdf; score=135; Bot tespit/zenginlestirme (2026-07-01); meta:score=50;priority=Medium;source_type=html_table;closing_date=;equipment=Gas-related / review;reasons=equipment:Gas-related / review,document source,tender reference signal</t>
        </is>
      </c>
    </row>
    <row r="1955">
      <c r="A1955" t="inlineStr">
        <is>
          <t>T-1759</t>
        </is>
      </c>
      <c r="B1955" t="inlineStr">
        <is>
          <t>Gasonet Services</t>
        </is>
      </c>
      <c r="C1955" t="inlineStr">
        <is>
          <t>Gasonet Services</t>
        </is>
      </c>
      <c r="D1955" t="inlineStr">
        <is>
          <t>Tender No. : GSL/RJ/CO/C</t>
        </is>
      </c>
      <c r="E1955" t="inlineStr">
        <is>
          <t>27-06-2025</t>
        </is>
      </c>
      <c r="F1955" t="inlineStr">
        <is>
          <t>New Lead</t>
        </is>
      </c>
      <c r="G1955" t="inlineStr">
        <is>
          <t>Gas-related / review</t>
        </is>
      </c>
      <c r="H1955" t="inlineStr">
        <is>
          <t>Tender Document</t>
        </is>
      </c>
      <c r="K1955" t="inlineStr">
        <is>
          <t>Not found</t>
        </is>
      </c>
      <c r="L1955" t="inlineStr">
        <is>
          <t>Unknown</t>
        </is>
      </c>
      <c r="T1955" t="inlineStr">
        <is>
          <t>https://www.gasonet.in/files/Tender_LNG Tanker.pdf</t>
        </is>
      </c>
      <c r="U1955" t="inlineStr">
        <is>
          <t>No</t>
        </is>
      </c>
      <c r="V1955" t="inlineStr">
        <is>
          <t>Bot tarafindan tespit edildi (2026-07-01) | Bot enrich; date=2026-07-01; type=pdf; score=195; Bot tespit/zenginlestirme (2026-07-01); meta:score=50;priority=Medium;source_type=html_table;closing_date=;equipment=Gas-related / review;reasons=equipment:Gas-related / review,document source,tender reference signal</t>
        </is>
      </c>
    </row>
    <row r="1956">
      <c r="A1956" t="inlineStr">
        <is>
          <t>T-1760</t>
        </is>
      </c>
      <c r="B1956" t="inlineStr">
        <is>
          <t>Gasonet Services</t>
        </is>
      </c>
      <c r="C1956" t="inlineStr">
        <is>
          <t>Gasonet Services</t>
        </is>
      </c>
      <c r="D1956" t="inlineStr">
        <is>
          <t>Tender No. : GSL/RJ/CO/C</t>
        </is>
      </c>
      <c r="E1956" t="inlineStr">
        <is>
          <t>27-06-2025</t>
        </is>
      </c>
      <c r="F1956" t="inlineStr">
        <is>
          <t>New Lead</t>
        </is>
      </c>
      <c r="G1956" t="inlineStr">
        <is>
          <t>Gas-related / review</t>
        </is>
      </c>
      <c r="H1956" t="inlineStr">
        <is>
          <t>Replies to Bidder Queries</t>
        </is>
      </c>
      <c r="K1956" t="inlineStr">
        <is>
          <t>Not found</t>
        </is>
      </c>
      <c r="L1956" t="inlineStr">
        <is>
          <t>Unknown</t>
        </is>
      </c>
      <c r="T1956" t="inlineStr">
        <is>
          <t>https://www.gasonet.in/files/Replies-to-Bidder-Queries-LNG.pdf</t>
        </is>
      </c>
      <c r="U1956" t="inlineStr">
        <is>
          <t>No</t>
        </is>
      </c>
      <c r="V1956" t="inlineStr">
        <is>
          <t>Bot tarafindan tespit edildi (2026-07-01) | Bot enrich; date=2026-07-01; type=pdf; score=195; Bot tespit/zenginlestirme (2026-07-01); meta:score=50;priority=Medium;source_type=html_table;closing_date=;equipment=Gas-related / review;reasons=equipment:Gas-related / review,document source,tender reference signal</t>
        </is>
      </c>
    </row>
    <row r="1957">
      <c r="A1957" t="inlineStr">
        <is>
          <t>T-1761</t>
        </is>
      </c>
      <c r="B1957" t="inlineStr">
        <is>
          <t>Gasonet Services</t>
        </is>
      </c>
      <c r="C1957" t="inlineStr">
        <is>
          <t>Gasonet Services</t>
        </is>
      </c>
      <c r="D1957" t="inlineStr">
        <is>
          <t>Tender No. : GSL/DD/C</t>
        </is>
      </c>
      <c r="E1957" t="inlineStr">
        <is>
          <t>25/07/2025</t>
        </is>
      </c>
      <c r="F1957" t="inlineStr">
        <is>
          <t>New Lead</t>
        </is>
      </c>
      <c r="G1957" t="inlineStr">
        <is>
          <t>DRS</t>
        </is>
      </c>
      <c r="H1957" t="inlineStr">
        <is>
          <t>Tender Document</t>
        </is>
      </c>
      <c r="K1957" t="inlineStr">
        <is>
          <t>will be expected to complete the scope of the Bid within the period stated in Spe</t>
        </is>
      </c>
      <c r="L1957" t="inlineStr">
        <is>
          <t>Unknown</t>
        </is>
      </c>
      <c r="M1957" t="n">
        <v>1000000000</v>
      </c>
      <c r="T1957" t="inlineStr">
        <is>
          <t>https://www.gasonet.in/files/DRS-Tender.pdf</t>
        </is>
      </c>
      <c r="U1957" t="inlineStr">
        <is>
          <t>No</t>
        </is>
      </c>
      <c r="V1957" t="inlineStr">
        <is>
          <t>Bot tarafindan tespit edildi (2026-07-01) | Bot enrich; date=2026-07-01; type=pdf; score=295; Bot tespit/zenginlestirme (2026-07-01); meta:score=95;priority=High;source_type=html_table;closing_date=25/07/2025;equipment=Regulating station;reasons=equipment:Regulating station,station/skid keyword,document source,tender reference signal; Bot clean extraction (2026-07-01); meta:score=100;priority=High;source_type=html_table;closing_date=25/07/2025;equipment=Industrial / commercial regulator;quality_status=market_target;market_relevance=High;document_type=award;unit_price_inr=;amount_label=currency_near_total;matched_terms=Industrial / commercial regulator,Regulating / metering station;reject_reasons=employment/corporate;scope=market_intelligence_only;excluded_scope=no_bid_or_offer_submission_automation</t>
        </is>
      </c>
    </row>
    <row r="1958">
      <c r="A1958" t="inlineStr">
        <is>
          <t>T-1762</t>
        </is>
      </c>
      <c r="B1958" t="inlineStr">
        <is>
          <t>Gasonet Services</t>
        </is>
      </c>
      <c r="C1958" t="inlineStr">
        <is>
          <t>Gasonet Services</t>
        </is>
      </c>
      <c r="D1958" t="inlineStr">
        <is>
          <t>Tender No. : GSL/DD/C</t>
        </is>
      </c>
      <c r="F1958" t="inlineStr">
        <is>
          <t>New Lead</t>
        </is>
      </c>
      <c r="G1958" t="inlineStr">
        <is>
          <t>DRS</t>
        </is>
      </c>
      <c r="H1958" t="inlineStr">
        <is>
          <t>Technical Document</t>
        </is>
      </c>
      <c r="K1958" t="inlineStr">
        <is>
          <t>will be required to supply the MRS in the quantity mentioned in the above table o</t>
        </is>
      </c>
      <c r="L1958" t="inlineStr">
        <is>
          <t>Unknown</t>
        </is>
      </c>
      <c r="M1958" t="n">
        <v>1000</v>
      </c>
      <c r="T1958" t="inlineStr">
        <is>
          <t>https://www.gasonet.in/files/DRS-Technical Document.pdf</t>
        </is>
      </c>
      <c r="U1958" t="inlineStr">
        <is>
          <t>No</t>
        </is>
      </c>
      <c r="V1958" t="inlineStr">
        <is>
          <t>Bot tarafindan tespit edildi (2026-07-01) | Bot enrich; date=2026-07-01; type=pdf; score=295; Bot tespit/zenginlestirme (2026-07-01); meta:score=95;priority=High;source_type=html_table;closing_date=None;equipment=Regulating station;reasons=equipment:Regulating station,station/skid keyword,document source,tender reference signal; Bot clean extraction (2026-07-01); meta:score=100;priority=High;source_type=html_table;closing_date=None;equipment=Domestic gas regulator;quality_status=market_target;market_relevance=High;document_type=award;unit_price_inr=;amount_label=currency_near_total;matched_terms=Domestic gas regulator,Service / pressure regulator,Regulating / metering station,Skid / gas train,Gas filter station / filter equipment,Safety / shut-off equipment;reject_reasons=employment/corporate,non-product service,civil/electrical only;scope=market_intelligence_only;excluded_scope=no_bid_or_offer_submission_automation</t>
        </is>
      </c>
    </row>
    <row r="1959">
      <c r="A1959" t="inlineStr">
        <is>
          <t>T-1763</t>
        </is>
      </c>
      <c r="B1959" t="inlineStr">
        <is>
          <t>Gasonet Services</t>
        </is>
      </c>
      <c r="C1959" t="inlineStr">
        <is>
          <t>Gasonet Services</t>
        </is>
      </c>
      <c r="D1959" t="inlineStr">
        <is>
          <t>Tender No. : GSL/DD/C</t>
        </is>
      </c>
      <c r="F1959" t="inlineStr">
        <is>
          <t>New Lead</t>
        </is>
      </c>
      <c r="G1959" t="inlineStr">
        <is>
          <t>DRS</t>
        </is>
      </c>
      <c r="H1959" t="inlineStr">
        <is>
          <t>SOR</t>
        </is>
      </c>
      <c r="I1959" t="inlineStr">
        <is>
          <t>01</t>
        </is>
      </c>
      <c r="J1959" t="inlineStr">
        <is>
          <t>No</t>
        </is>
      </c>
      <c r="K1959" t="inlineStr">
        <is>
          <t>will be required to supply the Commercial Smart Meter in the quantity as mentione</t>
        </is>
      </c>
      <c r="L1959" t="inlineStr">
        <is>
          <t>Unknown</t>
        </is>
      </c>
      <c r="T1959" t="inlineStr">
        <is>
          <t>https://www.gasonet.in/files/DRS-SOR.pdf</t>
        </is>
      </c>
      <c r="U1959" t="inlineStr">
        <is>
          <t>No</t>
        </is>
      </c>
      <c r="V1959" t="inlineStr">
        <is>
          <t>Bot tarafindan tespit edildi (2026-07-01) | Bot enrich; date=2026-07-01; type=pdf; score=295; Bot tespit/zenginlestirme (2026-07-01); meta:score=95;priority=High;source_type=html_table;closing_date=None;equipment=Regulating station;reasons=equipment:Regulating station,station/skid keyword,document source,tender reference signal; Bot clean extraction (2026-07-01); meta:score=100;priority=High;source_type=html_table;closing_date=None;equipment=Domestic gas regulator;quality_status=market_target;market_relevance=High;document_type=award;unit_price_inr=;amount_label=;matched_terms=Domestic gas regulator,Industrial / commercial regulator,Regulating / metering station,Skid / gas train;reject_reasons=employment/corporate,civil/electrical only;scope=market_intelligence_only;excluded_scope=no_bid_or_offer_submission_automation</t>
        </is>
      </c>
    </row>
    <row r="1960">
      <c r="A1960" t="inlineStr">
        <is>
          <t>T-1764</t>
        </is>
      </c>
      <c r="B1960" t="inlineStr">
        <is>
          <t>Gasonet Services</t>
        </is>
      </c>
      <c r="C1960" t="inlineStr">
        <is>
          <t>Gasonet Services</t>
        </is>
      </c>
      <c r="D1960" t="inlineStr">
        <is>
          <t>Tender No. : GSL/DD/C</t>
        </is>
      </c>
      <c r="F1960" t="inlineStr">
        <is>
          <t>New Lead</t>
        </is>
      </c>
      <c r="G1960" t="inlineStr">
        <is>
          <t>DRS</t>
        </is>
      </c>
      <c r="H1960" t="inlineStr">
        <is>
          <t>GCC</t>
        </is>
      </c>
      <c r="K1960" t="inlineStr">
        <is>
          <t>Not found</t>
        </is>
      </c>
      <c r="L1960" t="inlineStr">
        <is>
          <t>Unknown</t>
        </is>
      </c>
      <c r="T1960" t="inlineStr">
        <is>
          <t>https://www.gasonet.in/files/DRS-GCC.pdf</t>
        </is>
      </c>
      <c r="U1960" t="inlineStr">
        <is>
          <t>No</t>
        </is>
      </c>
      <c r="V1960" t="inlineStr">
        <is>
          <t>Bot tarafindan tespit edildi (2026-07-01) | Bot enrich; date=2026-07-01; type=pdf; score=295; Bot tespit/zenginlestirme (2026-07-01); meta:score=95;priority=High;source_type=html_table;closing_date=None;equipment=Regulating station;reasons=equipment:Regulating station,station/skid keyword,document source,tender reference signal; Bot clean extraction (2026-07-01); meta:score=100;priority=High;source_type=html_table;closing_date=None;equipment=Regulating / metering station;quality_status=market_target;market_relevance=High;document_type=unknown;unit_price_inr=;amount_label=;matched_terms=Regulating / metering station;reject_reasons=;scope=market_intelligence_only;excluded_scope=no_bid_or_offer_submission_automation</t>
        </is>
      </c>
    </row>
    <row r="1961">
      <c r="A1961" t="inlineStr">
        <is>
          <t>T-1765</t>
        </is>
      </c>
      <c r="B1961" t="inlineStr">
        <is>
          <t>Gasonet Services</t>
        </is>
      </c>
      <c r="C1961" t="inlineStr">
        <is>
          <t>Gasonet Services</t>
        </is>
      </c>
      <c r="D1961" t="inlineStr">
        <is>
          <t>Tender No. : GSL/DD/C</t>
        </is>
      </c>
      <c r="F1961" t="inlineStr">
        <is>
          <t>New Lead</t>
        </is>
      </c>
      <c r="G1961" t="inlineStr">
        <is>
          <t>MRS</t>
        </is>
      </c>
      <c r="H1961" t="inlineStr">
        <is>
          <t>Corrigendum-1</t>
        </is>
      </c>
      <c r="I1961" t="inlineStr">
        <is>
          <t>2</t>
        </is>
      </c>
      <c r="J1961" t="inlineStr">
        <is>
          <t>set</t>
        </is>
      </c>
      <c r="K1961" t="inlineStr">
        <is>
          <t>s Pvt Ltd</t>
        </is>
      </c>
      <c r="L1961" t="inlineStr">
        <is>
          <t>Unknown</t>
        </is>
      </c>
      <c r="T1961" t="inlineStr">
        <is>
          <t>https://www.gasonet.in/files/Corrigendum-1.pdf</t>
        </is>
      </c>
      <c r="U1961" t="inlineStr">
        <is>
          <t>No</t>
        </is>
      </c>
      <c r="V1961" t="inlineStr">
        <is>
          <t>Bot tarafindan tespit edildi (2026-07-01) | Bot enrich; date=2026-07-01; type=pdf; score=295; Bot tespit/zenginlestirme (2026-07-01); meta:score=95;priority=High;source_type=html_table;closing_date=None;equipment=Regulating station;reasons=equipment:Regulating station,station/skid keyword,document source,tender reference signal; Bot clean extraction (2026-07-01); meta:score=100;priority=High;source_type=html_table;closing_date=None;equipment=Regulating / metering station;quality_status=market_target;market_relevance=High;document_type=unknown;unit_price_inr=;amount_label=;matched_terms=Regulating / metering station;reject_reasons=;scope=market_intelligence_only;excluded_scope=no_bid_or_offer_submission_automation</t>
        </is>
      </c>
    </row>
    <row r="1962">
      <c r="A1962" t="inlineStr">
        <is>
          <t>T-1766</t>
        </is>
      </c>
      <c r="B1962" t="inlineStr">
        <is>
          <t>Gasonet Services</t>
        </is>
      </c>
      <c r="C1962" t="inlineStr">
        <is>
          <t>Gasonet Services</t>
        </is>
      </c>
      <c r="D1962" t="inlineStr">
        <is>
          <t>Tender No. : GSL/DD/C</t>
        </is>
      </c>
      <c r="F1962" t="inlineStr">
        <is>
          <t>New Lead</t>
        </is>
      </c>
      <c r="G1962" t="inlineStr">
        <is>
          <t>MRS</t>
        </is>
      </c>
      <c r="H1962" t="inlineStr">
        <is>
          <t>Replies to Bidder Queries</t>
        </is>
      </c>
      <c r="K1962" t="inlineStr">
        <is>
          <t>s. We request Gasonet to Kindly accept the same. We would like to inform you that</t>
        </is>
      </c>
      <c r="L1962" t="inlineStr">
        <is>
          <t>Unknown</t>
        </is>
      </c>
      <c r="M1962" t="n">
        <v>92</v>
      </c>
      <c r="T1962" t="inlineStr">
        <is>
          <t>https://www.gasonet.in/files/Replies to Bidder Queries - FInal.pdf</t>
        </is>
      </c>
      <c r="U1962" t="inlineStr">
        <is>
          <t>No</t>
        </is>
      </c>
      <c r="V1962" t="inlineStr">
        <is>
          <t>Bot tarafindan tespit edildi (2026-07-01) | Bot enrich; date=2026-07-01; type=pdf; score=295; Bot tespit/zenginlestirme (2026-07-01); meta:score=95;priority=High;source_type=html_table;closing_date=None;equipment=Regulating station;reasons=equipment:Regulating station,station/skid keyword,document source,tender reference signal; Bot clean extraction (2026-07-01); meta:score=100;priority=High;source_type=html_table;closing_date=None;equipment=Service / pressure regulator;quality_status=market_target;market_relevance=High;document_type=award;unit_price_inr=;amount_label=;matched_terms=Service / pressure regulator,Industrial / commercial regulator,Regulating / metering station,Safety / shut-off equipment;reject_reasons=employment/corporate,civil/electrical only;scope=market_intelligence_only;excluded_scope=no_bid_or_offer_submission_automation</t>
        </is>
      </c>
    </row>
    <row r="1963">
      <c r="A1963" t="inlineStr">
        <is>
          <t>T-1767</t>
        </is>
      </c>
      <c r="B1963" t="inlineStr">
        <is>
          <t>Gasonet Services</t>
        </is>
      </c>
      <c r="C1963" t="inlineStr">
        <is>
          <t>Gasonet Services</t>
        </is>
      </c>
      <c r="D1963" t="inlineStr">
        <is>
          <t>Tender No. : GSRJL/C</t>
        </is>
      </c>
      <c r="E1963" t="inlineStr">
        <is>
          <t>2025-26/03</t>
        </is>
      </c>
      <c r="F1963" t="inlineStr">
        <is>
          <t>New Lead</t>
        </is>
      </c>
      <c r="G1963" t="inlineStr">
        <is>
          <t>CGS</t>
        </is>
      </c>
      <c r="H1963" t="inlineStr">
        <is>
          <t>Tender Document</t>
        </is>
      </c>
      <c r="K1963" t="inlineStr">
        <is>
          <t>SHALL BE DECIDED ON L-1 BASIS</t>
        </is>
      </c>
      <c r="L1963" t="inlineStr">
        <is>
          <t>Unknown</t>
        </is>
      </c>
      <c r="M1963" t="n">
        <v>1000000000</v>
      </c>
      <c r="T1963" t="inlineStr">
        <is>
          <t>https://www.gasonet.in/files/01-Tender.pdf</t>
        </is>
      </c>
      <c r="U1963" t="inlineStr">
        <is>
          <t>No</t>
        </is>
      </c>
      <c r="V1963" t="inlineStr">
        <is>
          <t>Bot tarafindan tespit edildi (2026-07-01) | Bot enrich; date=2026-07-01; type=pdf; score=295; Bot tespit/zenginlestirme (2026-07-01); meta:score=10;priority=Low;source_type=html_table;closing_date=;equipment=Irrelevant / non-target;reasons=irrelevant_equipment,station/skid keyword,document source,tender reference signal; Bot clean extraction (2026-07-01); meta:score=100;priority=High;source_type=html_table;closing_date=24/07/2025;equipment=Regulating / metering station;quality_status=market_target;market_relevance=High;document_type=award;unit_price_inr=;amount_label=currency_near_total;matched_terms=Regulating / metering station;reject_reasons=employment/corporate;scope=market_intelligence_only;excluded_scope=no_bid_or_offer_submission_automation</t>
        </is>
      </c>
    </row>
    <row r="1964">
      <c r="A1964" t="inlineStr">
        <is>
          <t>T-1768</t>
        </is>
      </c>
      <c r="B1964" t="inlineStr">
        <is>
          <t>Gasonet Services</t>
        </is>
      </c>
      <c r="C1964" t="inlineStr">
        <is>
          <t>Gasonet Services</t>
        </is>
      </c>
      <c r="D1964" t="inlineStr">
        <is>
          <t>Tender No. : GSRJL/C</t>
        </is>
      </c>
      <c r="E1964" t="inlineStr">
        <is>
          <t>2025-26/03</t>
        </is>
      </c>
      <c r="F1964" t="inlineStr">
        <is>
          <t>New Lead</t>
        </is>
      </c>
      <c r="G1964" t="inlineStr">
        <is>
          <t>CGS</t>
        </is>
      </c>
      <c r="H1964" t="inlineStr">
        <is>
          <t>SOR - AG Piping Work CGS Churu</t>
        </is>
      </c>
      <c r="K1964" t="inlineStr">
        <is>
          <t>Not found</t>
        </is>
      </c>
      <c r="L1964" t="inlineStr">
        <is>
          <t>Unknown</t>
        </is>
      </c>
      <c r="T1964" t="inlineStr">
        <is>
          <t>https://www.gasonet.in/files/07-SOR - AG Piping Work CGS Churu.xlsx</t>
        </is>
      </c>
      <c r="U1964" t="inlineStr">
        <is>
          <t>No</t>
        </is>
      </c>
      <c r="V1964" t="inlineStr">
        <is>
          <t>Bot tarafindan tespit edildi (2026-07-01) | Bot enrich; date=2026-07-01; type=excel; score=295; Bot tespit/zenginlestirme (2026-07-01); meta:score=10;priority=Low;source_type=html_table;closing_date=;equipment=Irrelevant / non-target;reasons=irrelevant_equipment,station/skid keyword,document source,tender reference signal</t>
        </is>
      </c>
    </row>
    <row r="1965">
      <c r="A1965" t="inlineStr">
        <is>
          <t>T-1769</t>
        </is>
      </c>
      <c r="B1965" t="inlineStr">
        <is>
          <t>Gasonet Services</t>
        </is>
      </c>
      <c r="C1965" t="inlineStr">
        <is>
          <t>Gasonet Services</t>
        </is>
      </c>
      <c r="D1965" t="inlineStr">
        <is>
          <t>Tender No. : GSL/C</t>
        </is>
      </c>
      <c r="F1965" t="inlineStr">
        <is>
          <t>New Lead</t>
        </is>
      </c>
      <c r="G1965" t="inlineStr">
        <is>
          <t>Unclassified</t>
        </is>
      </c>
      <c r="H1965" t="inlineStr">
        <is>
          <t>Tender Document</t>
        </is>
      </c>
      <c r="K1965" t="inlineStr">
        <is>
          <t>Not found</t>
        </is>
      </c>
      <c r="L1965" t="inlineStr">
        <is>
          <t>Unknown</t>
        </is>
      </c>
      <c r="T1965" t="inlineStr">
        <is>
          <t>https://www.gasonet.in/files/Tender Document - Ball and Globe Valves.pdf</t>
        </is>
      </c>
      <c r="U1965" t="inlineStr">
        <is>
          <t>No</t>
        </is>
      </c>
      <c r="V1965" t="inlineStr">
        <is>
          <t>Bot tarafindan tespit edildi (2026-07-01) | Bot enrich; date=2026-07-01; type=pdf; score=125; Bot tespit/zenginlestirme (2026-07-01); meta:score=35;priority=Low;source_type=html_table;closing_date=;equipment=Unclassified;reasons=document source,tender reference signal</t>
        </is>
      </c>
    </row>
    <row r="1966">
      <c r="A1966" t="inlineStr">
        <is>
          <t>T-1770</t>
        </is>
      </c>
      <c r="B1966" t="inlineStr">
        <is>
          <t>Gasonet Services</t>
        </is>
      </c>
      <c r="C1966" t="inlineStr">
        <is>
          <t>Gasonet Services</t>
        </is>
      </c>
      <c r="D1966" t="inlineStr">
        <is>
          <t>Tender No. : GSL/C</t>
        </is>
      </c>
      <c r="F1966" t="inlineStr">
        <is>
          <t>New Lead</t>
        </is>
      </c>
      <c r="G1966" t="inlineStr">
        <is>
          <t>Unclassified</t>
        </is>
      </c>
      <c r="H1966" t="inlineStr">
        <is>
          <t>Replies to Bidders Queries</t>
        </is>
      </c>
      <c r="K1966" t="inlineStr">
        <is>
          <t>Not found</t>
        </is>
      </c>
      <c r="L1966" t="inlineStr">
        <is>
          <t>Unknown</t>
        </is>
      </c>
      <c r="T1966" t="inlineStr">
        <is>
          <t>https://www.gasonet.in/files/Replies_to_Bidders_Queries_Ball_Glove_Valve.pdf</t>
        </is>
      </c>
      <c r="U1966" t="inlineStr">
        <is>
          <t>No</t>
        </is>
      </c>
      <c r="V1966" t="inlineStr">
        <is>
          <t>Bot tarafindan tespit edildi (2026-07-01) | Bot enrich; date=2026-07-01; type=pdf; score=125; Bot tespit/zenginlestirme (2026-07-01); meta:score=35;priority=Low;source_type=html_table;closing_date=;equipment=Unclassified;reasons=document source,tender reference signal</t>
        </is>
      </c>
    </row>
    <row r="1967">
      <c r="A1967" t="inlineStr">
        <is>
          <t>T-1771</t>
        </is>
      </c>
      <c r="B1967" t="inlineStr">
        <is>
          <t>Gasonet Services</t>
        </is>
      </c>
      <c r="C1967" t="inlineStr">
        <is>
          <t>Gasonet Services</t>
        </is>
      </c>
      <c r="D1967" t="inlineStr">
        <is>
          <t>Tender No. : GSL/RJ/ODORIZER/2025-26/004</t>
        </is>
      </c>
      <c r="F1967" t="inlineStr">
        <is>
          <t>New Lead</t>
        </is>
      </c>
      <c r="G1967" t="inlineStr">
        <is>
          <t>Unclassified</t>
        </is>
      </c>
      <c r="H1967" t="inlineStr">
        <is>
          <t>Tender Document</t>
        </is>
      </c>
      <c r="K1967" t="inlineStr">
        <is>
          <t>Not found</t>
        </is>
      </c>
      <c r="L1967" t="inlineStr">
        <is>
          <t>Unknown</t>
        </is>
      </c>
      <c r="T1967" t="inlineStr">
        <is>
          <t>https://www.gasonet.in/files/22-Tender-Purchase-of-Odorizer-Unit.pdf</t>
        </is>
      </c>
      <c r="U1967" t="inlineStr">
        <is>
          <t>No</t>
        </is>
      </c>
      <c r="V1967" t="inlineStr">
        <is>
          <t>Bot tarafindan tespit edildi (2026-07-01) | Bot enrich; date=2026-07-01; type=pdf; score=125; Bot tespit/zenginlestirme (2026-07-01); meta:score=35;priority=Low;source_type=html_table;closing_date=;equipment=Unclassified;reasons=document source,tender reference signal</t>
        </is>
      </c>
    </row>
    <row r="1968">
      <c r="A1968" t="inlineStr">
        <is>
          <t>T-1772</t>
        </is>
      </c>
      <c r="B1968" t="inlineStr">
        <is>
          <t>Gasonet Services</t>
        </is>
      </c>
      <c r="C1968" t="inlineStr">
        <is>
          <t>Gasonet Services</t>
        </is>
      </c>
      <c r="D1968" t="inlineStr">
        <is>
          <t>Tender No. : GSL/RJ/ODORIZER/2025-26/004</t>
        </is>
      </c>
      <c r="F1968" t="inlineStr">
        <is>
          <t>New Lead</t>
        </is>
      </c>
      <c r="G1968" t="inlineStr">
        <is>
          <t>Unclassified</t>
        </is>
      </c>
      <c r="H1968" t="inlineStr">
        <is>
          <t>Replies to Bidders Queries</t>
        </is>
      </c>
      <c r="K1968" t="inlineStr">
        <is>
          <t>Not found</t>
        </is>
      </c>
      <c r="L1968" t="inlineStr">
        <is>
          <t>Unknown</t>
        </is>
      </c>
      <c r="T1968" t="inlineStr">
        <is>
          <t>https://www.gasonet.in/files/22-Odorizer_TQCQ Replies to Bidders Query.pdf</t>
        </is>
      </c>
      <c r="U1968" t="inlineStr">
        <is>
          <t>No</t>
        </is>
      </c>
      <c r="V1968" t="inlineStr">
        <is>
          <t>Bot tarafindan tespit edildi (2026-07-01) | Bot enrich; date=2026-07-01; type=pdf; score=125; Bot tespit/zenginlestirme (2026-07-01); meta:score=35;priority=Low;source_type=html_table;closing_date=;equipment=Unclassified;reasons=document source,tender reference signal</t>
        </is>
      </c>
    </row>
    <row r="1969">
      <c r="A1969" t="inlineStr">
        <is>
          <t>T-1773</t>
        </is>
      </c>
      <c r="B1969" t="inlineStr">
        <is>
          <t>Gasonet Services</t>
        </is>
      </c>
      <c r="C1969" t="inlineStr">
        <is>
          <t>Gasonet Services</t>
        </is>
      </c>
      <c r="D1969" t="inlineStr">
        <is>
          <t>Tender No. : GSL/PE-BALL</t>
        </is>
      </c>
      <c r="E1969" t="inlineStr">
        <is>
          <t>2025-26/07</t>
        </is>
      </c>
      <c r="F1969" t="inlineStr">
        <is>
          <t>New Lead</t>
        </is>
      </c>
      <c r="G1969" t="inlineStr">
        <is>
          <t>Unclassified</t>
        </is>
      </c>
      <c r="H1969" t="inlineStr">
        <is>
          <t>Tender Document</t>
        </is>
      </c>
      <c r="K1969" t="inlineStr">
        <is>
          <t>Not found</t>
        </is>
      </c>
      <c r="L1969" t="inlineStr">
        <is>
          <t>Unknown</t>
        </is>
      </c>
      <c r="T1969" t="inlineStr">
        <is>
          <t>https://www.gasonet.in/files/23-TENDER.pdf</t>
        </is>
      </c>
      <c r="U1969" t="inlineStr">
        <is>
          <t>No</t>
        </is>
      </c>
      <c r="V1969" t="inlineStr">
        <is>
          <t>Bot tarafindan tespit edildi (2026-07-01) | Bot enrich; date=2026-07-01; type=pdf; score=135; Bot tespit/zenginlestirme (2026-07-01); meta:score=35;priority=Low;source_type=html_table;closing_date=;equipment=Unclassified;reasons=document source,tender reference signal</t>
        </is>
      </c>
    </row>
    <row r="1970">
      <c r="A1970" t="inlineStr">
        <is>
          <t>T-1774</t>
        </is>
      </c>
      <c r="B1970" t="inlineStr">
        <is>
          <t>Gasonet Services</t>
        </is>
      </c>
      <c r="C1970" t="inlineStr">
        <is>
          <t>Gasonet Services</t>
        </is>
      </c>
      <c r="D1970" t="inlineStr">
        <is>
          <t>Tender No. : GSL/PE-BALL</t>
        </is>
      </c>
      <c r="E1970" t="inlineStr">
        <is>
          <t>2025-26/07</t>
        </is>
      </c>
      <c r="F1970" t="inlineStr">
        <is>
          <t>New Lead</t>
        </is>
      </c>
      <c r="G1970" t="inlineStr">
        <is>
          <t>Unclassified</t>
        </is>
      </c>
      <c r="H1970" t="inlineStr">
        <is>
          <t>Additional Replies to Bidders' Queries</t>
        </is>
      </c>
      <c r="K1970" t="inlineStr">
        <is>
          <t>Not found</t>
        </is>
      </c>
      <c r="L1970" t="inlineStr">
        <is>
          <t>Unknown</t>
        </is>
      </c>
      <c r="T1970" t="inlineStr">
        <is>
          <t>https://www.gasonet.in/files/Additional Replies to Bidders' Queries.pdf</t>
        </is>
      </c>
      <c r="U1970" t="inlineStr">
        <is>
          <t>No</t>
        </is>
      </c>
      <c r="V1970" t="inlineStr">
        <is>
          <t>Bot tarafindan tespit edildi (2026-07-01) | Bot enrich; date=2026-07-01; type=pdf; score=135; Bot tespit/zenginlestirme (2026-07-01); meta:score=35;priority=Low;source_type=html_table;closing_date=;equipment=Unclassified;reasons=document source,tender reference signal</t>
        </is>
      </c>
    </row>
    <row r="1971">
      <c r="A1971" t="inlineStr">
        <is>
          <t>T-1775</t>
        </is>
      </c>
      <c r="B1971" t="inlineStr">
        <is>
          <t>Gasonet Services</t>
        </is>
      </c>
      <c r="C1971" t="inlineStr">
        <is>
          <t>Gasonet Services</t>
        </is>
      </c>
      <c r="D1971" t="inlineStr">
        <is>
          <t>Tender No. : GSL/PE-FITTING</t>
        </is>
      </c>
      <c r="E1971" t="inlineStr">
        <is>
          <t>2025-26/08</t>
        </is>
      </c>
      <c r="F1971" t="inlineStr">
        <is>
          <t>New Lead</t>
        </is>
      </c>
      <c r="G1971" t="inlineStr">
        <is>
          <t>Unclassified</t>
        </is>
      </c>
      <c r="H1971" t="inlineStr">
        <is>
          <t>Tender Document</t>
        </is>
      </c>
      <c r="K1971" t="inlineStr">
        <is>
          <t>Not found</t>
        </is>
      </c>
      <c r="L1971" t="inlineStr">
        <is>
          <t>Unknown</t>
        </is>
      </c>
      <c r="T1971" t="inlineStr">
        <is>
          <t>https://www.gasonet.in/files/TENDER_PE FITTING.pdf</t>
        </is>
      </c>
      <c r="U1971" t="inlineStr">
        <is>
          <t>No</t>
        </is>
      </c>
      <c r="V1971" t="inlineStr">
        <is>
          <t>Bot tarafindan tespit edildi (2026-07-01) | Bot enrich; date=2026-07-01; type=pdf; score=135; Bot tespit/zenginlestirme (2026-07-01); meta:score=35;priority=Low;source_type=html_table;closing_date=;equipment=Unclassified;reasons=document source,tender reference signal</t>
        </is>
      </c>
    </row>
    <row r="1972">
      <c r="A1972" t="inlineStr">
        <is>
          <t>T-1776</t>
        </is>
      </c>
      <c r="B1972" t="inlineStr">
        <is>
          <t>Gasonet Services</t>
        </is>
      </c>
      <c r="C1972" t="inlineStr">
        <is>
          <t>Gasonet Services</t>
        </is>
      </c>
      <c r="D1972" t="inlineStr">
        <is>
          <t>Tender No. : GSL/CIVIL</t>
        </is>
      </c>
      <c r="F1972" t="inlineStr">
        <is>
          <t>New Lead</t>
        </is>
      </c>
      <c r="G1972" t="inlineStr">
        <is>
          <t>Unclassified</t>
        </is>
      </c>
      <c r="H1972" t="inlineStr">
        <is>
          <t>Tender Document</t>
        </is>
      </c>
      <c r="K1972" t="inlineStr">
        <is>
          <t>Not found</t>
        </is>
      </c>
      <c r="L1972" t="inlineStr">
        <is>
          <t>Unknown</t>
        </is>
      </c>
      <c r="T1972" t="inlineStr">
        <is>
          <t>https://www.gasonet.in/files/25-CIVIL_TENDER.pdf</t>
        </is>
      </c>
      <c r="U1972" t="inlineStr">
        <is>
          <t>No</t>
        </is>
      </c>
      <c r="V1972" t="inlineStr">
        <is>
          <t>Bot tarafindan tespit edildi (2026-07-01) | Bot enrich; date=2026-07-01; type=pdf; score=125; Bot tespit/zenginlestirme (2026-07-01); meta:score=;priority=Low;source_type=html_table;closing_date=;equipment=Unclassified;reasons=document source,tender reference signal,access/action page</t>
        </is>
      </c>
    </row>
    <row r="1973">
      <c r="A1973" t="inlineStr">
        <is>
          <t>T-1777</t>
        </is>
      </c>
      <c r="B1973" t="inlineStr">
        <is>
          <t>Gasonet Services</t>
        </is>
      </c>
      <c r="C1973" t="inlineStr">
        <is>
          <t>Gasonet Services</t>
        </is>
      </c>
      <c r="D1973" t="inlineStr">
        <is>
          <t>Tender No. : GASONET/C</t>
        </is>
      </c>
      <c r="F1973" t="inlineStr">
        <is>
          <t>New Lead</t>
        </is>
      </c>
      <c r="G1973" t="inlineStr">
        <is>
          <t>Gas-related / review</t>
        </is>
      </c>
      <c r="H1973" t="inlineStr">
        <is>
          <t>Tender Document</t>
        </is>
      </c>
      <c r="K1973" t="inlineStr">
        <is>
          <t>Not found</t>
        </is>
      </c>
      <c r="L1973" t="inlineStr">
        <is>
          <t>Unknown</t>
        </is>
      </c>
      <c r="T1973" t="inlineStr">
        <is>
          <t>https://www.gasonet.in/files/26-TENDER-MLC-PIPE.pdf</t>
        </is>
      </c>
      <c r="U1973" t="inlineStr">
        <is>
          <t>No</t>
        </is>
      </c>
      <c r="V1973" t="inlineStr">
        <is>
          <t>Bot tarafindan tespit edildi (2026-07-01) | Bot enrich; date=2026-07-01; type=pdf; score=185; Bot tespit/zenginlestirme (2026-07-01); meta:score=15;priority=Low;source_type=html_table;closing_date=;equipment=Gas-related / review;reasons=equipment:Gas-related / review,document source,tender reference signal,access/action page</t>
        </is>
      </c>
    </row>
    <row r="1974">
      <c r="A1974" t="inlineStr">
        <is>
          <t>T-1778</t>
        </is>
      </c>
      <c r="B1974" t="inlineStr">
        <is>
          <t>Gasonet Services</t>
        </is>
      </c>
      <c r="C1974" t="inlineStr">
        <is>
          <t>Gasonet Services</t>
        </is>
      </c>
      <c r="D1974" t="inlineStr">
        <is>
          <t>Tender No. : GASONET/C</t>
        </is>
      </c>
      <c r="F1974" t="inlineStr">
        <is>
          <t>New Lead</t>
        </is>
      </c>
      <c r="G1974" t="inlineStr">
        <is>
          <t>Gas-related / review</t>
        </is>
      </c>
      <c r="H1974" t="inlineStr">
        <is>
          <t>Tender Document</t>
        </is>
      </c>
      <c r="K1974" t="inlineStr">
        <is>
          <t>Not found</t>
        </is>
      </c>
      <c r="L1974" t="inlineStr">
        <is>
          <t>Unknown</t>
        </is>
      </c>
      <c r="T1974" t="inlineStr">
        <is>
          <t>https://www.gasonet.in/files/27-TENDER_GI-PIPE.pdf</t>
        </is>
      </c>
      <c r="U1974" t="inlineStr">
        <is>
          <t>No</t>
        </is>
      </c>
      <c r="V1974" t="inlineStr">
        <is>
          <t>Bot tarafindan tespit edildi (2026-07-01) | Bot enrich; date=2026-07-01; type=pdf; score=185; Bot tespit/zenginlestirme (2026-07-01); meta:score=15;priority=Low;source_type=html_table;closing_date=;equipment=Gas-related / review;reasons=equipment:Gas-related / review,document source,tender reference signal,access/action page</t>
        </is>
      </c>
    </row>
    <row r="1975">
      <c r="A1975" t="inlineStr">
        <is>
          <t>T-1779</t>
        </is>
      </c>
      <c r="B1975" t="inlineStr">
        <is>
          <t>Gasonet Services</t>
        </is>
      </c>
      <c r="C1975" t="inlineStr">
        <is>
          <t>Gasonet Services</t>
        </is>
      </c>
      <c r="D1975" t="inlineStr">
        <is>
          <t>GASONET/C</t>
        </is>
      </c>
      <c r="F1975" t="inlineStr">
        <is>
          <t>New Lead</t>
        </is>
      </c>
      <c r="G1975" t="inlineStr">
        <is>
          <t>Unclassified</t>
        </is>
      </c>
      <c r="H1975" t="inlineStr">
        <is>
          <t>Tender Document</t>
        </is>
      </c>
      <c r="K1975" t="inlineStr">
        <is>
          <t>Not found</t>
        </is>
      </c>
      <c r="L1975" t="inlineStr">
        <is>
          <t>Unknown</t>
        </is>
      </c>
      <c r="T1975" t="inlineStr">
        <is>
          <t>https://www.gasonet.in/files/28-Tender.pdf</t>
        </is>
      </c>
      <c r="U1975" t="inlineStr">
        <is>
          <t>No</t>
        </is>
      </c>
      <c r="V1975" t="inlineStr">
        <is>
          <t>Bot tarafindan tespit edildi (2026-07-01); Bot tespit/zenginlestirme (2026-07-01); meta:score=;priority=Low;source_type=html_table;closing_date=;equipment=Unclassified;reasons=document source,tender reference signal,access/action page</t>
        </is>
      </c>
    </row>
    <row r="1976">
      <c r="A1976" t="inlineStr">
        <is>
          <t>T-1780</t>
        </is>
      </c>
      <c r="B1976" t="inlineStr">
        <is>
          <t>Avantika Gas</t>
        </is>
      </c>
      <c r="C1976" t="inlineStr">
        <is>
          <t>Avantika Gas</t>
        </is>
      </c>
      <c r="D1976" t="inlineStr">
        <is>
          <t>iatives</t>
        </is>
      </c>
      <c r="F1976" t="inlineStr">
        <is>
          <t>New Lead</t>
        </is>
      </c>
      <c r="G1976" t="inlineStr">
        <is>
          <t>Irrelevant / non-target</t>
        </is>
      </c>
      <c r="H1976" t="inlineStr">
        <is>
          <t>CSR Initiatives</t>
        </is>
      </c>
      <c r="K1976" t="inlineStr">
        <is>
          <t>Not found</t>
        </is>
      </c>
      <c r="L1976" t="inlineStr">
        <is>
          <t>Unknown</t>
        </is>
      </c>
      <c r="T1976" t="inlineStr">
        <is>
          <t>https://www.aglonline.net/csr/csr-initiatives/</t>
        </is>
      </c>
      <c r="U1976" t="inlineStr">
        <is>
          <t>No</t>
        </is>
      </c>
      <c r="V1976" t="inlineStr">
        <is>
          <t>Bot tarafindan tespit edildi (2026-07-01); Bot tespit/zenginlestirme (2026-07-01); meta:score=;priority=Low;source_type=html_link;closing_date=;equipment=Irrelevant / non-target;reasons=irrelevant_equipment,tender reference signal,website noise</t>
        </is>
      </c>
    </row>
    <row r="1977">
      <c r="A1977" t="inlineStr">
        <is>
          <t>T-1781</t>
        </is>
      </c>
      <c r="B1977" t="inlineStr">
        <is>
          <t>Avantika Gas</t>
        </is>
      </c>
      <c r="C1977" t="inlineStr">
        <is>
          <t>Avantika Gas</t>
        </is>
      </c>
      <c r="D1977" t="inlineStr">
        <is>
          <t>net/businesses/png-domestic/terms-and-conditions</t>
        </is>
      </c>
      <c r="F1977" t="inlineStr">
        <is>
          <t>New Lead</t>
        </is>
      </c>
      <c r="G1977" t="inlineStr">
        <is>
          <t>RMS</t>
        </is>
      </c>
      <c r="H1977" t="inlineStr">
        <is>
          <t>Terms and Conditions</t>
        </is>
      </c>
      <c r="K1977" t="inlineStr">
        <is>
          <t>Not found</t>
        </is>
      </c>
      <c r="L1977" t="inlineStr">
        <is>
          <t>Unknown</t>
        </is>
      </c>
      <c r="T1977" t="inlineStr">
        <is>
          <t>https://www.aglonline.net/businesses/png-domestic/terms-and-conditions/</t>
        </is>
      </c>
      <c r="U1977" t="inlineStr">
        <is>
          <t>No</t>
        </is>
      </c>
      <c r="V1977" t="inlineStr">
        <is>
          <t>Bot tarafindan tespit edildi (2026-07-01) | Bot enrich; date=2026-07-01; type=html; score=160</t>
        </is>
      </c>
    </row>
    <row r="1978">
      <c r="A1978" t="inlineStr">
        <is>
          <t>T-1782</t>
        </is>
      </c>
      <c r="B1978" t="inlineStr">
        <is>
          <t>Avantika Gas</t>
        </is>
      </c>
      <c r="C1978" t="inlineStr">
        <is>
          <t>Avantika Gas</t>
        </is>
      </c>
      <c r="F1978" t="inlineStr">
        <is>
          <t>New Lead</t>
        </is>
      </c>
      <c r="H1978" t="inlineStr">
        <is>
          <t>Tender</t>
        </is>
      </c>
      <c r="K1978" t="inlineStr">
        <is>
          <t>Not found</t>
        </is>
      </c>
      <c r="L1978" t="inlineStr">
        <is>
          <t>Unknown</t>
        </is>
      </c>
      <c r="T1978" t="inlineStr">
        <is>
          <t>https://www.aglonline.net/tender/</t>
        </is>
      </c>
      <c r="U1978" t="inlineStr">
        <is>
          <t>No</t>
        </is>
      </c>
      <c r="V1978" t="inlineStr">
        <is>
          <t>Bot tarafindan tespit edildi (2026-07-01)</t>
        </is>
      </c>
    </row>
    <row r="1979">
      <c r="A1979" t="inlineStr">
        <is>
          <t>T-1783</t>
        </is>
      </c>
      <c r="B1979" t="inlineStr">
        <is>
          <t>Avantika Gas</t>
        </is>
      </c>
      <c r="C1979" t="inlineStr">
        <is>
          <t>Avantika Gas</t>
        </is>
      </c>
      <c r="F1979" t="inlineStr">
        <is>
          <t>New Lead</t>
        </is>
      </c>
      <c r="H1979" t="inlineStr">
        <is>
          <t>Active Tenders</t>
        </is>
      </c>
      <c r="K1979" t="inlineStr">
        <is>
          <t>Not found</t>
        </is>
      </c>
      <c r="L1979" t="inlineStr">
        <is>
          <t>Unknown</t>
        </is>
      </c>
      <c r="T1979" t="inlineStr">
        <is>
          <t>https://www.aglonline.net/active-tenders/</t>
        </is>
      </c>
      <c r="U1979" t="inlineStr">
        <is>
          <t>No</t>
        </is>
      </c>
      <c r="V1979" t="inlineStr">
        <is>
          <t>Bot tarafindan tespit edildi (2026-07-01)</t>
        </is>
      </c>
    </row>
    <row r="1980">
      <c r="A1980" t="inlineStr">
        <is>
          <t>T-1784</t>
        </is>
      </c>
      <c r="B1980" t="inlineStr">
        <is>
          <t>Avantika Gas</t>
        </is>
      </c>
      <c r="C1980" t="inlineStr">
        <is>
          <t>Avantika Gas</t>
        </is>
      </c>
      <c r="F1980" t="inlineStr">
        <is>
          <t>New Lead</t>
        </is>
      </c>
      <c r="H1980" t="inlineStr">
        <is>
          <t>E-Tender</t>
        </is>
      </c>
      <c r="K1980" t="inlineStr">
        <is>
          <t>Not found</t>
        </is>
      </c>
      <c r="L1980" t="inlineStr">
        <is>
          <t>Unknown</t>
        </is>
      </c>
      <c r="T1980" t="inlineStr">
        <is>
          <t>https://www.aglonline.net/e-tender/</t>
        </is>
      </c>
      <c r="U1980" t="inlineStr">
        <is>
          <t>No</t>
        </is>
      </c>
      <c r="V1980" t="inlineStr">
        <is>
          <t>Bot tarafindan tespit edildi (2026-07-01)</t>
        </is>
      </c>
    </row>
    <row r="1981">
      <c r="A1981" t="inlineStr">
        <is>
          <t>T-1785</t>
        </is>
      </c>
      <c r="B1981" t="inlineStr">
        <is>
          <t>Avantika Gas</t>
        </is>
      </c>
      <c r="C1981" t="inlineStr">
        <is>
          <t>Avantika Gas</t>
        </is>
      </c>
      <c r="F1981" t="inlineStr">
        <is>
          <t>New Lead</t>
        </is>
      </c>
      <c r="H1981" t="inlineStr">
        <is>
          <t>Manual Tenders List</t>
        </is>
      </c>
      <c r="K1981" t="inlineStr">
        <is>
          <t>Not found</t>
        </is>
      </c>
      <c r="L1981" t="inlineStr">
        <is>
          <t>Unknown</t>
        </is>
      </c>
      <c r="T1981" t="inlineStr">
        <is>
          <t>https://www.aglonline.net/manual-tenders-list/</t>
        </is>
      </c>
      <c r="U1981" t="inlineStr">
        <is>
          <t>No</t>
        </is>
      </c>
      <c r="V1981" t="inlineStr">
        <is>
          <t>Bot tarafindan tespit edildi (2026-07-01)</t>
        </is>
      </c>
    </row>
    <row r="1982">
      <c r="A1982" t="inlineStr">
        <is>
          <t>T-1786</t>
        </is>
      </c>
      <c r="B1982" t="inlineStr">
        <is>
          <t>Avantika Gas</t>
        </is>
      </c>
      <c r="C1982" t="inlineStr">
        <is>
          <t>Avantika Gas</t>
        </is>
      </c>
      <c r="F1982" t="inlineStr">
        <is>
          <t>New Lead</t>
        </is>
      </c>
      <c r="H1982" t="inlineStr">
        <is>
          <t>Disposals E-Auction</t>
        </is>
      </c>
      <c r="K1982" t="inlineStr">
        <is>
          <t>Not found</t>
        </is>
      </c>
      <c r="L1982" t="inlineStr">
        <is>
          <t>Unknown</t>
        </is>
      </c>
      <c r="T1982" t="inlineStr">
        <is>
          <t>https://www.aglonline.net/tender/disposals-e-auction/</t>
        </is>
      </c>
      <c r="U1982" t="inlineStr">
        <is>
          <t>No</t>
        </is>
      </c>
      <c r="V1982" t="inlineStr">
        <is>
          <t>Bot tarafindan tespit edildi (2026-07-01)</t>
        </is>
      </c>
    </row>
    <row r="1983">
      <c r="A1983" t="inlineStr">
        <is>
          <t>T-1787</t>
        </is>
      </c>
      <c r="B1983" t="inlineStr">
        <is>
          <t>Avantika Gas</t>
        </is>
      </c>
      <c r="C1983" t="inlineStr">
        <is>
          <t>Avantika Gas</t>
        </is>
      </c>
      <c r="F1983" t="inlineStr">
        <is>
          <t>New Lead</t>
        </is>
      </c>
      <c r="H1983" t="inlineStr">
        <is>
          <t>EOI</t>
        </is>
      </c>
      <c r="K1983" t="inlineStr">
        <is>
          <t>Not found</t>
        </is>
      </c>
      <c r="L1983" t="inlineStr">
        <is>
          <t>Unknown</t>
        </is>
      </c>
      <c r="T1983" t="inlineStr">
        <is>
          <t>https://www.aglonline.net/tender/eoi/</t>
        </is>
      </c>
      <c r="U1983" t="inlineStr">
        <is>
          <t>No</t>
        </is>
      </c>
      <c r="V1983" t="inlineStr">
        <is>
          <t>Bot tarafindan tespit edildi (2026-07-01)</t>
        </is>
      </c>
    </row>
    <row r="1984">
      <c r="A1984" t="inlineStr">
        <is>
          <t>T-1788</t>
        </is>
      </c>
      <c r="B1984" t="inlineStr">
        <is>
          <t>Avantika Gas</t>
        </is>
      </c>
      <c r="C1984" t="inlineStr">
        <is>
          <t>Avantika Gas</t>
        </is>
      </c>
      <c r="F1984" t="inlineStr">
        <is>
          <t>New Lead</t>
        </is>
      </c>
      <c r="H1984" t="inlineStr">
        <is>
          <t>Archive/Old Tenders</t>
        </is>
      </c>
      <c r="K1984" t="inlineStr">
        <is>
          <t>Not found</t>
        </is>
      </c>
      <c r="L1984" t="inlineStr">
        <is>
          <t>Unknown</t>
        </is>
      </c>
      <c r="T1984" t="inlineStr">
        <is>
          <t>https://www.aglonline.net/tenders-list-archive/</t>
        </is>
      </c>
      <c r="U1984" t="inlineStr">
        <is>
          <t>No</t>
        </is>
      </c>
      <c r="V1984" t="inlineStr">
        <is>
          <t>Bot tarafindan tespit edildi (2026-07-01)</t>
        </is>
      </c>
    </row>
    <row r="1985">
      <c r="A1985" t="inlineStr">
        <is>
          <t>T-1789</t>
        </is>
      </c>
      <c r="B1985" t="inlineStr">
        <is>
          <t>Avantika Gas</t>
        </is>
      </c>
      <c r="C1985" t="inlineStr">
        <is>
          <t>Avantika Gas</t>
        </is>
      </c>
      <c r="F1985" t="inlineStr">
        <is>
          <t>New Lead</t>
        </is>
      </c>
      <c r="H1985" t="inlineStr">
        <is>
          <t>NOMINATION ORDERS</t>
        </is>
      </c>
      <c r="K1985" t="inlineStr">
        <is>
          <t>Not found</t>
        </is>
      </c>
      <c r="L1985" t="inlineStr">
        <is>
          <t>Unknown</t>
        </is>
      </c>
      <c r="T1985" t="inlineStr">
        <is>
          <t>https://www.aglonline.net/tender/nomination-orders/</t>
        </is>
      </c>
      <c r="U1985" t="inlineStr">
        <is>
          <t>No</t>
        </is>
      </c>
      <c r="V1985" t="inlineStr">
        <is>
          <t>Bot tarafindan tespit edildi (2026-07-01)</t>
        </is>
      </c>
    </row>
    <row r="1986">
      <c r="A1986" t="inlineStr">
        <is>
          <t>T-1790</t>
        </is>
      </c>
      <c r="B1986" t="inlineStr">
        <is>
          <t>Avantika Gas</t>
        </is>
      </c>
      <c r="C1986" t="inlineStr">
        <is>
          <t>Avantika Gas</t>
        </is>
      </c>
      <c r="F1986" t="inlineStr">
        <is>
          <t>New Lead</t>
        </is>
      </c>
      <c r="H1986" t="inlineStr">
        <is>
          <t>FY2025-26</t>
        </is>
      </c>
      <c r="K1986" t="inlineStr">
        <is>
          <t>Not found</t>
        </is>
      </c>
      <c r="L1986" t="inlineStr">
        <is>
          <t>Unknown</t>
        </is>
      </c>
      <c r="T1986" t="inlineStr">
        <is>
          <t>https://www.aglonline.net/tender/nomination-orders/fy-25-26/</t>
        </is>
      </c>
      <c r="U1986" t="inlineStr">
        <is>
          <t>No</t>
        </is>
      </c>
      <c r="V1986" t="inlineStr">
        <is>
          <t>Bot tarafindan tespit edildi (2026-07-01)</t>
        </is>
      </c>
    </row>
    <row r="1987">
      <c r="A1987" t="inlineStr">
        <is>
          <t>T-1791</t>
        </is>
      </c>
      <c r="B1987" t="inlineStr">
        <is>
          <t>Avantika Gas</t>
        </is>
      </c>
      <c r="C1987" t="inlineStr">
        <is>
          <t>Avantika Gas</t>
        </is>
      </c>
      <c r="F1987" t="inlineStr">
        <is>
          <t>New Lead</t>
        </is>
      </c>
      <c r="H1987" t="inlineStr">
        <is>
          <t>FY2024-25</t>
        </is>
      </c>
      <c r="K1987" t="inlineStr">
        <is>
          <t>Not found</t>
        </is>
      </c>
      <c r="L1987" t="inlineStr">
        <is>
          <t>Unknown</t>
        </is>
      </c>
      <c r="T1987" t="inlineStr">
        <is>
          <t>https://www.aglonline.net/tender/nomination-orders/fy2023-24-3/</t>
        </is>
      </c>
      <c r="U1987" t="inlineStr">
        <is>
          <t>No</t>
        </is>
      </c>
      <c r="V1987" t="inlineStr">
        <is>
          <t>Bot tarafindan tespit edildi (2026-07-01)</t>
        </is>
      </c>
    </row>
    <row r="1988">
      <c r="A1988" t="inlineStr">
        <is>
          <t>T-1792</t>
        </is>
      </c>
      <c r="B1988" t="inlineStr">
        <is>
          <t>Avantika Gas</t>
        </is>
      </c>
      <c r="C1988" t="inlineStr">
        <is>
          <t>Avantika Gas</t>
        </is>
      </c>
      <c r="F1988" t="inlineStr">
        <is>
          <t>New Lead</t>
        </is>
      </c>
      <c r="H1988" t="inlineStr">
        <is>
          <t>FY2023-24</t>
        </is>
      </c>
      <c r="K1988" t="inlineStr">
        <is>
          <t>Not found</t>
        </is>
      </c>
      <c r="L1988" t="inlineStr">
        <is>
          <t>Unknown</t>
        </is>
      </c>
      <c r="T1988" t="inlineStr">
        <is>
          <t>https://www.aglonline.net/tender/nomination-orders/fy2023-24/</t>
        </is>
      </c>
      <c r="U1988" t="inlineStr">
        <is>
          <t>No</t>
        </is>
      </c>
      <c r="V1988" t="inlineStr">
        <is>
          <t>Bot tarafindan tespit edildi (2026-07-01)</t>
        </is>
      </c>
    </row>
    <row r="1989">
      <c r="A1989" t="inlineStr">
        <is>
          <t>T-1793</t>
        </is>
      </c>
      <c r="B1989" t="inlineStr">
        <is>
          <t>Avantika Gas</t>
        </is>
      </c>
      <c r="C1989" t="inlineStr">
        <is>
          <t>Avantika Gas</t>
        </is>
      </c>
      <c r="F1989" t="inlineStr">
        <is>
          <t>New Lead</t>
        </is>
      </c>
      <c r="H1989" t="inlineStr">
        <is>
          <t>FY2022-23</t>
        </is>
      </c>
      <c r="K1989" t="inlineStr">
        <is>
          <t>Not found</t>
        </is>
      </c>
      <c r="L1989" t="inlineStr">
        <is>
          <t>Unknown</t>
        </is>
      </c>
      <c r="T1989" t="inlineStr">
        <is>
          <t>https://www.aglonline.net/tender/nomination-orders/fy2021-22-2/</t>
        </is>
      </c>
      <c r="U1989" t="inlineStr">
        <is>
          <t>No</t>
        </is>
      </c>
      <c r="V1989" t="inlineStr">
        <is>
          <t>Bot tarafindan tespit edildi (2026-07-01)</t>
        </is>
      </c>
    </row>
    <row r="1990">
      <c r="A1990" t="inlineStr">
        <is>
          <t>T-1794</t>
        </is>
      </c>
      <c r="B1990" t="inlineStr">
        <is>
          <t>Avantika Gas</t>
        </is>
      </c>
      <c r="C1990" t="inlineStr">
        <is>
          <t>Avantika Gas</t>
        </is>
      </c>
      <c r="F1990" t="inlineStr">
        <is>
          <t>New Lead</t>
        </is>
      </c>
      <c r="H1990" t="inlineStr">
        <is>
          <t>FY2021-22</t>
        </is>
      </c>
      <c r="K1990" t="inlineStr">
        <is>
          <t>Not found</t>
        </is>
      </c>
      <c r="L1990" t="inlineStr">
        <is>
          <t>Unknown</t>
        </is>
      </c>
      <c r="T1990" t="inlineStr">
        <is>
          <t>https://www.aglonline.net/tender/nomination-orders/fy2021-22/</t>
        </is>
      </c>
      <c r="U1990" t="inlineStr">
        <is>
          <t>No</t>
        </is>
      </c>
      <c r="V1990" t="inlineStr">
        <is>
          <t>Bot tarafindan tespit edildi (2026-07-01)</t>
        </is>
      </c>
    </row>
    <row r="1991">
      <c r="A1991" t="inlineStr">
        <is>
          <t>T-1795</t>
        </is>
      </c>
      <c r="B1991" t="inlineStr">
        <is>
          <t>Avantika Gas</t>
        </is>
      </c>
      <c r="C1991" t="inlineStr">
        <is>
          <t>Avantika Gas</t>
        </is>
      </c>
      <c r="F1991" t="inlineStr">
        <is>
          <t>New Lead</t>
        </is>
      </c>
      <c r="H1991" t="inlineStr">
        <is>
          <t>WATCH/HOLIDAY/BLACK-LISTING</t>
        </is>
      </c>
      <c r="K1991" t="inlineStr">
        <is>
          <t>Not found</t>
        </is>
      </c>
      <c r="L1991" t="inlineStr">
        <is>
          <t>Unknown</t>
        </is>
      </c>
      <c r="T1991" t="inlineStr">
        <is>
          <t>https://www.aglonline.net/tender/holiday-listing/</t>
        </is>
      </c>
      <c r="U1991" t="inlineStr">
        <is>
          <t>No</t>
        </is>
      </c>
      <c r="V1991" t="inlineStr">
        <is>
          <t>Bot tarafindan tespit edildi (2026-07-01)</t>
        </is>
      </c>
    </row>
    <row r="1992">
      <c r="A1992" t="inlineStr">
        <is>
          <t>T-1796</t>
        </is>
      </c>
      <c r="B1992" t="inlineStr">
        <is>
          <t>Avantika Gas</t>
        </is>
      </c>
      <c r="C1992" t="inlineStr">
        <is>
          <t>Avantika Gas</t>
        </is>
      </c>
      <c r="F1992" t="inlineStr">
        <is>
          <t>New Lead</t>
        </is>
      </c>
      <c r="H1992" t="inlineStr">
        <is>
          <t>IEM</t>
        </is>
      </c>
      <c r="K1992" t="inlineStr">
        <is>
          <t>Not found</t>
        </is>
      </c>
      <c r="L1992" t="inlineStr">
        <is>
          <t>Unknown</t>
        </is>
      </c>
      <c r="T1992" t="inlineStr">
        <is>
          <t>https://www.aglonline.net/tender/iem/</t>
        </is>
      </c>
      <c r="U1992" t="inlineStr">
        <is>
          <t>No</t>
        </is>
      </c>
      <c r="V1992" t="inlineStr">
        <is>
          <t>Bot tarafindan tespit edildi (2026-07-01)</t>
        </is>
      </c>
    </row>
    <row r="1993">
      <c r="A1993" t="inlineStr">
        <is>
          <t>T-1797</t>
        </is>
      </c>
      <c r="B1993" t="inlineStr">
        <is>
          <t>Avantika Gas</t>
        </is>
      </c>
      <c r="C1993" t="inlineStr">
        <is>
          <t>Avantika Gas</t>
        </is>
      </c>
      <c r="F1993" t="inlineStr">
        <is>
          <t>New Lead</t>
        </is>
      </c>
      <c r="H1993" t="inlineStr">
        <is>
          <t>E-Tender</t>
        </is>
      </c>
      <c r="K1993" t="inlineStr">
        <is>
          <t>Not found</t>
        </is>
      </c>
      <c r="L1993" t="inlineStr">
        <is>
          <t>Unknown</t>
        </is>
      </c>
      <c r="T1993" t="inlineStr">
        <is>
          <t>http://www.aglonline.net/e-tender/</t>
        </is>
      </c>
      <c r="U1993" t="inlineStr">
        <is>
          <t>No</t>
        </is>
      </c>
      <c r="V1993" t="inlineStr">
        <is>
          <t>Bot tarafindan tespit edildi (2026-07-01)</t>
        </is>
      </c>
    </row>
    <row r="1994">
      <c r="A1994" t="inlineStr">
        <is>
          <t>T-1798</t>
        </is>
      </c>
      <c r="B1994" t="inlineStr">
        <is>
          <t>Avantika Gas</t>
        </is>
      </c>
      <c r="C1994" t="inlineStr">
        <is>
          <t>Avantika Gas</t>
        </is>
      </c>
      <c r="F1994" t="inlineStr">
        <is>
          <t>New Lead</t>
        </is>
      </c>
      <c r="H1994" t="inlineStr">
        <is>
          <t>Manual Tender</t>
        </is>
      </c>
      <c r="K1994" t="inlineStr">
        <is>
          <t>Not found</t>
        </is>
      </c>
      <c r="L1994" t="inlineStr">
        <is>
          <t>Unknown</t>
        </is>
      </c>
      <c r="T1994" t="inlineStr">
        <is>
          <t>http://www.aglonline.net/e-tender/manual-tenders/</t>
        </is>
      </c>
      <c r="U1994" t="inlineStr">
        <is>
          <t>No</t>
        </is>
      </c>
      <c r="V1994" t="inlineStr">
        <is>
          <t>Bot tarafindan tespit edildi (2026-07-01)</t>
        </is>
      </c>
    </row>
    <row r="1995">
      <c r="A1995" t="inlineStr">
        <is>
          <t>T-1799</t>
        </is>
      </c>
      <c r="B1995" t="inlineStr">
        <is>
          <t>Avantika Gas</t>
        </is>
      </c>
      <c r="C1995" t="inlineStr">
        <is>
          <t>Avantika Gas</t>
        </is>
      </c>
      <c r="F1995" t="inlineStr">
        <is>
          <t>New Lead</t>
        </is>
      </c>
      <c r="H1995" t="inlineStr">
        <is>
          <t>Disposals E-Auction</t>
        </is>
      </c>
      <c r="K1995" t="inlineStr">
        <is>
          <t>Not found</t>
        </is>
      </c>
      <c r="L1995" t="inlineStr">
        <is>
          <t>Unknown</t>
        </is>
      </c>
      <c r="T1995" t="inlineStr">
        <is>
          <t>http://www.aglonline.net/tender/disposals-e-auction/</t>
        </is>
      </c>
      <c r="U1995" t="inlineStr">
        <is>
          <t>No</t>
        </is>
      </c>
      <c r="V1995" t="inlineStr">
        <is>
          <t>Bot tarafindan tespit edildi (2026-07-01)</t>
        </is>
      </c>
    </row>
    <row r="1996">
      <c r="A1996" t="inlineStr">
        <is>
          <t>T-1800</t>
        </is>
      </c>
      <c r="B1996" t="inlineStr">
        <is>
          <t>Avantika Gas</t>
        </is>
      </c>
      <c r="C1996" t="inlineStr">
        <is>
          <t>Avantika Gas</t>
        </is>
      </c>
      <c r="F1996" t="inlineStr">
        <is>
          <t>New Lead</t>
        </is>
      </c>
      <c r="H1996" t="inlineStr">
        <is>
          <t>EOI</t>
        </is>
      </c>
      <c r="K1996" t="inlineStr">
        <is>
          <t>Not found</t>
        </is>
      </c>
      <c r="L1996" t="inlineStr">
        <is>
          <t>Unknown</t>
        </is>
      </c>
      <c r="T1996" t="inlineStr">
        <is>
          <t>http://www.aglonline.net/tender/eoi/</t>
        </is>
      </c>
      <c r="U1996" t="inlineStr">
        <is>
          <t>No</t>
        </is>
      </c>
      <c r="V1996" t="inlineStr">
        <is>
          <t>Bot tarafindan tespit edildi (2026-07-01)</t>
        </is>
      </c>
    </row>
    <row r="1997">
      <c r="A1997" t="inlineStr">
        <is>
          <t>T-1801</t>
        </is>
      </c>
      <c r="B1997" t="inlineStr">
        <is>
          <t>Avantika Gas</t>
        </is>
      </c>
      <c r="C1997" t="inlineStr">
        <is>
          <t>Avantika Gas</t>
        </is>
      </c>
      <c r="D1997" t="inlineStr">
        <is>
          <t>net/tender/eoilmc</t>
        </is>
      </c>
      <c r="F1997" t="inlineStr">
        <is>
          <t>New Lead</t>
        </is>
      </c>
      <c r="H1997" t="inlineStr">
        <is>
          <t>EOI for CNG STATION DEALERSHIP</t>
        </is>
      </c>
      <c r="K1997" t="inlineStr">
        <is>
          <t>Not found</t>
        </is>
      </c>
      <c r="L1997" t="inlineStr">
        <is>
          <t>Unknown</t>
        </is>
      </c>
      <c r="T1997" t="inlineStr">
        <is>
          <t>http://www.aglonline.net/tender/eoilmc/</t>
        </is>
      </c>
      <c r="U1997" t="inlineStr">
        <is>
          <t>No</t>
        </is>
      </c>
      <c r="V1997" t="inlineStr">
        <is>
          <t>Bot tarafindan tespit edildi (2026-07-01) | Bot enrich; date=2026-07-01; type=html; score=60</t>
        </is>
      </c>
    </row>
    <row r="1998">
      <c r="A1998" t="inlineStr">
        <is>
          <t>T-1802</t>
        </is>
      </c>
      <c r="B1998" t="inlineStr">
        <is>
          <t>Avantika Gas</t>
        </is>
      </c>
      <c r="C1998" t="inlineStr">
        <is>
          <t>Avantika Gas</t>
        </is>
      </c>
      <c r="F1998" t="inlineStr">
        <is>
          <t>New Lead</t>
        </is>
      </c>
      <c r="H1998" t="inlineStr">
        <is>
          <t>Archive/OldTenders</t>
        </is>
      </c>
      <c r="K1998" t="inlineStr">
        <is>
          <t>Not found</t>
        </is>
      </c>
      <c r="L1998" t="inlineStr">
        <is>
          <t>Unknown</t>
        </is>
      </c>
      <c r="T1998" t="inlineStr">
        <is>
          <t>https://aavantikagasindia-my.sharepoint.com/personal/info_aglonline_net/_layouts/15/onedrive.aspx?id=%2Fpersonal%2Finfo%5Faglonline%5Fnet%2FDocuments%2FAGL%20TENDERS&amp;ga=1</t>
        </is>
      </c>
      <c r="U1998" t="inlineStr">
        <is>
          <t>No</t>
        </is>
      </c>
      <c r="V1998" t="inlineStr">
        <is>
          <t>Bot tarafindan tespit edildi (2026-07-01)</t>
        </is>
      </c>
    </row>
    <row r="1999">
      <c r="A1999" t="inlineStr">
        <is>
          <t>T-1803</t>
        </is>
      </c>
      <c r="B1999" t="inlineStr">
        <is>
          <t>Avantika Gas</t>
        </is>
      </c>
      <c r="C1999" t="inlineStr">
        <is>
          <t>Avantika Gas</t>
        </is>
      </c>
      <c r="D1999" t="inlineStr">
        <is>
          <t>net/tender/eoi/eoi-for-hiring-of-direct-sales-associates-2-2</t>
        </is>
      </c>
      <c r="F1999" t="inlineStr">
        <is>
          <t>New Lead</t>
        </is>
      </c>
      <c r="H1999" t="inlineStr">
        <is>
          <t>EOI for LNG/LCNG STATION DEALERSHIP</t>
        </is>
      </c>
      <c r="K1999" t="inlineStr">
        <is>
          <t>Not found</t>
        </is>
      </c>
      <c r="L1999" t="inlineStr">
        <is>
          <t>Unknown</t>
        </is>
      </c>
      <c r="T1999" t="inlineStr">
        <is>
          <t>https://www.aglonline.net/tender/eoi/eoi-for-hiring-of-direct-sales-associates-2-2/</t>
        </is>
      </c>
      <c r="U1999" t="inlineStr">
        <is>
          <t>No</t>
        </is>
      </c>
      <c r="V1999" t="inlineStr">
        <is>
          <t>Bot tarafindan tespit edildi (2026-07-01) | Bot enrich; date=2026-07-01; type=html; score=60</t>
        </is>
      </c>
    </row>
    <row r="2000">
      <c r="A2000" t="inlineStr">
        <is>
          <t>T-1804</t>
        </is>
      </c>
      <c r="B2000" t="inlineStr">
        <is>
          <t>Avantika Gas</t>
        </is>
      </c>
      <c r="C2000" t="inlineStr">
        <is>
          <t>Avantika Gas</t>
        </is>
      </c>
      <c r="F2000" t="inlineStr">
        <is>
          <t>New Lead</t>
        </is>
      </c>
      <c r="H2000" t="inlineStr">
        <is>
          <t>Download</t>
        </is>
      </c>
      <c r="K2000" t="inlineStr">
        <is>
          <t>Not found</t>
        </is>
      </c>
      <c r="L2000" t="inlineStr">
        <is>
          <t>Unknown</t>
        </is>
      </c>
      <c r="T2000" t="inlineStr">
        <is>
          <t>https://www.aglonline.net/quick-links/download/</t>
        </is>
      </c>
      <c r="U2000" t="inlineStr">
        <is>
          <t>No</t>
        </is>
      </c>
      <c r="V2000" t="inlineStr">
        <is>
          <t>Bot tarafindan tespit edildi (2026-07-01)</t>
        </is>
      </c>
    </row>
    <row r="2001">
      <c r="A2001" t="inlineStr">
        <is>
          <t>T-1805</t>
        </is>
      </c>
      <c r="B2001" t="inlineStr">
        <is>
          <t>Avantika Gas</t>
        </is>
      </c>
      <c r="C2001" t="inlineStr">
        <is>
          <t>Avantika Gas</t>
        </is>
      </c>
      <c r="F2001" t="inlineStr">
        <is>
          <t>New Lead</t>
        </is>
      </c>
      <c r="H2001" t="inlineStr">
        <is>
          <t>Download App Link</t>
        </is>
      </c>
      <c r="K2001" t="inlineStr">
        <is>
          <t>Not found</t>
        </is>
      </c>
      <c r="L2001" t="inlineStr">
        <is>
          <t>Unknown</t>
        </is>
      </c>
      <c r="T2001" t="inlineStr">
        <is>
          <t>https://play.google.com/store/apps/details?id=com.avantikagaslimited</t>
        </is>
      </c>
      <c r="U2001" t="inlineStr">
        <is>
          <t>No</t>
        </is>
      </c>
      <c r="V2001" t="inlineStr">
        <is>
          <t>Bot tarafindan tespit edildi (2026-07-01)</t>
        </is>
      </c>
    </row>
    <row r="2002">
      <c r="A2002" t="inlineStr">
        <is>
          <t>T-1806</t>
        </is>
      </c>
      <c r="B2002" t="inlineStr">
        <is>
          <t>Avantika Gas</t>
        </is>
      </c>
      <c r="C2002" t="inlineStr">
        <is>
          <t>Avantika Gas</t>
        </is>
      </c>
      <c r="D2002" t="inlineStr">
        <is>
          <t>net/terms-condition</t>
        </is>
      </c>
      <c r="F2002" t="inlineStr">
        <is>
          <t>New Lead</t>
        </is>
      </c>
      <c r="G2002" t="inlineStr">
        <is>
          <t>RMS</t>
        </is>
      </c>
      <c r="H2002" t="inlineStr">
        <is>
          <t>Terms &amp; Condition</t>
        </is>
      </c>
      <c r="K2002" t="inlineStr">
        <is>
          <t>Not found</t>
        </is>
      </c>
      <c r="L2002" t="inlineStr">
        <is>
          <t>Unknown</t>
        </is>
      </c>
      <c r="T2002" t="inlineStr">
        <is>
          <t>https://www.aglonline.net/terms-condition/</t>
        </is>
      </c>
      <c r="U2002" t="inlineStr">
        <is>
          <t>No</t>
        </is>
      </c>
      <c r="V2002" t="inlineStr">
        <is>
          <t>Bot tarafindan tespit edildi (2026-07-01) | Bot enrich; date=2026-07-01; type=html; score=160</t>
        </is>
      </c>
    </row>
    <row r="2003">
      <c r="A2003" t="inlineStr">
        <is>
          <t>T-1807</t>
        </is>
      </c>
      <c r="B2003" t="inlineStr">
        <is>
          <t>Vadodara Gas Limited</t>
        </is>
      </c>
      <c r="C2003" t="inlineStr">
        <is>
          <t>Vadodara Gas Limited</t>
        </is>
      </c>
      <c r="F2003" t="inlineStr">
        <is>
          <t>New Lead</t>
        </is>
      </c>
      <c r="H2003" t="inlineStr">
        <is>
          <t>List of Full DoDo LOA Recipients</t>
        </is>
      </c>
      <c r="K2003" t="inlineStr">
        <is>
          <t>Not found</t>
        </is>
      </c>
      <c r="L2003" t="inlineStr">
        <is>
          <t>Unknown</t>
        </is>
      </c>
      <c r="T2003" t="inlineStr">
        <is>
          <t>https://www.vgl.co.in/list-of-full-dodo-loa-recipients/</t>
        </is>
      </c>
      <c r="U2003" t="inlineStr">
        <is>
          <t>No</t>
        </is>
      </c>
      <c r="V2003" t="inlineStr">
        <is>
          <t>Bot tarafindan tespit edildi (2026-07-01)</t>
        </is>
      </c>
    </row>
    <row r="2004">
      <c r="A2004" t="inlineStr">
        <is>
          <t>T-1808</t>
        </is>
      </c>
      <c r="B2004" t="inlineStr">
        <is>
          <t>Vadodara Gas Limited</t>
        </is>
      </c>
      <c r="C2004" t="inlineStr">
        <is>
          <t>Vadodara Gas Limited</t>
        </is>
      </c>
      <c r="D2004" t="inlineStr">
        <is>
          <t>iatives</t>
        </is>
      </c>
      <c r="F2004" t="inlineStr">
        <is>
          <t>New Lead</t>
        </is>
      </c>
      <c r="G2004" t="inlineStr">
        <is>
          <t>Irrelevant / non-target</t>
        </is>
      </c>
      <c r="H2004" t="inlineStr">
        <is>
          <t>Our CSR Initiatives</t>
        </is>
      </c>
      <c r="K2004" t="inlineStr">
        <is>
          <t>Not found</t>
        </is>
      </c>
      <c r="L2004" t="inlineStr">
        <is>
          <t>Unknown</t>
        </is>
      </c>
      <c r="T2004" t="inlineStr">
        <is>
          <t>https://www.vgl.co.in/csr/our-csr-initiatives/</t>
        </is>
      </c>
      <c r="U2004" t="inlineStr">
        <is>
          <t>No</t>
        </is>
      </c>
      <c r="V2004" t="inlineStr">
        <is>
          <t>Bot tarafindan tespit edildi (2026-07-01); Bot tespit/zenginlestirme (2026-07-01); meta:score=;priority=Low;source_type=html_link;closing_date=;equipment=Irrelevant / non-target;reasons=irrelevant_equipment,tender reference signal,website noise</t>
        </is>
      </c>
    </row>
    <row r="2005">
      <c r="A2005" t="inlineStr">
        <is>
          <t>T-1809</t>
        </is>
      </c>
      <c r="B2005" t="inlineStr">
        <is>
          <t>Vadodara Gas Limited</t>
        </is>
      </c>
      <c r="C2005" t="inlineStr">
        <is>
          <t>Vadodara Gas Limited</t>
        </is>
      </c>
      <c r="F2005" t="inlineStr">
        <is>
          <t>New Lead</t>
        </is>
      </c>
      <c r="G2005" t="inlineStr">
        <is>
          <t>Gas-related / review</t>
        </is>
      </c>
      <c r="H2005" t="inlineStr">
        <is>
          <t>PNG Rules &amp; Regu.</t>
        </is>
      </c>
      <c r="K2005" t="inlineStr">
        <is>
          <t>Not found</t>
        </is>
      </c>
      <c r="L2005" t="inlineStr">
        <is>
          <t>Unknown</t>
        </is>
      </c>
      <c r="T2005" t="inlineStr">
        <is>
          <t>https://www.vgl.co.in/wp-content/uploads/2025/08/Revised-PNG-Rules-And-Regulations-2025.pdf</t>
        </is>
      </c>
      <c r="U2005" t="inlineStr">
        <is>
          <t>No</t>
        </is>
      </c>
      <c r="V2005" t="inlineStr">
        <is>
          <t>Bot tarafindan tespit edildi (2026-07-01); Bot tespit/zenginlestirme (2026-07-01); meta:score=35;priority=Low;source_type=html_table;closing_date=;equipment=Gas-related / review;reasons=equipment:Gas-related / review,document source</t>
        </is>
      </c>
    </row>
    <row r="2006">
      <c r="A2006" t="inlineStr">
        <is>
          <t>T-1810</t>
        </is>
      </c>
      <c r="B2006" t="inlineStr">
        <is>
          <t>Vadodara Gas Limited</t>
        </is>
      </c>
      <c r="C2006" t="inlineStr">
        <is>
          <t>Vadodara Gas Limited</t>
        </is>
      </c>
      <c r="F2006" t="inlineStr">
        <is>
          <t>New Lead</t>
        </is>
      </c>
      <c r="H2006" t="inlineStr">
        <is>
          <t>EOI</t>
        </is>
      </c>
      <c r="K2006" t="inlineStr">
        <is>
          <t>Not found</t>
        </is>
      </c>
      <c r="L2006" t="inlineStr">
        <is>
          <t>Unknown</t>
        </is>
      </c>
      <c r="T2006" t="inlineStr">
        <is>
          <t>https://www.vgl.co.in/eoi/</t>
        </is>
      </c>
      <c r="U2006" t="inlineStr">
        <is>
          <t>No</t>
        </is>
      </c>
      <c r="V2006" t="inlineStr">
        <is>
          <t>Bot tarafindan tespit edildi (2026-07-01)</t>
        </is>
      </c>
    </row>
    <row r="2007">
      <c r="A2007" t="inlineStr">
        <is>
          <t>T-1811</t>
        </is>
      </c>
      <c r="B2007" t="inlineStr">
        <is>
          <t>Vadodara Gas Limited</t>
        </is>
      </c>
      <c r="C2007" t="inlineStr">
        <is>
          <t>Vadodara Gas Limited</t>
        </is>
      </c>
      <c r="F2007" t="inlineStr">
        <is>
          <t>New Lead</t>
        </is>
      </c>
      <c r="H2007" t="inlineStr">
        <is>
          <t>Contracts &amp; Procurement</t>
        </is>
      </c>
      <c r="K2007" t="inlineStr">
        <is>
          <t>Not found</t>
        </is>
      </c>
      <c r="L2007" t="inlineStr">
        <is>
          <t>Unknown</t>
        </is>
      </c>
      <c r="T2007" t="inlineStr">
        <is>
          <t>https://www.vgl.co.in/contracts-and-procurement/</t>
        </is>
      </c>
      <c r="U2007" t="inlineStr">
        <is>
          <t>No</t>
        </is>
      </c>
      <c r="V2007" t="inlineStr">
        <is>
          <t>Bot tarafindan tespit edildi (2026-07-01)</t>
        </is>
      </c>
    </row>
    <row r="2008">
      <c r="A2008" t="inlineStr">
        <is>
          <t>T-1812</t>
        </is>
      </c>
      <c r="B2008" t="inlineStr">
        <is>
          <t>Vadodara Gas Limited</t>
        </is>
      </c>
      <c r="C2008" t="inlineStr">
        <is>
          <t>Vadodara Gas Limited</t>
        </is>
      </c>
      <c r="F2008" t="inlineStr">
        <is>
          <t>New Lead</t>
        </is>
      </c>
      <c r="H2008" t="inlineStr">
        <is>
          <t>Notice Inviting Tenders</t>
        </is>
      </c>
      <c r="K2008" t="inlineStr">
        <is>
          <t>Not found</t>
        </is>
      </c>
      <c r="L2008" t="inlineStr">
        <is>
          <t>Unknown</t>
        </is>
      </c>
      <c r="T2008" t="inlineStr">
        <is>
          <t>https://www.vgl.co.in/contracts-and-procurement/notice-inviting-tenders/</t>
        </is>
      </c>
      <c r="U2008" t="inlineStr">
        <is>
          <t>No</t>
        </is>
      </c>
      <c r="V2008" t="inlineStr">
        <is>
          <t>Bot tarafindan tespit edildi (2026-07-01)</t>
        </is>
      </c>
    </row>
    <row r="2009">
      <c r="A2009" t="inlineStr">
        <is>
          <t>T-1813</t>
        </is>
      </c>
      <c r="B2009" t="inlineStr">
        <is>
          <t>Vadodara Gas Limited</t>
        </is>
      </c>
      <c r="C2009" t="inlineStr">
        <is>
          <t>Vadodara Gas Limited</t>
        </is>
      </c>
      <c r="F2009" t="inlineStr">
        <is>
          <t>New Lead</t>
        </is>
      </c>
      <c r="H2009" t="inlineStr">
        <is>
          <t>Holiday List</t>
        </is>
      </c>
      <c r="K2009" t="inlineStr">
        <is>
          <t>Not found</t>
        </is>
      </c>
      <c r="L2009" t="inlineStr">
        <is>
          <t>Unknown</t>
        </is>
      </c>
      <c r="T2009" t="inlineStr">
        <is>
          <t>https://www.vgl.co.in/contracts-and-procurement/holiday-list/</t>
        </is>
      </c>
      <c r="U2009" t="inlineStr">
        <is>
          <t>No</t>
        </is>
      </c>
      <c r="V2009" t="inlineStr">
        <is>
          <t>Bot tarafindan tespit edildi (2026-07-01)</t>
        </is>
      </c>
    </row>
    <row r="2010">
      <c r="A2010" t="inlineStr">
        <is>
          <t>T-1814</t>
        </is>
      </c>
      <c r="B2010" t="inlineStr">
        <is>
          <t>Vadodara Gas Limited</t>
        </is>
      </c>
      <c r="C2010" t="inlineStr">
        <is>
          <t>Vadodara Gas Limited</t>
        </is>
      </c>
      <c r="D2010" t="inlineStr">
        <is>
          <t>Tender No.: VGL/CO/C</t>
        </is>
      </c>
      <c r="E2010" t="inlineStr">
        <is>
          <t>01/02/2025</t>
        </is>
      </c>
      <c r="F2010" t="inlineStr">
        <is>
          <t>Awarded</t>
        </is>
      </c>
      <c r="G2010" t="inlineStr">
        <is>
          <t>Gas-related / review</t>
        </is>
      </c>
      <c r="H2010" t="inlineStr">
        <is>
          <t>Procurement of 1,00,000
                Nos. of 06mm Gas Tap on ARC Basis for a Period of 02 Years vide Tender No.:
                VGL/CO/C&amp;P-PNG/BD202412P185_RI Dated 01/02/2025 and Tender ID: 152914</t>
        </is>
      </c>
      <c r="K2010" t="inlineStr">
        <is>
          <t>s for the Tender of</t>
        </is>
      </c>
      <c r="L2010" t="inlineStr">
        <is>
          <t>Unknown</t>
        </is>
      </c>
      <c r="M2010" t="n">
        <v>3540000</v>
      </c>
      <c r="T2010" t="inlineStr">
        <is>
          <t>https://www.vgl.co.in/wp-content/uploads/2025/pdf/NIT-Gas-Tap-P185-RI.pdf</t>
        </is>
      </c>
      <c r="U2010" t="inlineStr">
        <is>
          <t>No</t>
        </is>
      </c>
      <c r="V2010" t="inlineStr">
        <is>
          <t>Bot tarafindan tespit edildi (2026-07-01) | Bot enrich; date=2026-07-01; type=pdf; score=230; Bot tespit/zenginlestirme (2026-07-01); meta:score=70;priority=High;source_type=html_link;closing_date=11/02/2025;equipment=Gas-related / review;reasons=equipment:Gas-related / review,document source,quantity signal,tender reference signal; Bot clean extraction (2026-07-01); meta:score=43;priority=Medium;source_type=html_link;closing_date=11/02/2025;equipment=Gas-related / review;quality_status=needs_review;market_relevance=Medium;document_type=award;unit_price_inr=;amount_label=currency_near_total;matched_terms=gas_context;reject_reasons=;scope=market_intelligence_only;excluded_scope=no_bid_or_offer_submission_automation</t>
        </is>
      </c>
    </row>
    <row r="2011">
      <c r="A2011" t="inlineStr">
        <is>
          <t>T-1815</t>
        </is>
      </c>
      <c r="B2011" t="inlineStr">
        <is>
          <t>Vadodara Gas Limited</t>
        </is>
      </c>
      <c r="C2011" t="inlineStr">
        <is>
          <t>Vadodara Gas Limited</t>
        </is>
      </c>
      <c r="D2011" t="inlineStr">
        <is>
          <t>Bidders</t>
        </is>
      </c>
      <c r="E2011" t="inlineStr">
        <is>
          <t>25/01/2025</t>
        </is>
      </c>
      <c r="F2011" t="inlineStr">
        <is>
          <t>Awarded</t>
        </is>
      </c>
      <c r="G2011" t="inlineStr">
        <is>
          <t>MRS</t>
        </is>
      </c>
      <c r="H2011" t="inlineStr">
        <is>
          <t>Replies to Bidders Queries - Additional for the Tender of Supply, Installation, Testing,
                Commissioning &amp; Comprehensive Annual Maintenance of Check Metering &amp; Filtration Skids with
                Turbine Flow Meter in Vadodara (GA) on ARC Basis vide Tender No.:
                VGL/CO/C&amp;P-CNG/REPL/MRS/BD202409P167/001/2024_RI Dated 25/01/2025 and Tender ID: 150669</t>
        </is>
      </c>
      <c r="K2011" t="inlineStr">
        <is>
          <t>of list Vendor list - REV 02 cartridge filter to CGDs like GAIL, HPCL, IGL, Adani</t>
        </is>
      </c>
      <c r="L2011" t="inlineStr">
        <is>
          <t>Unknown</t>
        </is>
      </c>
      <c r="T2011" t="inlineStr">
        <is>
          <t>https://www.vgl.co.in/wp-content/uploads/2025/pdf/Replies-to-Bidders-Queries-Additional-Metering-Filtration-Skid-P167.pdf</t>
        </is>
      </c>
      <c r="U2011" t="inlineStr">
        <is>
          <t>No</t>
        </is>
      </c>
      <c r="V2011" t="inlineStr">
        <is>
          <t>Bot tarafindan tespit edildi (2026-07-01) | Bot enrich; date=2026-07-01; type=pdf; score=330; Bot tespit/zenginlestirme (2026-07-01); meta:score=95;priority=High;source_type=html_link;closing_date=None;equipment=Regulating station;reasons=equipment:Regulating station,station/skid keyword,document source,tender reference signal; Bot clean extraction (2026-07-01); meta:score=100;priority=High;source_type=html_link;closing_date=None;equipment=Regulating / metering station;quality_status=market_target;market_relevance=High;document_type=corrigendum;unit_price_inr=;amount_label=;matched_terms=Regulating / metering station,Skid / gas train;reject_reasons=;scope=market_intelligence_only;excluded_scope=no_bid_or_offer_submission_automation</t>
        </is>
      </c>
    </row>
    <row r="2012">
      <c r="A2012" t="inlineStr">
        <is>
          <t>T-1816</t>
        </is>
      </c>
      <c r="B2012" t="inlineStr">
        <is>
          <t>Vadodara Gas Limited</t>
        </is>
      </c>
      <c r="C2012" t="inlineStr">
        <is>
          <t>Vadodara Gas Limited</t>
        </is>
      </c>
      <c r="D2012" t="inlineStr">
        <is>
          <t>Tender No.: VGL/CO/C</t>
        </is>
      </c>
      <c r="E2012" t="inlineStr">
        <is>
          <t>29/01/2025</t>
        </is>
      </c>
      <c r="F2012" t="inlineStr">
        <is>
          <t>Awarded</t>
        </is>
      </c>
      <c r="G2012" t="inlineStr">
        <is>
          <t>domestic regulator</t>
        </is>
      </c>
      <c r="H2012" t="inlineStr">
        <is>
          <t>Notice Inviting
                Tender for the “Procurement of 75,000 Nos. of Domestic Regulator on ARC Basis for a Period of 02
                Years vide Tender No.: VGL/CO/C&amp;P-PNG/BD202501P194 Dated 29/01/2025 and Tender ID: 151363</t>
        </is>
      </c>
      <c r="K2012" t="inlineStr">
        <is>
          <t>s for the Tender of</t>
        </is>
      </c>
      <c r="L2012" t="inlineStr">
        <is>
          <t>Unknown</t>
        </is>
      </c>
      <c r="M2012" t="n">
        <v>9712875</v>
      </c>
      <c r="T2012" t="inlineStr">
        <is>
          <t>https://www.vgl.co.in/wp-content/uploads/2025/pdf/NIT-Domestic-Regulators-P194.pdf</t>
        </is>
      </c>
      <c r="U2012" t="inlineStr">
        <is>
          <t>No</t>
        </is>
      </c>
      <c r="V2012" t="inlineStr">
        <is>
          <t>Bot tarafindan tespit edildi (2026-07-01) | Bot enrich; date=2026-07-01; type=pdf; score=330; Bot tespit/zenginlestirme (2026-07-01); meta:score=100;priority=High;source_type=html_link;closing_date=11/02/2025;equipment=Domestic regulator;reasons=equipment:Domestic regulator,target regulator keyword,document source,quantity signal,tender reference signal; Bot clean extraction (2026-07-01); meta:score=100;priority=High;source_type=html_link;closing_date=11/02/2025;equipment=Domestic gas regulator;quality_status=market_target;market_relevance=High;document_type=loa;unit_price_inr=;amount_label=currency_near_total;matched_terms=Domestic gas regulator;reject_reasons=;scope=market_intelligence_only;excluded_scope=no_bid_or_offer_submission_automation</t>
        </is>
      </c>
    </row>
    <row r="2013">
      <c r="A2013" t="inlineStr">
        <is>
          <t>T-1817</t>
        </is>
      </c>
      <c r="B2013" t="inlineStr">
        <is>
          <t>Vadodara Gas Limited</t>
        </is>
      </c>
      <c r="C2013" t="inlineStr">
        <is>
          <t>Vadodara Gas Limited</t>
        </is>
      </c>
      <c r="D2013" t="inlineStr">
        <is>
          <t>Tender No.: VGL/CO/C</t>
        </is>
      </c>
      <c r="E2013" t="inlineStr">
        <is>
          <t>29/01/2025</t>
        </is>
      </c>
      <c r="F2013" t="inlineStr">
        <is>
          <t>Awarded</t>
        </is>
      </c>
      <c r="G2013" t="inlineStr">
        <is>
          <t>Gas-related / review</t>
        </is>
      </c>
      <c r="H2013" t="inlineStr">
        <is>
          <t>Notice Inviting Tender
                for the “Procurement of 20mm MDPE Pipe on ARC Basis for a Period of 02 Years vide Tender No.:
                VGL/CO/C&amp;P-PNG/BD202501P195 Dated 29/01/2025 and Tender ID: 151355</t>
        </is>
      </c>
      <c r="K2013" t="inlineStr">
        <is>
          <t>Not found</t>
        </is>
      </c>
      <c r="L2013" t="inlineStr">
        <is>
          <t>Unknown</t>
        </is>
      </c>
      <c r="T2013" t="inlineStr">
        <is>
          <t>https://www.vgl.co.in/wp-content/uploads/2025/pdf/NIT-20mm-MDPE-Pipe-P195.pdf</t>
        </is>
      </c>
      <c r="U2013" t="inlineStr">
        <is>
          <t>No</t>
        </is>
      </c>
      <c r="V2013"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14">
      <c r="A2014" t="inlineStr">
        <is>
          <t>T-1818</t>
        </is>
      </c>
      <c r="B2014" t="inlineStr">
        <is>
          <t>Vadodara Gas Limited</t>
        </is>
      </c>
      <c r="C2014" t="inlineStr">
        <is>
          <t>Vadodara Gas Limited</t>
        </is>
      </c>
      <c r="D2014" t="inlineStr">
        <is>
          <t>VGL/CO/C</t>
        </is>
      </c>
      <c r="E2014" t="inlineStr">
        <is>
          <t>29/01/2025</t>
        </is>
      </c>
      <c r="F2014" t="inlineStr">
        <is>
          <t>New Lead</t>
        </is>
      </c>
      <c r="G2014" t="inlineStr">
        <is>
          <t>Unclassified</t>
        </is>
      </c>
      <c r="H2014" t="inlineStr">
        <is>
          <t>Notice Inviting
                Tender for the “Purchase of Laptop &amp; Desktop vide Tender No.:
                VGL/CO/C&amp;P-IT/BD202411P180_RI Dated 29/01/2025 and Tender ID: 151352</t>
        </is>
      </c>
      <c r="K2014" t="inlineStr">
        <is>
          <t>Not found</t>
        </is>
      </c>
      <c r="L2014" t="inlineStr">
        <is>
          <t>Unknown</t>
        </is>
      </c>
      <c r="T2014" t="inlineStr">
        <is>
          <t>https://www.vgl.co.in/wp-content/uploads/2025/pdf/NI-Desktop-Laptop-P180-RI.pdf</t>
        </is>
      </c>
      <c r="U2014" t="inlineStr">
        <is>
          <t>No</t>
        </is>
      </c>
      <c r="V2014" t="inlineStr">
        <is>
          <t>Bot tarafindan tespit edildi (2026-07-01); Bot tespit/zenginlestirme (2026-07-01); meta:score=35;priority=Low;source_type=html_link;closing_date=;equipment=Unclassified;reasons=document source,tender reference signal</t>
        </is>
      </c>
    </row>
    <row r="2015">
      <c r="A2015" t="inlineStr">
        <is>
          <t>T-1819</t>
        </is>
      </c>
      <c r="B2015" t="inlineStr">
        <is>
          <t>Vadodara Gas Limited</t>
        </is>
      </c>
      <c r="C2015" t="inlineStr">
        <is>
          <t>Vadodara Gas Limited</t>
        </is>
      </c>
      <c r="D2015" t="inlineStr">
        <is>
          <t>Tender No.: VGL/CO/C</t>
        </is>
      </c>
      <c r="E2015" t="inlineStr">
        <is>
          <t>21/01/2025</t>
        </is>
      </c>
      <c r="F2015" t="inlineStr">
        <is>
          <t>Awarded</t>
        </is>
      </c>
      <c r="G2015" t="inlineStr">
        <is>
          <t>Gas-related / review</t>
        </is>
      </c>
      <c r="H2015" t="inlineStr">
        <is>
          <t>Notice
                Inviting Tender for the “Procurement of 02 Nos. of 1200 SCMH Motor Driven Compressor Package with
                60 Months Comprehensive Annual Maintenance Contract (AMC) on ARC Basis for a Period of 01 Year under
                Buy-Back Model vide Tender No.: VGL/CO/C&amp;P-CNG/BD202410P164_RI Dated 21/01/2025 and Tender ID:
                149034</t>
        </is>
      </c>
      <c r="K2015" t="inlineStr">
        <is>
          <t>s for the Tender of</t>
        </is>
      </c>
      <c r="L2015" t="inlineStr">
        <is>
          <t>Unknown</t>
        </is>
      </c>
      <c r="T2015" t="inlineStr">
        <is>
          <t>https://www.vgl.co.in/wp-content/uploads/2025/pdf/NIT-1200-SCMH-Compreesor-Buy-Back.pdf</t>
        </is>
      </c>
      <c r="U2015" t="inlineStr">
        <is>
          <t>No</t>
        </is>
      </c>
      <c r="V2015" t="inlineStr">
        <is>
          <t>Bot tarafindan tespit edildi (2026-07-01) | Bot enrich; date=2026-07-01; type=pdf; score=230; Bot tespit/zenginlestirme (2026-07-01); meta:score=70;priority=High;source_type=html_link;closing_date=30/01/2025;equipment=Gas-related / review;reasons=equipment:Gas-related / review,document source,quantity signal,tender reference signal</t>
        </is>
      </c>
    </row>
    <row r="2016">
      <c r="A2016" t="inlineStr">
        <is>
          <t>T-1820</t>
        </is>
      </c>
      <c r="B2016" t="inlineStr">
        <is>
          <t>Vadodara Gas Limited</t>
        </is>
      </c>
      <c r="C2016" t="inlineStr">
        <is>
          <t>Vadodara Gas Limited</t>
        </is>
      </c>
      <c r="D2016" t="inlineStr">
        <is>
          <t>Bidders</t>
        </is>
      </c>
      <c r="E2016" t="inlineStr">
        <is>
          <t>28/12/2024</t>
        </is>
      </c>
      <c r="F2016" t="inlineStr">
        <is>
          <t>Awarded</t>
        </is>
      </c>
      <c r="G2016" t="inlineStr">
        <is>
          <t>MRS</t>
        </is>
      </c>
      <c r="H2016" t="inlineStr">
        <is>
          <t>Replies to Bidders Queries for the Tender of Supply, Installation, Testing,
                Commissioning &amp; Comprehensive Annual Maintenance of Check Metering &amp; Filtration Skids with
                Turbine Flow Meter in Vadodara (GA) on ARC Basis vide Tender No.:
                VGL/CO/C&amp;P-CNG/REPL/MRS/BD202409P167/001/2024 Dated 28/12/2024 and Tender ID: 141873</t>
        </is>
      </c>
      <c r="K2016" t="inlineStr">
        <is>
          <t>SPA (Itealy) 10 Faudi Filter Systems GMBH (Germany) 11 Axsia Howmar Ltd (UK) 12 P</t>
        </is>
      </c>
      <c r="L2016" t="inlineStr">
        <is>
          <t>Unknown</t>
        </is>
      </c>
      <c r="M2016" t="n">
        <v>1</v>
      </c>
      <c r="T2016" t="inlineStr">
        <is>
          <t>https://www.vgl.co.in/wp-content/uploads/2025/pdf/Replies-Bidders-Queries-Metering-Filtration-Skid-P167.pdf</t>
        </is>
      </c>
      <c r="U2016" t="inlineStr">
        <is>
          <t>No</t>
        </is>
      </c>
      <c r="V2016" t="inlineStr">
        <is>
          <t>Bot tarafindan tespit edildi (2026-07-01) | Bot enrich; date=2026-07-01; type=pdf; score=330; Bot tespit/zenginlestirme (2026-07-01); meta:score=95;priority=High;source_type=html_link;closing_date=None;equipment=Regulating station;reasons=equipment:Regulating station,station/skid keyword,document source,tender reference signal; Bot clean extraction (2026-07-01); meta:score=100;priority=High;source_type=html_link;closing_date=None;equipment=Regulating / metering station;quality_status=market_target;market_relevance=High;document_type=loa;unit_price_inr=;amount_label=;matched_terms=Regulating / metering station,Skid / gas train,Gas filter station / filter equipment,Safety / shut-off equipment;reject_reasons=civil/electrical only;scope=market_intelligence_only;excluded_scope=no_bid_or_offer_submission_automation</t>
        </is>
      </c>
    </row>
    <row r="2017">
      <c r="A2017" t="inlineStr">
        <is>
          <t>T-1821</t>
        </is>
      </c>
      <c r="B2017" t="inlineStr">
        <is>
          <t>Vadodara Gas Limited</t>
        </is>
      </c>
      <c r="C2017" t="inlineStr">
        <is>
          <t>Vadodara Gas Limited</t>
        </is>
      </c>
      <c r="D2017" t="inlineStr">
        <is>
          <t>VGL/CO/C</t>
        </is>
      </c>
      <c r="E2017" t="inlineStr">
        <is>
          <t>08/01/2025</t>
        </is>
      </c>
      <c r="F2017" t="inlineStr">
        <is>
          <t>New Lead</t>
        </is>
      </c>
      <c r="G2017" t="inlineStr">
        <is>
          <t>Unclassified</t>
        </is>
      </c>
      <c r="H2017" t="inlineStr">
        <is>
          <t>Notice Inviting Tender
                for the “Purchase of Laptop &amp; Desktop vide Tender No.: VGL/CO/C&amp;P-IT/BD202411P180 Dated
                08/01/2025 and Tender ID: 145063</t>
        </is>
      </c>
      <c r="K2017" t="inlineStr">
        <is>
          <t>Not found</t>
        </is>
      </c>
      <c r="L2017" t="inlineStr">
        <is>
          <t>Unknown</t>
        </is>
      </c>
      <c r="T2017" t="inlineStr">
        <is>
          <t>https://www.vgl.co.in/wp-content/uploads/2025/pdf/NIT-Desktop-Laptop-P180.pdf</t>
        </is>
      </c>
      <c r="U2017" t="inlineStr">
        <is>
          <t>No</t>
        </is>
      </c>
      <c r="V2017" t="inlineStr">
        <is>
          <t>Bot tarafindan tespit edildi (2026-07-01); Bot tespit/zenginlestirme (2026-07-01); meta:score=35;priority=Low;source_type=html_link;closing_date=;equipment=Unclassified;reasons=document source,tender reference signal</t>
        </is>
      </c>
    </row>
    <row r="2018">
      <c r="A2018" t="inlineStr">
        <is>
          <t>T-1822</t>
        </is>
      </c>
      <c r="B2018" t="inlineStr">
        <is>
          <t>Vadodara Gas Limited</t>
        </is>
      </c>
      <c r="C2018" t="inlineStr">
        <is>
          <t>Vadodara Gas Limited</t>
        </is>
      </c>
      <c r="D2018" t="inlineStr">
        <is>
          <t>Bid Submission</t>
        </is>
      </c>
      <c r="E2018" t="inlineStr">
        <is>
          <t>25/12/2024</t>
        </is>
      </c>
      <c r="F2018" t="inlineStr">
        <is>
          <t>Awarded</t>
        </is>
      </c>
      <c r="G2018" t="inlineStr">
        <is>
          <t>Gas-related / review</t>
        </is>
      </c>
      <c r="H2018" t="inlineStr">
        <is>
          <t>Extension of Bid Submission Date for the Tender of “Procurement of 02 Nos. of 1200
                SCMH Motor Driven Compressor Package with 60 Months Comprehensive Annual Maintenance Contract (AMC) on
                ARC Basis for a Period of 01 Year under Buy-Back Model vide Tender No.: VGL/CO/C&amp;P-CNG/BD202410P164
                Dated 25/12/2024 and Tender ID: 141280</t>
        </is>
      </c>
      <c r="K2018" t="inlineStr">
        <is>
          <t>Not found</t>
        </is>
      </c>
      <c r="L2018" t="inlineStr">
        <is>
          <t>Unknown</t>
        </is>
      </c>
      <c r="M2018" t="n">
        <v>15</v>
      </c>
      <c r="T2018" t="inlineStr">
        <is>
          <t>https://www.vgl.co.in/wp-content/uploads/2025/pdf/Extension-NIT-SCMH-Compreesor-Buy-Back.pdf</t>
        </is>
      </c>
      <c r="U2018" t="inlineStr">
        <is>
          <t>No</t>
        </is>
      </c>
      <c r="V2018" t="inlineStr">
        <is>
          <t>Bot tarafindan tespit edildi (2026-07-01) | Bot enrich; date=2026-07-01; type=pdf; score=230; Bot tespit/zenginlestirme (2026-07-01); meta:score=80;priority=High;source_type=html_link;closing_date=None;equipment=Gas-related / review;reasons=equipment:Gas-related / review,document source,quantity signal,tender reference signal,closing date signal</t>
        </is>
      </c>
    </row>
    <row r="2019">
      <c r="A2019" t="inlineStr">
        <is>
          <t>T-1823</t>
        </is>
      </c>
      <c r="B2019" t="inlineStr">
        <is>
          <t>Vadodara Gas Limited</t>
        </is>
      </c>
      <c r="C2019" t="inlineStr">
        <is>
          <t>Vadodara Gas Limited</t>
        </is>
      </c>
      <c r="D2019" t="inlineStr">
        <is>
          <t>Bidders</t>
        </is>
      </c>
      <c r="E2019" t="inlineStr">
        <is>
          <t>25/12/2024</t>
        </is>
      </c>
      <c r="F2019" t="inlineStr">
        <is>
          <t>Awarded</t>
        </is>
      </c>
      <c r="G2019" t="inlineStr">
        <is>
          <t>Gas-related / review</t>
        </is>
      </c>
      <c r="H2019" t="inlineStr">
        <is>
          <t>Replies to Bidders Queries for the Tender of Procurement of 02 Nos. of 1200 SCMH Motor
                Driven Compressor Package with 60 Months Comprehensive Annual Maintenance Contract (AMC) on ARC Basis
                for a Period of 01 Year under Buy-Back Model Vide Tender No.: VGL/CO/C&amp;P-CNG/BD202410P164 Dated
                25/12/2024 &amp; Tender ID: 141280</t>
        </is>
      </c>
      <c r="K2019" t="inlineStr">
        <is>
          <t>ON OFF BALL</t>
        </is>
      </c>
      <c r="L2019" t="inlineStr">
        <is>
          <t>Unknown</t>
        </is>
      </c>
      <c r="T2019" t="inlineStr">
        <is>
          <t>https://www.vgl.co.in/wp-content/uploads/2025/pdf/Replies-Bidders-Queries-SCMH-Compreesor-Buy-Back.pdf</t>
        </is>
      </c>
      <c r="U2019" t="inlineStr">
        <is>
          <t>No</t>
        </is>
      </c>
      <c r="V2019" t="inlineStr">
        <is>
          <t>Bot tarafindan tespit edildi (2026-07-01) | Bot enrich; date=2026-07-01; type=pdf; score=230; Bot tespit/zenginlestirme (2026-07-01); meta:score=70;priority=High;source_type=html_link;closing_date=None;equipment=Gas-related / review;reasons=equipment:Gas-related / review,document source,quantity signal,tender reference signal</t>
        </is>
      </c>
    </row>
    <row r="2020">
      <c r="A2020" t="inlineStr">
        <is>
          <t>T-1824</t>
        </is>
      </c>
      <c r="B2020" t="inlineStr">
        <is>
          <t>Vadodara Gas Limited</t>
        </is>
      </c>
      <c r="C2020" t="inlineStr">
        <is>
          <t>Vadodara Gas Limited</t>
        </is>
      </c>
      <c r="D2020" t="inlineStr">
        <is>
          <t>Tender No.: VGL/CO/C</t>
        </is>
      </c>
      <c r="E2020" t="inlineStr">
        <is>
          <t>05/01/2025</t>
        </is>
      </c>
      <c r="F2020" t="inlineStr">
        <is>
          <t>Awarded</t>
        </is>
      </c>
      <c r="G2020" t="inlineStr">
        <is>
          <t>Gas-related / review</t>
        </is>
      </c>
      <c r="H2020" t="inlineStr">
        <is>
          <t>Notice Inviting Tender for
                the “Procurement of 1,00,000 Nos. of 06mm Gas Tap on ARC Basis for a Period of 02 Years vide
                Tender No.: VGL/CO/C&amp;P-PNG/BD202412P185 Dated 05/01/2025 and Tender ID: 144059</t>
        </is>
      </c>
      <c r="K2020" t="inlineStr">
        <is>
          <t>s for the Tender of</t>
        </is>
      </c>
      <c r="L2020" t="inlineStr">
        <is>
          <t>Unknown</t>
        </is>
      </c>
      <c r="M2020" t="n">
        <v>3540000</v>
      </c>
      <c r="T2020" t="inlineStr">
        <is>
          <t>https://www.vgl.co.in/wp-content/uploads/2025/pdf/NIT-Gas-Tap-P185.pdf</t>
        </is>
      </c>
      <c r="U2020" t="inlineStr">
        <is>
          <t>No</t>
        </is>
      </c>
      <c r="V2020" t="inlineStr">
        <is>
          <t>Bot tarafindan tespit edildi (2026-07-01) | Bot enrich; date=2026-07-01; type=pdf; score=230; Bot tespit/zenginlestirme (2026-07-01); meta:score=70;priority=High;source_type=html_link;closing_date=27/01/2025;equipment=Gas-related / review;reasons=equipment:Gas-related / review,document source,quantity signal,tender reference signal; Bot clean extraction (2026-07-01); meta:score=43;priority=Medium;source_type=html_link;closing_date=27/01/2025;equipment=Gas-related / review;quality_status=needs_review;market_relevance=Medium;document_type=award;unit_price_inr=;amount_label=currency_near_total;matched_terms=gas_context;reject_reasons=;scope=market_intelligence_only;excluded_scope=no_bid_or_offer_submission_automation</t>
        </is>
      </c>
    </row>
    <row r="2021">
      <c r="A2021" t="inlineStr">
        <is>
          <t>T-1825</t>
        </is>
      </c>
      <c r="B2021" t="inlineStr">
        <is>
          <t>Vadodara Gas Limited</t>
        </is>
      </c>
      <c r="C2021" t="inlineStr">
        <is>
          <t>Vadodara Gas Limited</t>
        </is>
      </c>
      <c r="D2021" t="inlineStr">
        <is>
          <t>Tender No.: VGL/CO/C</t>
        </is>
      </c>
      <c r="E2021" t="inlineStr">
        <is>
          <t>04/01/2025</t>
        </is>
      </c>
      <c r="F2021" t="inlineStr">
        <is>
          <t>Awarded</t>
        </is>
      </c>
      <c r="G2021" t="inlineStr">
        <is>
          <t>Gas-related / review</t>
        </is>
      </c>
      <c r="H2021" t="inlineStr">
        <is>
          <t>Notice Inviting Tender
                for the “Transportation of Natural Gas in the Compressed Form for VGL CNG Mother Stations to
                Daughter Booster Stations through 8500 WL or Above Capacity Mobile Cascades for the Period of 36 Months
                on ARC Basis vide Tender No.: VGL/CO/C&amp;P-CNG/BD202412S189 Dated 04/01/2025 and Tender ID: 143890</t>
        </is>
      </c>
      <c r="K2021" t="inlineStr">
        <is>
          <t>Not found</t>
        </is>
      </c>
      <c r="L2021" t="inlineStr">
        <is>
          <t>Unknown</t>
        </is>
      </c>
      <c r="T2021" t="inlineStr">
        <is>
          <t>https://www.vgl.co.in/wp-content/uploads/2025/pdf/NIT-8500-WL-LCV-S189.pdf</t>
        </is>
      </c>
      <c r="U2021" t="inlineStr">
        <is>
          <t>No</t>
        </is>
      </c>
      <c r="V2021"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22">
      <c r="A2022" t="inlineStr">
        <is>
          <t>T-1826</t>
        </is>
      </c>
      <c r="B2022" t="inlineStr">
        <is>
          <t>Vadodara Gas Limited</t>
        </is>
      </c>
      <c r="C2022" t="inlineStr">
        <is>
          <t>Vadodara Gas Limited</t>
        </is>
      </c>
      <c r="D2022" t="inlineStr">
        <is>
          <t>Tender No.: VGL/CO/C</t>
        </is>
      </c>
      <c r="E2022" t="inlineStr">
        <is>
          <t>28/12/2024</t>
        </is>
      </c>
      <c r="F2022" t="inlineStr">
        <is>
          <t>Awarded</t>
        </is>
      </c>
      <c r="G2022" t="inlineStr">
        <is>
          <t>Gas-related / review</t>
        </is>
      </c>
      <c r="H2022" t="inlineStr">
        <is>
          <t>Notice Inviting Tender for
                the “Hiring of Services for Operation &amp; Maintenance of Steel Pipeline on ARC Basis for a
                Period of 02 Years vide Tender No.: VGL/CO/C&amp;P-PNG/BD202411S177 Dated 28/12/2024 and Tender ID:
                141947</t>
        </is>
      </c>
      <c r="K2022" t="inlineStr">
        <is>
          <t>Not found</t>
        </is>
      </c>
      <c r="L2022" t="inlineStr">
        <is>
          <t>Unknown</t>
        </is>
      </c>
      <c r="T2022" t="inlineStr">
        <is>
          <t>https://www.vgl.co.in/wp-content/uploads/2025/pdf/NIT-Steel-M-S177.pdf</t>
        </is>
      </c>
      <c r="U2022" t="inlineStr">
        <is>
          <t>No</t>
        </is>
      </c>
      <c r="V2022"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23">
      <c r="A2023" t="inlineStr">
        <is>
          <t>T-1827</t>
        </is>
      </c>
      <c r="B2023" t="inlineStr">
        <is>
          <t>Vadodara Gas Limited</t>
        </is>
      </c>
      <c r="C2023" t="inlineStr">
        <is>
          <t>Vadodara Gas Limited</t>
        </is>
      </c>
      <c r="D2023" t="inlineStr">
        <is>
          <t>Tender No.: VGL/CO/C</t>
        </is>
      </c>
      <c r="E2023" t="inlineStr">
        <is>
          <t>28/12/2024</t>
        </is>
      </c>
      <c r="F2023" t="inlineStr">
        <is>
          <t>Awarded</t>
        </is>
      </c>
      <c r="G2023" t="inlineStr">
        <is>
          <t>MRS</t>
        </is>
      </c>
      <c r="H2023" t="inlineStr">
        <is>
          <t>Notice
                Inviting Tender for the “Supply, Installation, Testing, Commissioning &amp; Comprehensive Annual
                Maintenance of Check Metering &amp; Filtration Skids with Turbine Flow Meter in Vadodara (GA) vide
                Tender No.: VGL/CO/C&amp;P-CNG/REPL/MRS/BD202409P167/001/2024 Dated 28/12/2024 and Tender ID: 141373</t>
        </is>
      </c>
      <c r="I2023" t="inlineStr">
        <is>
          <t>1</t>
        </is>
      </c>
      <c r="J2023" t="inlineStr">
        <is>
          <t>no</t>
        </is>
      </c>
      <c r="K2023" t="inlineStr">
        <is>
          <t>s for the Tender of</t>
        </is>
      </c>
      <c r="L2023" t="inlineStr">
        <is>
          <t>Unknown</t>
        </is>
      </c>
      <c r="M2023" t="n">
        <v>2.2</v>
      </c>
      <c r="R2023" t="n">
        <v>5104552</v>
      </c>
      <c r="S2023" t="n">
        <v>5104552</v>
      </c>
      <c r="T2023" t="inlineStr">
        <is>
          <t>https://www.vgl.co.in/wp-content/uploads/2025/pdf/NIT-Metering-Filtration-Skid-P167.pdf</t>
        </is>
      </c>
      <c r="U2023" t="inlineStr">
        <is>
          <t>No</t>
        </is>
      </c>
      <c r="V2023" t="inlineStr">
        <is>
          <t>Bot tarafindan tespit edildi (2026-07-01) | Bot enrich; date=2026-07-01; type=pdf; score=330; Bot tespit/zenginlestirme (2026-07-01); meta:score=95;priority=High;source_type=html_link;closing_date=17/01/2025;equipment=Regulating station;reasons=equipment:Regulating station,station/skid keyword,document source,tender reference signal; Bot clean extraction (2026-07-01); meta:score=100;priority=High;source_type=html_link;closing_date=17/01/2025;equipment=Regulating / metering station;quality_status=market_target;market_relevance=High;document_type=po_work_order;unit_price_inr=5104552.0;amount_label=currency_near_total;matched_terms=Regulating / metering station;reject_reasons=;scope=market_intelligence_only;excluded_scope=no_bid_or_offer_submission_automation</t>
        </is>
      </c>
    </row>
    <row r="2024">
      <c r="A2024" t="inlineStr">
        <is>
          <t>T-1828</t>
        </is>
      </c>
      <c r="B2024" t="inlineStr">
        <is>
          <t>Vadodara Gas Limited</t>
        </is>
      </c>
      <c r="C2024" t="inlineStr">
        <is>
          <t>Vadodara Gas Limited</t>
        </is>
      </c>
      <c r="D2024" t="inlineStr">
        <is>
          <t>Tender No.: VGL/CO/C</t>
        </is>
      </c>
      <c r="E2024" t="inlineStr">
        <is>
          <t>25/12/2024</t>
        </is>
      </c>
      <c r="F2024" t="inlineStr">
        <is>
          <t>Awarded</t>
        </is>
      </c>
      <c r="G2024" t="inlineStr">
        <is>
          <t>Gas-related / review</t>
        </is>
      </c>
      <c r="H2024" t="inlineStr">
        <is>
          <t>Notice Inviting Tender for
                the “Procurement of 02 Nos. of 1200 SCMH Motor Driven Compressor Package with 60 Months
                Comprehensive Annual Maintenance Contract (AMC) on ARC Basis for a Period of 01 Year under Buy-Back
                Model vide Tender No.: VGL/CO/C&amp;P-CNG/BD202410P164 Dated 25/12/2024 and Tender ID: 141280</t>
        </is>
      </c>
      <c r="K2024" t="inlineStr">
        <is>
          <t>s for the Tender of</t>
        </is>
      </c>
      <c r="L2024" t="inlineStr">
        <is>
          <t>Unknown</t>
        </is>
      </c>
      <c r="T2024" t="inlineStr">
        <is>
          <t>https://www.vgl.co.in/wp-content/uploads/2025/pdf/NIT-SCM-Buy-Back.pdf</t>
        </is>
      </c>
      <c r="U2024" t="inlineStr">
        <is>
          <t>No</t>
        </is>
      </c>
      <c r="V2024" t="inlineStr">
        <is>
          <t>Bot tarafindan tespit edildi (2026-07-01) | Bot enrich; date=2026-07-01; type=pdf; score=230; Bot tespit/zenginlestirme (2026-07-01); meta:score=70;priority=High;source_type=html_link;closing_date=07/01/2025;equipment=Gas-related / review;reasons=equipment:Gas-related / review,document source,quantity signal,tender reference signal</t>
        </is>
      </c>
    </row>
    <row r="2025">
      <c r="A2025" t="inlineStr">
        <is>
          <t>T-1829</t>
        </is>
      </c>
      <c r="B2025" t="inlineStr">
        <is>
          <t>Vadodara Gas Limited</t>
        </is>
      </c>
      <c r="C2025" t="inlineStr">
        <is>
          <t>Vadodara Gas Limited</t>
        </is>
      </c>
      <c r="D2025" t="inlineStr">
        <is>
          <t>Tender No.: VGL/CO/C</t>
        </is>
      </c>
      <c r="E2025" t="inlineStr">
        <is>
          <t>25/12/2024</t>
        </is>
      </c>
      <c r="F2025" t="inlineStr">
        <is>
          <t>Awarded</t>
        </is>
      </c>
      <c r="G2025" t="inlineStr">
        <is>
          <t>Gas-related / review</t>
        </is>
      </c>
      <c r="H2025" t="inlineStr">
        <is>
          <t>Notice Inviting Tender for the
                “Hiring of Services for Operation &amp; Maintenance of Steel Pipeline on ARC Basis for a Period of
                02 Years vide Tender No.: VGL/CO/C&amp;P-PNG/BD202411S177 Dated 25/12/2024 and Tender ID: 141205</t>
        </is>
      </c>
      <c r="K2025" t="inlineStr">
        <is>
          <t>Not found</t>
        </is>
      </c>
      <c r="L2025" t="inlineStr">
        <is>
          <t>Unknown</t>
        </is>
      </c>
      <c r="T2025" t="inlineStr">
        <is>
          <t>https://www.vgl.co.in/wp-content/uploads/2025/pdf/NIT-Steel-S177.pdf</t>
        </is>
      </c>
      <c r="U2025" t="inlineStr">
        <is>
          <t>No</t>
        </is>
      </c>
      <c r="V2025"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26">
      <c r="A2026" t="inlineStr">
        <is>
          <t>T-1830</t>
        </is>
      </c>
      <c r="B2026" t="inlineStr">
        <is>
          <t>Vadodara Gas Limited</t>
        </is>
      </c>
      <c r="C2026" t="inlineStr">
        <is>
          <t>Vadodara Gas Limited</t>
        </is>
      </c>
      <c r="D2026" t="inlineStr">
        <is>
          <t>Tender No.: VGL/CO/C</t>
        </is>
      </c>
      <c r="E2026" t="inlineStr">
        <is>
          <t>19/12/2024</t>
        </is>
      </c>
      <c r="F2026" t="inlineStr">
        <is>
          <t>Awarded</t>
        </is>
      </c>
      <c r="G2026" t="inlineStr">
        <is>
          <t>Gas-related / review</t>
        </is>
      </c>
      <c r="H2026" t="inlineStr">
        <is>
          <t>Notice Inviting Tender for the “Services for Non-Comprehensive Operation &amp;
                Maintenance of 250 SCMH Booster Compressor and Associated Accessories Installed at VGL, Vadodara for a
                Period of Two Years vide Tender No.: VGL/CO/C&amp;P CNG/BD202411S181 Dated 19/12/2024 and Tender ID:
                139380”</t>
        </is>
      </c>
      <c r="K2026" t="inlineStr">
        <is>
          <t>Not found</t>
        </is>
      </c>
      <c r="L2026" t="inlineStr">
        <is>
          <t>Unknown</t>
        </is>
      </c>
      <c r="T2026" t="inlineStr">
        <is>
          <t>https://www.vgl.co.in/wp-content/uploads/2025/pdf/Non-Comprehensive-Booster-Compressor-S181.pdf</t>
        </is>
      </c>
      <c r="U2026" t="inlineStr">
        <is>
          <t>No</t>
        </is>
      </c>
      <c r="V2026"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27">
      <c r="A2027" t="inlineStr">
        <is>
          <t>T-1831</t>
        </is>
      </c>
      <c r="B2027" t="inlineStr">
        <is>
          <t>Vadodara Gas Limited</t>
        </is>
      </c>
      <c r="C2027" t="inlineStr">
        <is>
          <t>Vadodara Gas Limited</t>
        </is>
      </c>
      <c r="D2027" t="inlineStr">
        <is>
          <t>Tender No.: VGL/CO/C</t>
        </is>
      </c>
      <c r="E2027" t="inlineStr">
        <is>
          <t>19/12/2024</t>
        </is>
      </c>
      <c r="F2027" t="inlineStr">
        <is>
          <t>Awarded</t>
        </is>
      </c>
      <c r="G2027" t="inlineStr">
        <is>
          <t>Gas-related / review</t>
        </is>
      </c>
      <c r="H2027" t="inlineStr">
        <is>
          <t>Notice
                Inviting Tender for the “Services for Non-Comprehensive Operation &amp; Maintenance of 250 SCMH
                Booster Compressor and Associated Accessories Installed at VGL, Vadodara for a Period of Two Years vide
                Tender No.: VGL/CO/C&amp;P CNG/BD202411S181 Dated 19/12/2024 and Tender ID: 138996”</t>
        </is>
      </c>
      <c r="K2027" t="inlineStr">
        <is>
          <t>Not found</t>
        </is>
      </c>
      <c r="L2027" t="inlineStr">
        <is>
          <t>Unknown</t>
        </is>
      </c>
      <c r="T2027" t="inlineStr">
        <is>
          <t>https://www.vgl.co.in/wp-content/uploads/2025/pdf/Services-for-Non-Comprehensive-1396.pdf</t>
        </is>
      </c>
      <c r="U2027" t="inlineStr">
        <is>
          <t>No</t>
        </is>
      </c>
      <c r="V2027"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28">
      <c r="A2028" t="inlineStr">
        <is>
          <t>T-1832</t>
        </is>
      </c>
      <c r="B2028" t="inlineStr">
        <is>
          <t>Vadodara Gas Limited</t>
        </is>
      </c>
      <c r="C2028" t="inlineStr">
        <is>
          <t>Vadodara Gas Limited</t>
        </is>
      </c>
      <c r="D2028" t="inlineStr">
        <is>
          <t>Bidders</t>
        </is>
      </c>
      <c r="E2028" t="inlineStr">
        <is>
          <t>21/11/2024</t>
        </is>
      </c>
      <c r="F2028" t="inlineStr">
        <is>
          <t>Awarded</t>
        </is>
      </c>
      <c r="G2028" t="inlineStr">
        <is>
          <t>Gas-related / review</t>
        </is>
      </c>
      <c r="H2028" t="inlineStr">
        <is>
          <t>Replies to
                Bidders Queries for the Tender of Hiring the Services for Annual Maintenance of Existing D-PNG
                Connection for AMC Project Under Old Gas Infra Revamping Project of VGL GA on ARC Basis for a Period of
                01 Year Vide Tender No.: VGL/CO/C&amp;P-PNG/BD202410S171 Dated 21/11/2024 &amp; Tender ID: 129788</t>
        </is>
      </c>
      <c r="K2028" t="inlineStr">
        <is>
          <t>Not found</t>
        </is>
      </c>
      <c r="L2028" t="inlineStr">
        <is>
          <t>Unknown</t>
        </is>
      </c>
      <c r="T2028" t="inlineStr">
        <is>
          <t>https://www.vgl.co.in/wp-content/uploads/2025/pdf/Replies-to-Bidders-AMC-D-PNG-S171.pdf</t>
        </is>
      </c>
      <c r="U2028" t="inlineStr">
        <is>
          <t>No</t>
        </is>
      </c>
      <c r="V2028"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29">
      <c r="A2029" t="inlineStr">
        <is>
          <t>T-1833</t>
        </is>
      </c>
      <c r="B2029" t="inlineStr">
        <is>
          <t>Vadodara Gas Limited</t>
        </is>
      </c>
      <c r="C2029" t="inlineStr">
        <is>
          <t>Vadodara Gas Limited</t>
        </is>
      </c>
      <c r="D2029" t="inlineStr">
        <is>
          <t>Tender No.: VGL/CO/C</t>
        </is>
      </c>
      <c r="E2029" t="inlineStr">
        <is>
          <t>21/11/2024</t>
        </is>
      </c>
      <c r="F2029" t="inlineStr">
        <is>
          <t>Awarded</t>
        </is>
      </c>
      <c r="G2029" t="inlineStr">
        <is>
          <t>Gas-related / review</t>
        </is>
      </c>
      <c r="H2029" t="inlineStr">
        <is>
          <t>Notice Inviting Tender for
                the “Hiring the Service for Departmental Works at VGL for a Period of One Year vide Tender No.:
                VGL/CO/C&amp;P-PNG/BD202409P169 Dated 21/11/2024 and Tender ID: 129778</t>
        </is>
      </c>
      <c r="K2029" t="inlineStr">
        <is>
          <t>Not found</t>
        </is>
      </c>
      <c r="L2029" t="inlineStr">
        <is>
          <t>Unknown</t>
        </is>
      </c>
      <c r="T2029" t="inlineStr">
        <is>
          <t>https://www.vgl.co.in/wp-content/uploads/2025/pdf/NIT-Dept-Works-S169.pdf</t>
        </is>
      </c>
      <c r="U2029" t="inlineStr">
        <is>
          <t>No</t>
        </is>
      </c>
      <c r="V2029"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30">
      <c r="A2030" t="inlineStr">
        <is>
          <t>T-1834</t>
        </is>
      </c>
      <c r="B2030" t="inlineStr">
        <is>
          <t>Vadodara Gas Limited</t>
        </is>
      </c>
      <c r="C2030" t="inlineStr">
        <is>
          <t>Vadodara Gas Limited</t>
        </is>
      </c>
      <c r="D2030" t="inlineStr">
        <is>
          <t>Tender No.: VGL/CO/C</t>
        </is>
      </c>
      <c r="E2030" t="inlineStr">
        <is>
          <t>21/11/2024</t>
        </is>
      </c>
      <c r="F2030" t="inlineStr">
        <is>
          <t>Awarded</t>
        </is>
      </c>
      <c r="G2030" t="inlineStr">
        <is>
          <t>Gas-related / review</t>
        </is>
      </c>
      <c r="H2030" t="inlineStr">
        <is>
          <t>Notice Inviting Tender for
                the “Hiring the Services for Annual Maintenance of Existing D-PNG Connection for AMC Project Under
                Old Gas Infra Revamping Project of VGL GA on ARC Basis for a Period of 01 Year vide Tender No.:
                VGL/CO/C&amp;P-PNG/BD202410S171 Dated 21/11/2024 and Tender ID: 129788</t>
        </is>
      </c>
      <c r="K2030" t="inlineStr">
        <is>
          <t>Not found</t>
        </is>
      </c>
      <c r="L2030" t="inlineStr">
        <is>
          <t>Unknown</t>
        </is>
      </c>
      <c r="T2030" t="inlineStr">
        <is>
          <t>https://www.vgl.co.in/wp-content/uploads/2025/pdf/NIT-AMC-D-PNG-S171.pdf</t>
        </is>
      </c>
      <c r="U2030" t="inlineStr">
        <is>
          <t>No</t>
        </is>
      </c>
      <c r="V2030"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31">
      <c r="A2031" t="inlineStr">
        <is>
          <t>T-1835</t>
        </is>
      </c>
      <c r="B2031" t="inlineStr">
        <is>
          <t>Vadodara Gas Limited</t>
        </is>
      </c>
      <c r="C2031" t="inlineStr">
        <is>
          <t>Vadodara Gas Limited</t>
        </is>
      </c>
      <c r="D2031" t="inlineStr">
        <is>
          <t>Tender No.: VVGL/CO/C</t>
        </is>
      </c>
      <c r="E2031" t="inlineStr">
        <is>
          <t>07/11/2024</t>
        </is>
      </c>
      <c r="F2031" t="inlineStr">
        <is>
          <t>Awarded</t>
        </is>
      </c>
      <c r="G2031" t="inlineStr">
        <is>
          <t>Gas-related / review</t>
        </is>
      </c>
      <c r="H2031" t="inlineStr">
        <is>
          <t>Corrigendum
                – 1 for the Tender of “Hiring the Services for Annual Maintenance Services for PE Laying
                Work of AMC Project Under Old Gas Infra Revamping Project of VGL GA on ARC Basis for a Period of 01 Year
                vide Tender No.: VVGL/CO/C&amp;P-PNG/ BD202410S172 Dated 07/11/2024 and Tender ID: 124710</t>
        </is>
      </c>
      <c r="K2031" t="inlineStr">
        <is>
          <t>Not found</t>
        </is>
      </c>
      <c r="L2031" t="inlineStr">
        <is>
          <t>Unknown</t>
        </is>
      </c>
      <c r="T2031" t="inlineStr">
        <is>
          <t>https://www.vgl.co.in/wp-content/uploads/2025/pdf/Corrigendum-1-AMC-PE-Laying-S172.pdf</t>
        </is>
      </c>
      <c r="U2031" t="inlineStr">
        <is>
          <t>No</t>
        </is>
      </c>
      <c r="V2031" t="inlineStr">
        <is>
          <t>Bot tarafindan tespit edildi (2026-07-01) | Bot enrich; date=2026-07-01; type=pdf; score=240; Bot tespit/zenginlestirme (2026-07-01); meta:score=50;priority=Medium;source_type=html_link;closing_date=;equipment=Gas-related / review;reasons=equipment:Gas-related / review,document source,tender reference signal</t>
        </is>
      </c>
    </row>
    <row r="2032">
      <c r="A2032" t="inlineStr">
        <is>
          <t>T-1836</t>
        </is>
      </c>
      <c r="B2032" t="inlineStr">
        <is>
          <t>Vadodara Gas Limited</t>
        </is>
      </c>
      <c r="C2032" t="inlineStr">
        <is>
          <t>Vadodara Gas Limited</t>
        </is>
      </c>
      <c r="D2032" t="inlineStr">
        <is>
          <t>Bidders</t>
        </is>
      </c>
      <c r="E2032" t="inlineStr">
        <is>
          <t>05/11/2024</t>
        </is>
      </c>
      <c r="F2032" t="inlineStr">
        <is>
          <t>Awarded</t>
        </is>
      </c>
      <c r="G2032" t="inlineStr">
        <is>
          <t>Gas-related / review</t>
        </is>
      </c>
      <c r="H2032" t="inlineStr">
        <is>
          <t>Corrigendum – 1 &amp; Replies to Bidders Queries for the Tender of
                “Procurement of 02 nos. 10000 SCMH and 01 no. 5000 SCMH Automatic Odorization System with 24
                Months after Warranty Comprehensive AMC for Vadodara Gas Limited, Vadodara vide Tender No.:
                VGL/CO/C&amp;P-CNG/BD202410P166 Dated 05/11/2024 and Tender ID: 123457</t>
        </is>
      </c>
      <c r="K2032" t="inlineStr">
        <is>
          <t>Not found</t>
        </is>
      </c>
      <c r="L2032" t="inlineStr">
        <is>
          <t>Unknown</t>
        </is>
      </c>
      <c r="M2032" t="n">
        <v>485</v>
      </c>
      <c r="T2032" t="inlineStr">
        <is>
          <t>https://www.vgl.co.in/wp-content/uploads/2025/pdf/Corrigendum-1-and-Replies-to-Bidders-Queries-P166.pdf</t>
        </is>
      </c>
      <c r="U2032" t="inlineStr">
        <is>
          <t>No</t>
        </is>
      </c>
      <c r="V2032" t="inlineStr">
        <is>
          <t>Bot tarafindan tespit edildi (2026-07-01) | Bot enrich; date=2026-07-01; type=pdf; score=240; Bot tespit/zenginlestirme (2026-07-01); meta:score=70;priority=High;source_type=html_link;closing_date=None;equipment=Gas-related / review;reasons=equipment:Gas-related / review,document source,quantity signal,tender reference signal</t>
        </is>
      </c>
    </row>
    <row r="2033">
      <c r="A2033" t="inlineStr">
        <is>
          <t>T-1837</t>
        </is>
      </c>
      <c r="B2033" t="inlineStr">
        <is>
          <t>Vadodara Gas Limited</t>
        </is>
      </c>
      <c r="C2033" t="inlineStr">
        <is>
          <t>Vadodara Gas Limited</t>
        </is>
      </c>
      <c r="D2033" t="inlineStr">
        <is>
          <t>Bid Submission</t>
        </is>
      </c>
      <c r="E2033" t="inlineStr">
        <is>
          <t>07/11/2024</t>
        </is>
      </c>
      <c r="F2033" t="inlineStr">
        <is>
          <t>Awarded</t>
        </is>
      </c>
      <c r="G2033" t="inlineStr">
        <is>
          <t>Gas-related / review</t>
        </is>
      </c>
      <c r="H2033" t="inlineStr">
        <is>
          <t>Extension of Bid
                Submission Date for the Tender of “Hiring the Services for Above Ground GI Installation Including
                Last Mile Connectivity at Consumer End for New D-PNG Connections vide Tender No.:
                VGL/CO/C&amp;P-PNG/BD202409P168 Dated 07/11/2024 and Tender ID: 124698</t>
        </is>
      </c>
      <c r="K2033" t="inlineStr">
        <is>
          <t>Not found</t>
        </is>
      </c>
      <c r="L2033" t="inlineStr">
        <is>
          <t>Unknown</t>
        </is>
      </c>
      <c r="M2033" t="n">
        <v>22</v>
      </c>
      <c r="T2033" t="inlineStr">
        <is>
          <t>https://www.vgl.co.in/wp-content/uploads/2025/pdf/Extension-NIT-D-PNG-S168.pdf</t>
        </is>
      </c>
      <c r="U2033" t="inlineStr">
        <is>
          <t>No</t>
        </is>
      </c>
      <c r="V2033" t="inlineStr">
        <is>
          <t>Bot tarafindan tespit edildi (2026-07-01) | Bot enrich; date=2026-07-01; type=pdf; score=230; Bot tespit/zenginlestirme (2026-07-01); meta:score=60;priority=Medium;source_type=html_link;closing_date=None;equipment=Gas-related / review;reasons=equipment:Gas-related / review,document source,tender reference signal,closing date signal</t>
        </is>
      </c>
    </row>
    <row r="2034">
      <c r="A2034" t="inlineStr">
        <is>
          <t>T-1838</t>
        </is>
      </c>
      <c r="B2034" t="inlineStr">
        <is>
          <t>Vadodara Gas Limited</t>
        </is>
      </c>
      <c r="C2034" t="inlineStr">
        <is>
          <t>Vadodara Gas Limited</t>
        </is>
      </c>
      <c r="D2034" t="inlineStr">
        <is>
          <t>Bid Submission</t>
        </is>
      </c>
      <c r="E2034" t="inlineStr">
        <is>
          <t>07/11/2024</t>
        </is>
      </c>
      <c r="F2034" t="inlineStr">
        <is>
          <t>Awarded</t>
        </is>
      </c>
      <c r="G2034" t="inlineStr">
        <is>
          <t>Gas-related / review</t>
        </is>
      </c>
      <c r="H2034" t="inlineStr">
        <is>
          <t>Extension of
                Bid Submission Date for the Tender of “Hiring the Services for Annual Maintenance Services for PE
                Laying Work of AMC Project Under Old Gas Infra Revamping Project of VGL GA on ARC Basis for a Period of
                01 Year vide Tender No.: VGL/CO/C&amp;P-PNG/BD202410S172 Dated 07/11/2024 and Tender ID: 124710</t>
        </is>
      </c>
      <c r="K2034" t="inlineStr">
        <is>
          <t>Not found</t>
        </is>
      </c>
      <c r="L2034" t="inlineStr">
        <is>
          <t>Unknown</t>
        </is>
      </c>
      <c r="M2034" t="n">
        <v>22</v>
      </c>
      <c r="T2034" t="inlineStr">
        <is>
          <t>https://www.vgl.co.in/wp-content/uploads/2025/pdf/Extension-NIT-AMC-PE-Laying-S172.pdf</t>
        </is>
      </c>
      <c r="U2034" t="inlineStr">
        <is>
          <t>No</t>
        </is>
      </c>
      <c r="V2034" t="inlineStr">
        <is>
          <t>Bot tarafindan tespit edildi (2026-07-01) | Bot enrich; date=2026-07-01; type=pdf; score=230; Bot tespit/zenginlestirme (2026-07-01); meta:score=60;priority=Medium;source_type=html_table;closing_date=None;equipment=Gas-related / review;reasons=equipment:Gas-related / review,document source,tender reference signal,closing date signal</t>
        </is>
      </c>
    </row>
    <row r="2035">
      <c r="A2035" t="inlineStr">
        <is>
          <t>T-1839</t>
        </is>
      </c>
      <c r="B2035" t="inlineStr">
        <is>
          <t>Vadodara Gas Limited</t>
        </is>
      </c>
      <c r="C2035" t="inlineStr">
        <is>
          <t>Vadodara Gas Limited</t>
        </is>
      </c>
      <c r="D2035" t="inlineStr">
        <is>
          <t>Bid Submission</t>
        </is>
      </c>
      <c r="E2035" t="inlineStr">
        <is>
          <t>07/11/2024</t>
        </is>
      </c>
      <c r="F2035" t="inlineStr">
        <is>
          <t>Awarded</t>
        </is>
      </c>
      <c r="G2035" t="inlineStr">
        <is>
          <t>Gas-related / review</t>
        </is>
      </c>
      <c r="H2035" t="inlineStr">
        <is>
          <t>Notice Inviting
                Tender for the “Procurement of Various Size of Poly Ethylene (PE) Ball Valve on ARC Basis for a
                Period of 02 Year vide Tender No.: VGL/CO/C&amp;P-PNG/BD202405P147_RI Dated 16/11/2024 and Tender ID:
                128195</t>
        </is>
      </c>
      <c r="K2035" t="inlineStr">
        <is>
          <t>s for the Tender of</t>
        </is>
      </c>
      <c r="L2035" t="inlineStr">
        <is>
          <t>Unknown</t>
        </is>
      </c>
      <c r="T2035" t="inlineStr">
        <is>
          <t>https://www.vgl.co.in/wp-content/uploads/2025/pdf/NIT-PE-Ball-Valve-P147-RI.pdf</t>
        </is>
      </c>
      <c r="U2035" t="inlineStr">
        <is>
          <t>No</t>
        </is>
      </c>
      <c r="V2035" t="inlineStr">
        <is>
          <t>Bot tarafindan tespit edildi (2026-07-01) | Bot enrich; date=2026-07-01; type=pdf; score=230; Bot tespit/zenginlestirme (2026-07-01); meta:score=60;priority=Medium;source_type=html_table;closing_date=26/11/2024;equipment=Gas-related / review;reasons=equipment:Gas-related / review,document source,tender reference signal,closing date signal</t>
        </is>
      </c>
    </row>
    <row r="2036">
      <c r="A2036" t="inlineStr">
        <is>
          <t>T-1840</t>
        </is>
      </c>
      <c r="B2036" t="inlineStr">
        <is>
          <t>Vadodara Gas Limited</t>
        </is>
      </c>
      <c r="C2036" t="inlineStr">
        <is>
          <t>Vadodara Gas Limited</t>
        </is>
      </c>
      <c r="D2036" t="inlineStr">
        <is>
          <t>Tender No.: VGL/CO/C</t>
        </is>
      </c>
      <c r="E2036" t="inlineStr">
        <is>
          <t>07/11/2024</t>
        </is>
      </c>
      <c r="F2036" t="inlineStr">
        <is>
          <t>Awarded</t>
        </is>
      </c>
      <c r="G2036" t="inlineStr">
        <is>
          <t>Gas-related / review</t>
        </is>
      </c>
      <c r="H2036" t="inlineStr">
        <is>
          <t>Notice Inviting Tender
                for the “Hiring the Services for Annual Maintenance Services for PE Laying Work of AMC Project
                Under Old Gas Infra Revamping Project of VGL GA on ARC Basis for a Period of 01 Year vide Tender No.:
                VGL/CO/C&amp;P-PNG/BD202410S172 Dated 07/11/2024 and Tender ID: 124710</t>
        </is>
      </c>
      <c r="K2036" t="inlineStr">
        <is>
          <t>Not found</t>
        </is>
      </c>
      <c r="L2036" t="inlineStr">
        <is>
          <t>Unknown</t>
        </is>
      </c>
      <c r="T2036" t="inlineStr">
        <is>
          <t>https://www.vgl.co.in/wp-content/uploads/2025/pdf/NIT-AMC-PE-Laying-S172.pdf</t>
        </is>
      </c>
      <c r="U2036" t="inlineStr">
        <is>
          <t>No</t>
        </is>
      </c>
      <c r="V2036" t="inlineStr">
        <is>
          <t>Bot tarafindan tespit edildi (2026-07-01) | Bot enrich; date=2026-07-01; type=pdf; score=230; Bot tespit/zenginlestirme (2026-07-01); meta:score=50;priority=Medium;source_type=html_table;closing_date=;equipment=Gas-related / review;reasons=equipment:Gas-related / review,document source,tender reference signal</t>
        </is>
      </c>
    </row>
    <row r="2037">
      <c r="A2037" t="inlineStr">
        <is>
          <t>T-1841</t>
        </is>
      </c>
      <c r="B2037" t="inlineStr">
        <is>
          <t>Vadodara Gas Limited</t>
        </is>
      </c>
      <c r="C2037" t="inlineStr">
        <is>
          <t>Vadodara Gas Limited</t>
        </is>
      </c>
      <c r="D2037" t="inlineStr">
        <is>
          <t>Tender No.: VGL/CO/C</t>
        </is>
      </c>
      <c r="E2037" t="inlineStr">
        <is>
          <t>07/11/2024</t>
        </is>
      </c>
      <c r="F2037" t="inlineStr">
        <is>
          <t>Awarded</t>
        </is>
      </c>
      <c r="G2037" t="inlineStr">
        <is>
          <t>Gas-related / review</t>
        </is>
      </c>
      <c r="H2037" t="inlineStr">
        <is>
          <t>Notice Inviting Tender for the
                “Hiring the Services for Above Ground GI Installation Including Last Mile Connectivity at Consumer
                End for New D-PNG Connections vide Tender No.: VGL/CO/C&amp;P-PNG/BD202409P168 Dated 07/11/2024 and
                Tender ID: 124698</t>
        </is>
      </c>
      <c r="K2037" t="inlineStr">
        <is>
          <t>Not found</t>
        </is>
      </c>
      <c r="L2037" t="inlineStr">
        <is>
          <t>Unknown</t>
        </is>
      </c>
      <c r="T2037" t="inlineStr">
        <is>
          <t>https://www.vgl.co.in/wp-content/uploads/2025/pdf/NIT-D-PNG-S168.pdf</t>
        </is>
      </c>
      <c r="U2037" t="inlineStr">
        <is>
          <t>No</t>
        </is>
      </c>
      <c r="V2037" t="inlineStr">
        <is>
          <t>Bot tarafindan tespit edildi (2026-07-01) | Bot enrich; date=2026-07-01; type=pdf; score=230; Bot tespit/zenginlestirme (2026-07-01); meta:score=50;priority=Medium;source_type=html_table;closing_date=;equipment=Gas-related / review;reasons=equipment:Gas-related / review,document source,tender reference signal</t>
        </is>
      </c>
    </row>
    <row r="2038">
      <c r="A2038" t="inlineStr">
        <is>
          <t>T-1842</t>
        </is>
      </c>
      <c r="B2038" t="inlineStr">
        <is>
          <t>Vadodara Gas Limited</t>
        </is>
      </c>
      <c r="C2038" t="inlineStr">
        <is>
          <t>Vadodara Gas Limited</t>
        </is>
      </c>
      <c r="D2038" t="inlineStr">
        <is>
          <t>Tender No.: VGL/CO/C</t>
        </is>
      </c>
      <c r="E2038" t="inlineStr">
        <is>
          <t>06/11/2024</t>
        </is>
      </c>
      <c r="F2038" t="inlineStr">
        <is>
          <t>Awarded</t>
        </is>
      </c>
      <c r="G2038" t="inlineStr">
        <is>
          <t>Gas-related / review</t>
        </is>
      </c>
      <c r="H2038" t="inlineStr">
        <is>
          <t>Notice Inviting Tender for
                the “Hiring of Services for Vehicles at VGL for a Period of 03 Years vide Tender No.:
                VGL/CO/C&amp;P-CNG/BD202410S174 Dated 06/11/2024 and Tender ID: 124625</t>
        </is>
      </c>
      <c r="K2038" t="inlineStr">
        <is>
          <t>Not found</t>
        </is>
      </c>
      <c r="L2038" t="inlineStr">
        <is>
          <t>Unknown</t>
        </is>
      </c>
      <c r="T2038" t="inlineStr">
        <is>
          <t>https://www.vgl.co.in/wp-content/uploads/2025/pdf/NIT-Vehicles-S174.pdf</t>
        </is>
      </c>
      <c r="U2038" t="inlineStr">
        <is>
          <t>No</t>
        </is>
      </c>
      <c r="V2038"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39">
      <c r="A2039" t="inlineStr">
        <is>
          <t>T-1843</t>
        </is>
      </c>
      <c r="B2039" t="inlineStr">
        <is>
          <t>Vadodara Gas Limited</t>
        </is>
      </c>
      <c r="C2039" t="inlineStr">
        <is>
          <t>Vadodara Gas Limited</t>
        </is>
      </c>
      <c r="D2039" t="inlineStr">
        <is>
          <t>Tender No.: VGL/CO/C</t>
        </is>
      </c>
      <c r="E2039" t="inlineStr">
        <is>
          <t>05/11/2024</t>
        </is>
      </c>
      <c r="F2039" t="inlineStr">
        <is>
          <t>Awarded</t>
        </is>
      </c>
      <c r="G2039" t="inlineStr">
        <is>
          <t>Gas-related / review</t>
        </is>
      </c>
      <c r="H2039" t="inlineStr">
        <is>
          <t>Notice Inviting
                Tender for the Procurement of 02 Nos. 10000 SCMH and 01 No. 5000 SCMH Automatic Odorization System with
                24 Months after Warranty Comprehensive AMC for Vadodara Gas Limited, Vadodara vide Tender No.:
                VGL/CO/C&amp;P-CNG/BD202410P166 Dated 05/11/2024 and Tender ID: 123457.</t>
        </is>
      </c>
      <c r="K2039" t="inlineStr">
        <is>
          <t>s for the Tender of</t>
        </is>
      </c>
      <c r="L2039" t="inlineStr">
        <is>
          <t>Unknown</t>
        </is>
      </c>
      <c r="M2039" t="n">
        <v>3542920</v>
      </c>
      <c r="T2039" t="inlineStr">
        <is>
          <t>https://www.vgl.co.in/wp-content/uploads/2025/pdf/NIT__Odorization_System_P166.pdf</t>
        </is>
      </c>
      <c r="U2039" t="inlineStr">
        <is>
          <t>No</t>
        </is>
      </c>
      <c r="V2039" t="inlineStr">
        <is>
          <t>Bot tarafindan tespit edildi (2026-07-01) | Bot enrich; date=2026-07-01; type=pdf; score=230; Bot tespit/zenginlestirme (2026-07-01); meta:score=70;priority=High;source_type=html_link;closing_date=26/11/2024;equipment=Gas-related / review;reasons=equipment:Gas-related / review,document source,quantity signal,tender reference signal; Bot clean extraction (2026-07-01); meta:score=43;priority=Medium;source_type=html_link;closing_date=26/11/2024;equipment=Gas-related / review;quality_status=needs_review;market_relevance=Medium;document_type=po_work_order;unit_price_inr=;amount_label=currency_near_total;matched_terms=gas_context;reject_reasons=;scope=market_intelligence_only;excluded_scope=no_bid_or_offer_submission_automation</t>
        </is>
      </c>
    </row>
    <row r="2040">
      <c r="A2040" t="inlineStr">
        <is>
          <t>T-1844</t>
        </is>
      </c>
      <c r="B2040" t="inlineStr">
        <is>
          <t>Vadodara Gas Limited</t>
        </is>
      </c>
      <c r="C2040" t="inlineStr">
        <is>
          <t>Vadodara Gas Limited</t>
        </is>
      </c>
      <c r="F2040" t="inlineStr">
        <is>
          <t>New Lead</t>
        </is>
      </c>
      <c r="G2040" t="inlineStr">
        <is>
          <t>Gas-related / review</t>
        </is>
      </c>
      <c r="H2040" t="inlineStr">
        <is>
          <t>NIT for the “Selling of
                CNG-PNG Scrap Lying at Different Locations of VGL</t>
        </is>
      </c>
      <c r="K2040" t="inlineStr">
        <is>
          <t>Not found</t>
        </is>
      </c>
      <c r="L2040" t="inlineStr">
        <is>
          <t>Unknown</t>
        </is>
      </c>
      <c r="T2040" t="inlineStr">
        <is>
          <t>https://www.vgl.co.in/wp-content/uploads/2025/pdf/NIT-Scrap.pdf</t>
        </is>
      </c>
      <c r="U2040" t="inlineStr">
        <is>
          <t>No</t>
        </is>
      </c>
      <c r="V2040" t="inlineStr">
        <is>
          <t>Bot tarafindan tespit edildi (2026-07-01); Bot tespit/zenginlestirme (2026-07-01); meta:score=50;priority=Medium;source_type=html_link;closing_date=;equipment=Gas-related / review;reasons=equipment:Gas-related / review,document source,tender reference signal</t>
        </is>
      </c>
    </row>
    <row r="2041">
      <c r="A2041" t="inlineStr">
        <is>
          <t>T-1845</t>
        </is>
      </c>
      <c r="B2041" t="inlineStr">
        <is>
          <t>Vadodara Gas Limited</t>
        </is>
      </c>
      <c r="C2041" t="inlineStr">
        <is>
          <t>Vadodara Gas Limited</t>
        </is>
      </c>
      <c r="D2041" t="inlineStr">
        <is>
          <t>Tender No.: VGL/CO/C</t>
        </is>
      </c>
      <c r="E2041" t="inlineStr">
        <is>
          <t>30/09/2024</t>
        </is>
      </c>
      <c r="F2041" t="inlineStr">
        <is>
          <t>Awarded</t>
        </is>
      </c>
      <c r="G2041" t="inlineStr">
        <is>
          <t>Gas-related / review</t>
        </is>
      </c>
      <c r="H2041" t="inlineStr">
        <is>
          <t>Notice Inviting Tender for
                the “Procurement of 01 No. 450 SCMH Booster Compressor Package with 60 Months Comprehensive Annual
                Maintenance Contract (AMC) for Upgradation &amp; Amendment of Dumad DBS vide Tender
                No.: VGL/CO/C&amp;P-CNG/BD202409P162 Dated 30/09/2024 and Tender ID: 113734</t>
        </is>
      </c>
      <c r="K2041" t="inlineStr">
        <is>
          <t>Not found</t>
        </is>
      </c>
      <c r="L2041" t="inlineStr">
        <is>
          <t>Unknown</t>
        </is>
      </c>
      <c r="T2041" t="inlineStr">
        <is>
          <t>https://www.vgl.co.in/wp-content/uploads/2025/pdf/NIT-COMP-AMD-2024.pdf</t>
        </is>
      </c>
      <c r="U2041" t="inlineStr">
        <is>
          <t>No</t>
        </is>
      </c>
      <c r="V2041" t="inlineStr">
        <is>
          <t>Bot tarafindan tespit edildi (2026-07-01) | Bot enrich; date=2026-07-01; type=pdf; score=240; Bot tespit/zenginlestirme (2026-07-01); meta:score=50;priority=Medium;source_type=html_link;closing_date=;equipment=Gas-related / review;reasons=equipment:Gas-related / review,document source,tender reference signal</t>
        </is>
      </c>
    </row>
    <row r="2042">
      <c r="A2042" t="inlineStr">
        <is>
          <t>T-1846</t>
        </is>
      </c>
      <c r="B2042" t="inlineStr">
        <is>
          <t>Vadodara Gas Limited</t>
        </is>
      </c>
      <c r="C2042" t="inlineStr">
        <is>
          <t>Vadodara Gas Limited</t>
        </is>
      </c>
      <c r="D2042" t="inlineStr">
        <is>
          <t>Bidders</t>
        </is>
      </c>
      <c r="E2042" t="inlineStr">
        <is>
          <t>30/09/2024</t>
        </is>
      </c>
      <c r="F2042" t="inlineStr">
        <is>
          <t>Awarded</t>
        </is>
      </c>
      <c r="G2042" t="inlineStr">
        <is>
          <t>Gas-related / review</t>
        </is>
      </c>
      <c r="H2042" t="inlineStr">
        <is>
          <t>Replies to Bidders Queries for the Tender of Procurement of 01 No. 450 SCMH Booster
                Compressor Package with 60 Months Comprehensive Annual Maintenance Contract (AMC) for Upgradation &amp;
                Amendment of Dumad DBSVide Tender No.: VGL/CO/C&amp;P-CNG/BD202409P162 Dated 30/09/2024 &amp; Tender ID:
                113734</t>
        </is>
      </c>
      <c r="K2042" t="inlineStr">
        <is>
          <t>Not found</t>
        </is>
      </c>
      <c r="L2042" t="inlineStr">
        <is>
          <t>Unknown</t>
        </is>
      </c>
      <c r="T2042" t="inlineStr">
        <is>
          <t>https://www.vgl.co.in/wp-content/uploads/2025/pdf/Replies-Bidders-Query-450-SCMH-Compressor.pdf</t>
        </is>
      </c>
      <c r="U2042" t="inlineStr">
        <is>
          <t>No</t>
        </is>
      </c>
      <c r="V2042" t="inlineStr">
        <is>
          <t>Bot tarafindan tespit edildi (2026-07-01) | Bot enrich; date=2026-07-01; type=pdf; score=240; Bot tespit/zenginlestirme (2026-07-01); meta:score=50;priority=Medium;source_type=html_link;closing_date=;equipment=Gas-related / review;reasons=equipment:Gas-related / review,document source,tender reference signal</t>
        </is>
      </c>
    </row>
    <row r="2043">
      <c r="A2043" t="inlineStr">
        <is>
          <t>T-1847</t>
        </is>
      </c>
      <c r="B2043" t="inlineStr">
        <is>
          <t>Vadodara Gas Limited</t>
        </is>
      </c>
      <c r="C2043" t="inlineStr">
        <is>
          <t>Vadodara Gas Limited</t>
        </is>
      </c>
      <c r="D2043" t="inlineStr">
        <is>
          <t>Tender No.: VGL/CO/C</t>
        </is>
      </c>
      <c r="E2043" t="inlineStr">
        <is>
          <t>09/10/2024</t>
        </is>
      </c>
      <c r="F2043" t="inlineStr">
        <is>
          <t>Awarded</t>
        </is>
      </c>
      <c r="G2043" t="inlineStr">
        <is>
          <t>DRS</t>
        </is>
      </c>
      <c r="H2043" t="inlineStr">
        <is>
          <t>Notice Inviting Tender for the
                “Procurement of District Regulating Skid (DRS) on ARC Basis for Period of Two (02) Years for
                Vadodara Gas Limited (GA) vide Tender No.: VGL/CO/C&amp;P-PNG/BD202405P141_RI Dated 09/10/2024 and
                Tender ID: 116579</t>
        </is>
      </c>
      <c r="K2043" t="inlineStr">
        <is>
          <t>s for the Tender of</t>
        </is>
      </c>
      <c r="L2043" t="inlineStr">
        <is>
          <t>Unknown</t>
        </is>
      </c>
      <c r="M2043" t="n">
        <v>11716515</v>
      </c>
      <c r="T2043" t="inlineStr">
        <is>
          <t>https://www.vgl.co.in/wp-content/uploads/2025/pdf/NIT-DRS-P141-RI.pdf</t>
        </is>
      </c>
      <c r="U2043" t="inlineStr">
        <is>
          <t>No</t>
        </is>
      </c>
      <c r="V2043" t="inlineStr">
        <is>
          <t>Bot tarafindan tespit edildi (2026-07-01) | Bot enrich; date=2026-07-01; type=pdf; score=330; Bot tespit/zenginlestirme (2026-07-01); meta:score=95;priority=High;source_type=html_link;closing_date=19/10/2024;equipment=Regulating station;reasons=equipment:Regulating station,station/skid keyword,document source,tender reference signal; Bot clean extraction (2026-07-01); meta:score=100;priority=High;source_type=html_link;closing_date=19/10/2024;equipment=Regulating / metering station;quality_status=market_target;market_relevance=High;document_type=tender;unit_price_inr=;amount_label=currency_near_total;matched_terms=Regulating / metering station,Skid / gas train;reject_reasons=civil/electrical only;scope=market_intelligence_only;excluded_scope=no_bid_or_offer_submission_automation</t>
        </is>
      </c>
    </row>
    <row r="2044">
      <c r="A2044" t="inlineStr">
        <is>
          <t>T-1848</t>
        </is>
      </c>
      <c r="B2044" t="inlineStr">
        <is>
          <t>Vadodara Gas Limited</t>
        </is>
      </c>
      <c r="C2044" t="inlineStr">
        <is>
          <t>Vadodara Gas Limited</t>
        </is>
      </c>
      <c r="D2044" t="inlineStr">
        <is>
          <t>VGL/CO/C</t>
        </is>
      </c>
      <c r="E2044" t="inlineStr">
        <is>
          <t>08/10/2024</t>
        </is>
      </c>
      <c r="F2044" t="inlineStr">
        <is>
          <t>New Lead</t>
        </is>
      </c>
      <c r="G2044" t="inlineStr">
        <is>
          <t>Irrelevant / non-target</t>
        </is>
      </c>
      <c r="H2044" t="inlineStr">
        <is>
          <t>Notice
                Inviting Tender for the “Hiring of Manpower through Third Party for Peripheral and Support
                Services at VGL vide Tender No.: VGL/CO/C&amp;P-HR/BD202406S155_RI-II Dated 08/10/2024 and Tender ID:
                116283</t>
        </is>
      </c>
      <c r="K2044" t="inlineStr">
        <is>
          <t>Not found</t>
        </is>
      </c>
      <c r="L2044" t="inlineStr">
        <is>
          <t>Unknown</t>
        </is>
      </c>
      <c r="T2044" t="inlineStr">
        <is>
          <t>https://www.vgl.co.in/wp-content/uploads/2025/pdf/NIT-Peripheral-Services-S155-RI-II.pdf</t>
        </is>
      </c>
      <c r="U2044" t="inlineStr">
        <is>
          <t>No</t>
        </is>
      </c>
      <c r="V2044" t="inlineStr">
        <is>
          <t>Bot tarafindan tespit edildi (2026-07-01); Bot tespit/zenginlestirme (2026-07-01); meta:score=;priority=Low;source_type=html_link;closing_date=;equipment=Irrelevant / non-target;reasons=irrelevant_equipment,document source,tender reference signal,non-target service</t>
        </is>
      </c>
    </row>
    <row r="2045">
      <c r="A2045" t="inlineStr">
        <is>
          <t>T-1849</t>
        </is>
      </c>
      <c r="B2045" t="inlineStr">
        <is>
          <t>Vadodara Gas Limited</t>
        </is>
      </c>
      <c r="C2045" t="inlineStr">
        <is>
          <t>Vadodara Gas Limited</t>
        </is>
      </c>
      <c r="D2045" t="inlineStr">
        <is>
          <t>Tender No.: VGL/CO/C</t>
        </is>
      </c>
      <c r="E2045" t="inlineStr">
        <is>
          <t>30/09/2024</t>
        </is>
      </c>
      <c r="F2045" t="inlineStr">
        <is>
          <t>Awarded</t>
        </is>
      </c>
      <c r="G2045" t="inlineStr">
        <is>
          <t>Gas-related / review</t>
        </is>
      </c>
      <c r="H2045" t="inlineStr">
        <is>
          <t>Notice Inviting Tender
                for the “Procurement of 01 No. 450 SCMH Booster Compressor Package with 60 Months Comprehensive
                Annual Maintenance Contract (AMC) for Upgradation &amp; Amendment of Dumad DBS vide Tender No.:
                VGL/CO/C&amp;P-CNG/BD202409P162 Dated 30/09/2024 and Tender ID: 113734</t>
        </is>
      </c>
      <c r="K2045" t="inlineStr">
        <is>
          <t>Not found</t>
        </is>
      </c>
      <c r="L2045" t="inlineStr">
        <is>
          <t>Unknown</t>
        </is>
      </c>
      <c r="T2045" t="inlineStr">
        <is>
          <t>https://www.vgl.co.in/wp-content/uploads/2025/pdf/NIT-450-SCMH-Compressor.pdf</t>
        </is>
      </c>
      <c r="U2045" t="inlineStr">
        <is>
          <t>No</t>
        </is>
      </c>
      <c r="V2045" t="inlineStr">
        <is>
          <t>Bot tarafindan tespit edildi (2026-07-01) | Bot enrich; date=2026-07-01; type=pdf; score=240; Bot tespit/zenginlestirme (2026-07-01); meta:score=50;priority=Medium;source_type=html_link;closing_date=;equipment=Gas-related / review;reasons=equipment:Gas-related / review,document source,tender reference signal</t>
        </is>
      </c>
    </row>
    <row r="2046">
      <c r="A2046" t="inlineStr">
        <is>
          <t>T-1850</t>
        </is>
      </c>
      <c r="B2046" t="inlineStr">
        <is>
          <t>Vadodara Gas Limited</t>
        </is>
      </c>
      <c r="C2046" t="inlineStr">
        <is>
          <t>Vadodara Gas Limited</t>
        </is>
      </c>
      <c r="D2046" t="inlineStr">
        <is>
          <t>Tender No.: VGL/CO/C</t>
        </is>
      </c>
      <c r="E2046" t="inlineStr">
        <is>
          <t>30/09/2024</t>
        </is>
      </c>
      <c r="F2046" t="inlineStr">
        <is>
          <t>Awarded</t>
        </is>
      </c>
      <c r="G2046" t="inlineStr">
        <is>
          <t>Gas-related / review</t>
        </is>
      </c>
      <c r="H2046" t="inlineStr">
        <is>
          <t>Notice Inviting Tender for the “Composite – Electrical &amp; Mechanical
                Works Contract for Upcoming New CNG Station and Upgrading of Existing CNG Station at VGL, Vadodara vide
                Tender No.: VGL/CO/C&amp;P-CNG/BD202409P163 Dated 30/09/2024 and Tender ID: 113676</t>
        </is>
      </c>
      <c r="K2046" t="inlineStr">
        <is>
          <t>Not found</t>
        </is>
      </c>
      <c r="L2046" t="inlineStr">
        <is>
          <t>Unknown</t>
        </is>
      </c>
      <c r="T2046" t="inlineStr">
        <is>
          <t>https://www.vgl.co.in/wp-content/uploads/2025/pdf/NIT-Composite-Electrical-Mechanical-S163.pdf</t>
        </is>
      </c>
      <c r="U2046" t="inlineStr">
        <is>
          <t>No</t>
        </is>
      </c>
      <c r="V2046"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47">
      <c r="A2047" t="inlineStr">
        <is>
          <t>T-1851</t>
        </is>
      </c>
      <c r="B2047" t="inlineStr">
        <is>
          <t>Vadodara Gas Limited</t>
        </is>
      </c>
      <c r="C2047" t="inlineStr">
        <is>
          <t>Vadodara Gas Limited</t>
        </is>
      </c>
      <c r="D2047" t="inlineStr">
        <is>
          <t>VGL/CO/C</t>
        </is>
      </c>
      <c r="E2047" t="inlineStr">
        <is>
          <t>03/10/2024</t>
        </is>
      </c>
      <c r="F2047" t="inlineStr">
        <is>
          <t>New Lead</t>
        </is>
      </c>
      <c r="G2047" t="inlineStr">
        <is>
          <t>Irrelevant / non-target</t>
        </is>
      </c>
      <c r="H2047" t="inlineStr">
        <is>
          <t>Notice Inviting
                Tender for the “Hiring of Manpower through Third Party for Peripheral and Support Services at VGL
                vide Tender No.: VGL/CO/C&amp;P-HR/BD202406S155_RI Dated 03/10/2024 and Tender ID: 109974</t>
        </is>
      </c>
      <c r="K2047" t="inlineStr">
        <is>
          <t>Not found</t>
        </is>
      </c>
      <c r="L2047" t="inlineStr">
        <is>
          <t>Unknown</t>
        </is>
      </c>
      <c r="T2047" t="inlineStr">
        <is>
          <t>https://www.vgl.co.in/wp-content/uploads/2025/pdf/NIT-Peripheral-Services-1099.pdf</t>
        </is>
      </c>
      <c r="U2047" t="inlineStr">
        <is>
          <t>No</t>
        </is>
      </c>
      <c r="V2047" t="inlineStr">
        <is>
          <t>Bot tarafindan tespit edildi (2026-07-01); Bot tespit/zenginlestirme (2026-07-01); meta:score=;priority=Low;source_type=html_link;closing_date=;equipment=Irrelevant / non-target;reasons=irrelevant_equipment,document source,tender reference signal,non-target service</t>
        </is>
      </c>
    </row>
    <row r="2048">
      <c r="A2048" t="inlineStr">
        <is>
          <t>T-1852</t>
        </is>
      </c>
      <c r="B2048" t="inlineStr">
        <is>
          <t>Vadodara Gas Limited</t>
        </is>
      </c>
      <c r="C2048" t="inlineStr">
        <is>
          <t>Vadodara Gas Limited</t>
        </is>
      </c>
      <c r="D2048" t="inlineStr">
        <is>
          <t>Tender No.: VGL/CO/C</t>
        </is>
      </c>
      <c r="E2048" t="inlineStr">
        <is>
          <t>12/09/2024</t>
        </is>
      </c>
      <c r="F2048" t="inlineStr">
        <is>
          <t>Awarded</t>
        </is>
      </c>
      <c r="G2048" t="inlineStr">
        <is>
          <t>Irrelevant / non-target</t>
        </is>
      </c>
      <c r="H2048" t="inlineStr">
        <is>
          <t>Notice Inviting Tender for
                the “Procurement of Various Size of Poly Ethylene (PE) Ball Valve on ARC Basis for a Period of 02
                Year vide Tender No.: VGL/CO/C&amp;P-PNG/BD202405P147_RI Dated 12/09/2024 and Tender ID: 107094</t>
        </is>
      </c>
      <c r="K2048" t="inlineStr">
        <is>
          <t>Not found</t>
        </is>
      </c>
      <c r="L2048" t="inlineStr">
        <is>
          <t>Unknown</t>
        </is>
      </c>
      <c r="T2048" t="inlineStr">
        <is>
          <t>https://www.vgl.co.in/wp-content/uploads/2025/pdf/NIT-Ball-Valve-P147.pdf</t>
        </is>
      </c>
      <c r="U2048" t="inlineStr">
        <is>
          <t>No</t>
        </is>
      </c>
      <c r="V2048" t="inlineStr">
        <is>
          <t>Bot tarafindan tespit edildi (2026-07-01) | Bot enrich; date=2026-07-01; type=pdf; score=230; Bot tespit/zenginlestirme (2026-07-01); meta:score=;priority=Low;source_type=html_table;closing_date=;equipment=Irrelevant / non-target;reasons=irrelevant_equipment,document source,tender reference signal,non-target service</t>
        </is>
      </c>
    </row>
    <row r="2049">
      <c r="A2049" t="inlineStr">
        <is>
          <t>T-1853</t>
        </is>
      </c>
      <c r="B2049" t="inlineStr">
        <is>
          <t>Vadodara Gas Limited</t>
        </is>
      </c>
      <c r="C2049" t="inlineStr">
        <is>
          <t>Vadodara Gas Limited</t>
        </is>
      </c>
      <c r="D2049" t="inlineStr">
        <is>
          <t>Tender No.: VGL/CO/C</t>
        </is>
      </c>
      <c r="E2049" t="inlineStr">
        <is>
          <t>12/09/2024</t>
        </is>
      </c>
      <c r="F2049" t="inlineStr">
        <is>
          <t>Awarded</t>
        </is>
      </c>
      <c r="G2049" t="inlineStr">
        <is>
          <t>Irrelevant / non-target</t>
        </is>
      </c>
      <c r="H2049" t="inlineStr">
        <is>
          <t>Notice Inviting
                Tender for the “Hiring of Manpower through Third Party for Peripheral and Support Services at VGL
                vide Tender No.: VGL/CO/C&amp;P-HR/BD202406S155 Dated 24/08/2024 and Tender ID: 100758</t>
        </is>
      </c>
      <c r="K2049" t="inlineStr">
        <is>
          <t>Not found</t>
        </is>
      </c>
      <c r="L2049" t="inlineStr">
        <is>
          <t>Unknown</t>
        </is>
      </c>
      <c r="T2049" t="inlineStr">
        <is>
          <t>https://www.vgl.co.in/wp-content/uploads/2025/pdf/NIT-Peripheral-Services-S155.pdf</t>
        </is>
      </c>
      <c r="U2049" t="inlineStr">
        <is>
          <t>No</t>
        </is>
      </c>
      <c r="V2049" t="inlineStr">
        <is>
          <t>Bot tarafindan tespit edildi (2026-07-01) | Bot enrich; date=2026-07-01; type=pdf; score=230; Bot tespit/zenginlestirme (2026-07-01); meta:score=;priority=Low;source_type=html_table;closing_date=;equipment=Irrelevant / non-target;reasons=irrelevant_equipment,document source,tender reference signal,non-target service</t>
        </is>
      </c>
    </row>
    <row r="2050">
      <c r="A2050" t="inlineStr">
        <is>
          <t>T-1854</t>
        </is>
      </c>
      <c r="B2050" t="inlineStr">
        <is>
          <t>Vadodara Gas Limited</t>
        </is>
      </c>
      <c r="C2050" t="inlineStr">
        <is>
          <t>Vadodara Gas Limited</t>
        </is>
      </c>
      <c r="D2050" t="inlineStr">
        <is>
          <t>VGL/CO/C</t>
        </is>
      </c>
      <c r="E2050" t="inlineStr">
        <is>
          <t>23/08/2024</t>
        </is>
      </c>
      <c r="F2050" t="inlineStr">
        <is>
          <t>New Lead</t>
        </is>
      </c>
      <c r="G2050" t="inlineStr">
        <is>
          <t>Irrelevant / non-target</t>
        </is>
      </c>
      <c r="H2050" t="inlineStr">
        <is>
          <t>Notice Inviting
                Tender for the “Hiring of Manpower through Third Party for Peripheral and Support Services at VGL
                vide Tender No.: VGL/CO/C&amp;P-HR/BD202406S155 Dated 23/08/2024 and Tender ID: 100588</t>
        </is>
      </c>
      <c r="K2050" t="inlineStr">
        <is>
          <t>Not found</t>
        </is>
      </c>
      <c r="L2050" t="inlineStr">
        <is>
          <t>Unknown</t>
        </is>
      </c>
      <c r="T2050" t="inlineStr">
        <is>
          <t>https://www.vgl.co.in/wp-content/uploads/2025/pdf/NIT-Peripheral-Service-155.pdf</t>
        </is>
      </c>
      <c r="U2050" t="inlineStr">
        <is>
          <t>No</t>
        </is>
      </c>
      <c r="V2050" t="inlineStr">
        <is>
          <t>Bot tarafindan tespit edildi (2026-07-01); Bot tespit/zenginlestirme (2026-07-01); meta:score=;priority=Low;source_type=html_link;closing_date=;equipment=Irrelevant / non-target;reasons=irrelevant_equipment,document source,tender reference signal,non-target service</t>
        </is>
      </c>
    </row>
    <row r="2051">
      <c r="A2051" t="inlineStr">
        <is>
          <t>T-1855</t>
        </is>
      </c>
      <c r="B2051" t="inlineStr">
        <is>
          <t>Vadodara Gas Limited</t>
        </is>
      </c>
      <c r="C2051" t="inlineStr">
        <is>
          <t>Vadodara Gas Limited</t>
        </is>
      </c>
      <c r="D2051" t="inlineStr">
        <is>
          <t>Tender No.: VGL/CO/C</t>
        </is>
      </c>
      <c r="E2051" t="inlineStr">
        <is>
          <t>16/08/2024</t>
        </is>
      </c>
      <c r="F2051" t="inlineStr">
        <is>
          <t>Awarded</t>
        </is>
      </c>
      <c r="G2051" t="inlineStr">
        <is>
          <t>Gas-related / review</t>
        </is>
      </c>
      <c r="H2051" t="inlineStr">
        <is>
          <t>Notice Inviting Tender for
                the “Procurement of ½” Ball Valve on ARC Basis for a Period of One Yearvide Tender
                No.: VGL/CO/C&amp;P-PNG/BD202407P159 Dated 16/08/2024 and Tender ID: 98234</t>
        </is>
      </c>
      <c r="K2051" t="inlineStr">
        <is>
          <t>Not found</t>
        </is>
      </c>
      <c r="L2051" t="inlineStr">
        <is>
          <t>Unknown</t>
        </is>
      </c>
      <c r="T2051" t="inlineStr">
        <is>
          <t>https://www.vgl.co.in/wp-content/uploads/2025/pdf/NIT-Bal-Valve-159.pdf</t>
        </is>
      </c>
      <c r="U2051" t="inlineStr">
        <is>
          <t>No</t>
        </is>
      </c>
      <c r="V2051"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52">
      <c r="A2052" t="inlineStr">
        <is>
          <t>T-1856</t>
        </is>
      </c>
      <c r="B2052" t="inlineStr">
        <is>
          <t>Vadodara Gas Limited</t>
        </is>
      </c>
      <c r="C2052" t="inlineStr">
        <is>
          <t>Vadodara Gas Limited</t>
        </is>
      </c>
      <c r="D2052" t="inlineStr">
        <is>
          <t>Bidders</t>
        </is>
      </c>
      <c r="E2052" t="inlineStr">
        <is>
          <t>17/06/2024</t>
        </is>
      </c>
      <c r="F2052" t="inlineStr">
        <is>
          <t>Awarded</t>
        </is>
      </c>
      <c r="G2052" t="inlineStr">
        <is>
          <t>Irrelevant / non-target</t>
        </is>
      </c>
      <c r="H2052" t="inlineStr">
        <is>
          <t>Replies to Bidders
                Queries for the Tender of Services for Hiring of Manpower for Billing, Bill &amp; Notice Distribution
                and Cash Collection of VGL’S PNG Customers at Dandiya Bazar Gas Office and Ward Office, Vadodara
                for a Period of 24 Months Vide Tender No.: VGL/CO/C&amp;P-BILLING/BD202405S146 Dated 17/06/2024 &amp;
                Tender ID: 76702</t>
        </is>
      </c>
      <c r="K2052" t="inlineStr">
        <is>
          <t>Not found</t>
        </is>
      </c>
      <c r="L2052" t="inlineStr">
        <is>
          <t>Unknown</t>
        </is>
      </c>
      <c r="T2052" t="inlineStr">
        <is>
          <t>https://www.vgl.co.in/wp-content/uploads/2025/pdf/Replies-to-Biders-146.pdf</t>
        </is>
      </c>
      <c r="U2052" t="inlineStr">
        <is>
          <t>No</t>
        </is>
      </c>
      <c r="V2052" t="inlineStr">
        <is>
          <t>Bot tarafindan tespit edildi (2026-07-01) | Bot enrich; date=2026-07-01; type=pdf; score=230; Bot tespit/zenginlestirme (2026-07-01); meta:score=;priority=Low;source_type=html_link;closing_date=;equipment=Irrelevant / non-target;reasons=irrelevant_equipment,document source,tender reference signal,non-target service</t>
        </is>
      </c>
    </row>
    <row r="2053">
      <c r="A2053" t="inlineStr">
        <is>
          <t>T-1857</t>
        </is>
      </c>
      <c r="B2053" t="inlineStr">
        <is>
          <t>Vadodara Gas Limited</t>
        </is>
      </c>
      <c r="C2053" t="inlineStr">
        <is>
          <t>Vadodara Gas Limited</t>
        </is>
      </c>
      <c r="F2053" t="inlineStr">
        <is>
          <t>New Lead</t>
        </is>
      </c>
      <c r="G2053" t="inlineStr">
        <is>
          <t>Unclassified</t>
        </is>
      </c>
      <c r="H2053" t="inlineStr">
        <is>
          <t>Pre-Tender Meeting
                Inquiry for the “Purchase of 1200 SCMH Motor Driven Compressor with AMC under Buy-Back Model</t>
        </is>
      </c>
      <c r="K2053" t="inlineStr">
        <is>
          <t>Not found</t>
        </is>
      </c>
      <c r="L2053" t="inlineStr">
        <is>
          <t>Unknown</t>
        </is>
      </c>
      <c r="T2053" t="inlineStr">
        <is>
          <t>https://www.vgl.co.in/wp-content/uploads/2025/pdf/Pre-Tender-Meetting-200.pdf</t>
        </is>
      </c>
      <c r="U2053" t="inlineStr">
        <is>
          <t>No</t>
        </is>
      </c>
      <c r="V2053" t="inlineStr">
        <is>
          <t>Bot tarafindan tespit edildi (2026-07-01); Bot tespit/zenginlestirme (2026-07-01); meta:score=20;priority=Low;source_type=html_link;closing_date=;equipment=Unclassified;reasons=document source</t>
        </is>
      </c>
    </row>
    <row r="2054">
      <c r="A2054" t="inlineStr">
        <is>
          <t>T-1858</t>
        </is>
      </c>
      <c r="B2054" t="inlineStr">
        <is>
          <t>Vadodara Gas Limited</t>
        </is>
      </c>
      <c r="C2054" t="inlineStr">
        <is>
          <t>Vadodara Gas Limited</t>
        </is>
      </c>
      <c r="F2054" t="inlineStr">
        <is>
          <t>New Lead</t>
        </is>
      </c>
      <c r="G2054" t="inlineStr">
        <is>
          <t>Unclassified</t>
        </is>
      </c>
      <c r="H2054" t="inlineStr">
        <is>
          <t>Pre-Tender Meeting Inquiry
                for the “Purchase of 1200 SCMH Motor Driven Compressor with AMC under Buy-Back Model</t>
        </is>
      </c>
      <c r="K2054" t="inlineStr">
        <is>
          <t>Not found</t>
        </is>
      </c>
      <c r="L2054" t="inlineStr">
        <is>
          <t>Unknown</t>
        </is>
      </c>
      <c r="T2054" t="inlineStr">
        <is>
          <t>https://www.vgl.co.in/wp-content/uploads/2025/pdf/Pre-Tender-Meeting.pdf</t>
        </is>
      </c>
      <c r="U2054" t="inlineStr">
        <is>
          <t>No</t>
        </is>
      </c>
      <c r="V2054" t="inlineStr">
        <is>
          <t>Bot tarafindan tespit edildi (2026-07-01); Bot tespit/zenginlestirme (2026-07-01); meta:score=20;priority=Low;source_type=html_link;closing_date=;equipment=Unclassified;reasons=document source</t>
        </is>
      </c>
    </row>
    <row r="2055">
      <c r="A2055" t="inlineStr">
        <is>
          <t>T-1859</t>
        </is>
      </c>
      <c r="B2055" t="inlineStr">
        <is>
          <t>Vadodara Gas Limited</t>
        </is>
      </c>
      <c r="C2055" t="inlineStr">
        <is>
          <t>Vadodara Gas Limited</t>
        </is>
      </c>
      <c r="D2055" t="inlineStr">
        <is>
          <t>Bidders</t>
        </is>
      </c>
      <c r="E2055" t="inlineStr">
        <is>
          <t>07/06/2024</t>
        </is>
      </c>
      <c r="F2055" t="inlineStr">
        <is>
          <t>Awarded</t>
        </is>
      </c>
      <c r="G2055" t="inlineStr">
        <is>
          <t>Gas-related / review</t>
        </is>
      </c>
      <c r="H2055" t="inlineStr">
        <is>
          <t>Replies to
                Bidders Queries - Additional - 2 for the Tender of Procurement of 50,000 Nos. of Domestic Meter on ARC
                basis for a Period of 01 Year Vide Tender No.: VGL/CO/C&amp;P-PNG/BD202405P145 Dated 07/06/2024 &amp;
                Tender ID: 72549</t>
        </is>
      </c>
      <c r="K2055" t="inlineStr">
        <is>
          <t>Not found</t>
        </is>
      </c>
      <c r="L2055" t="inlineStr">
        <is>
          <t>Unknown</t>
        </is>
      </c>
      <c r="T2055" t="inlineStr">
        <is>
          <t>https://www.vgl.co.in/wp-content/uploads/2025/pdf/Replies-Bidders-Query-Domestic-2.pdf</t>
        </is>
      </c>
      <c r="U2055" t="inlineStr">
        <is>
          <t>No</t>
        </is>
      </c>
      <c r="V2055" t="inlineStr">
        <is>
          <t>Bot tarafindan tespit edildi (2026-07-01) | Bot enrich; date=2026-07-01; type=pdf; score=230; Bot tespit/zenginlestirme (2026-07-01); meta:score=70;priority=High;source_type=html_link;closing_date=None;equipment=Gas-related / review;reasons=equipment:Gas-related / review,document source,quantity signal,tender reference signal; Bot clean extraction (2026-07-01); meta:score=43;priority=Medium;source_type=html_link;closing_date=None;equipment=Gas-related / review;quality_status=needs_review;market_relevance=Medium;document_type=unknown;unit_price_inr=;amount_label=;matched_terms=gas_context;reject_reasons=;scope=market_intelligence_only;excluded_scope=no_bid_or_offer_submission_automation</t>
        </is>
      </c>
    </row>
    <row r="2056">
      <c r="A2056" t="inlineStr">
        <is>
          <t>T-1860</t>
        </is>
      </c>
      <c r="B2056" t="inlineStr">
        <is>
          <t>Vadodara Gas Limited</t>
        </is>
      </c>
      <c r="C2056" t="inlineStr">
        <is>
          <t>Vadodara Gas Limited</t>
        </is>
      </c>
      <c r="D2056" t="inlineStr">
        <is>
          <t>Bidders</t>
        </is>
      </c>
      <c r="E2056" t="inlineStr">
        <is>
          <t>07/06/2024</t>
        </is>
      </c>
      <c r="F2056" t="inlineStr">
        <is>
          <t>Awarded</t>
        </is>
      </c>
      <c r="G2056" t="inlineStr">
        <is>
          <t>Gas-related / review</t>
        </is>
      </c>
      <c r="H2056" t="inlineStr">
        <is>
          <t>Replies to Bidders
                Queries - Additional for the Tender of Procurement of 50,000 Nos. of Domestic Meter on ARC basis for a
                Period of 01 Year Vide Tender No.: VGL/CO/C&amp;P-PNG/BD202405P145 Dated 07/06/2024 &amp; Tender ID:
                72549</t>
        </is>
      </c>
      <c r="K2056" t="inlineStr">
        <is>
          <t>shall provide a As per the standard and industry practice the calibration certificate and Inspection</t>
        </is>
      </c>
      <c r="L2056" t="inlineStr">
        <is>
          <t>Unknown</t>
        </is>
      </c>
      <c r="T2056" t="inlineStr">
        <is>
          <t>https://www.vgl.co.in/wp-content/uploads/2025/pdf/Replies-to-Bidder-Query-p.pdf</t>
        </is>
      </c>
      <c r="U2056" t="inlineStr">
        <is>
          <t>No</t>
        </is>
      </c>
      <c r="V2056" t="inlineStr">
        <is>
          <t>Bot tarafindan tespit edildi (2026-07-01) | Bot enrich; date=2026-07-01; type=pdf; score=230; Bot tespit/zenginlestirme (2026-07-01); meta:score=70;priority=High;source_type=html_link;closing_date=None;equipment=Gas-related / review;reasons=equipment:Gas-related / review,document source,quantity signal,tender reference signal; Bot clean extraction (2026-07-01); meta:score=43;priority=Medium;source_type=html_link;closing_date=None;equipment=Gas-related / review;quality_status=needs_review;market_relevance=Medium;document_type=unknown;unit_price_inr=;amount_label=;matched_terms=gas_context;reject_reasons=;scope=market_intelligence_only;excluded_scope=no_bid_or_offer_submission_automation</t>
        </is>
      </c>
    </row>
    <row r="2057">
      <c r="A2057" t="inlineStr">
        <is>
          <t>T-1861</t>
        </is>
      </c>
      <c r="B2057" t="inlineStr">
        <is>
          <t>Vadodara Gas Limited</t>
        </is>
      </c>
      <c r="C2057" t="inlineStr">
        <is>
          <t>Vadodara Gas Limited</t>
        </is>
      </c>
      <c r="D2057" t="inlineStr">
        <is>
          <t>Bidders</t>
        </is>
      </c>
      <c r="E2057" t="inlineStr">
        <is>
          <t>07/06/2024</t>
        </is>
      </c>
      <c r="F2057" t="inlineStr">
        <is>
          <t>Awarded</t>
        </is>
      </c>
      <c r="G2057" t="inlineStr">
        <is>
          <t>Regulating station</t>
        </is>
      </c>
      <c r="H2057" t="inlineStr">
        <is>
          <t>Replies to Bidders Queries for
                the Tender of Procurement of 50,000 Nos. of Domestic Meter on ARC basis for a Period of 01 Year Vide
                Tender No.: VGL/CO/C&amp;P-PNG/BD202405P145 Dated 07/06/2024 &amp; Tender ID: 72549</t>
        </is>
      </c>
      <c r="K2057" t="inlineStr">
        <is>
          <t>shall provide a error curve changes from</t>
        </is>
      </c>
      <c r="L2057" t="inlineStr">
        <is>
          <t>Unknown</t>
        </is>
      </c>
      <c r="M2057" t="n">
        <v>2</v>
      </c>
      <c r="T2057" t="inlineStr">
        <is>
          <t>https://www.vgl.co.in/wp-content/uploads/2025/pdf/Replies-to-P145.pdf</t>
        </is>
      </c>
      <c r="U2057" t="inlineStr">
        <is>
          <t>No</t>
        </is>
      </c>
      <c r="V2057" t="inlineStr">
        <is>
          <t>Bot tarafindan tespit edildi (2026-07-01) | Bot enrich; date=2026-07-01; type=pdf; score=230; Bot tespit/zenginlestirme (2026-07-01); meta:score=70;priority=High;source_type=html_link;closing_date=None;equipment=Gas-related / review;reasons=equipment:Gas-related / review,document source,quantity signal,tender reference signal; Bot clean extraction (2026-07-01); meta:score=43;priority=Medium;source_type=html_link;closing_date=None;equipment=Regulating / metering station;quality_status=market_target;market_relevance=High;document_type=unknown;unit_price_inr=;amount_label=;matched_terms=Regulating / metering station;reject_reasons=employment/corporate;scope=market_intelligence_only;excluded_scope=no_bid_or_offer_submission_automation</t>
        </is>
      </c>
    </row>
    <row r="2058">
      <c r="A2058" t="inlineStr">
        <is>
          <t>T-1862</t>
        </is>
      </c>
      <c r="B2058" t="inlineStr">
        <is>
          <t>Vadodara Gas Limited</t>
        </is>
      </c>
      <c r="C2058" t="inlineStr">
        <is>
          <t>Vadodara Gas Limited</t>
        </is>
      </c>
      <c r="D2058" t="inlineStr">
        <is>
          <t>Bidders</t>
        </is>
      </c>
      <c r="E2058" t="inlineStr">
        <is>
          <t>07/06/2024</t>
        </is>
      </c>
      <c r="F2058" t="inlineStr">
        <is>
          <t>Awarded</t>
        </is>
      </c>
      <c r="G2058" t="inlineStr">
        <is>
          <t>Gas-related / review</t>
        </is>
      </c>
      <c r="H2058" t="inlineStr">
        <is>
          <t>Replies to Bidders Queries for
                the Tender of Procurement of Various Size of Poly Ethylen (PE) Ball Valve on ARC Basis for a Period of
                02 Year Vide Tender No.: VGL/CO/C&amp;P-PNG/BD202405P147 Dated 07/06/2024 &amp; Tender ID:
                72718”</t>
        </is>
      </c>
      <c r="K2058" t="inlineStr">
        <is>
          <t>Not found</t>
        </is>
      </c>
      <c r="L2058" t="inlineStr">
        <is>
          <t>Unknown</t>
        </is>
      </c>
      <c r="T2058" t="inlineStr">
        <is>
          <t>https://www.vgl.co.in/wp-content/uploads/2025/pdf/Replies-P147.pdf</t>
        </is>
      </c>
      <c r="U2058" t="inlineStr">
        <is>
          <t>No</t>
        </is>
      </c>
      <c r="V2058"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59">
      <c r="A2059" t="inlineStr">
        <is>
          <t>T-1863</t>
        </is>
      </c>
      <c r="B2059" t="inlineStr">
        <is>
          <t>Vadodara Gas Limited</t>
        </is>
      </c>
      <c r="C2059" t="inlineStr">
        <is>
          <t>Vadodara Gas Limited</t>
        </is>
      </c>
      <c r="D2059" t="inlineStr">
        <is>
          <t>Tender No.: VGL/CO/C</t>
        </is>
      </c>
      <c r="E2059" t="inlineStr">
        <is>
          <t>17/06/2024</t>
        </is>
      </c>
      <c r="F2059" t="inlineStr">
        <is>
          <t>Awarded</t>
        </is>
      </c>
      <c r="G2059" t="inlineStr">
        <is>
          <t>Irrelevant / non-target</t>
        </is>
      </c>
      <c r="H2059" t="inlineStr">
        <is>
          <t>Notice Inviting Tender for
                the “Services for Hiring of Manpower for Billing, Bill &amp; Notice Distribution and Cash
                Collection of VGL’S PNG Customers at Dandiya Bazar Gas Office and Ward Office, Vadodara for a
                Period of 24 Months vide Tender No.: VGL/CO/C&amp;P-BILLING/BD202405S146 Dated 17/06/2024 and Tender ID:
                76702</t>
        </is>
      </c>
      <c r="K2059" t="inlineStr">
        <is>
          <t>Not found</t>
        </is>
      </c>
      <c r="L2059" t="inlineStr">
        <is>
          <t>Unknown</t>
        </is>
      </c>
      <c r="T2059" t="inlineStr">
        <is>
          <t>https://www.vgl.co.in/wp-content/uploads/2025/pdf/NIT-Billing-S146.pdf</t>
        </is>
      </c>
      <c r="U2059" t="inlineStr">
        <is>
          <t>No</t>
        </is>
      </c>
      <c r="V2059" t="inlineStr">
        <is>
          <t>Bot tarafindan tespit edildi (2026-07-01) | Bot enrich; date=2026-07-01; type=pdf; score=230; Bot tespit/zenginlestirme (2026-07-01); meta:score=;priority=Low;source_type=html_link;closing_date=;equipment=Irrelevant / non-target;reasons=irrelevant_equipment,document source,tender reference signal,non-target service</t>
        </is>
      </c>
    </row>
    <row r="2060">
      <c r="A2060" t="inlineStr">
        <is>
          <t>T-1864</t>
        </is>
      </c>
      <c r="B2060" t="inlineStr">
        <is>
          <t>Vadodara Gas Limited</t>
        </is>
      </c>
      <c r="C2060" t="inlineStr">
        <is>
          <t>Vadodara Gas Limited</t>
        </is>
      </c>
      <c r="D2060" t="inlineStr">
        <is>
          <t>Tender No.: VGL/CO/C</t>
        </is>
      </c>
      <c r="E2060" t="inlineStr">
        <is>
          <t>15/06/2024</t>
        </is>
      </c>
      <c r="F2060" t="inlineStr">
        <is>
          <t>Awarded</t>
        </is>
      </c>
      <c r="G2060" t="inlineStr">
        <is>
          <t>Gas-related / review</t>
        </is>
      </c>
      <c r="H2060" t="inlineStr">
        <is>
          <t>Notice Inviting
                Tender for the “Hiring the Services for Construction of New PE Valve Chamber, Levelling/
                Maintenance of Existing Valve Chamber and Other Misc. Restoration Work in Vadodara GA under VGL for the
                Period of 02 Years vide Tender No.: VGL/CO/C&amp;P-PNG/BD202405S150 Dated 15/06/2024 and Tender ID:
                76436</t>
        </is>
      </c>
      <c r="K2060" t="inlineStr">
        <is>
          <t>Not found</t>
        </is>
      </c>
      <c r="L2060" t="inlineStr">
        <is>
          <t>Unknown</t>
        </is>
      </c>
      <c r="T2060" t="inlineStr">
        <is>
          <t>https://www.vgl.co.in/wp-content/uploads/2025/pdf/NIT-PE-Valve-Chamber-S150.pdf</t>
        </is>
      </c>
      <c r="U2060" t="inlineStr">
        <is>
          <t>No</t>
        </is>
      </c>
      <c r="V2060"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61">
      <c r="A2061" t="inlineStr">
        <is>
          <t>T-1865</t>
        </is>
      </c>
      <c r="B2061" t="inlineStr">
        <is>
          <t>Vadodara Gas Limited</t>
        </is>
      </c>
      <c r="C2061" t="inlineStr">
        <is>
          <t>Vadodara Gas Limited</t>
        </is>
      </c>
      <c r="D2061" t="inlineStr">
        <is>
          <t>Tender No.: VGL/CO/C</t>
        </is>
      </c>
      <c r="E2061" t="inlineStr">
        <is>
          <t>15/06/2024</t>
        </is>
      </c>
      <c r="F2061" t="inlineStr">
        <is>
          <t>Awarded</t>
        </is>
      </c>
      <c r="G2061" t="inlineStr">
        <is>
          <t>Gas-related / review</t>
        </is>
      </c>
      <c r="H2061" t="inlineStr">
        <is>
          <t>Notice Inviting Tender
                for the “Hiring the Services for Laying of Underground MDPE Pipeline for New D-PNG/ Commercial/
                Industrial Connection in Vadodara GA on ARC basis for a Period of 01 Year vide Tender No.:
                VGL/CO/C&amp;P-PNG/BD202405S144 Dated 15/06/2024 and Tender ID: 76408</t>
        </is>
      </c>
      <c r="K2061" t="inlineStr">
        <is>
          <t>Not found</t>
        </is>
      </c>
      <c r="L2061" t="inlineStr">
        <is>
          <t>Unknown</t>
        </is>
      </c>
      <c r="T2061" t="inlineStr">
        <is>
          <t>https://www.vgl.co.in/wp-content/uploads/2025/pdf/NIT-MDPE-Laying-S144.pdf</t>
        </is>
      </c>
      <c r="U2061" t="inlineStr">
        <is>
          <t>No</t>
        </is>
      </c>
      <c r="V2061"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62">
      <c r="A2062" t="inlineStr">
        <is>
          <t>T-1866</t>
        </is>
      </c>
      <c r="B2062" t="inlineStr">
        <is>
          <t>Vadodara Gas Limited</t>
        </is>
      </c>
      <c r="C2062" t="inlineStr">
        <is>
          <t>Vadodara Gas Limited</t>
        </is>
      </c>
      <c r="D2062" t="inlineStr">
        <is>
          <t>Bidders</t>
        </is>
      </c>
      <c r="E2062" t="inlineStr">
        <is>
          <t>24/05/2024</t>
        </is>
      </c>
      <c r="F2062" t="inlineStr">
        <is>
          <t>Awarded</t>
        </is>
      </c>
      <c r="G2062" t="inlineStr">
        <is>
          <t>Gas-related / review</t>
        </is>
      </c>
      <c r="H2062" t="inlineStr">
        <is>
          <t>Replies to
                Bidders Queries - Additional for the Tender of Purchase of 02 Nos. Variable Inlet Pressure (VIP) 600
                SCMH Motor Driven Compressor Package with 05 Year AMC Vide Tender No.: VGL/CO/C&amp;P-CNG/BD202404P127
                Dated 24/05/2024 &amp; Tender ID: 71557</t>
        </is>
      </c>
      <c r="K2062" t="inlineStr">
        <is>
          <t>Not found</t>
        </is>
      </c>
      <c r="L2062" t="inlineStr">
        <is>
          <t>Unknown</t>
        </is>
      </c>
      <c r="T2062" t="inlineStr">
        <is>
          <t>https://www.vgl.co.in/wp-content/uploads/2025/pdf/Replies-to-Bidders-Additional.pdf</t>
        </is>
      </c>
      <c r="U2062" t="inlineStr">
        <is>
          <t>No</t>
        </is>
      </c>
      <c r="V2062" t="inlineStr">
        <is>
          <t>Bot tarafindan tespit edildi (2026-07-01) | Bot enrich; date=2026-07-01; type=pdf; score=230; Bot tespit/zenginlestirme (2026-07-01); meta:score=70;priority=High;source_type=html_link;closing_date=None;equipment=Gas-related / review;reasons=equipment:Gas-related / review,document source,quantity signal,tender reference signal</t>
        </is>
      </c>
    </row>
    <row r="2063">
      <c r="A2063" t="inlineStr">
        <is>
          <t>T-1867</t>
        </is>
      </c>
      <c r="B2063" t="inlineStr">
        <is>
          <t>Vadodara Gas Limited</t>
        </is>
      </c>
      <c r="C2063" t="inlineStr">
        <is>
          <t>Vadodara Gas Limited</t>
        </is>
      </c>
      <c r="D2063" t="inlineStr">
        <is>
          <t>Tender No.: VGL/CO/C</t>
        </is>
      </c>
      <c r="E2063" t="inlineStr">
        <is>
          <t>07/06/2024</t>
        </is>
      </c>
      <c r="F2063" t="inlineStr">
        <is>
          <t>Awarded</t>
        </is>
      </c>
      <c r="G2063" t="inlineStr">
        <is>
          <t>Gas-related / review</t>
        </is>
      </c>
      <c r="H2063" t="inlineStr">
        <is>
          <t>Procurement of 50,000
                Nos. of Domestic Meter on ARC basis for a Period of 01 Year vide Tender No.:
                VGL/CO/C&amp;P-PNG/BD202405P145 Dated 07/06/2024 and Tender ID: 72549</t>
        </is>
      </c>
      <c r="K2063" t="inlineStr">
        <is>
          <t>Not found</t>
        </is>
      </c>
      <c r="L2063" t="inlineStr">
        <is>
          <t>Unknown</t>
        </is>
      </c>
      <c r="T2063" t="inlineStr">
        <is>
          <t>https://www.vgl.co.in/wp-content/uploads/2025/pdf/NIT-Domestic-Meter-49.pdf</t>
        </is>
      </c>
      <c r="U2063" t="inlineStr">
        <is>
          <t>No</t>
        </is>
      </c>
      <c r="V2063" t="inlineStr">
        <is>
          <t>Bot tarafindan tespit edildi (2026-07-01) | Bot enrich; date=2026-07-01; type=pdf; score=230; Bot tespit/zenginlestirme (2026-07-01); meta:score=70;priority=High;source_type=html_link;closing_date=None;equipment=Gas-related / review;reasons=equipment:Gas-related / review,document source,quantity signal,tender reference signal</t>
        </is>
      </c>
    </row>
    <row r="2064">
      <c r="A2064" t="inlineStr">
        <is>
          <t>T-1868</t>
        </is>
      </c>
      <c r="B2064" t="inlineStr">
        <is>
          <t>Vadodara Gas Limited</t>
        </is>
      </c>
      <c r="C2064" t="inlineStr">
        <is>
          <t>Vadodara Gas Limited</t>
        </is>
      </c>
      <c r="D2064" t="inlineStr">
        <is>
          <t>Tender No.: VGL/CO/C</t>
        </is>
      </c>
      <c r="E2064" t="inlineStr">
        <is>
          <t>07/06/2024</t>
        </is>
      </c>
      <c r="F2064" t="inlineStr">
        <is>
          <t>Awarded</t>
        </is>
      </c>
      <c r="G2064" t="inlineStr">
        <is>
          <t>Gas-related / review</t>
        </is>
      </c>
      <c r="H2064" t="inlineStr">
        <is>
          <t>Notice Inviting Tender
                for the “Procurement of Various Size of Poly Ethylene (PE) Ball Valve on ARC Basis for a Period of
                02 Year vide Tender No.: VGL/CO/C&amp;P-PNG/BD202405P147 Dated 07/06/2024 and Tender ID: 72718</t>
        </is>
      </c>
      <c r="K2064" t="inlineStr">
        <is>
          <t>Not found</t>
        </is>
      </c>
      <c r="L2064" t="inlineStr">
        <is>
          <t>Unknown</t>
        </is>
      </c>
      <c r="T2064" t="inlineStr">
        <is>
          <t>https://www.vgl.co.in/wp-content/uploads/2025/pdf/NIT-PE-Ball-Valve-18.pdf</t>
        </is>
      </c>
      <c r="U2064" t="inlineStr">
        <is>
          <t>No</t>
        </is>
      </c>
      <c r="V2064"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65">
      <c r="A2065" t="inlineStr">
        <is>
          <t>T-1869</t>
        </is>
      </c>
      <c r="B2065" t="inlineStr">
        <is>
          <t>Vadodara Gas Limited</t>
        </is>
      </c>
      <c r="C2065" t="inlineStr">
        <is>
          <t>Vadodara Gas Limited</t>
        </is>
      </c>
      <c r="D2065" t="inlineStr">
        <is>
          <t>Bid Submission</t>
        </is>
      </c>
      <c r="E2065" t="inlineStr">
        <is>
          <t>24/05/2024</t>
        </is>
      </c>
      <c r="F2065" t="inlineStr">
        <is>
          <t>Awarded</t>
        </is>
      </c>
      <c r="G2065" t="inlineStr">
        <is>
          <t>DRS</t>
        </is>
      </c>
      <c r="H2065" t="inlineStr">
        <is>
          <t>Bid Submission Due Date
                for the Tender of Procurement of District Regulating Skid (DRS) on ARC Basis for Period of Two (02)
                Years for Vadodara Gas Limited (GA) Vide Tender No.: VGL/CO/C&amp;P-PNG/BD202405P141 Dated 24/05/2024
                &amp; Tender ID: 71492</t>
        </is>
      </c>
      <c r="K2065" t="inlineStr">
        <is>
          <t>Not found</t>
        </is>
      </c>
      <c r="L2065" t="inlineStr">
        <is>
          <t>Unknown</t>
        </is>
      </c>
      <c r="M2065" t="n">
        <v>11</v>
      </c>
      <c r="T2065" t="inlineStr">
        <is>
          <t>https://www.vgl.co.in/wp-content/uploads/2025/pdf/Extension-DRS-P141.pdf</t>
        </is>
      </c>
      <c r="U2065" t="inlineStr">
        <is>
          <t>No</t>
        </is>
      </c>
      <c r="V2065" t="inlineStr">
        <is>
          <t>Bot tarafindan tespit edildi (2026-07-01) | Bot enrich; date=2026-07-01; type=pdf; score=330; Bot tespit/zenginlestirme (2026-07-01); meta:score=100;priority=High;source_type=html_link;closing_date=24/05/2024;equipment=Regulating station;reasons=equipment:Regulating station,station/skid keyword,document source,tender reference signal,closing date signal; Bot clean extraction (2026-07-01); meta:score=100;priority=High;source_type=html_link;closing_date=24/05/2024;equipment=Regulating / metering station;quality_status=market_target;market_relevance=High;document_type=unknown;unit_price_inr=;amount_label=;matched_terms=Regulating / metering station;reject_reasons=employment/corporate;scope=market_intelligence_only;excluded_scope=no_bid_or_offer_submission_automation</t>
        </is>
      </c>
    </row>
    <row r="2066">
      <c r="A2066" t="inlineStr">
        <is>
          <t>T-1870</t>
        </is>
      </c>
      <c r="B2066" t="inlineStr">
        <is>
          <t>Vadodara Gas Limited</t>
        </is>
      </c>
      <c r="C2066" t="inlineStr">
        <is>
          <t>Vadodara Gas Limited</t>
        </is>
      </c>
      <c r="D2066" t="inlineStr">
        <is>
          <t>Bidders</t>
        </is>
      </c>
      <c r="E2066" t="inlineStr">
        <is>
          <t>24/05/2024</t>
        </is>
      </c>
      <c r="F2066" t="inlineStr">
        <is>
          <t>Awarded</t>
        </is>
      </c>
      <c r="G2066" t="inlineStr">
        <is>
          <t>DRS</t>
        </is>
      </c>
      <c r="H2066" t="inlineStr">
        <is>
          <t>Replies to
                Bidders Queries for the Tender of Procurement of District Regulating Skid (DRS) on ARC Basis for Period
                of Two (02) Years for Vadodara Gas Limited (GA) Vide Tender No.: VGL/CO/C&amp;P-PNG/BD202405P141 Dated
                24/05/2024 &amp; Tender ID: 71492</t>
        </is>
      </c>
      <c r="K2066" t="inlineStr">
        <is>
          <t>to almost all CGD companies across India. Tender specifies requirement of G-1000</t>
        </is>
      </c>
      <c r="L2066" t="inlineStr">
        <is>
          <t>Unknown</t>
        </is>
      </c>
      <c r="T2066" t="inlineStr">
        <is>
          <t>https://www.vgl.co.in/wp-content/uploads/2025/pdf/Replie-to-Bidders-Query-DRS-P141.pdf</t>
        </is>
      </c>
      <c r="U2066" t="inlineStr">
        <is>
          <t>No</t>
        </is>
      </c>
      <c r="V2066" t="inlineStr">
        <is>
          <t>Bot tarafindan tespit edildi (2026-07-01) | Bot enrich; date=2026-07-01; type=pdf; score=330; Bot tespit/zenginlestirme (2026-07-01); meta:score=95;priority=High;source_type=html_link;closing_date=None;equipment=Regulating station;reasons=equipment:Regulating station,station/skid keyword,document source,tender reference signal; Bot clean extraction (2026-07-01); meta:score=100;priority=High;source_type=html_link;closing_date=None;equipment=Service / pressure regulator;quality_status=market_target;market_relevance=High;document_type=unknown;unit_price_inr=;amount_label=;matched_terms=Service / pressure regulator,Regulating / metering station,Safety / shut-off equipment;reject_reasons=civil/electrical only;scope=market_intelligence_only;excluded_scope=no_bid_or_offer_submission_automation</t>
        </is>
      </c>
    </row>
    <row r="2067">
      <c r="A2067" t="inlineStr">
        <is>
          <t>T-1871</t>
        </is>
      </c>
      <c r="B2067" t="inlineStr">
        <is>
          <t>Vadodara Gas Limited</t>
        </is>
      </c>
      <c r="C2067" t="inlineStr">
        <is>
          <t>Vadodara Gas Limited</t>
        </is>
      </c>
      <c r="D2067" t="inlineStr">
        <is>
          <t>Bidders</t>
        </is>
      </c>
      <c r="E2067" t="inlineStr">
        <is>
          <t>23/05/2024</t>
        </is>
      </c>
      <c r="F2067" t="inlineStr">
        <is>
          <t>Awarded</t>
        </is>
      </c>
      <c r="G2067" t="inlineStr">
        <is>
          <t>Gas-related / review</t>
        </is>
      </c>
      <c r="H2067" t="inlineStr">
        <is>
          <t>Replies to Bidders
                Queries for the Tender of Procurement of 125mm MDPE Pipe on ARC Basis for Period of 02 Years Vide Tender
                No.: VGL/CO/C&amp;P-PNG/BD202405P142 Dated 23/05/2024 &amp; Tender ID: 71443</t>
        </is>
      </c>
      <c r="K2067" t="inlineStr">
        <is>
          <t>Not found</t>
        </is>
      </c>
      <c r="L2067" t="inlineStr">
        <is>
          <t>Unknown</t>
        </is>
      </c>
      <c r="T2067" t="inlineStr">
        <is>
          <t>https://www.vgl.co.in/wp-content/uploads/2025/pdf/Repli-Bidders-Query-43.pdf</t>
        </is>
      </c>
      <c r="U2067" t="inlineStr">
        <is>
          <t>No</t>
        </is>
      </c>
      <c r="V2067"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68">
      <c r="A2068" t="inlineStr">
        <is>
          <t>T-1872</t>
        </is>
      </c>
      <c r="B2068" t="inlineStr">
        <is>
          <t>Vadodara Gas Limited</t>
        </is>
      </c>
      <c r="C2068" t="inlineStr">
        <is>
          <t>Vadodara Gas Limited</t>
        </is>
      </c>
      <c r="D2068" t="inlineStr">
        <is>
          <t>Bidders</t>
        </is>
      </c>
      <c r="E2068" t="inlineStr">
        <is>
          <t>23/05/2024</t>
        </is>
      </c>
      <c r="F2068" t="inlineStr">
        <is>
          <t>Awarded</t>
        </is>
      </c>
      <c r="G2068" t="inlineStr">
        <is>
          <t>Gas-related / review</t>
        </is>
      </c>
      <c r="H2068" t="inlineStr">
        <is>
          <t>Replies to
                Bidders Queries for the Tender of Procurement of 90 mm MDPE Pipe on ARC Basis for Period of 02 Years
                Vide Tender No.: VGL/CO/C&amp;P-PNG/BD202405P143 Dated 23/05/2024 &amp; Tender ID: 71440</t>
        </is>
      </c>
      <c r="K2068" t="inlineStr">
        <is>
          <t>Not found</t>
        </is>
      </c>
      <c r="L2068" t="inlineStr">
        <is>
          <t>Unknown</t>
        </is>
      </c>
      <c r="T2068" t="inlineStr">
        <is>
          <t>https://www.vgl.co.in/wp-content/uploads/2025/pdf/Replies-to-Bidders-Query40.pdf</t>
        </is>
      </c>
      <c r="U2068" t="inlineStr">
        <is>
          <t>No</t>
        </is>
      </c>
      <c r="V2068"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69">
      <c r="A2069" t="inlineStr">
        <is>
          <t>T-1873</t>
        </is>
      </c>
      <c r="B2069" t="inlineStr">
        <is>
          <t>Vadodara Gas Limited</t>
        </is>
      </c>
      <c r="C2069" t="inlineStr">
        <is>
          <t>Vadodara Gas Limited</t>
        </is>
      </c>
      <c r="D2069" t="inlineStr">
        <is>
          <t>Tender No.: VGL/CO/C</t>
        </is>
      </c>
      <c r="E2069" t="inlineStr">
        <is>
          <t>24/05/2024</t>
        </is>
      </c>
      <c r="F2069" t="inlineStr">
        <is>
          <t>Awarded</t>
        </is>
      </c>
      <c r="G2069" t="inlineStr">
        <is>
          <t>Gas-related / review</t>
        </is>
      </c>
      <c r="H2069" t="inlineStr">
        <is>
          <t>Notice Inviting Tender for the
                “Purchase of 02 Nos. Variable Inlet Pressure (VIP) 600 SCMH Motor Driven Compressor Package with
                05 Year AMC vide Tender No.: VGL/CO/C&amp;P-CNG/BD202404P127 Dated 24/05/2024 and Tender ID: 71557</t>
        </is>
      </c>
      <c r="K2069" t="inlineStr">
        <is>
          <t>s for the Tender of</t>
        </is>
      </c>
      <c r="L2069" t="inlineStr">
        <is>
          <t>Unknown</t>
        </is>
      </c>
      <c r="T2069" t="inlineStr">
        <is>
          <t>https://www.vgl.co.in/wp-content/uploads/2025/pdf/NIH-P127.pdf</t>
        </is>
      </c>
      <c r="U2069" t="inlineStr">
        <is>
          <t>No</t>
        </is>
      </c>
      <c r="V2069" t="inlineStr">
        <is>
          <t>Bot tarafindan tespit edildi (2026-07-01) | Bot enrich; date=2026-07-01; type=pdf; score=230; Bot tespit/zenginlestirme (2026-07-01); meta:score=70;priority=High;source_type=html_link;closing_date=14/06/2024;equipment=Gas-related / review;reasons=equipment:Gas-related / review,document source,quantity signal,tender reference signal</t>
        </is>
      </c>
    </row>
    <row r="2070">
      <c r="A2070" t="inlineStr">
        <is>
          <t>T-1874</t>
        </is>
      </c>
      <c r="B2070" t="inlineStr">
        <is>
          <t>Vadodara Gas Limited</t>
        </is>
      </c>
      <c r="C2070" t="inlineStr">
        <is>
          <t>Vadodara Gas Limited</t>
        </is>
      </c>
      <c r="D2070" t="inlineStr">
        <is>
          <t>Tender No.: VGL/CO/C</t>
        </is>
      </c>
      <c r="E2070" t="inlineStr">
        <is>
          <t>24/05/2024</t>
        </is>
      </c>
      <c r="F2070" t="inlineStr">
        <is>
          <t>Awarded</t>
        </is>
      </c>
      <c r="G2070" t="inlineStr">
        <is>
          <t>DRS</t>
        </is>
      </c>
      <c r="H2070" t="inlineStr">
        <is>
          <t>Notice Inviting Tender for the “Procurement of District Regulating Skid (DRS) on
                ARC Basis for Period of Two (02) Years for Vadodara Gas Limited (GA) vide Tender No.:
                VGL/CO/C&amp;P-PNG/BD202405P141 Dated 24/05/2024 and Tender ID: 71492</t>
        </is>
      </c>
      <c r="K2070" t="inlineStr">
        <is>
          <t>s for the Tender of</t>
        </is>
      </c>
      <c r="L2070" t="inlineStr">
        <is>
          <t>Unknown</t>
        </is>
      </c>
      <c r="M2070" t="n">
        <v>11716515</v>
      </c>
      <c r="T2070" t="inlineStr">
        <is>
          <t>https://www.vgl.co.in/wp-content/uploads/2025/pdf/NIT-DRS.pdf</t>
        </is>
      </c>
      <c r="U2070" t="inlineStr">
        <is>
          <t>No</t>
        </is>
      </c>
      <c r="V2070" t="inlineStr">
        <is>
          <t>Bot tarafindan tespit edildi (2026-07-01) | Bot enrich; date=2026-07-01; type=pdf; score=330; Bot tespit/zenginlestirme (2026-07-01); meta:score=95;priority=High;source_type=html_link;closing_date=06/05/2024;equipment=Regulating station;reasons=equipment:Regulating station,station/skid keyword,document source,tender reference signal; Bot clean extraction (2026-07-01); meta:score=100;priority=High;source_type=html_link;closing_date=06/05/2024;equipment=Regulating / metering station;quality_status=market_target;market_relevance=High;document_type=tender;unit_price_inr=;amount_label=currency_near_total;matched_terms=Regulating / metering station,Skid / gas train;reject_reasons=civil/electrical only;scope=market_intelligence_only;excluded_scope=no_bid_or_offer_submission_automation</t>
        </is>
      </c>
    </row>
    <row r="2071">
      <c r="A2071" t="inlineStr">
        <is>
          <t>T-1875</t>
        </is>
      </c>
      <c r="B2071" t="inlineStr">
        <is>
          <t>Vadodara Gas Limited</t>
        </is>
      </c>
      <c r="C2071" t="inlineStr">
        <is>
          <t>Vadodara Gas Limited</t>
        </is>
      </c>
      <c r="D2071" t="inlineStr">
        <is>
          <t>Tender No.: VGL/CO/C</t>
        </is>
      </c>
      <c r="E2071" t="inlineStr">
        <is>
          <t>23/05/2024</t>
        </is>
      </c>
      <c r="F2071" t="inlineStr">
        <is>
          <t>Awarded</t>
        </is>
      </c>
      <c r="G2071" t="inlineStr">
        <is>
          <t>Gas-related / review</t>
        </is>
      </c>
      <c r="H2071" t="inlineStr">
        <is>
          <t>Notice Inviting Tender for the
                “Procurement of 125 Mm MDPE Pipe on ARC Basis for Period of 02 Years vide Tender No.:
                VGL/CO/C&amp;P-PNG/BD202405P142 Dated 23/05/2024 and Tender ID: 71443</t>
        </is>
      </c>
      <c r="K2071" t="inlineStr">
        <is>
          <t>Not found</t>
        </is>
      </c>
      <c r="L2071" t="inlineStr">
        <is>
          <t>Unknown</t>
        </is>
      </c>
      <c r="T2071" t="inlineStr">
        <is>
          <t>https://www.vgl.co.in/wp-content/uploads/2025/pdf/NIT-MDPE-P142.pdf</t>
        </is>
      </c>
      <c r="U2071" t="inlineStr">
        <is>
          <t>No</t>
        </is>
      </c>
      <c r="V2071"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72">
      <c r="A2072" t="inlineStr">
        <is>
          <t>T-1876</t>
        </is>
      </c>
      <c r="B2072" t="inlineStr">
        <is>
          <t>Vadodara Gas Limited</t>
        </is>
      </c>
      <c r="C2072" t="inlineStr">
        <is>
          <t>Vadodara Gas Limited</t>
        </is>
      </c>
      <c r="D2072" t="inlineStr">
        <is>
          <t>Tender No.: VGL/CO/C</t>
        </is>
      </c>
      <c r="E2072" t="inlineStr">
        <is>
          <t>23/05/2024</t>
        </is>
      </c>
      <c r="F2072" t="inlineStr">
        <is>
          <t>Awarded</t>
        </is>
      </c>
      <c r="G2072" t="inlineStr">
        <is>
          <t>Gas-related / review</t>
        </is>
      </c>
      <c r="H2072" t="inlineStr">
        <is>
          <t>Notice Inviting Tender for the
                “Procurement of 90 Mm MDPE Pipe on ARC Basis for Period of 02 Years vide Tender No.:
                VGL/CO/C&amp;P-PNG/BD202405P143 Dated 23/05/2024 and Tender ID: 71440</t>
        </is>
      </c>
      <c r="K2072" t="inlineStr">
        <is>
          <t>Not found</t>
        </is>
      </c>
      <c r="L2072" t="inlineStr">
        <is>
          <t>Unknown</t>
        </is>
      </c>
      <c r="T2072" t="inlineStr">
        <is>
          <t>https://www.vgl.co.in/wp-content/uploads/2025/pdf/NIT-90mm.pdf</t>
        </is>
      </c>
      <c r="U2072" t="inlineStr">
        <is>
          <t>No</t>
        </is>
      </c>
      <c r="V2072"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73">
      <c r="A2073" t="inlineStr">
        <is>
          <t>T-1877</t>
        </is>
      </c>
      <c r="B2073" t="inlineStr">
        <is>
          <t>Vadodara Gas Limited</t>
        </is>
      </c>
      <c r="C2073" t="inlineStr">
        <is>
          <t>Vadodara Gas Limited</t>
        </is>
      </c>
      <c r="D2073" t="inlineStr">
        <is>
          <t>Tender No.: VGL/CO/C</t>
        </is>
      </c>
      <c r="E2073" t="inlineStr">
        <is>
          <t>18/05/2024</t>
        </is>
      </c>
      <c r="F2073" t="inlineStr">
        <is>
          <t>Awarded</t>
        </is>
      </c>
      <c r="G2073" t="inlineStr">
        <is>
          <t>Gas-related / review</t>
        </is>
      </c>
      <c r="H2073" t="inlineStr">
        <is>
          <t>Notice Inviting Tender for
                the “Procurement of Rubber Hose for D-PNG Connection on ARC for a Period of 01 Year vide Tender
                No.: VGL/CO/C&amp;P-PNG/BD202402P110_RI-IV Dated 18/05/2024 and Tender ID: 71035</t>
        </is>
      </c>
      <c r="K2073" t="inlineStr">
        <is>
          <t>Not found</t>
        </is>
      </c>
      <c r="L2073" t="inlineStr">
        <is>
          <t>Unknown</t>
        </is>
      </c>
      <c r="T2073" t="inlineStr">
        <is>
          <t>https://www.vgl.co.in/wp-content/uploads/2025/pdf/Tender-ID-71035.pdf</t>
        </is>
      </c>
      <c r="U2073" t="inlineStr">
        <is>
          <t>No</t>
        </is>
      </c>
      <c r="V2073"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74">
      <c r="A2074" t="inlineStr">
        <is>
          <t>T-1878</t>
        </is>
      </c>
      <c r="B2074" t="inlineStr">
        <is>
          <t>Vadodara Gas Limited</t>
        </is>
      </c>
      <c r="C2074" t="inlineStr">
        <is>
          <t>Vadodara Gas Limited</t>
        </is>
      </c>
      <c r="D2074" t="inlineStr">
        <is>
          <t>Bidders</t>
        </is>
      </c>
      <c r="E2074" t="inlineStr">
        <is>
          <t>04/05/2024</t>
        </is>
      </c>
      <c r="F2074" t="inlineStr">
        <is>
          <t>Awarded</t>
        </is>
      </c>
      <c r="G2074" t="inlineStr">
        <is>
          <t>Gas-related / review</t>
        </is>
      </c>
      <c r="H2074" t="inlineStr">
        <is>
          <t>Replies to Bidders
                Queries for the Tender of Hiring of Services for Laying MDPE Pipeline Network at Manjusar GIDC Vide
                Tender No.: VGL/CO/C&amp;P-PNG/BD2023010S080_RI Dated 04/05/2024 &amp; Tender ID: 70212</t>
        </is>
      </c>
      <c r="K2074" t="inlineStr">
        <is>
          <t>Not found</t>
        </is>
      </c>
      <c r="L2074" t="inlineStr">
        <is>
          <t>Unknown</t>
        </is>
      </c>
      <c r="T2074" t="inlineStr">
        <is>
          <t>https://www.vgl.co.in/wp-content/uploads/2025/pdf/Replies-to-Bidders-12.pdf</t>
        </is>
      </c>
      <c r="U2074" t="inlineStr">
        <is>
          <t>No</t>
        </is>
      </c>
      <c r="V2074"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75">
      <c r="A2075" t="inlineStr">
        <is>
          <t>T-1879</t>
        </is>
      </c>
      <c r="B2075" t="inlineStr">
        <is>
          <t>Vadodara Gas Limited</t>
        </is>
      </c>
      <c r="C2075" t="inlineStr">
        <is>
          <t>Vadodara Gas Limited</t>
        </is>
      </c>
      <c r="D2075" t="inlineStr">
        <is>
          <t>Bidders</t>
        </is>
      </c>
      <c r="E2075" t="inlineStr">
        <is>
          <t>04/05/2024</t>
        </is>
      </c>
      <c r="F2075" t="inlineStr">
        <is>
          <t>Awarded</t>
        </is>
      </c>
      <c r="G2075" t="inlineStr">
        <is>
          <t>Gas-related / review</t>
        </is>
      </c>
      <c r="H2075" t="inlineStr">
        <is>
          <t>Replies to Bidders
                Queries for the Tender of Hiring of Services for Laying MDPE Pipeline Network at Nandesari GIDC Vide
                Tender No.: VGL/CO/C&amp;P-PNG/BD2023010S081_RI Dated 04/05/2024 &amp; Tender ID: 70207</t>
        </is>
      </c>
      <c r="K2075" t="inlineStr">
        <is>
          <t>Not found</t>
        </is>
      </c>
      <c r="L2075" t="inlineStr">
        <is>
          <t>Unknown</t>
        </is>
      </c>
      <c r="T2075" t="inlineStr">
        <is>
          <t>https://www.vgl.co.in/wp-content/uploads/2025/pdf/Replies-to-Bidders-7.pdf</t>
        </is>
      </c>
      <c r="U2075" t="inlineStr">
        <is>
          <t>No</t>
        </is>
      </c>
      <c r="V2075"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76">
      <c r="A2076" t="inlineStr">
        <is>
          <t>T-1880</t>
        </is>
      </c>
      <c r="B2076" t="inlineStr">
        <is>
          <t>Vadodara Gas Limited</t>
        </is>
      </c>
      <c r="C2076" t="inlineStr">
        <is>
          <t>Vadodara Gas Limited</t>
        </is>
      </c>
      <c r="D2076" t="inlineStr">
        <is>
          <t>Bidders</t>
        </is>
      </c>
      <c r="E2076" t="inlineStr">
        <is>
          <t>27/04/2024</t>
        </is>
      </c>
      <c r="F2076" t="inlineStr">
        <is>
          <t>Awarded</t>
        </is>
      </c>
      <c r="G2076" t="inlineStr">
        <is>
          <t>Gas-related / review</t>
        </is>
      </c>
      <c r="H2076" t="inlineStr">
        <is>
          <t>Replies to Bidders Queries for
                the Tender of Procurement of 32mm &amp; 63mm MDPE Pipe on ARC Basis for a Period of 02 Years Vide Tender
                No.: VGL/CO/C&amp;P-PNG/BD202404P135 Dated 27/04/2024 &amp; Tender ID: 69631</t>
        </is>
      </c>
      <c r="K2076" t="inlineStr">
        <is>
          <t>Not found</t>
        </is>
      </c>
      <c r="L2076" t="inlineStr">
        <is>
          <t>Unknown</t>
        </is>
      </c>
      <c r="T2076" t="inlineStr">
        <is>
          <t>https://www.vgl.co.in/wp-content/uploads/2025/pdf/Replies-P135.pdf</t>
        </is>
      </c>
      <c r="U2076" t="inlineStr">
        <is>
          <t>No</t>
        </is>
      </c>
      <c r="V2076"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77">
      <c r="A2077" t="inlineStr">
        <is>
          <t>T-1881</t>
        </is>
      </c>
      <c r="B2077" t="inlineStr">
        <is>
          <t>Vadodara Gas Limited</t>
        </is>
      </c>
      <c r="C2077" t="inlineStr">
        <is>
          <t>Vadodara Gas Limited</t>
        </is>
      </c>
      <c r="D2077" t="inlineStr">
        <is>
          <t>Tender No.: VGL/CO/C</t>
        </is>
      </c>
      <c r="E2077" t="inlineStr">
        <is>
          <t>08/05/2024</t>
        </is>
      </c>
      <c r="F2077" t="inlineStr">
        <is>
          <t>Awarded</t>
        </is>
      </c>
      <c r="G2077" t="inlineStr">
        <is>
          <t>Gas-related / review</t>
        </is>
      </c>
      <c r="H2077" t="inlineStr">
        <is>
          <t>Notice Inviting Tender for the
                “Transportation of Natural Gas in Compressed form for VGL CNG Mother Station to Daughter Booster
                Station through 8500 WL or above Capacity Mobile Cascades for a Period of 36 Months vide Tender No.:
                VGL/CO/C&amp;P-CNG/BD202405S139 Dated 08/05/2024 and Tender ID: 70332</t>
        </is>
      </c>
      <c r="K2077" t="inlineStr">
        <is>
          <t>Not found</t>
        </is>
      </c>
      <c r="L2077" t="inlineStr">
        <is>
          <t>Unknown</t>
        </is>
      </c>
      <c r="T2077" t="inlineStr">
        <is>
          <t>https://www.vgl.co.in/wp-content/uploads/2025/pdf/NIT-8500-WL.pdf</t>
        </is>
      </c>
      <c r="U2077" t="inlineStr">
        <is>
          <t>No</t>
        </is>
      </c>
      <c r="V2077"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78">
      <c r="A2078" t="inlineStr">
        <is>
          <t>T-1882</t>
        </is>
      </c>
      <c r="B2078" t="inlineStr">
        <is>
          <t>Vadodara Gas Limited</t>
        </is>
      </c>
      <c r="C2078" t="inlineStr">
        <is>
          <t>Vadodara Gas Limited</t>
        </is>
      </c>
      <c r="D2078" t="inlineStr">
        <is>
          <t>Tender No.: VGL/CO/C</t>
        </is>
      </c>
      <c r="E2078" t="inlineStr">
        <is>
          <t>08/05/2024</t>
        </is>
      </c>
      <c r="F2078" t="inlineStr">
        <is>
          <t>Awarded</t>
        </is>
      </c>
      <c r="G2078" t="inlineStr">
        <is>
          <t>Gas-related / review</t>
        </is>
      </c>
      <c r="H2078" t="inlineStr">
        <is>
          <t>Notice Inviting Tender for the
                “Composite Electrical Works (Supply, Laying, Installation, Testing, Termination and Commissioning,
                Etc.) at VGL’s Dashrath CNG Mother Station, Vadodara vide Tender No.:
                VGL/CO/C&amp;P-CNG/BD202404S138 Dated 08/05/2024 and Tender ID: 70313</t>
        </is>
      </c>
      <c r="K2078" t="inlineStr">
        <is>
          <t>Not found</t>
        </is>
      </c>
      <c r="L2078" t="inlineStr">
        <is>
          <t>Unknown</t>
        </is>
      </c>
      <c r="T2078" t="inlineStr">
        <is>
          <t>https://www.vgl.co.in/wp-content/uploads/2025/pdf/NIT-Composite.pdf</t>
        </is>
      </c>
      <c r="U2078" t="inlineStr">
        <is>
          <t>No</t>
        </is>
      </c>
      <c r="V2078"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79">
      <c r="A2079" t="inlineStr">
        <is>
          <t>T-1883</t>
        </is>
      </c>
      <c r="B2079" t="inlineStr">
        <is>
          <t>Vadodara Gas Limited</t>
        </is>
      </c>
      <c r="C2079" t="inlineStr">
        <is>
          <t>Vadodara Gas Limited</t>
        </is>
      </c>
      <c r="D2079" t="inlineStr">
        <is>
          <t>Tender No.: VGL/CO/C</t>
        </is>
      </c>
      <c r="E2079" t="inlineStr">
        <is>
          <t>04/05/2024</t>
        </is>
      </c>
      <c r="F2079" t="inlineStr">
        <is>
          <t>Awarded</t>
        </is>
      </c>
      <c r="G2079" t="inlineStr">
        <is>
          <t>Gas-related / review</t>
        </is>
      </c>
      <c r="H2079" t="inlineStr">
        <is>
          <t>Notice
                Inviting Tender for the “Hiring of Services for Laying MDPE Pipeline Network at Manjusar GIDC vide
                Tender No.: VGL/CO/C&amp;P-PNG/BD2023010S080_RI Dated 04/05/2024 and Tender ID: 70212</t>
        </is>
      </c>
      <c r="K2079" t="inlineStr">
        <is>
          <t>Not found</t>
        </is>
      </c>
      <c r="L2079" t="inlineStr">
        <is>
          <t>Unknown</t>
        </is>
      </c>
      <c r="T2079" t="inlineStr">
        <is>
          <t>https://www.vgl.co.in/wp-content/uploads/2025/pdf/NIT-MDPE-Laying-Manjusar-S080-RI.pdf</t>
        </is>
      </c>
      <c r="U2079" t="inlineStr">
        <is>
          <t>No</t>
        </is>
      </c>
      <c r="V2079"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80">
      <c r="A2080" t="inlineStr">
        <is>
          <t>T-1884</t>
        </is>
      </c>
      <c r="B2080" t="inlineStr">
        <is>
          <t>Vadodara Gas Limited</t>
        </is>
      </c>
      <c r="C2080" t="inlineStr">
        <is>
          <t>Vadodara Gas Limited</t>
        </is>
      </c>
      <c r="D2080" t="inlineStr">
        <is>
          <t>Tender No.: VGL/CO/C</t>
        </is>
      </c>
      <c r="E2080" t="inlineStr">
        <is>
          <t>04/05/2024</t>
        </is>
      </c>
      <c r="F2080" t="inlineStr">
        <is>
          <t>Awarded</t>
        </is>
      </c>
      <c r="G2080" t="inlineStr">
        <is>
          <t>Gas-related / review</t>
        </is>
      </c>
      <c r="H2080" t="inlineStr">
        <is>
          <t>Notice
                Inviting Tender for the “Hiring of Services for Laying MDPE Pipeline Network at Nandesari GIDC
                vide Tender No.: VGL/CO/C&amp;P-PNG/BD2023010S081_RI Dated 04/05/2024 and Tender ID: 70207</t>
        </is>
      </c>
      <c r="K2080" t="inlineStr">
        <is>
          <t>Not found</t>
        </is>
      </c>
      <c r="L2080" t="inlineStr">
        <is>
          <t>Unknown</t>
        </is>
      </c>
      <c r="T2080" t="inlineStr">
        <is>
          <t>https://www.vgl.co.in/wp-content/uploads/2025/pdf/NIT-MDPE-Laying-Nandesari-S081-RI.pdf</t>
        </is>
      </c>
      <c r="U2080" t="inlineStr">
        <is>
          <t>No</t>
        </is>
      </c>
      <c r="V2080"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81">
      <c r="A2081" t="inlineStr">
        <is>
          <t>T-1885</t>
        </is>
      </c>
      <c r="B2081" t="inlineStr">
        <is>
          <t>Vadodara Gas Limited</t>
        </is>
      </c>
      <c r="C2081" t="inlineStr">
        <is>
          <t>Vadodara Gas Limited</t>
        </is>
      </c>
      <c r="D2081" t="inlineStr">
        <is>
          <t>Tender No.: VGL/CO/C</t>
        </is>
      </c>
      <c r="E2081" t="inlineStr">
        <is>
          <t>27/04/2024</t>
        </is>
      </c>
      <c r="F2081" t="inlineStr">
        <is>
          <t>Awarded</t>
        </is>
      </c>
      <c r="G2081" t="inlineStr">
        <is>
          <t>Gas-related / review</t>
        </is>
      </c>
      <c r="H2081" t="inlineStr">
        <is>
          <t>Notice Inviting Tender
                for the “Procurement of 32mm &amp; 63mm MDPE Pipe on ARC Basis for a Period of 02 Years vide
                Tender No.: VGL/CO/C&amp;P-PNG/BD202404P135 Dated 27/04/2024 and Tender ID: 69631</t>
        </is>
      </c>
      <c r="K2081" t="inlineStr">
        <is>
          <t>Not found</t>
        </is>
      </c>
      <c r="L2081" t="inlineStr">
        <is>
          <t>Unknown</t>
        </is>
      </c>
      <c r="T2081" t="inlineStr">
        <is>
          <t>https://www.vgl.co.in/wp-content/uploads/2025/pdf/NIT-MDPE-Pipe-P135.pdf</t>
        </is>
      </c>
      <c r="U2081" t="inlineStr">
        <is>
          <t>No</t>
        </is>
      </c>
      <c r="V2081"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82">
      <c r="A2082" t="inlineStr">
        <is>
          <t>T-1886</t>
        </is>
      </c>
      <c r="B2082" t="inlineStr">
        <is>
          <t>Vadodara Gas Limited</t>
        </is>
      </c>
      <c r="C2082" t="inlineStr">
        <is>
          <t>Vadodara Gas Limited</t>
        </is>
      </c>
      <c r="D2082" t="inlineStr">
        <is>
          <t>Tender No.: VGL/CO/C</t>
        </is>
      </c>
      <c r="E2082" t="inlineStr">
        <is>
          <t>27/04/2024</t>
        </is>
      </c>
      <c r="F2082" t="inlineStr">
        <is>
          <t>Awarded</t>
        </is>
      </c>
      <c r="G2082" t="inlineStr">
        <is>
          <t>Gas-related / review</t>
        </is>
      </c>
      <c r="H2082" t="inlineStr">
        <is>
          <t>Notice Inviting Tender
                for the “Procurement of Rubber Hose for D-PNG Connection on ARC for a Period of 01 Year vide
                Tender No.: VGL/CO/C&amp;P-PNG/BD202402P110_RI-II Dated 27/04/2024 and Tender ID: 69630</t>
        </is>
      </c>
      <c r="K2082" t="inlineStr">
        <is>
          <t>Not found</t>
        </is>
      </c>
      <c r="L2082" t="inlineStr">
        <is>
          <t>Unknown</t>
        </is>
      </c>
      <c r="T2082" t="inlineStr">
        <is>
          <t>https://www.vgl.co.in/wp-content/uploads/2025/pdf/NIT-Rubber-Hose-P110.pdf</t>
        </is>
      </c>
      <c r="U2082" t="inlineStr">
        <is>
          <t>No</t>
        </is>
      </c>
      <c r="V2082"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83">
      <c r="A2083" t="inlineStr">
        <is>
          <t>T-1887</t>
        </is>
      </c>
      <c r="B2083" t="inlineStr">
        <is>
          <t>Vadodara Gas Limited</t>
        </is>
      </c>
      <c r="C2083" t="inlineStr">
        <is>
          <t>Vadodara Gas Limited</t>
        </is>
      </c>
      <c r="D2083" t="inlineStr">
        <is>
          <t>Tender No.: VGL/CO/C</t>
        </is>
      </c>
      <c r="E2083" t="inlineStr">
        <is>
          <t>18/04/2024</t>
        </is>
      </c>
      <c r="F2083" t="inlineStr">
        <is>
          <t>Awarded</t>
        </is>
      </c>
      <c r="G2083" t="inlineStr">
        <is>
          <t>Gas-related / review</t>
        </is>
      </c>
      <c r="H2083" t="inlineStr">
        <is>
          <t>Notice Inviting
                Tender for the “Purchase of 13 Nos. Emerson Make Coriolis Mass Flow Meters for VGL CNG Stations
                vide Tender No.: VGL/CO/C&amp;P-CNG/BD202312P096_RI_V Dated 18/04/2024 and Tender ID: 68595</t>
        </is>
      </c>
      <c r="K2083" t="inlineStr">
        <is>
          <t>s for the Tender of</t>
        </is>
      </c>
      <c r="L2083" t="inlineStr">
        <is>
          <t>Unknown</t>
        </is>
      </c>
      <c r="T2083" t="inlineStr">
        <is>
          <t>https://www.vgl.co.in/wp-content/uploads/2025/pdf/NIT_Mass_Flow_Meter_RI_V.pdf</t>
        </is>
      </c>
      <c r="U2083" t="inlineStr">
        <is>
          <t>No</t>
        </is>
      </c>
      <c r="V2083" t="inlineStr">
        <is>
          <t>Bot tarafindan tespit edildi (2026-07-01) | Bot enrich; date=2026-07-01; type=pdf; score=230; Bot tespit/zenginlestirme (2026-07-01); meta:score=70;priority=High;source_type=html_link;closing_date=02/05/2024;equipment=Gas-related / review;reasons=equipment:Gas-related / review,document source,quantity signal,tender reference signal; Bot clean extraction (2026-07-01); meta:score=43;priority=Medium;source_type=html_link;closing_date=02/05/2024;equipment=Gas-related / review;quality_status=needs_review;market_relevance=Medium;document_type=loa;unit_price_inr=;amount_label=;matched_terms=gas_context;reject_reasons=;scope=market_intelligence_only;excluded_scope=no_bid_or_offer_submission_automation</t>
        </is>
      </c>
    </row>
    <row r="2084">
      <c r="A2084" t="inlineStr">
        <is>
          <t>T-1888</t>
        </is>
      </c>
      <c r="B2084" t="inlineStr">
        <is>
          <t>Vadodara Gas Limited</t>
        </is>
      </c>
      <c r="C2084" t="inlineStr">
        <is>
          <t>Vadodara Gas Limited</t>
        </is>
      </c>
      <c r="D2084" t="inlineStr">
        <is>
          <t>Tender No.: VGL/CO/C</t>
        </is>
      </c>
      <c r="E2084" t="inlineStr">
        <is>
          <t>08/04/2024</t>
        </is>
      </c>
      <c r="F2084" t="inlineStr">
        <is>
          <t>Awarded</t>
        </is>
      </c>
      <c r="G2084" t="inlineStr">
        <is>
          <t>Gas-related / review</t>
        </is>
      </c>
      <c r="H2084" t="inlineStr">
        <is>
          <t>Notice Inviting Tender
                for the “Hiring of Services for AMC of Fire Fighting Equipment with Consumables Spares at VGL,
                Vadodara for a Period of 36 Months vide Tender No.: VGL/CO/C&amp;P-CNG/BD202403S117_RI Dated 08/04/2024
                and Tender ID: 66805</t>
        </is>
      </c>
      <c r="K2084" t="inlineStr">
        <is>
          <t>Not found</t>
        </is>
      </c>
      <c r="L2084" t="inlineStr">
        <is>
          <t>Unknown</t>
        </is>
      </c>
      <c r="T2084" t="inlineStr">
        <is>
          <t>https://www.vgl.co.in/wp-content/uploads/2025/pdf/NIT_Fire_AMC_S117_RI.pdf</t>
        </is>
      </c>
      <c r="U2084" t="inlineStr">
        <is>
          <t>No</t>
        </is>
      </c>
      <c r="V2084"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85">
      <c r="A2085" t="inlineStr">
        <is>
          <t>T-1889</t>
        </is>
      </c>
      <c r="B2085" t="inlineStr">
        <is>
          <t>Vadodara Gas Limited</t>
        </is>
      </c>
      <c r="C2085" t="inlineStr">
        <is>
          <t>Vadodara Gas Limited</t>
        </is>
      </c>
      <c r="D2085" t="inlineStr">
        <is>
          <t>Bidders</t>
        </is>
      </c>
      <c r="E2085" t="inlineStr">
        <is>
          <t>18/01/2024</t>
        </is>
      </c>
      <c r="F2085" t="inlineStr">
        <is>
          <t>Awarded</t>
        </is>
      </c>
      <c r="G2085" t="inlineStr">
        <is>
          <t>Gas-related / review</t>
        </is>
      </c>
      <c r="H2085" t="inlineStr">
        <is>
          <t>Replies
                to Bidders Queries for the Tender of VGL/CO/C&amp;P-CNG/BD202401P102 Dated 18/01/2024 and Tender ID:
                616381</t>
        </is>
      </c>
      <c r="K2085" t="inlineStr">
        <is>
          <t>Not found</t>
        </is>
      </c>
      <c r="L2085" t="inlineStr">
        <is>
          <t>Unknown</t>
        </is>
      </c>
      <c r="T2085" t="inlineStr">
        <is>
          <t>https://www.vgl.co.in/wp-content/uploads/2025/pdf/Replies-to-Bidders-Query-Meter-Skid.pdf</t>
        </is>
      </c>
      <c r="U2085" t="inlineStr">
        <is>
          <t>No</t>
        </is>
      </c>
      <c r="V2085" t="inlineStr">
        <is>
          <t>Bot tarafindan tespit edildi (2026-07-01) | Bot enrich; date=2026-07-01; type=pdf; score=230; Bot tespit/zenginlestirme (2026-07-01); meta:score=35;priority=Low;source_type=html_link;closing_date=;equipment=Gas-related / review;reasons=equipment:Gas-related / review,document source</t>
        </is>
      </c>
    </row>
    <row r="2086">
      <c r="A2086" t="inlineStr">
        <is>
          <t>T-1890</t>
        </is>
      </c>
      <c r="B2086" t="inlineStr">
        <is>
          <t>Vadodara Gas Limited</t>
        </is>
      </c>
      <c r="C2086" t="inlineStr">
        <is>
          <t>Vadodara Gas Limited</t>
        </is>
      </c>
      <c r="D2086" t="inlineStr">
        <is>
          <t>Tender No.: VGL/CO/C</t>
        </is>
      </c>
      <c r="E2086" t="inlineStr">
        <is>
          <t>18/01/2024</t>
        </is>
      </c>
      <c r="F2086" t="inlineStr">
        <is>
          <t>Awarded</t>
        </is>
      </c>
      <c r="G2086" t="inlineStr">
        <is>
          <t>Gas-related / review</t>
        </is>
      </c>
      <c r="H2086" t="inlineStr">
        <is>
          <t>Notice Inviting Tender for
                the “Purchase of 04 Nos. Dual Filtration Along With Meter Skid for VGL CNG Online Stations under
                Full Dodo Model vide Tender No.: VGL/CO/C&amp;P-CNG/BD202401P102 Dated 18/01/2024 and Tender ID:
                616381</t>
        </is>
      </c>
      <c r="K2086" t="inlineStr">
        <is>
          <t>s for the Tender of</t>
        </is>
      </c>
      <c r="L2086" t="inlineStr">
        <is>
          <t>Unknown</t>
        </is>
      </c>
      <c r="T2086" t="inlineStr">
        <is>
          <t>https://www.vgl.co.in/wp-content/uploads/2025/pdf/NIT-Meter-Skid.pdf</t>
        </is>
      </c>
      <c r="U2086" t="inlineStr">
        <is>
          <t>No</t>
        </is>
      </c>
      <c r="V2086" t="inlineStr">
        <is>
          <t>Bot tarafindan tespit edildi (2026-07-01) | Bot enrich; date=2026-07-01; type=pdf; score=230; Bot tespit/zenginlestirme (2026-07-01); meta:score=70;priority=High;source_type=html_link;closing_date=03/02/2024;equipment=Gas-related / review;reasons=equipment:Gas-related / review,document source,quantity signal,tender reference signal; Bot clean extraction (2026-07-01); meta:score=43;priority=Medium;source_type=html_link;closing_date=03/02/2024;equipment=Gas-related / review;quality_status=needs_review;market_relevance=Medium;document_type=loa;unit_price_inr=;amount_label=;matched_terms=gas_context;reject_reasons=;scope=market_intelligence_only;excluded_scope=no_bid_or_offer_submission_automation</t>
        </is>
      </c>
    </row>
    <row r="2087">
      <c r="A2087" t="inlineStr">
        <is>
          <t>T-1891</t>
        </is>
      </c>
      <c r="B2087" t="inlineStr">
        <is>
          <t>Vadodara Gas Limited</t>
        </is>
      </c>
      <c r="C2087" t="inlineStr">
        <is>
          <t>Vadodara Gas Limited</t>
        </is>
      </c>
      <c r="D2087" t="inlineStr">
        <is>
          <t>Bidders</t>
        </is>
      </c>
      <c r="E2087" t="inlineStr">
        <is>
          <t>01/01/2024</t>
        </is>
      </c>
      <c r="F2087" t="inlineStr">
        <is>
          <t>Awarded</t>
        </is>
      </c>
      <c r="G2087" t="inlineStr">
        <is>
          <t>Gas-related / review</t>
        </is>
      </c>
      <c r="H2087" t="inlineStr">
        <is>
          <t>Replies to Bidders' Queries for PURCHASE OF CCTV SYSTEM FOR VGL CNG MOTHER STATIONS.
                Vide Tender No.: VGL/CO/C&amp;P-CNG/BD202312P097 Dated 01/01/2024 &amp; Tender ID: 616103</t>
        </is>
      </c>
      <c r="K2087" t="inlineStr">
        <is>
          <t>Not found</t>
        </is>
      </c>
      <c r="L2087" t="inlineStr">
        <is>
          <t>Unknown</t>
        </is>
      </c>
      <c r="T2087" t="inlineStr">
        <is>
          <t>https://www.vgl.co.in/wp-content/uploads/2025/pdf/Replies-to-Bidders-Queries-for-PURCHASE-OF-CCTV-SYSTEM-FOR-VGL-CNG-MOTHER-STATIONS.pdf</t>
        </is>
      </c>
      <c r="U2087" t="inlineStr">
        <is>
          <t>No</t>
        </is>
      </c>
      <c r="V2087"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88">
      <c r="A2088" t="inlineStr">
        <is>
          <t>T-1892</t>
        </is>
      </c>
      <c r="B2088" t="inlineStr">
        <is>
          <t>Vadodara Gas Limited</t>
        </is>
      </c>
      <c r="C2088" t="inlineStr">
        <is>
          <t>Vadodara Gas Limited</t>
        </is>
      </c>
      <c r="D2088" t="inlineStr">
        <is>
          <t>Bidders</t>
        </is>
      </c>
      <c r="E2088" t="inlineStr">
        <is>
          <t>07/12/2023</t>
        </is>
      </c>
      <c r="F2088" t="inlineStr">
        <is>
          <t>Awarded</t>
        </is>
      </c>
      <c r="G2088" t="inlineStr">
        <is>
          <t>Gas-related / review</t>
        </is>
      </c>
      <c r="H2088" t="inlineStr">
        <is>
          <t>Replies to Bidders' Queries for Hiring Of Services for Laying MDPE Pipeline Network At
                Nandesari GIDC Vide Tender No.: VGL/CO/C&amp;P-PNG/BD2023010S081 Dated 07/12/2023 &amp; Tender ID:
                615563</t>
        </is>
      </c>
      <c r="K2088" t="inlineStr">
        <is>
          <t>Not found</t>
        </is>
      </c>
      <c r="L2088" t="inlineStr">
        <is>
          <t>Unknown</t>
        </is>
      </c>
      <c r="T2088" t="inlineStr">
        <is>
          <t>https://www.vgl.co.in/wp-content/uploads/2025/pdf/Replies-to-Bidders-Queries-for-Hiring-Of-Services-for-Laying-MDPE-Pipeline-Network-At-Nandesari-GIDC.pdf</t>
        </is>
      </c>
      <c r="U2088" t="inlineStr">
        <is>
          <t>No</t>
        </is>
      </c>
      <c r="V2088"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89">
      <c r="A2089" t="inlineStr">
        <is>
          <t>T-1893</t>
        </is>
      </c>
      <c r="B2089" t="inlineStr">
        <is>
          <t>Vadodara Gas Limited</t>
        </is>
      </c>
      <c r="C2089" t="inlineStr">
        <is>
          <t>Vadodara Gas Limited</t>
        </is>
      </c>
      <c r="D2089" t="inlineStr">
        <is>
          <t>Bidders</t>
        </is>
      </c>
      <c r="E2089" t="inlineStr">
        <is>
          <t>19/12/2023</t>
        </is>
      </c>
      <c r="F2089" t="inlineStr">
        <is>
          <t>Awarded</t>
        </is>
      </c>
      <c r="G2089" t="inlineStr">
        <is>
          <t>Gas-related / review</t>
        </is>
      </c>
      <c r="H2089" t="inlineStr">
        <is>
          <t>Replies to Bidders' Queries for Hiring Of Services for Laying MDPE Pipeline Network At
                Manjusar GIDC Vide Tender No.: VGL/CO/C&amp;P-PNG/BD2023010S080 Dated 19/12/2023 &amp; Tender ID:
                615899.</t>
        </is>
      </c>
      <c r="K2089" t="inlineStr">
        <is>
          <t>Not found</t>
        </is>
      </c>
      <c r="L2089" t="inlineStr">
        <is>
          <t>Unknown</t>
        </is>
      </c>
      <c r="T2089" t="inlineStr">
        <is>
          <t>https://www.vgl.co.in/wp-content/uploads/2025/pdf/Replies-to-Bidders-Queries-for-Hiring-Of-Services-for-Laying-MDPE-Pipeline-Network-At-Manjusar-GIDC.pdf</t>
        </is>
      </c>
      <c r="U2089" t="inlineStr">
        <is>
          <t>No</t>
        </is>
      </c>
      <c r="V2089"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90">
      <c r="A2090" t="inlineStr">
        <is>
          <t>T-1894</t>
        </is>
      </c>
      <c r="B2090" t="inlineStr">
        <is>
          <t>Vadodara Gas Limited</t>
        </is>
      </c>
      <c r="C2090" t="inlineStr">
        <is>
          <t>Vadodara Gas Limited</t>
        </is>
      </c>
      <c r="D2090" t="inlineStr">
        <is>
          <t>Bidders</t>
        </is>
      </c>
      <c r="E2090" t="inlineStr">
        <is>
          <t>19/12/2023</t>
        </is>
      </c>
      <c r="F2090" t="inlineStr">
        <is>
          <t>Awarded</t>
        </is>
      </c>
      <c r="G2090" t="inlineStr">
        <is>
          <t>Gas-related / review</t>
        </is>
      </c>
      <c r="H2090" t="inlineStr">
        <is>
          <t>Replies to Bidders Queries - Final for the Purchase of 01 No. 1700 SCMH Motor Driven
                Compressor Package with 05 Year AMC for Upgradation of VGL CNG Mother Stations Vide Tender No.:
                VGL/CO/C&amp;P-CNG/BD202312P094 Dated 19/12/2023” and Tender No.: 615895</t>
        </is>
      </c>
      <c r="K2090" t="inlineStr">
        <is>
          <t>Not found</t>
        </is>
      </c>
      <c r="L2090" t="inlineStr">
        <is>
          <t>Unknown</t>
        </is>
      </c>
      <c r="T2090" t="inlineStr">
        <is>
          <t>https://www.vgl.co.in/wp-content/uploads/2025/pdf/Replies-to-Bidders-1700-SCMH-COMPRESSOR-MOTER-DRIVEN-Final.pdf</t>
        </is>
      </c>
      <c r="U2090" t="inlineStr">
        <is>
          <t>No</t>
        </is>
      </c>
      <c r="V2090"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91">
      <c r="A2091" t="inlineStr">
        <is>
          <t>T-1895</t>
        </is>
      </c>
      <c r="B2091" t="inlineStr">
        <is>
          <t>Vadodara Gas Limited</t>
        </is>
      </c>
      <c r="C2091" t="inlineStr">
        <is>
          <t>Vadodara Gas Limited</t>
        </is>
      </c>
      <c r="D2091" t="inlineStr">
        <is>
          <t>Bidders</t>
        </is>
      </c>
      <c r="E2091" t="inlineStr">
        <is>
          <t>02/01/2024</t>
        </is>
      </c>
      <c r="F2091" t="inlineStr">
        <is>
          <t>Awarded</t>
        </is>
      </c>
      <c r="G2091" t="inlineStr">
        <is>
          <t>Gas-related / review</t>
        </is>
      </c>
      <c r="H2091" t="inlineStr">
        <is>
          <t>Replies to Bidders Queries for the Purchase of 16 Nos. Dual ARM Car/ Auto Dispenser with
                05 year AMC For New CNG Station, Upgradation of Existing CNG Station ARC Basis vide Tender No.:
                VGL/CO/C&amp;P-CNG/BD202312P095 Dated 02/01/2024 and Tender ID: 616119</t>
        </is>
      </c>
      <c r="K2091" t="inlineStr">
        <is>
          <t>Not found</t>
        </is>
      </c>
      <c r="L2091" t="inlineStr">
        <is>
          <t>Unknown</t>
        </is>
      </c>
      <c r="T2091" t="inlineStr">
        <is>
          <t>https://www.vgl.co.in/wp-content/uploads/2025/pdf/Replies-to-Bidders-16-NOS-DUAL-ARM-CARAUTO-DISPENSER.pdf</t>
        </is>
      </c>
      <c r="U2091" t="inlineStr">
        <is>
          <t>No</t>
        </is>
      </c>
      <c r="V2091" t="inlineStr">
        <is>
          <t>Bot tarafindan tespit edildi (2026-07-01) | Bot enrich; date=2026-07-01; type=pdf; score=230; Bot tespit/zenginlestirme (2026-07-01); meta:score=70;priority=High;source_type=html_link;closing_date=None;equipment=Gas-related / review;reasons=equipment:Gas-related / review,document source,quantity signal,tender reference signal; Bot clean extraction (2026-10-05); meta:score=43;priority=Medium;source_type=html_link;closing_date=;equipment=Gas-related / review;quality_status=needs_review;market_relevance=Medium;document_type=unknown;unit_price_inr=;amount_label=;matched_terms=gas_context;reject_reasons=;scope=market_intelligence_only;excluded_scope=no_bid_or_offer_submission_automation</t>
        </is>
      </c>
    </row>
    <row r="2092">
      <c r="A2092" t="inlineStr">
        <is>
          <t>T-1896</t>
        </is>
      </c>
      <c r="B2092" t="inlineStr">
        <is>
          <t>Vadodara Gas Limited</t>
        </is>
      </c>
      <c r="C2092" t="inlineStr">
        <is>
          <t>Vadodara Gas Limited</t>
        </is>
      </c>
      <c r="D2092" t="inlineStr">
        <is>
          <t>Tender No.: VGL/CO/C</t>
        </is>
      </c>
      <c r="E2092" t="inlineStr">
        <is>
          <t>02/01/2024</t>
        </is>
      </c>
      <c r="F2092" t="inlineStr">
        <is>
          <t>Awarded</t>
        </is>
      </c>
      <c r="G2092" t="inlineStr">
        <is>
          <t>Gas-related / review</t>
        </is>
      </c>
      <c r="H2092" t="inlineStr">
        <is>
          <t>Notice Inviting Tender
                for the “Purchase of 16 Nos. Dual ARM Car/ Auto Dispenser with 05 year AMC For New CNG Station,
                Upgradation of Existing CNG Station ARC Basis vide Tender No.: VGL/CO/C&amp;P-CNG/BD202312P095 Dated
                02/01/2024 and Tender ID: 616119</t>
        </is>
      </c>
      <c r="K2092" t="inlineStr">
        <is>
          <t>s for the Tender of</t>
        </is>
      </c>
      <c r="L2092" t="inlineStr">
        <is>
          <t>Unknown</t>
        </is>
      </c>
      <c r="T2092" t="inlineStr">
        <is>
          <t>https://www.vgl.co.in/wp-content/uploads/2025/pdf/NIT-16-Nos-Dispenser.pdf</t>
        </is>
      </c>
      <c r="U2092" t="inlineStr">
        <is>
          <t>No</t>
        </is>
      </c>
      <c r="V2092" t="inlineStr">
        <is>
          <t>Bot tarafindan tespit edildi (2026-07-01) | Bot enrich; date=2026-07-01; type=pdf; score=230; Bot tespit/zenginlestirme (2026-07-01); meta:score=70;priority=High;source_type=html_link;closing_date=09/01/2024;equipment=Gas-related / review;reasons=equipment:Gas-related / review,document source,quantity signal,tender reference signal; Bot clean extraction (2026-09-28); meta:score=43;priority=Medium;source_type=html_link;closing_date=;equipment=Gas-related / review;quality_status=needs_review;market_relevance=Medium;document_type=tender;unit_price_inr=;amount_label=;matched_terms=gas_context;reject_reasons=;scope=market_intelligence_only;excluded_scope=no_bid_or_offer_submission_automation</t>
        </is>
      </c>
    </row>
    <row r="2093">
      <c r="A2093" t="inlineStr">
        <is>
          <t>T-1897</t>
        </is>
      </c>
      <c r="B2093" t="inlineStr">
        <is>
          <t>Vadodara Gas Limited</t>
        </is>
      </c>
      <c r="C2093" t="inlineStr">
        <is>
          <t>Vadodara Gas Limited</t>
        </is>
      </c>
      <c r="D2093" t="inlineStr">
        <is>
          <t>Tender No.: VGL/CO/C</t>
        </is>
      </c>
      <c r="E2093" t="inlineStr">
        <is>
          <t>02/01/2024</t>
        </is>
      </c>
      <c r="F2093" t="inlineStr">
        <is>
          <t>Awarded</t>
        </is>
      </c>
      <c r="G2093" t="inlineStr">
        <is>
          <t>Gas-related / review</t>
        </is>
      </c>
      <c r="H2093" t="inlineStr">
        <is>
          <t>Notice Inviting Tender
                for the “Purchase of 13 Nos. Emerson Make Coriolis Mass Flow Meters for VGL CNG Mother Stations
                vide Tender No.: VGL/CO/C&amp;P-CNG/BD202312P096 Dated 02/01/2024 and Tender ID: 616117</t>
        </is>
      </c>
      <c r="K2093" t="inlineStr">
        <is>
          <t>s for the Tender of</t>
        </is>
      </c>
      <c r="L2093" t="inlineStr">
        <is>
          <t>Unknown</t>
        </is>
      </c>
      <c r="T2093" t="inlineStr">
        <is>
          <t>https://www.vgl.co.in/wp-content/uploads/2025/pdf/NIT-Mass-Flow-Meter.pdf</t>
        </is>
      </c>
      <c r="U2093" t="inlineStr">
        <is>
          <t>No</t>
        </is>
      </c>
      <c r="V2093" t="inlineStr">
        <is>
          <t>Bot tarafindan tespit edildi (2026-07-01) | Bot enrich; date=2026-07-01; type=pdf; score=230; Bot tespit/zenginlestirme (2026-07-01); meta:score=70;priority=High;source_type=html_link;closing_date=19/01/2024;equipment=Gas-related / review;reasons=equipment:Gas-related / review,document source,quantity signal,tender reference signal; Bot clean extraction (2026-07-01); meta:score=43;priority=Medium;source_type=html_link;closing_date=19/01/2024;equipment=Gas-related / review;quality_status=needs_review;market_relevance=Medium;document_type=loa;unit_price_inr=;amount_label=;matched_terms=gas_context;reject_reasons=;scope=market_intelligence_only;excluded_scope=no_bid_or_offer_submission_automation</t>
        </is>
      </c>
    </row>
    <row r="2094">
      <c r="A2094" t="inlineStr">
        <is>
          <t>T-1898</t>
        </is>
      </c>
      <c r="B2094" t="inlineStr">
        <is>
          <t>Vadodara Gas Limited</t>
        </is>
      </c>
      <c r="C2094" t="inlineStr">
        <is>
          <t>Vadodara Gas Limited</t>
        </is>
      </c>
      <c r="D2094" t="inlineStr">
        <is>
          <t>Tender No.: VGL/CO/C</t>
        </is>
      </c>
      <c r="E2094" t="inlineStr">
        <is>
          <t>01/01/2024</t>
        </is>
      </c>
      <c r="F2094" t="inlineStr">
        <is>
          <t>Awarded</t>
        </is>
      </c>
      <c r="G2094" t="inlineStr">
        <is>
          <t>Gas-related / review</t>
        </is>
      </c>
      <c r="H2094" t="inlineStr">
        <is>
          <t>Notice Inviting Tender for the
                “Purchase of CCTV Surveillance System for VGL CNG Mother Stations vide Tender No.:
                VGL/CO/C&amp;P-CNG/BD202312P097 Dated 01/01/2024 and Tender ID: 616103</t>
        </is>
      </c>
      <c r="K2094" t="inlineStr">
        <is>
          <t>Not found</t>
        </is>
      </c>
      <c r="L2094" t="inlineStr">
        <is>
          <t>Unknown</t>
        </is>
      </c>
      <c r="T2094" t="inlineStr">
        <is>
          <t>https://www.vgl.co.in/wp-content/uploads/2025/pdf/NIT-CCTV.pdf</t>
        </is>
      </c>
      <c r="U2094" t="inlineStr">
        <is>
          <t>No</t>
        </is>
      </c>
      <c r="V2094"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095">
      <c r="A2095" t="inlineStr">
        <is>
          <t>T-1899</t>
        </is>
      </c>
      <c r="B2095" t="inlineStr">
        <is>
          <t>Vadodara Gas Limited</t>
        </is>
      </c>
      <c r="C2095" t="inlineStr">
        <is>
          <t>Vadodara Gas Limited</t>
        </is>
      </c>
      <c r="D2095" t="inlineStr">
        <is>
          <t>Tender</t>
        </is>
      </c>
      <c r="F2095" t="inlineStr">
        <is>
          <t>New Lead</t>
        </is>
      </c>
      <c r="G2095" t="inlineStr">
        <is>
          <t>Gas-related / review</t>
        </is>
      </c>
      <c r="H2095" t="inlineStr">
        <is>
          <t>Replies to Bidders Queries – Additional for the Tender of Purchase of 01 No. 1700
                SCMH Motor Driven Compressor Package with 05 Year AMC for Upgradation of VGL CNG Mother Stations vide
                Tender No.: Tender of Purchase of 01 No. 1700 SCMH Motor Driven Compressor Package with 05 Year AMC for
                Upgradation of VGL CNG Mother Stations</t>
        </is>
      </c>
      <c r="K2095" t="inlineStr">
        <is>
          <t>Not found</t>
        </is>
      </c>
      <c r="L2095" t="inlineStr">
        <is>
          <t>Unknown</t>
        </is>
      </c>
      <c r="T2095" t="inlineStr">
        <is>
          <t>https://www.vgl.co.in/wp-content/uploads/2025/pdf/Replies-to-Bidders-1700-SCMH-Additional.pdf</t>
        </is>
      </c>
      <c r="U2095" t="inlineStr">
        <is>
          <t>No</t>
        </is>
      </c>
      <c r="V2095" t="inlineStr">
        <is>
          <t>Bot tarafindan tespit edildi (2026-07-01); Bot tespit/zenginlestirme (2026-07-01); meta:score=50;priority=Medium;source_type=html_link;closing_date=;equipment=Gas-related / review;reasons=equipment:Gas-related / review,document source,tender reference signal</t>
        </is>
      </c>
    </row>
    <row r="2096">
      <c r="A2096" t="inlineStr">
        <is>
          <t>T-1900</t>
        </is>
      </c>
      <c r="B2096" t="inlineStr">
        <is>
          <t>Vadodara Gas Limited</t>
        </is>
      </c>
      <c r="C2096" t="inlineStr">
        <is>
          <t>Vadodara Gas Limited</t>
        </is>
      </c>
      <c r="D2096" t="inlineStr">
        <is>
          <t>Tender</t>
        </is>
      </c>
      <c r="F2096" t="inlineStr">
        <is>
          <t>New Lead</t>
        </is>
      </c>
      <c r="G2096" t="inlineStr">
        <is>
          <t>Gas-related / review</t>
        </is>
      </c>
      <c r="H2096" t="inlineStr">
        <is>
          <t>Replies to Bidders Queries for the Tender of Purchase of 01 No. 1700 SCMH Motor Driven
                Compressor Package with 05 Year AMC for Upgradation of VGL CNG Mother Stations vide Tender No.: Tender
                of Purchase of 01 No. 1700 SCMH Motor Driven Compressor Package with 05 Year AMC for Upgradation of VGL
                CNG Mother Stations</t>
        </is>
      </c>
      <c r="K2096" t="inlineStr">
        <is>
          <t>Not found</t>
        </is>
      </c>
      <c r="L2096" t="inlineStr">
        <is>
          <t>Unknown</t>
        </is>
      </c>
      <c r="T2096" t="inlineStr">
        <is>
          <t>https://www.vgl.co.in/wp-content/uploads/2025/pdf/Replies-to-Bidders-1700-SCMH-COMPRESSOR-MOTER-DRIVEN.pdf</t>
        </is>
      </c>
      <c r="U2096" t="inlineStr">
        <is>
          <t>No</t>
        </is>
      </c>
      <c r="V2096" t="inlineStr">
        <is>
          <t>Bot tarafindan tespit edildi (2026-07-01); Bot tespit/zenginlestirme (2026-07-01); meta:score=50;priority=Medium;source_type=html_link;closing_date=;equipment=Gas-related / review;reasons=equipment:Gas-related / review,document source,tender reference signal</t>
        </is>
      </c>
    </row>
    <row r="2097">
      <c r="A2097" t="inlineStr">
        <is>
          <t>T-1901</t>
        </is>
      </c>
      <c r="B2097" t="inlineStr">
        <is>
          <t>Vadodara Gas Limited</t>
        </is>
      </c>
      <c r="C2097" t="inlineStr">
        <is>
          <t>Vadodara Gas Limited</t>
        </is>
      </c>
      <c r="D2097" t="inlineStr">
        <is>
          <t>Bidders</t>
        </is>
      </c>
      <c r="E2097" t="inlineStr">
        <is>
          <t>07/12/2023</t>
        </is>
      </c>
      <c r="F2097" t="inlineStr">
        <is>
          <t>Awarded</t>
        </is>
      </c>
      <c r="G2097" t="inlineStr">
        <is>
          <t>Regulating station</t>
        </is>
      </c>
      <c r="H2097" t="inlineStr">
        <is>
          <t>Replies to Bidders Queries for the Tender of Purchase of 08 Nos. 3000 WL and 05 Nos. 4500 WL
            Capacity Cascade for the New CNG Station, Upgradation of Existing CNG Station &amp; LCVs vide Tender No.:
            VGL/CO/C&amp;P-CNG/BD202312P092 Dated 07/12/2023 and Tender ID: 615556</t>
        </is>
      </c>
      <c r="K2097" t="inlineStr">
        <is>
          <t>Not found</t>
        </is>
      </c>
      <c r="L2097" t="inlineStr">
        <is>
          <t>Unknown</t>
        </is>
      </c>
      <c r="T2097" t="inlineStr">
        <is>
          <t>https://www.vgl.co.in/wp-content/uploads/2025/pdf/Replies-to-Bidders-3000-WL-and-4500-WL-Cascade.pdf</t>
        </is>
      </c>
      <c r="U2097" t="inlineStr">
        <is>
          <t>No</t>
        </is>
      </c>
      <c r="V2097" t="inlineStr">
        <is>
          <t>Bot tarafindan tespit edildi (2026-07-01) | Bot enrich; date=2026-07-01; type=pdf; score=230; Bot tespit/zenginlestirme (2026-07-01); meta:score=70;priority=High;source_type=html_link;closing_date=None;equipment=Gas-related / review;reasons=equipment:Gas-related / review,document source,quantity signal,tender reference signal</t>
        </is>
      </c>
    </row>
    <row r="2098">
      <c r="A2098" t="inlineStr">
        <is>
          <t>T-1902</t>
        </is>
      </c>
      <c r="B2098" t="inlineStr">
        <is>
          <t>Vadodara Gas Limited</t>
        </is>
      </c>
      <c r="C2098" t="inlineStr">
        <is>
          <t>Vadodara Gas Limited</t>
        </is>
      </c>
      <c r="D2098" t="inlineStr">
        <is>
          <t>Bidders</t>
        </is>
      </c>
      <c r="E2098" t="inlineStr">
        <is>
          <t>25/11/2023</t>
        </is>
      </c>
      <c r="F2098" t="inlineStr">
        <is>
          <t>Awarded</t>
        </is>
      </c>
      <c r="G2098" t="inlineStr">
        <is>
          <t>Gas-related / review</t>
        </is>
      </c>
      <c r="H2098" t="inlineStr">
        <is>
          <t>Replies to Bidders Queries – Additional – II for the Tender of Procurement
                of 50,000 Nos. of 06 Mm Gas Tap on ARC for a Period of 01 Year vide Tender No.:
                VGL/CO/C&amp;P-PNG/BD202308P065 Dated 25/11/2023 and Tender ID: 615273</t>
        </is>
      </c>
      <c r="K2098" t="inlineStr">
        <is>
          <t>s can</t>
        </is>
      </c>
      <c r="L2098" t="inlineStr">
        <is>
          <t>Unknown</t>
        </is>
      </c>
      <c r="T2098" t="inlineStr">
        <is>
          <t>https://www.vgl.co.in/wp-content/uploads/2025/pdf/Replies-to-Bidders-Gas-Tap-P065-23-24-Additional-II.pdf</t>
        </is>
      </c>
      <c r="U2098" t="inlineStr">
        <is>
          <t>No</t>
        </is>
      </c>
      <c r="V2098" t="inlineStr">
        <is>
          <t>Bot tarafindan tespit edildi (2026-07-01) | Bot enrich; date=2026-07-01; type=pdf; score=230; Bot tespit/zenginlestirme (2026-07-01); meta:score=70;priority=High;source_type=html_link;closing_date=None;equipment=Gas-related / review;reasons=equipment:Gas-related / review,document source,quantity signal,tender reference signal; Bot clean extraction (2026-09-18); meta:score=43;priority=Medium;source_type=html_link;closing_date=;equipment=Gas-related / review;quality_status=needs_review;market_relevance=Medium;document_type=unknown;unit_price_inr=;amount_label=;matched_terms=gas_context;reject_reasons=;scope=market_intelligence_only;excluded_scope=no_bid_or_offer_submission_automation</t>
        </is>
      </c>
    </row>
    <row r="2099">
      <c r="A2099" t="inlineStr">
        <is>
          <t>T-1903</t>
        </is>
      </c>
      <c r="B2099" t="inlineStr">
        <is>
          <t>Vadodara Gas Limited</t>
        </is>
      </c>
      <c r="C2099" t="inlineStr">
        <is>
          <t>Vadodara Gas Limited</t>
        </is>
      </c>
      <c r="D2099" t="inlineStr">
        <is>
          <t>Tender No.: VGL/CO/C</t>
        </is>
      </c>
      <c r="E2099" t="inlineStr">
        <is>
          <t>19/12/2023</t>
        </is>
      </c>
      <c r="F2099" t="inlineStr">
        <is>
          <t>Awarded</t>
        </is>
      </c>
      <c r="G2099" t="inlineStr">
        <is>
          <t>Gas-related / review</t>
        </is>
      </c>
      <c r="H2099" t="inlineStr">
        <is>
          <t>Notice
                Inviting Tender for the “Hiring of Services for Laying MDPE Pipeline Network at Manjusar GIDC vide
                Tender No.: VGL/CO/C&amp;P-PNG/BD2023010S080 Dated 19/12/2023 and Tender ID: 615899</t>
        </is>
      </c>
      <c r="K2099" t="inlineStr">
        <is>
          <t>Not found</t>
        </is>
      </c>
      <c r="L2099" t="inlineStr">
        <is>
          <t>Unknown</t>
        </is>
      </c>
      <c r="T2099" t="inlineStr">
        <is>
          <t>https://www.vgl.co.in/wp-content/uploads/2025/pdf/2-NIT-MDPE-Laying-Manjusar-S080.pdf</t>
        </is>
      </c>
      <c r="U2099" t="inlineStr">
        <is>
          <t>No</t>
        </is>
      </c>
      <c r="V2099"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00">
      <c r="A2100" t="inlineStr">
        <is>
          <t>T-1904</t>
        </is>
      </c>
      <c r="B2100" t="inlineStr">
        <is>
          <t>Vadodara Gas Limited</t>
        </is>
      </c>
      <c r="C2100" t="inlineStr">
        <is>
          <t>Vadodara Gas Limited</t>
        </is>
      </c>
      <c r="D2100" t="inlineStr">
        <is>
          <t>Tender No.: VGL/CO/C</t>
        </is>
      </c>
      <c r="E2100" t="inlineStr">
        <is>
          <t>19/12/2023</t>
        </is>
      </c>
      <c r="F2100" t="inlineStr">
        <is>
          <t>Awarded</t>
        </is>
      </c>
      <c r="G2100" t="inlineStr">
        <is>
          <t>Gas-related / review</t>
        </is>
      </c>
      <c r="H2100" t="inlineStr">
        <is>
          <t>Notice Inviting
                Tender for the “Purchase of 01 No. 1700 SCMH Motor Driven Compressor Package with 05 Year AMC for
                Upgradation of VGL CNG Mother Stations vide Tender No.: VGL/CO/C&amp;P-CNG/BD202312P094 Dated 19/12/2023
                and Tender ID: 615895</t>
        </is>
      </c>
      <c r="K2100" t="inlineStr">
        <is>
          <t>Not found</t>
        </is>
      </c>
      <c r="L2100" t="inlineStr">
        <is>
          <t>Unknown</t>
        </is>
      </c>
      <c r="T2100" t="inlineStr">
        <is>
          <t>https://www.vgl.co.in/wp-content/uploads/2025/pdf/1-NIT-1700-SCMH-Compressor.pdf</t>
        </is>
      </c>
      <c r="U2100" t="inlineStr">
        <is>
          <t>No</t>
        </is>
      </c>
      <c r="V2100"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01">
      <c r="A2101" t="inlineStr">
        <is>
          <t>T-1905</t>
        </is>
      </c>
      <c r="B2101" t="inlineStr">
        <is>
          <t>Vadodara Gas Limited</t>
        </is>
      </c>
      <c r="C2101" t="inlineStr">
        <is>
          <t>Vadodara Gas Limited</t>
        </is>
      </c>
      <c r="D2101" t="inlineStr">
        <is>
          <t>Bidders</t>
        </is>
      </c>
      <c r="E2101" t="inlineStr">
        <is>
          <t>25/11/2023</t>
        </is>
      </c>
      <c r="F2101" t="inlineStr">
        <is>
          <t>Awarded</t>
        </is>
      </c>
      <c r="G2101" t="inlineStr">
        <is>
          <t>Gas-related / review</t>
        </is>
      </c>
      <c r="H2101" t="inlineStr">
        <is>
          <t>Replies to Bidders Queries – Additional for the Tender of Procurement of 50,000 Nos.
            of 06 Mm Gas Tap on ARC for a Period of 01 Year vide Tender No.: VGL/CO/C&amp;P-PNG/BD202308P065 Dated
            25/11/2023 and Tender ID: 615273</t>
        </is>
      </c>
      <c r="K2101" t="inlineStr">
        <is>
          <t>may quote on 62 mm 1 SEC V length ranging from 71-73 &amp; 79 valve &amp; its range or so</t>
        </is>
      </c>
      <c r="L2101" t="inlineStr">
        <is>
          <t>Unknown</t>
        </is>
      </c>
      <c r="T2101" t="inlineStr">
        <is>
          <t>https://www.vgl.co.in/wp-content/uploads/2025/pdf/Replies-to-Bidders-Gas-Tap-P065-23-24-Additional.pdf</t>
        </is>
      </c>
      <c r="U2101" t="inlineStr">
        <is>
          <t>No</t>
        </is>
      </c>
      <c r="V2101" t="inlineStr">
        <is>
          <t>Bot tarafindan tespit edildi (2026-07-01) | Bot enrich; date=2026-07-01; type=pdf; score=230; Bot tespit/zenginlestirme (2026-07-01); meta:score=70;priority=High;source_type=html_link;closing_date=None;equipment=Gas-related / review;reasons=equipment:Gas-related / review,document source,quantity signal,tender reference signal; Bot clean extraction (2026-07-01); meta:score=43;priority=Medium;source_type=html_link;closing_date=None;equipment=Gas-related / review;quality_status=needs_review;market_relevance=Medium;document_type=unknown;unit_price_inr=;amount_label=;matched_terms=gas_context;reject_reasons=;scope=market_intelligence_only;excluded_scope=no_bid_or_offer_submission_automation</t>
        </is>
      </c>
    </row>
    <row r="2102">
      <c r="A2102" t="inlineStr">
        <is>
          <t>T-1906</t>
        </is>
      </c>
      <c r="B2102" t="inlineStr">
        <is>
          <t>Vadodara Gas Limited</t>
        </is>
      </c>
      <c r="C2102" t="inlineStr">
        <is>
          <t>Vadodara Gas Limited</t>
        </is>
      </c>
      <c r="D2102" t="inlineStr">
        <is>
          <t>Tender No.: VGL/CO/C</t>
        </is>
      </c>
      <c r="E2102" t="inlineStr">
        <is>
          <t>07/12/2023</t>
        </is>
      </c>
      <c r="F2102" t="inlineStr">
        <is>
          <t>Awarded</t>
        </is>
      </c>
      <c r="G2102" t="inlineStr">
        <is>
          <t>Gas-related / review</t>
        </is>
      </c>
      <c r="H2102" t="inlineStr">
        <is>
          <t>Notice
                Inviting Tender for the “Hiring of Services for Laying MDPE Pipeline Network at Nandesari GIDC
                vide Tender No.: VGL/CO/C&amp;P-PNG/BD2023010S081 Dated 07/12/2023 and Tender ID: 615563</t>
        </is>
      </c>
      <c r="K2102" t="inlineStr">
        <is>
          <t>Not found</t>
        </is>
      </c>
      <c r="L2102" t="inlineStr">
        <is>
          <t>Unknown</t>
        </is>
      </c>
      <c r="T2102" t="inlineStr">
        <is>
          <t>https://www.vgl.co.in/wp-content/uploads/2025/pdf/3-NIT-MDPE-Laying-Nandesari-S081.pdf</t>
        </is>
      </c>
      <c r="U2102" t="inlineStr">
        <is>
          <t>No</t>
        </is>
      </c>
      <c r="V2102"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03">
      <c r="A2103" t="inlineStr">
        <is>
          <t>T-1907</t>
        </is>
      </c>
      <c r="B2103" t="inlineStr">
        <is>
          <t>Vadodara Gas Limited</t>
        </is>
      </c>
      <c r="C2103" t="inlineStr">
        <is>
          <t>Vadodara Gas Limited</t>
        </is>
      </c>
      <c r="D2103" t="inlineStr">
        <is>
          <t>Tender No.: VGL/CO/C</t>
        </is>
      </c>
      <c r="E2103" t="inlineStr">
        <is>
          <t>07/12/2023</t>
        </is>
      </c>
      <c r="F2103" t="inlineStr">
        <is>
          <t>Awarded</t>
        </is>
      </c>
      <c r="G2103" t="inlineStr">
        <is>
          <t>CGS</t>
        </is>
      </c>
      <c r="H2103" t="inlineStr">
        <is>
          <t>Notice Inviting Tender for the “Hiring of Service for Civil Construction Work at
                Amaliyara CGS Station vide Tender No.: VGL/CO/C&amp;P-PNG/BD202311S091 Dated 07/12/2023 and Tender ID:
                615560</t>
        </is>
      </c>
      <c r="K2103" t="inlineStr">
        <is>
          <t>s for the Tender of</t>
        </is>
      </c>
      <c r="L2103" t="inlineStr">
        <is>
          <t>Unknown</t>
        </is>
      </c>
      <c r="M2103" t="n">
        <v>1442662</v>
      </c>
      <c r="T2103" t="inlineStr">
        <is>
          <t>https://www.vgl.co.in/wp-content/uploads/2025/pdf/2-NIT-MDPE-Civil-Work-Amaliyara-CGS-S091.pdf</t>
        </is>
      </c>
      <c r="U2103" t="inlineStr">
        <is>
          <t>No</t>
        </is>
      </c>
      <c r="V2103" t="inlineStr">
        <is>
          <t>Bot tarafindan tespit edildi (2026-07-01) | Bot enrich; date=2026-07-01; type=pdf; score=330; Bot tespit/zenginlestirme (2026-07-01); meta:score=75;priority=High;source_type=html_link;closing_date=22/12/2023;equipment=Gas-related / review;reasons=equipment:Gas-related / review,station/skid keyword,document source,tender reference signal; Bot clean extraction (2026-07-01); meta:score=100;priority=High;source_type=html_link;closing_date=22/12/2023;equipment=Regulating / metering station;quality_status=market_target;market_relevance=High;document_type=loa;unit_price_inr=;amount_label=currency_near_total;matched_terms=Regulating / metering station;reject_reasons=;scope=market_intelligence_only;excluded_scope=no_bid_or_offer_submission_automation</t>
        </is>
      </c>
    </row>
    <row r="2104">
      <c r="A2104" t="inlineStr">
        <is>
          <t>T-1908</t>
        </is>
      </c>
      <c r="B2104" t="inlineStr">
        <is>
          <t>Vadodara Gas Limited</t>
        </is>
      </c>
      <c r="C2104" t="inlineStr">
        <is>
          <t>Vadodara Gas Limited</t>
        </is>
      </c>
      <c r="D2104" t="inlineStr">
        <is>
          <t>Tender No.: VGL/CO/C</t>
        </is>
      </c>
      <c r="E2104" t="inlineStr">
        <is>
          <t>07/12/2023</t>
        </is>
      </c>
      <c r="F2104" t="inlineStr">
        <is>
          <t>Awarded</t>
        </is>
      </c>
      <c r="G2104" t="inlineStr">
        <is>
          <t>Gas-related / review</t>
        </is>
      </c>
      <c r="H2104" t="inlineStr">
        <is>
          <t>Notice
                Inviting Tender for the “Purchase of 08 Nos. 3000 WL and 05 Nos. WL Capacity Cascade for the New
                CNG Station, Upgradation of Existing CNG Station &amp; LCVs vide Tender No.:
                VGL/CO/C&amp;P-CNG/BD202312P092 Dated 07/12/2023 and Tender ID: 615556</t>
        </is>
      </c>
      <c r="K2104" t="inlineStr">
        <is>
          <t>s for the Tender of</t>
        </is>
      </c>
      <c r="L2104" t="inlineStr">
        <is>
          <t>Unknown</t>
        </is>
      </c>
      <c r="T2104" t="inlineStr">
        <is>
          <t>https://www.vgl.co.in/wp-content/uploads/2025/pdf/1-NIT-3000-WL-4500-WL-Cascade.pdf</t>
        </is>
      </c>
      <c r="U2104" t="inlineStr">
        <is>
          <t>No</t>
        </is>
      </c>
      <c r="V2104" t="inlineStr">
        <is>
          <t>Bot tarafindan tespit edildi (2026-07-01) | Bot enrich; date=2026-07-01; type=pdf; score=230; Bot tespit/zenginlestirme (2026-07-01); meta:score=70;priority=High;source_type=html_link;closing_date=22/12/2023;equipment=Gas-related / review;reasons=equipment:Gas-related / review,document source,quantity signal,tender reference signal</t>
        </is>
      </c>
    </row>
    <row r="2105">
      <c r="A2105" t="inlineStr">
        <is>
          <t>T-1909</t>
        </is>
      </c>
      <c r="B2105" t="inlineStr">
        <is>
          <t>Vadodara Gas Limited</t>
        </is>
      </c>
      <c r="C2105" t="inlineStr">
        <is>
          <t>Vadodara Gas Limited</t>
        </is>
      </c>
      <c r="D2105" t="inlineStr">
        <is>
          <t>Bidders</t>
        </is>
      </c>
      <c r="E2105" t="inlineStr">
        <is>
          <t>25/11/2023</t>
        </is>
      </c>
      <c r="F2105" t="inlineStr">
        <is>
          <t>Awarded</t>
        </is>
      </c>
      <c r="G2105" t="inlineStr">
        <is>
          <t>Domestic regulator</t>
        </is>
      </c>
      <c r="H2105" t="inlineStr">
        <is>
          <t>Replies to Bidders Queries for the Tender of Procurement of 50,000 Nos. Of Domestic Gas
                Regulator on ARC for a Period of 01 Year vide Tender No.: VGL/CO/C&amp;P-PNG/BD202308P066 Dated
                25/11/2023 and Tender ID: 615272</t>
        </is>
      </c>
      <c r="K2105" t="inlineStr">
        <is>
          <t>Not found</t>
        </is>
      </c>
      <c r="L2105" t="inlineStr">
        <is>
          <t>Unknown</t>
        </is>
      </c>
      <c r="T2105" t="inlineStr">
        <is>
          <t>https://www.vgl.co.in/wp-content/uploads/2025/pdf/3-Replies-to-Bidders-Domestic-Regulator-P066-23-24.pdf</t>
        </is>
      </c>
      <c r="U2105" t="inlineStr">
        <is>
          <t>No</t>
        </is>
      </c>
      <c r="V2105" t="inlineStr">
        <is>
          <t>Bot tarafindan tespit edildi (2026-07-01) | Bot enrich; date=2026-07-01; type=pdf; score=230; Bot tespit/zenginlestirme (2026-07-01); meta:score=100;priority=High;source_type=html_link;closing_date=None;equipment=Domestic regulator;reasons=equipment:Domestic regulator,target regulator keyword,document source,quantity signal,tender reference signal; Bot clean extraction (2026-07-01); meta:score=100;priority=High;source_type=html_link;closing_date=None;equipment=Domestic gas regulator;quality_status=market_target;market_relevance=High;document_type=loa;unit_price_inr=;amount_label=;matched_terms=Domestic gas regulator;reject_reasons=;scope=market_intelligence_only;excluded_scope=no_bid_or_offer_submission_automation</t>
        </is>
      </c>
    </row>
    <row r="2106">
      <c r="A2106" t="inlineStr">
        <is>
          <t>T-1910</t>
        </is>
      </c>
      <c r="B2106" t="inlineStr">
        <is>
          <t>Vadodara Gas Limited</t>
        </is>
      </c>
      <c r="C2106" t="inlineStr">
        <is>
          <t>Vadodara Gas Limited</t>
        </is>
      </c>
      <c r="D2106" t="inlineStr">
        <is>
          <t>Bidders</t>
        </is>
      </c>
      <c r="E2106" t="inlineStr">
        <is>
          <t>25/11/2023</t>
        </is>
      </c>
      <c r="F2106" t="inlineStr">
        <is>
          <t>Awarded</t>
        </is>
      </c>
      <c r="G2106" t="inlineStr">
        <is>
          <t>Gas-related / review</t>
        </is>
      </c>
      <c r="H2106" t="inlineStr">
        <is>
          <t>Replies to Bidders Queries for the Tender of
                Procurement of 50,000 Nos. of 06 Mm Gas Tap on ARC for a Period of 01 Year vide Tender No.:
                VGL/CO/C&amp;P-PNG/BD202308P065 Dated 25/11/2023 and Tender ID: 615273</t>
        </is>
      </c>
      <c r="K2106" t="inlineStr">
        <is>
          <t>Not found</t>
        </is>
      </c>
      <c r="L2106" t="inlineStr">
        <is>
          <t>Unknown</t>
        </is>
      </c>
      <c r="T2106" t="inlineStr">
        <is>
          <t>https://www.vgl.co.in/wp-content/uploads/2025/pdf/    2-Replies-to-Bidders-Gas-Tap-P065-23-24.pdf</t>
        </is>
      </c>
      <c r="U2106" t="inlineStr">
        <is>
          <t>No</t>
        </is>
      </c>
      <c r="V2106" t="inlineStr">
        <is>
          <t>Bot tarafindan tespit edildi (2026-07-01) | Bot enrich; date=2026-07-01; type=pdf; score=230; Bot tespit/zenginlestirme (2026-07-01); meta:score=70;priority=High;source_type=html_link;closing_date=None;equipment=Gas-related / review;reasons=equipment:Gas-related / review,document source,quantity signal,tender reference signal; Bot clean extraction (2026-07-01); meta:score=43;priority=Medium;source_type=html_link;closing_date=;equipment=Gas-related / review;quality_status=needs_review;market_relevance=Medium;document_type=unknown;unit_price_inr=;amount_label=;matched_terms=gas_context;reject_reasons=;scope=market_intelligence_only;excluded_scope=no_bid_or_offer_submission_automation</t>
        </is>
      </c>
    </row>
    <row r="2107">
      <c r="A2107" t="inlineStr">
        <is>
          <t>T-1911</t>
        </is>
      </c>
      <c r="B2107" t="inlineStr">
        <is>
          <t>Vadodara Gas Limited</t>
        </is>
      </c>
      <c r="C2107" t="inlineStr">
        <is>
          <t>Vadodara Gas Limited</t>
        </is>
      </c>
      <c r="D2107" t="inlineStr">
        <is>
          <t>Bidders</t>
        </is>
      </c>
      <c r="E2107" t="inlineStr">
        <is>
          <t>24/11/2023</t>
        </is>
      </c>
      <c r="F2107" t="inlineStr">
        <is>
          <t>Awarded</t>
        </is>
      </c>
      <c r="G2107" t="inlineStr">
        <is>
          <t>Gas-related / review</t>
        </is>
      </c>
      <c r="H2107" t="inlineStr">
        <is>
          <t>Replies
                to Bidders Queries for the Tender of Procurement of Various Size of MDPE Pipe on ARC for a Period of 01
                Year vide Tender No.: VGL/CO/C&amp;P-PNG/BD202308P078 Dated 24/11/2023 and Tender ID: 615237</t>
        </is>
      </c>
      <c r="K2107" t="inlineStr">
        <is>
          <t>Not found</t>
        </is>
      </c>
      <c r="L2107" t="inlineStr">
        <is>
          <t>Unknown</t>
        </is>
      </c>
      <c r="T2107" t="inlineStr">
        <is>
          <t>https://www.vgl.co.in/wp-content/uploads/2025/pdf/1-Replies-to-Bidders-MDPE-Pipe-P078.pdf</t>
        </is>
      </c>
      <c r="U2107" t="inlineStr">
        <is>
          <t>No</t>
        </is>
      </c>
      <c r="V2107"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08">
      <c r="A2108" t="inlineStr">
        <is>
          <t>T-1912</t>
        </is>
      </c>
      <c r="B2108" t="inlineStr">
        <is>
          <t>Vadodara Gas Limited</t>
        </is>
      </c>
      <c r="C2108" t="inlineStr">
        <is>
          <t>Vadodara Gas Limited</t>
        </is>
      </c>
      <c r="D2108" t="inlineStr">
        <is>
          <t>Tender No.: VGL/CO/C</t>
        </is>
      </c>
      <c r="E2108" t="inlineStr">
        <is>
          <t>25/11/2023</t>
        </is>
      </c>
      <c r="F2108" t="inlineStr">
        <is>
          <t>Awarded</t>
        </is>
      </c>
      <c r="G2108" t="inlineStr">
        <is>
          <t>Domestic regulator</t>
        </is>
      </c>
      <c r="H2108" t="inlineStr">
        <is>
          <t>Notice
                Inviting Tender for “Procurement of 50,000 Nos. Of Domestic Gas Regulator on ARC for a Period of
                01 Year vide Tender No.: VGL/CO/C&amp;P-PNG/BD202308P066 Dated 25/11/2023 and Tender ID: 615272</t>
        </is>
      </c>
      <c r="K2108" t="inlineStr">
        <is>
          <t>s for the Tender of</t>
        </is>
      </c>
      <c r="L2108" t="inlineStr">
        <is>
          <t>Unknown</t>
        </is>
      </c>
      <c r="M2108" t="n">
        <v>12124500</v>
      </c>
      <c r="T2108" t="inlineStr">
        <is>
          <t>https://www.vgl.co.in/wp-content/uploads/2025/pdf/2-NIT_Domestic_Regulator_P066_23-24.pdf</t>
        </is>
      </c>
      <c r="U2108" t="inlineStr">
        <is>
          <t>No</t>
        </is>
      </c>
      <c r="V2108" t="inlineStr">
        <is>
          <t>Bot tarafindan tespit edildi (2026-07-01) | Bot enrich; date=2026-07-01; type=pdf; score=230; Bot tespit/zenginlestirme (2026-07-01); meta:score=100;priority=High;source_type=html_link;closing_date=20/12/2023;equipment=Domestic regulator;reasons=equipment:Domestic regulator,target regulator keyword,document source,quantity signal,tender reference signal; Bot clean extraction (2026-07-01); meta:score=100;priority=High;source_type=html_link;closing_date=20/12/2023;equipment=Domestic gas regulator;quality_status=market_target;market_relevance=High;document_type=loa;unit_price_inr=;amount_label=currency_near_total;matched_terms=Domestic gas regulator;reject_reasons=;scope=market_intelligence_only;excluded_scope=no_bid_or_offer_submission_automation</t>
        </is>
      </c>
    </row>
    <row r="2109">
      <c r="A2109" t="inlineStr">
        <is>
          <t>T-1913</t>
        </is>
      </c>
      <c r="B2109" t="inlineStr">
        <is>
          <t>Vadodara Gas Limited</t>
        </is>
      </c>
      <c r="C2109" t="inlineStr">
        <is>
          <t>Vadodara Gas Limited</t>
        </is>
      </c>
      <c r="D2109" t="inlineStr">
        <is>
          <t>Tender No.: VGL/CO/C</t>
        </is>
      </c>
      <c r="E2109" t="inlineStr">
        <is>
          <t>25/11/2023</t>
        </is>
      </c>
      <c r="F2109" t="inlineStr">
        <is>
          <t>Awarded</t>
        </is>
      </c>
      <c r="G2109" t="inlineStr">
        <is>
          <t>Gas-related / review</t>
        </is>
      </c>
      <c r="H2109" t="inlineStr">
        <is>
          <t>Notice Inviting
                Tender for “Procurement of 50,000 Nos. of 06 Mm Gas Tap on ARC for a Period of 01 Year vide Tender
                No.: VGL/CO/C&amp;P-PNG/BD202308P065 Dated 25/11/2023 and Tender ID: 615273</t>
        </is>
      </c>
      <c r="K2109" t="inlineStr">
        <is>
          <t>s for the Tender of</t>
        </is>
      </c>
      <c r="L2109" t="inlineStr">
        <is>
          <t>Unknown</t>
        </is>
      </c>
      <c r="T2109" t="inlineStr">
        <is>
          <t>https://www.vgl.co.in/wp-content/uploads/2025/pdf/1_NIT_Gas_Tap_P065_23-24.pdf</t>
        </is>
      </c>
      <c r="U2109" t="inlineStr">
        <is>
          <t>No</t>
        </is>
      </c>
      <c r="V2109" t="inlineStr">
        <is>
          <t>Bot tarafindan tespit edildi (2026-07-01) | Bot enrich; date=2026-07-01; type=pdf; score=230; Bot tespit/zenginlestirme (2026-07-01); meta:score=70;priority=High;source_type=html_link;closing_date=20/12/2023;equipment=Gas-related / review;reasons=equipment:Gas-related / review,document source,quantity signal,tender reference signal; Bot clean extraction (2026-07-01); meta:score=43;priority=Medium;source_type=html_link;closing_date=;equipment=Gas-related / review;quality_status=needs_review;market_relevance=Medium;document_type=tender;unit_price_inr=;amount_label=;matched_terms=gas_context;reject_reasons=;scope=market_intelligence_only;excluded_scope=no_bid_or_offer_submission_automation</t>
        </is>
      </c>
    </row>
    <row r="2110">
      <c r="A2110" t="inlineStr">
        <is>
          <t>T-1914</t>
        </is>
      </c>
      <c r="B2110" t="inlineStr">
        <is>
          <t>Vadodara Gas Limited</t>
        </is>
      </c>
      <c r="C2110" t="inlineStr">
        <is>
          <t>Vadodara Gas Limited</t>
        </is>
      </c>
      <c r="D2110" t="inlineStr">
        <is>
          <t>Tender No.: VGL/CO/C</t>
        </is>
      </c>
      <c r="E2110" t="inlineStr">
        <is>
          <t>25/11/2023</t>
        </is>
      </c>
      <c r="F2110" t="inlineStr">
        <is>
          <t>Awarded</t>
        </is>
      </c>
      <c r="G2110" t="inlineStr">
        <is>
          <t>Gas-related / review</t>
        </is>
      </c>
      <c r="H2110" t="inlineStr">
        <is>
          <t>Notice Inviting
                Tender for “Procurement of 50,000 Nos. of 06 Mm Gas Tap on ARC for a Period of 01 Year vide Tender
                No.: VGL/CO/C&amp;P-PNG/BD202308P065 Dated 25/11/2023 and Tender ID: 615273</t>
        </is>
      </c>
      <c r="K2110" t="inlineStr">
        <is>
          <t>s for the Tender of</t>
        </is>
      </c>
      <c r="L2110" t="inlineStr">
        <is>
          <t>Unknown</t>
        </is>
      </c>
      <c r="T2110" t="inlineStr">
        <is>
          <t>https://www.vgl.co.in/wp-content/uploads/2025/pdf/NIT_ Gas_Tap_P065_23-24.pdf</t>
        </is>
      </c>
      <c r="U2110" t="inlineStr">
        <is>
          <t>No</t>
        </is>
      </c>
      <c r="V2110" t="inlineStr">
        <is>
          <t>Bot tarafindan tespit edildi (2026-07-01) | Bot enrich; date=2026-07-01; type=pdf; score=230; Bot tespit/zenginlestirme (2026-07-01); meta:score=70;priority=High;source_type=html_link;closing_date=20/12/2023;equipment=Gas-related / review;reasons=equipment:Gas-related / review,document source,quantity signal,tender reference signal; Bot clean extraction (2026-07-01); meta:score=43;priority=Medium;source_type=html_link;closing_date=;equipment=Gas-related / review;quality_status=needs_review;market_relevance=Medium;document_type=tender;unit_price_inr=;amount_label=;matched_terms=gas_context;reject_reasons=;scope=market_intelligence_only;excluded_scope=no_bid_or_offer_submission_automation</t>
        </is>
      </c>
    </row>
    <row r="2111">
      <c r="A2111" t="inlineStr">
        <is>
          <t>T-1915</t>
        </is>
      </c>
      <c r="B2111" t="inlineStr">
        <is>
          <t>Vadodara Gas Limited</t>
        </is>
      </c>
      <c r="C2111" t="inlineStr">
        <is>
          <t>Vadodara Gas Limited</t>
        </is>
      </c>
      <c r="D2111" t="inlineStr">
        <is>
          <t>Tender No.: VGL/CO/C</t>
        </is>
      </c>
      <c r="E2111" t="inlineStr">
        <is>
          <t>24/11/2023</t>
        </is>
      </c>
      <c r="F2111" t="inlineStr">
        <is>
          <t>Awarded</t>
        </is>
      </c>
      <c r="G2111" t="inlineStr">
        <is>
          <t>Gas-related / review</t>
        </is>
      </c>
      <c r="H2111" t="inlineStr">
        <is>
          <t>Notice Inviting Tender
                for “Procurement of Various Size of MDPE Pipe on ARC for a Period of 01 Year vide Tender No.:
                VGL/CO/C&amp;P-PNG/BD202308P078 Dated 24/11/2023 and Tender ID: 615237</t>
        </is>
      </c>
      <c r="K2111" t="inlineStr">
        <is>
          <t>Not found</t>
        </is>
      </c>
      <c r="L2111" t="inlineStr">
        <is>
          <t>Unknown</t>
        </is>
      </c>
      <c r="T2111" t="inlineStr">
        <is>
          <t>https://www.vgl.co.in/wp-content/uploads/2025/pdf/NIT_MDPE-PIpe-P078.pdf</t>
        </is>
      </c>
      <c r="U2111" t="inlineStr">
        <is>
          <t>No</t>
        </is>
      </c>
      <c r="V2111"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12">
      <c r="A2112" t="inlineStr">
        <is>
          <t>T-1916</t>
        </is>
      </c>
      <c r="B2112" t="inlineStr">
        <is>
          <t>Vadodara Gas Limited</t>
        </is>
      </c>
      <c r="C2112" t="inlineStr">
        <is>
          <t>Vadodara Gas Limited</t>
        </is>
      </c>
      <c r="F2112" t="inlineStr">
        <is>
          <t>New Lead</t>
        </is>
      </c>
      <c r="G2112" t="inlineStr">
        <is>
          <t>Unclassified</t>
        </is>
      </c>
      <c r="H2112" t="inlineStr">
        <is>
          <t>"Extension in Bid
                Submission Due Date for “Hiring of Third-Party Agency for Recovery of Outstanding Debts for 24
                Months vide Tender</t>
        </is>
      </c>
      <c r="K2112" t="inlineStr">
        <is>
          <t>Not found</t>
        </is>
      </c>
      <c r="L2112" t="inlineStr">
        <is>
          <t>Unknown</t>
        </is>
      </c>
      <c r="T2112" t="inlineStr">
        <is>
          <t>https://www.vgl.co.in/wp-content/uploads/2025/pdf/Extension NIT Recovery.pdf</t>
        </is>
      </c>
      <c r="U2112" t="inlineStr">
        <is>
          <t>No</t>
        </is>
      </c>
      <c r="V2112" t="inlineStr">
        <is>
          <t>Bot tarafindan tespit edildi (2026-07-01); Bot tespit/zenginlestirme (2026-07-01); meta:score=45;priority=Medium;source_type=html_link;closing_date=;equipment=Unclassified;reasons=document source,tender reference signal,closing date signal</t>
        </is>
      </c>
    </row>
    <row r="2113">
      <c r="A2113" t="inlineStr">
        <is>
          <t>T-1917</t>
        </is>
      </c>
      <c r="B2113" t="inlineStr">
        <is>
          <t>Vadodara Gas Limited</t>
        </is>
      </c>
      <c r="C2113" t="inlineStr">
        <is>
          <t>Vadodara Gas Limited</t>
        </is>
      </c>
      <c r="D2113" t="inlineStr">
        <is>
          <t>Bidders</t>
        </is>
      </c>
      <c r="E2113" t="inlineStr">
        <is>
          <t>24/07/2023</t>
        </is>
      </c>
      <c r="F2113" t="inlineStr">
        <is>
          <t>Awarded</t>
        </is>
      </c>
      <c r="G2113" t="inlineStr">
        <is>
          <t>Gas-related / review</t>
        </is>
      </c>
      <c r="H2113" t="inlineStr">
        <is>
          <t>Replies to Bidders Queries for the Tender of ARC for Construction of New PE Valve
                Chamber, levelling of Existing Valve chamber and other Misc. restoration work in Vadodara GA under VGL
                for the period 01 Years vide Tender No.: VGL/CO/C&amp;P-PNG/BD202306S039 Dated 24/07/2023 and Tender ID:
                605676</t>
        </is>
      </c>
      <c r="K2113" t="inlineStr">
        <is>
          <t>Not found</t>
        </is>
      </c>
      <c r="L2113" t="inlineStr">
        <is>
          <t>Unknown</t>
        </is>
      </c>
      <c r="T2113" t="inlineStr">
        <is>
          <t>https://www.vgl.co.in/wp-content/uploads/2025/pdf/Replies_to_Bidders_queries_ARC_Chamber.pdf</t>
        </is>
      </c>
      <c r="U2113" t="inlineStr">
        <is>
          <t>No</t>
        </is>
      </c>
      <c r="V2113"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14">
      <c r="A2114" t="inlineStr">
        <is>
          <t>T-1918</t>
        </is>
      </c>
      <c r="B2114" t="inlineStr">
        <is>
          <t>Vadodara Gas Limited</t>
        </is>
      </c>
      <c r="C2114" t="inlineStr">
        <is>
          <t>Vadodara Gas Limited</t>
        </is>
      </c>
      <c r="D2114" t="inlineStr">
        <is>
          <t>Tender No.: VGL/CO/C</t>
        </is>
      </c>
      <c r="E2114" t="inlineStr">
        <is>
          <t>24/07/2023</t>
        </is>
      </c>
      <c r="F2114" t="inlineStr">
        <is>
          <t>Awarded</t>
        </is>
      </c>
      <c r="G2114" t="inlineStr">
        <is>
          <t>Gas-related / review</t>
        </is>
      </c>
      <c r="H2114" t="inlineStr">
        <is>
          <t>Drawing for the Tender
                of ARC for Construction of New PE Valve Chamber, leveling of Existing Valve chamber and other Misc.
                restoration work in Vadodara GA under VGL for the period 01 Years vide Tender No.:
                VGL/CO/C&amp;P-PNG/BD202306S039 Dated 24/07/2023 and Tender ID: 605676</t>
        </is>
      </c>
      <c r="K2114" t="inlineStr">
        <is>
          <t>Not found</t>
        </is>
      </c>
      <c r="L2114" t="inlineStr">
        <is>
          <t>Unknown</t>
        </is>
      </c>
      <c r="T2114" t="inlineStr">
        <is>
          <t>https://www.vgl.co.in/wp-content/uploads/2025/pdf/Valve-Chamber-Design.pdf</t>
        </is>
      </c>
      <c r="U2114" t="inlineStr">
        <is>
          <t>No</t>
        </is>
      </c>
      <c r="V2114"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15">
      <c r="A2115" t="inlineStr">
        <is>
          <t>T-1919</t>
        </is>
      </c>
      <c r="B2115" t="inlineStr">
        <is>
          <t>Vadodara Gas Limited</t>
        </is>
      </c>
      <c r="C2115" t="inlineStr">
        <is>
          <t>Vadodara Gas Limited</t>
        </is>
      </c>
      <c r="D2115" t="inlineStr">
        <is>
          <t>Tender No.: VGL/CO/C</t>
        </is>
      </c>
      <c r="E2115" t="inlineStr">
        <is>
          <t>02/08/2023</t>
        </is>
      </c>
      <c r="F2115" t="inlineStr">
        <is>
          <t>Awarded</t>
        </is>
      </c>
      <c r="G2115" t="inlineStr">
        <is>
          <t>commercial regulator</t>
        </is>
      </c>
      <c r="H2115" t="inlineStr">
        <is>
          <t>Notice Inviting
                Tender for “Purchase of Natural Gas Commercial Regulator for VGL (GA) vide Tender No.:
                VGL/CO/C&amp;P-PNG/BD202307052 Dated 02/08/2023 and Tender ID: 607225</t>
        </is>
      </c>
      <c r="K2115" t="inlineStr">
        <is>
          <t>s for the Tender of</t>
        </is>
      </c>
      <c r="L2115" t="inlineStr">
        <is>
          <t>Unknown</t>
        </is>
      </c>
      <c r="M2115" t="n">
        <v>6596279</v>
      </c>
      <c r="T2115" t="inlineStr">
        <is>
          <t>https://www.vgl.co.in/wp-content/uploads/2025/pdf/NIT_Commercial-Regulators.pdf</t>
        </is>
      </c>
      <c r="U2115" t="inlineStr">
        <is>
          <t>No</t>
        </is>
      </c>
      <c r="V2115" t="inlineStr">
        <is>
          <t>Bot tarafindan tespit edildi (2026-07-01) | Bot enrich; date=2026-07-01; type=pdf; score=330; Bot tespit/zenginlestirme (2026-07-01); meta:score=70;priority=High;source_type=html_link;closing_date=09/08/2023;equipment=Industrial regulator;reasons=equipment:Industrial regulator,document source,tender reference signal; Bot clean extraction (2026-07-01); meta:score=75;priority=High;source_type=html_link;closing_date=09/08/2023;equipment=Industrial / commercial regulator;quality_status=market_target;market_relevance=High;document_type=loa;unit_price_inr=;amount_label=currency_near_total;matched_terms=Industrial / commercial regulator;reject_reasons=;scope=market_intelligence_only;excluded_scope=no_bid_or_offer_submission_automation</t>
        </is>
      </c>
    </row>
    <row r="2116">
      <c r="A2116" t="inlineStr">
        <is>
          <t>T-1920</t>
        </is>
      </c>
      <c r="B2116" t="inlineStr">
        <is>
          <t>Vadodara Gas Limited</t>
        </is>
      </c>
      <c r="C2116" t="inlineStr">
        <is>
          <t>Vadodara Gas Limited</t>
        </is>
      </c>
      <c r="D2116" t="inlineStr">
        <is>
          <t>Tender No.: VGL/CO/C</t>
        </is>
      </c>
      <c r="E2116" t="inlineStr">
        <is>
          <t>29/07/2023</t>
        </is>
      </c>
      <c r="F2116" t="inlineStr">
        <is>
          <t>Awarded</t>
        </is>
      </c>
      <c r="G2116" t="inlineStr">
        <is>
          <t>Gas-related / review</t>
        </is>
      </c>
      <c r="H2116" t="inlineStr">
        <is>
          <t>Notice Inviting Tender for
                “Transportation of Natural Gas in Compressed form through Mobile Cascades at VGL, Vadodara for a
                Period of 36 Months vide Tender No.: VGL/CO/C&amp;P-CNG/BD202307S056 Dated 29/07/2023 and Tender ID:
                606598</t>
        </is>
      </c>
      <c r="K2116" t="inlineStr">
        <is>
          <t>Not found</t>
        </is>
      </c>
      <c r="L2116" t="inlineStr">
        <is>
          <t>Unknown</t>
        </is>
      </c>
      <c r="T2116" t="inlineStr">
        <is>
          <t>https://www.vgl.co.in/wp-content/uploads/2025/pdf/NIT_ LCV S056.pdf</t>
        </is>
      </c>
      <c r="U2116" t="inlineStr">
        <is>
          <t>No</t>
        </is>
      </c>
      <c r="V2116"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17">
      <c r="A2117" t="inlineStr">
        <is>
          <t>T-1921</t>
        </is>
      </c>
      <c r="B2117" t="inlineStr">
        <is>
          <t>Vadodara Gas Limited</t>
        </is>
      </c>
      <c r="C2117" t="inlineStr">
        <is>
          <t>Vadodara Gas Limited</t>
        </is>
      </c>
      <c r="D2117" t="inlineStr">
        <is>
          <t>Tender No.: VGL/CO/C</t>
        </is>
      </c>
      <c r="E2117" t="inlineStr">
        <is>
          <t>24/07/2023</t>
        </is>
      </c>
      <c r="F2117" t="inlineStr">
        <is>
          <t>Awarded</t>
        </is>
      </c>
      <c r="G2117" t="inlineStr">
        <is>
          <t>Gas-related / review</t>
        </is>
      </c>
      <c r="H2117" t="inlineStr">
        <is>
          <t>Notice Inviting Tender for “ARC for Construction of New PE Valve Chamber, leveling
                of Existing Valve chamber and other Misc. restoration work in Vadodara GA under VGL for the period 01
                Years vide Tender No.: VGL/CO/C&amp;P-PNG/BD202306S039 Dated 24/07/2023 and Tender ID: 605676</t>
        </is>
      </c>
      <c r="K2117" t="inlineStr">
        <is>
          <t>Not found</t>
        </is>
      </c>
      <c r="L2117" t="inlineStr">
        <is>
          <t>Unknown</t>
        </is>
      </c>
      <c r="T2117" t="inlineStr">
        <is>
          <t>https://www.vgl.co.in/wp-content/uploads/2025/pdf/NIT_PE_Valve_Chamber&amp;Restoratuion_Work.pdf</t>
        </is>
      </c>
      <c r="U2117" t="inlineStr">
        <is>
          <t>No</t>
        </is>
      </c>
      <c r="V2117"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18">
      <c r="A2118" t="inlineStr">
        <is>
          <t>T-1922</t>
        </is>
      </c>
      <c r="B2118" t="inlineStr">
        <is>
          <t>Vadodara Gas Limited</t>
        </is>
      </c>
      <c r="C2118" t="inlineStr">
        <is>
          <t>Vadodara Gas Limited</t>
        </is>
      </c>
      <c r="D2118" t="inlineStr">
        <is>
          <t>VGL/CO/C</t>
        </is>
      </c>
      <c r="E2118" t="inlineStr">
        <is>
          <t>24/07/2023</t>
        </is>
      </c>
      <c r="F2118" t="inlineStr">
        <is>
          <t>New Lead</t>
        </is>
      </c>
      <c r="G2118" t="inlineStr">
        <is>
          <t>Unclassified</t>
        </is>
      </c>
      <c r="H2118" t="inlineStr">
        <is>
          <t>Notice Inviting Tender for
                “Hiring of Third-Party Agency for Recovery of Outstanding Debts for 24 Months vide Tender No.:
                VGL/CO/C&amp;P-BILLING/BD202306S029 Dated 24/07/2023 and Tender ID: 506710</t>
        </is>
      </c>
      <c r="K2118" t="inlineStr">
        <is>
          <t>Not found</t>
        </is>
      </c>
      <c r="L2118" t="inlineStr">
        <is>
          <t>Unknown</t>
        </is>
      </c>
      <c r="T2118" t="inlineStr">
        <is>
          <t>https://www.vgl.co.in/wp-content/uploads/2025/pdf/NIT_Recovery_S029.pdf</t>
        </is>
      </c>
      <c r="U2118" t="inlineStr">
        <is>
          <t>No</t>
        </is>
      </c>
      <c r="V2118" t="inlineStr">
        <is>
          <t>Bot tarafindan tespit edildi (2026-07-01); Bot tespit/zenginlestirme (2026-07-01); meta:score=35;priority=Low;source_type=html_link;closing_date=;equipment=Unclassified;reasons=document source,tender reference signal</t>
        </is>
      </c>
    </row>
    <row r="2119">
      <c r="A2119" t="inlineStr">
        <is>
          <t>T-1923</t>
        </is>
      </c>
      <c r="B2119" t="inlineStr">
        <is>
          <t>Vadodara Gas Limited</t>
        </is>
      </c>
      <c r="C2119" t="inlineStr">
        <is>
          <t>Vadodara Gas Limited</t>
        </is>
      </c>
      <c r="D2119" t="inlineStr">
        <is>
          <t>Tender No.: VGL/CO/C</t>
        </is>
      </c>
      <c r="E2119" t="inlineStr">
        <is>
          <t>20/07/2023</t>
        </is>
      </c>
      <c r="F2119" t="inlineStr">
        <is>
          <t>Awarded</t>
        </is>
      </c>
      <c r="G2119" t="inlineStr">
        <is>
          <t>Gas-related / review</t>
        </is>
      </c>
      <c r="H2119" t="inlineStr">
        <is>
          <t>Notice Inviting Tender for
                “Procurement ½” Ball Valve on ARC Basis for a Period of One Year vide Tender No.:
                VGL/CO/C&amp;P-PNG/BD202306P042 Dated 20/07/2023 and Tender ID: 605034</t>
        </is>
      </c>
      <c r="K2119" t="inlineStr">
        <is>
          <t>Not found</t>
        </is>
      </c>
      <c r="L2119" t="inlineStr">
        <is>
          <t>Unknown</t>
        </is>
      </c>
      <c r="T2119" t="inlineStr">
        <is>
          <t>https://www.vgl.co.in/wp-content/uploads/2025/pdf/NIT_BBV_P042.pdf</t>
        </is>
      </c>
      <c r="U2119" t="inlineStr">
        <is>
          <t>No</t>
        </is>
      </c>
      <c r="V2119"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20">
      <c r="A2120" t="inlineStr">
        <is>
          <t>T-1924</t>
        </is>
      </c>
      <c r="B2120" t="inlineStr">
        <is>
          <t>Vadodara Gas Limited</t>
        </is>
      </c>
      <c r="C2120" t="inlineStr">
        <is>
          <t>Vadodara Gas Limited</t>
        </is>
      </c>
      <c r="D2120" t="inlineStr">
        <is>
          <t>Polyester</t>
        </is>
      </c>
      <c r="E2120" t="inlineStr">
        <is>
          <t>20/07/2023</t>
        </is>
      </c>
      <c r="F2120" t="inlineStr">
        <is>
          <t>Awarded</t>
        </is>
      </c>
      <c r="G2120" t="inlineStr">
        <is>
          <t>Gas-related / review</t>
        </is>
      </c>
      <c r="H2120" t="inlineStr">
        <is>
          <t>Notice Inviting Tender for
                “Procurement of Galvanized Iron (GI) Pipe with Polyester Powder Coating of Various Sizes on Annual
                Rate Contract (ARC) Basis for a Period of One Year vide Tender No.: VGL/CO/C&amp;P-PNG/BD202306P038
                Dated 20/07/2023 and Tender ID: 605038</t>
        </is>
      </c>
      <c r="K2120" t="inlineStr">
        <is>
          <t>Not found</t>
        </is>
      </c>
      <c r="L2120" t="inlineStr">
        <is>
          <t>Unknown</t>
        </is>
      </c>
      <c r="T2120" t="inlineStr">
        <is>
          <t>https://www.vgl.co.in/wp-content/uploads/2025/pdf/NIT_GI_Pipe_P038.pdf</t>
        </is>
      </c>
      <c r="U2120" t="inlineStr">
        <is>
          <t>No</t>
        </is>
      </c>
      <c r="V2120"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21">
      <c r="A2121" t="inlineStr">
        <is>
          <t>T-1925</t>
        </is>
      </c>
      <c r="B2121" t="inlineStr">
        <is>
          <t>Vadodara Gas Limited</t>
        </is>
      </c>
      <c r="C2121" t="inlineStr">
        <is>
          <t>Vadodara Gas Limited</t>
        </is>
      </c>
      <c r="D2121" t="inlineStr">
        <is>
          <t>Tender No.: VGL/CO/C</t>
        </is>
      </c>
      <c r="E2121" t="inlineStr">
        <is>
          <t>30/06/2023</t>
        </is>
      </c>
      <c r="F2121" t="inlineStr">
        <is>
          <t>Awarded</t>
        </is>
      </c>
      <c r="G2121" t="inlineStr">
        <is>
          <t>Gas-related / review</t>
        </is>
      </c>
      <c r="H2121" t="inlineStr">
        <is>
          <t>Replies
                to Bidder's Queries for "Transportation of Natural Gas in the Compressed form through 8000 WL or Above
                Capacity Mobile Cascades for the Period of 36 Months vide Tender No.: VGL/CO/C&amp;P-PNG/BD202304S002_RI
                Dated 30/06/2023 and Tender ID: 601549</t>
        </is>
      </c>
      <c r="K2121" t="inlineStr">
        <is>
          <t>Not found</t>
        </is>
      </c>
      <c r="L2121" t="inlineStr">
        <is>
          <t>Unknown</t>
        </is>
      </c>
      <c r="T2121" t="inlineStr">
        <is>
          <t>https://www.vgl.co.in/wp-content/uploads/2025/pdf/REPLIES_TO_BIDDERS_QUERIES_REinvite.pdf</t>
        </is>
      </c>
      <c r="U2121" t="inlineStr">
        <is>
          <t>No</t>
        </is>
      </c>
      <c r="V2121"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22">
      <c r="A2122" t="inlineStr">
        <is>
          <t>T-1926</t>
        </is>
      </c>
      <c r="B2122" t="inlineStr">
        <is>
          <t>Vadodara Gas Limited</t>
        </is>
      </c>
      <c r="C2122" t="inlineStr">
        <is>
          <t>Vadodara Gas Limited</t>
        </is>
      </c>
      <c r="D2122" t="inlineStr">
        <is>
          <t>Tender No.: VGL/CO/C</t>
        </is>
      </c>
      <c r="E2122" t="inlineStr">
        <is>
          <t>24/06/2023</t>
        </is>
      </c>
      <c r="F2122" t="inlineStr">
        <is>
          <t>Awarded</t>
        </is>
      </c>
      <c r="G2122" t="inlineStr">
        <is>
          <t>Gas-related / review</t>
        </is>
      </c>
      <c r="H2122" t="inlineStr">
        <is>
          <t>Replies to Bidder's Queries for “Replies to Bidder's Queries for "Procurement of
                GI Fittings vide Tender No.: VGL/CO/C&amp;P-PNG/BD202306P032 Dated 24/06/2023 and Tender ID: 600708</t>
        </is>
      </c>
      <c r="K2122" t="inlineStr">
        <is>
          <t>Not found</t>
        </is>
      </c>
      <c r="L2122" t="inlineStr">
        <is>
          <t>Unknown</t>
        </is>
      </c>
      <c r="T2122" t="inlineStr">
        <is>
          <t>https://www.vgl.co.in/wp-content/uploads/2025/pdf/Replies-to-Bidders-queries-GI-Fitting.pdf</t>
        </is>
      </c>
      <c r="U2122" t="inlineStr">
        <is>
          <t>No</t>
        </is>
      </c>
      <c r="V2122"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23">
      <c r="A2123" t="inlineStr">
        <is>
          <t>T-1927</t>
        </is>
      </c>
      <c r="B2123" t="inlineStr">
        <is>
          <t>Vadodara Gas Limited</t>
        </is>
      </c>
      <c r="C2123" t="inlineStr">
        <is>
          <t>Vadodara Gas Limited</t>
        </is>
      </c>
      <c r="D2123" t="inlineStr">
        <is>
          <t>Tender No.: VGL/CO/C</t>
        </is>
      </c>
      <c r="E2123" t="inlineStr">
        <is>
          <t>04/07/2023</t>
        </is>
      </c>
      <c r="F2123" t="inlineStr">
        <is>
          <t>Awarded</t>
        </is>
      </c>
      <c r="G2123" t="inlineStr">
        <is>
          <t>Gas-related / review</t>
        </is>
      </c>
      <c r="H2123" t="inlineStr">
        <is>
          <t>Notice Inviting Tender
                for “Hiring the Services for Laying of Underground MDPE Pipeline Network in Vadodara GA Under Old
                Gas Infra Revamping and New D-PNG Connections Last Mile Connectivity in Vadodara GA vide Tender No.:
                VGL/CO/C&amp;P-PNG/BD202306S036 Dated 04/07/2023 and Tender ID: 602140</t>
        </is>
      </c>
      <c r="K2123" t="inlineStr">
        <is>
          <t>Not found</t>
        </is>
      </c>
      <c r="L2123" t="inlineStr">
        <is>
          <t>Unknown</t>
        </is>
      </c>
      <c r="T2123" t="inlineStr">
        <is>
          <t>https://www.vgl.co.in/wp-content/uploads/2025/pdf/NIT_PE_Laying_S036.pdf</t>
        </is>
      </c>
      <c r="U2123" t="inlineStr">
        <is>
          <t>No</t>
        </is>
      </c>
      <c r="V2123" t="inlineStr">
        <is>
          <t>Bot tarafindan tespit edildi (2026-07-01) | Bot enrich; date=2026-07-01; type=pdf; score=230; Bot tespit/zenginlestirme (2026-07-01); meta:score=50;priority=Medium;source_type=html_link;closing_date=;equipment=Gas-related / review;reasons=equipment:Gas-related / review,document source,tender reference signal</t>
        </is>
      </c>
    </row>
    <row r="2124">
      <c r="A2124" t="inlineStr">
        <is>
          <t>T-1928</t>
        </is>
      </c>
      <c r="B2124" t="inlineStr">
        <is>
          <t>Vadodara Gas Limited</t>
        </is>
      </c>
      <c r="C2124" t="inlineStr">
        <is>
          <t>Vadodara Gas Limited</t>
        </is>
      </c>
      <c r="D2124" t="inlineStr">
        <is>
          <t>VGL/CO/C</t>
        </is>
      </c>
      <c r="E2124" t="inlineStr">
        <is>
          <t>30/06/2023</t>
        </is>
      </c>
      <c r="F2124" t="inlineStr">
        <is>
          <t>New Lead</t>
        </is>
      </c>
      <c r="G2124" t="inlineStr">
        <is>
          <t>Gas-related / review</t>
        </is>
      </c>
      <c r="H2124" t="inlineStr">
        <is>
          <t>Notice Inviting Tender
                for “Hiring the Service for Providing the Departmental Works at VGL for a Period of Two Years vide
                Tender No.: VGL/CO/C&amp;P-PNG/BD202306S031 Dated 30/06/2023 and Tender ID: 601509 All the attached NIT
                are in order as per the above subject</t>
        </is>
      </c>
      <c r="K2124" t="inlineStr">
        <is>
          <t>Not found</t>
        </is>
      </c>
      <c r="L2124" t="inlineStr">
        <is>
          <t>Unknown</t>
        </is>
      </c>
      <c r="T2124" t="inlineStr">
        <is>
          <t>https://www.vgl.co.in/wp-content/uploads/2025/pdf/NIT_Dept_Works_S031.pdf</t>
        </is>
      </c>
      <c r="U2124" t="inlineStr">
        <is>
          <t>No</t>
        </is>
      </c>
      <c r="V2124" t="inlineStr">
        <is>
          <t>Bot tarafindan tespit edildi (2026-07-01); Bot tespit/zenginlestirme (2026-07-01); meta:score=50;priority=Medium;source_type=html_link;closing_date=;equipment=Gas-related / review;reasons=equipment:Gas-related / review,document source,tender reference signal</t>
        </is>
      </c>
    </row>
    <row r="2125">
      <c r="A2125" t="inlineStr">
        <is>
          <t>T-1929</t>
        </is>
      </c>
      <c r="B2125" t="inlineStr">
        <is>
          <t>Vadodara Gas Limited</t>
        </is>
      </c>
      <c r="C2125" t="inlineStr">
        <is>
          <t>Vadodara Gas Limited</t>
        </is>
      </c>
      <c r="D2125" t="inlineStr">
        <is>
          <t>VGL/CO/C</t>
        </is>
      </c>
      <c r="E2125" t="inlineStr">
        <is>
          <t>30/06/2023</t>
        </is>
      </c>
      <c r="F2125" t="inlineStr">
        <is>
          <t>New Lead</t>
        </is>
      </c>
      <c r="G2125" t="inlineStr">
        <is>
          <t>Gas-related / review</t>
        </is>
      </c>
      <c r="H2125" t="inlineStr">
        <is>
          <t>Notice Inviting Tender for
                “Hiring the Services for providing the above Ground GI Installation including Last Mile
                Connectivity at Consumer End for New Domestic PNG Connection vide Tender No.:
                VGL/CO/C&amp;P-PNG/BD202306S030 Dated 30/06/2023 and Tender ID: 601518</t>
        </is>
      </c>
      <c r="K2125" t="inlineStr">
        <is>
          <t>Not found</t>
        </is>
      </c>
      <c r="L2125" t="inlineStr">
        <is>
          <t>Unknown</t>
        </is>
      </c>
      <c r="T2125" t="inlineStr">
        <is>
          <t>https://www.vgl.co.in/wp-content/uploads/2025/pdf/NIT_D-PNG_S030.pdf</t>
        </is>
      </c>
      <c r="U2125" t="inlineStr">
        <is>
          <t>No</t>
        </is>
      </c>
      <c r="V2125" t="inlineStr">
        <is>
          <t>Bot tarafindan tespit edildi (2026-07-01); Bot tespit/zenginlestirme (2026-07-01); meta:score=50;priority=Medium;source_type=html_link;closing_date=;equipment=Gas-related / review;reasons=equipment:Gas-related / review,document source,tender reference signal</t>
        </is>
      </c>
    </row>
    <row r="2126">
      <c r="A2126" t="inlineStr">
        <is>
          <t>T-1930</t>
        </is>
      </c>
      <c r="B2126" t="inlineStr">
        <is>
          <t>Vadodara Gas Limited</t>
        </is>
      </c>
      <c r="C2126" t="inlineStr">
        <is>
          <t>Vadodara Gas Limited</t>
        </is>
      </c>
      <c r="D2126" t="inlineStr">
        <is>
          <t>VGL/CO/C</t>
        </is>
      </c>
      <c r="E2126" t="inlineStr">
        <is>
          <t>30/06/2023</t>
        </is>
      </c>
      <c r="F2126" t="inlineStr">
        <is>
          <t>New Lead</t>
        </is>
      </c>
      <c r="G2126" t="inlineStr">
        <is>
          <t>Gas-related / review</t>
        </is>
      </c>
      <c r="H2126" t="inlineStr">
        <is>
          <t>Notice Inviting Tender for
                “Purchase of 32mm &amp; 63mm MDPE Pipe on ARC Basis for a Period of 01 Year vide Tender No.:
                VGL/CO/C&amp;P-PNG/BD202306P033 Dated 30/06/2023 and Tender ID: 601516</t>
        </is>
      </c>
      <c r="K2126" t="inlineStr">
        <is>
          <t>Not found</t>
        </is>
      </c>
      <c r="L2126" t="inlineStr">
        <is>
          <t>Unknown</t>
        </is>
      </c>
      <c r="T2126" t="inlineStr">
        <is>
          <t>https://www.vgl.co.in/wp-content/uploads/2025/pdf/NIT_MDPE_P033.pdf</t>
        </is>
      </c>
      <c r="U2126" t="inlineStr">
        <is>
          <t>No</t>
        </is>
      </c>
      <c r="V2126" t="inlineStr">
        <is>
          <t>Bot tarafindan tespit edildi (2026-07-01); Bot tespit/zenginlestirme (2026-07-01); meta:score=50;priority=Medium;source_type=html_link;closing_date=;equipment=Gas-related / review;reasons=equipment:Gas-related / review,document source,tender reference signal</t>
        </is>
      </c>
    </row>
    <row r="2127">
      <c r="A2127" t="inlineStr">
        <is>
          <t>T-1931</t>
        </is>
      </c>
      <c r="B2127" t="inlineStr">
        <is>
          <t>Vadodara Gas Limited</t>
        </is>
      </c>
      <c r="C2127" t="inlineStr">
        <is>
          <t>Vadodara Gas Limited</t>
        </is>
      </c>
      <c r="D2127" t="inlineStr">
        <is>
          <t>VGL/CO/C</t>
        </is>
      </c>
      <c r="E2127" t="inlineStr">
        <is>
          <t>30/06/2023</t>
        </is>
      </c>
      <c r="F2127" t="inlineStr">
        <is>
          <t>New Lead</t>
        </is>
      </c>
      <c r="G2127" t="inlineStr">
        <is>
          <t>Gas-related / review</t>
        </is>
      </c>
      <c r="H2127" t="inlineStr">
        <is>
          <t>"Notice Inviting Tender for
                “Transportation of Natural Gas in the compressed form Through 8000 WL or above Capacity Mobile
                Cascades for the Period of 36 Months vide Tender No.: VGL/CO/C&amp;P-CNG/BD202304S002_RI Dated
                30/06/2023 and Tender ID: 601549</t>
        </is>
      </c>
      <c r="K2127" t="inlineStr">
        <is>
          <t>Not found</t>
        </is>
      </c>
      <c r="L2127" t="inlineStr">
        <is>
          <t>Unknown</t>
        </is>
      </c>
      <c r="T2127" t="inlineStr">
        <is>
          <t>https://www.vgl.co.in/wp-content/uploads/2025/pdf/NIT_LCV_S002_RI.pdf</t>
        </is>
      </c>
      <c r="U2127" t="inlineStr">
        <is>
          <t>No</t>
        </is>
      </c>
      <c r="V2127" t="inlineStr">
        <is>
          <t>Bot tarafindan tespit edildi (2026-07-01); Bot tespit/zenginlestirme (2026-07-01); meta:score=50;priority=Medium;source_type=html_link;closing_date=;equipment=Gas-related / review;reasons=equipment:Gas-related / review,document source,tender reference signal</t>
        </is>
      </c>
    </row>
    <row r="2128">
      <c r="A2128" t="inlineStr">
        <is>
          <t>T-1932</t>
        </is>
      </c>
      <c r="B2128" t="inlineStr">
        <is>
          <t>Vadodara Gas Limited</t>
        </is>
      </c>
      <c r="C2128" t="inlineStr">
        <is>
          <t>Vadodara Gas Limited</t>
        </is>
      </c>
      <c r="D2128" t="inlineStr">
        <is>
          <t>VGL/CO/C</t>
        </is>
      </c>
      <c r="E2128" t="inlineStr">
        <is>
          <t>30/06/2023</t>
        </is>
      </c>
      <c r="F2128" t="inlineStr">
        <is>
          <t>New Lead</t>
        </is>
      </c>
      <c r="G2128" t="inlineStr">
        <is>
          <t>Gas-related / review</t>
        </is>
      </c>
      <c r="H2128" t="inlineStr">
        <is>
          <t>"Notice Inviting Tender for
                “Transportation of Natural Gas in form of Compressed Gas through Mobile Cascade from Mother
                Station to Daughter Booster Station for a Period of 36 Months vide Tender No.:
                VGL/CO/C&amp;P-CNG/BD202303S038_RI Dated 30/06/2023 and Tender ID: 601550</t>
        </is>
      </c>
      <c r="K2128" t="inlineStr">
        <is>
          <t>Not found</t>
        </is>
      </c>
      <c r="L2128" t="inlineStr">
        <is>
          <t>Unknown</t>
        </is>
      </c>
      <c r="T2128" t="inlineStr">
        <is>
          <t>https://www.vgl.co.in/wp-content/uploads/2025/pdf/NIT_LCV_S038_RI.pdf</t>
        </is>
      </c>
      <c r="U2128" t="inlineStr">
        <is>
          <t>No</t>
        </is>
      </c>
      <c r="V2128" t="inlineStr">
        <is>
          <t>Bot tarafindan tespit edildi (2026-07-01); Bot tespit/zenginlestirme (2026-07-01); meta:score=50;priority=Medium;source_type=html_link;closing_date=;equipment=Gas-related / review;reasons=equipment:Gas-related / review,document source,tender reference signal</t>
        </is>
      </c>
    </row>
    <row r="2129">
      <c r="A2129" t="inlineStr">
        <is>
          <t>T-1933</t>
        </is>
      </c>
      <c r="B2129" t="inlineStr">
        <is>
          <t>Vadodara Gas Limited</t>
        </is>
      </c>
      <c r="C2129" t="inlineStr">
        <is>
          <t>Vadodara Gas Limited</t>
        </is>
      </c>
      <c r="D2129" t="inlineStr">
        <is>
          <t>VGL/CO/C</t>
        </is>
      </c>
      <c r="E2129" t="inlineStr">
        <is>
          <t>16/06/2023</t>
        </is>
      </c>
      <c r="F2129" t="inlineStr">
        <is>
          <t>New Lead</t>
        </is>
      </c>
      <c r="G2129" t="inlineStr">
        <is>
          <t>Gas-related / review</t>
        </is>
      </c>
      <c r="H2129" t="inlineStr">
        <is>
          <t>"Extension in Bid
                Submission Due Date for “Hiring of Services for Forecourt Operation of CNG Mother Station at
                Dashrath, Vadodara for the Period of Three Years vide Tender No.: VGL/CO/C&amp;P-CNG/BD202306S027 Dated
                16/06/2023 Tender ID: 599305</t>
        </is>
      </c>
      <c r="K2129" t="inlineStr">
        <is>
          <t>Not found</t>
        </is>
      </c>
      <c r="L2129" t="inlineStr">
        <is>
          <t>Unknown</t>
        </is>
      </c>
      <c r="M2129" t="n">
        <v>11</v>
      </c>
      <c r="T2129" t="inlineStr">
        <is>
          <t>https://www.vgl.co.in/wp-content/uploads/2025/pdf/Extension_NIT_FC_DS.pdf</t>
        </is>
      </c>
      <c r="U2129" t="inlineStr">
        <is>
          <t>No</t>
        </is>
      </c>
      <c r="V2129" t="inlineStr">
        <is>
          <t>Bot tarafindan tespit edildi (2026-07-01); Bot tespit/zenginlestirme (2026-07-01); meta:score=60;priority=Medium;source_type=html_link;closing_date=16/06/2023;equipment=Gas-related / review;reasons=equipment:Gas-related / review,document source,tender reference signal,closing date signal</t>
        </is>
      </c>
    </row>
    <row r="2130">
      <c r="A2130" t="inlineStr">
        <is>
          <t>T-1934</t>
        </is>
      </c>
      <c r="B2130" t="inlineStr">
        <is>
          <t>Vadodara Gas Limited</t>
        </is>
      </c>
      <c r="C2130" t="inlineStr">
        <is>
          <t>Vadodara Gas Limited</t>
        </is>
      </c>
      <c r="D2130" t="inlineStr">
        <is>
          <t>VGL/CO/C</t>
        </is>
      </c>
      <c r="E2130" t="inlineStr">
        <is>
          <t>16/06/2023</t>
        </is>
      </c>
      <c r="F2130" t="inlineStr">
        <is>
          <t>New Lead</t>
        </is>
      </c>
      <c r="G2130" t="inlineStr">
        <is>
          <t>Gas-related / review</t>
        </is>
      </c>
      <c r="H2130" t="inlineStr">
        <is>
          <t>"Extension in Bid
                Submission Due Date for “Hiring of Services for Forecourt Operation of CNG Mother Station at
                Nizampura, Vadodara for the Period of Three Years vide Tender No.: VGL/CO/C&amp;P-CNG/BD202306S026 Dated
                16/06/2023 Tender ID: 599286</t>
        </is>
      </c>
      <c r="K2130" t="inlineStr">
        <is>
          <t>Not found</t>
        </is>
      </c>
      <c r="L2130" t="inlineStr">
        <is>
          <t>Unknown</t>
        </is>
      </c>
      <c r="M2130" t="n">
        <v>11</v>
      </c>
      <c r="T2130" t="inlineStr">
        <is>
          <t>https://www.vgl.co.in/wp-content/uploads/2025/pdf/Extension_NIT_FC_NZ.pdf</t>
        </is>
      </c>
      <c r="U2130" t="inlineStr">
        <is>
          <t>No</t>
        </is>
      </c>
      <c r="V2130" t="inlineStr">
        <is>
          <t>Bot tarafindan tespit edildi (2026-07-01); Bot tespit/zenginlestirme (2026-07-01); meta:score=60;priority=Medium;source_type=html_link;closing_date=16/06/2023;equipment=Gas-related / review;reasons=equipment:Gas-related / review,document source,tender reference signal,closing date signal</t>
        </is>
      </c>
    </row>
    <row r="2131">
      <c r="A2131" t="inlineStr">
        <is>
          <t>T-1935</t>
        </is>
      </c>
      <c r="B2131" t="inlineStr">
        <is>
          <t>Vadodara Gas Limited</t>
        </is>
      </c>
      <c r="C2131" t="inlineStr">
        <is>
          <t>Vadodara Gas Limited</t>
        </is>
      </c>
      <c r="D2131" t="inlineStr">
        <is>
          <t>VGL/CO/C</t>
        </is>
      </c>
      <c r="E2131" t="inlineStr">
        <is>
          <t>24/06/2023</t>
        </is>
      </c>
      <c r="F2131" t="inlineStr">
        <is>
          <t>New Lead</t>
        </is>
      </c>
      <c r="G2131" t="inlineStr">
        <is>
          <t>Gas-related / review</t>
        </is>
      </c>
      <c r="H2131" t="inlineStr">
        <is>
          <t>Notice Inviting Tender
                for “Procurement of GI Fittings (Tender No.: VGL/CO/C&amp;P-PNG/BD202306P032 Dated 24/06/2023 and
                Tender ID: 600708)</t>
        </is>
      </c>
      <c r="K2131" t="inlineStr">
        <is>
          <t>Not found</t>
        </is>
      </c>
      <c r="L2131" t="inlineStr">
        <is>
          <t>Unknown</t>
        </is>
      </c>
      <c r="T2131" t="inlineStr">
        <is>
          <t>https://www.vgl.co.in/wp-content/uploads/2025/pdf/NIT_GI_Fittings_P032.pdf</t>
        </is>
      </c>
      <c r="U2131" t="inlineStr">
        <is>
          <t>No</t>
        </is>
      </c>
      <c r="V2131" t="inlineStr">
        <is>
          <t>Bot tarafindan tespit edildi (2026-07-01); Bot tespit/zenginlestirme (2026-07-01); meta:score=50;priority=Medium;source_type=html_link;closing_date=;equipment=Gas-related / review;reasons=equipment:Gas-related / review,document source,tender reference signal</t>
        </is>
      </c>
    </row>
    <row r="2132">
      <c r="A2132" t="inlineStr">
        <is>
          <t>T-1936</t>
        </is>
      </c>
      <c r="B2132" t="inlineStr">
        <is>
          <t>Vadodara Gas Limited</t>
        </is>
      </c>
      <c r="C2132" t="inlineStr">
        <is>
          <t>Vadodara Gas Limited</t>
        </is>
      </c>
      <c r="D2132" t="inlineStr">
        <is>
          <t>VGL/CO/C</t>
        </is>
      </c>
      <c r="E2132" t="inlineStr">
        <is>
          <t>03/06/2023</t>
        </is>
      </c>
      <c r="F2132" t="inlineStr">
        <is>
          <t>New Lead</t>
        </is>
      </c>
      <c r="G2132" t="inlineStr">
        <is>
          <t>Gas-related / review</t>
        </is>
      </c>
      <c r="H2132" t="inlineStr">
        <is>
          <t>"Extension in Bid
                Submission Due Date for “Hiring of Services for Third Party Inspection Agency (TPI) for Quality
                Assurance of PE PNG Last Mile Connectivity of Vadodara Gas Limited Works on Arc Basis for a Period of
                Two Years vide Tender No.: VGL/CO/C&amp;P-PNG/BD202305S022 Dated 03/06/2023 &amp; Tender ID: 596921</t>
        </is>
      </c>
      <c r="K2132" t="inlineStr">
        <is>
          <t>Not found</t>
        </is>
      </c>
      <c r="L2132" t="inlineStr">
        <is>
          <t>Unknown</t>
        </is>
      </c>
      <c r="M2132" t="n">
        <v>7</v>
      </c>
      <c r="T2132" t="inlineStr">
        <is>
          <t>https://www.vgl.co.in/wp-content/uploads/2025/pdf/Extension_NIT_TPIA.pdf</t>
        </is>
      </c>
      <c r="U2132" t="inlineStr">
        <is>
          <t>No</t>
        </is>
      </c>
      <c r="V2132" t="inlineStr">
        <is>
          <t>Bot tarafindan tespit edildi (2026-07-01); Bot tespit/zenginlestirme (2026-07-01); meta:score=60;priority=Medium;source_type=html_link;closing_date=03/06/2023;equipment=Gas-related / review;reasons=equipment:Gas-related / review,document source,tender reference signal,closing date signal</t>
        </is>
      </c>
    </row>
    <row r="2133">
      <c r="A2133" t="inlineStr">
        <is>
          <t>T-1937</t>
        </is>
      </c>
      <c r="B2133" t="inlineStr">
        <is>
          <t>Vadodara Gas Limited</t>
        </is>
      </c>
      <c r="C2133" t="inlineStr">
        <is>
          <t>Vadodara Gas Limited</t>
        </is>
      </c>
      <c r="D2133" t="inlineStr">
        <is>
          <t>VGL/CO/C</t>
        </is>
      </c>
      <c r="E2133" t="inlineStr">
        <is>
          <t>03/06/2023</t>
        </is>
      </c>
      <c r="F2133" t="inlineStr">
        <is>
          <t>New Lead</t>
        </is>
      </c>
      <c r="G2133" t="inlineStr">
        <is>
          <t>Gas-related / review</t>
        </is>
      </c>
      <c r="H2133" t="inlineStr">
        <is>
          <t>"Extension in Bid
                Submission Due Date for “Procurement of FRP Frames for PE Valve Chambers vide Tender No.:
                VGL/CO/C&amp;P-PNG/BD202305P014 Dated 03/06/2023 &amp; Tender ID: 596916</t>
        </is>
      </c>
      <c r="K2133" t="inlineStr">
        <is>
          <t>Not found</t>
        </is>
      </c>
      <c r="L2133" t="inlineStr">
        <is>
          <t>Unknown</t>
        </is>
      </c>
      <c r="M2133" t="n">
        <v>28</v>
      </c>
      <c r="T2133" t="inlineStr">
        <is>
          <t>https://www.vgl.co.in/wp-content/uploads/2025/pdf/Extension_NIT_FRP.pdf</t>
        </is>
      </c>
      <c r="U2133" t="inlineStr">
        <is>
          <t>No</t>
        </is>
      </c>
      <c r="V2133" t="inlineStr">
        <is>
          <t>Bot tarafindan tespit edildi (2026-07-01); Bot tespit/zenginlestirme (2026-07-01); meta:score=60;priority=Medium;source_type=html_link;closing_date=03/06/2023;equipment=Gas-related / review;reasons=equipment:Gas-related / review,document source,tender reference signal,closing date signal</t>
        </is>
      </c>
    </row>
    <row r="2134">
      <c r="A2134" t="inlineStr">
        <is>
          <t>T-1938</t>
        </is>
      </c>
      <c r="B2134" t="inlineStr">
        <is>
          <t>Vadodara Gas Limited</t>
        </is>
      </c>
      <c r="C2134" t="inlineStr">
        <is>
          <t>Vadodara Gas Limited</t>
        </is>
      </c>
      <c r="D2134" t="inlineStr">
        <is>
          <t>VGL/CO/C</t>
        </is>
      </c>
      <c r="E2134" t="inlineStr">
        <is>
          <t>26/05/2023</t>
        </is>
      </c>
      <c r="F2134" t="inlineStr">
        <is>
          <t>New Lead</t>
        </is>
      </c>
      <c r="G2134" t="inlineStr">
        <is>
          <t>Gas-related / review</t>
        </is>
      </c>
      <c r="H2134" t="inlineStr">
        <is>
          <t>"Extension in Bid
                Submission Due Date for “Hiring of AMC Service for Cathodic Protection (CP) System of VGL Steel
                Pipeline Network vide Tender No.: VGL/CO/C&amp;P-PNG/BD202305S010 Dated 26/05/2023 &amp; Tender ID:
                595287</t>
        </is>
      </c>
      <c r="K2134" t="inlineStr">
        <is>
          <t>Not found</t>
        </is>
      </c>
      <c r="L2134" t="inlineStr">
        <is>
          <t>Unknown</t>
        </is>
      </c>
      <c r="M2134" t="n">
        <v>28</v>
      </c>
      <c r="T2134" t="inlineStr">
        <is>
          <t>https://www.vgl.co.in/wp-content/uploads/2025/pdf/Extension_NIT_CP.pdf</t>
        </is>
      </c>
      <c r="U2134" t="inlineStr">
        <is>
          <t>No</t>
        </is>
      </c>
      <c r="V2134" t="inlineStr">
        <is>
          <t>Bot tarafindan tespit edildi (2026-07-01); Bot tespit/zenginlestirme (2026-07-01); meta:score=60;priority=Medium;source_type=html_link;closing_date=26/05/2023;equipment=Gas-related / review;reasons=equipment:Gas-related / review,document source,tender reference signal,closing date signal</t>
        </is>
      </c>
    </row>
    <row r="2135">
      <c r="A2135" t="inlineStr">
        <is>
          <t>T-1939</t>
        </is>
      </c>
      <c r="B2135" t="inlineStr">
        <is>
          <t>Vadodara Gas Limited</t>
        </is>
      </c>
      <c r="C2135" t="inlineStr">
        <is>
          <t>Vadodara Gas Limited</t>
        </is>
      </c>
      <c r="D2135" t="inlineStr">
        <is>
          <t>VGL/CO/C</t>
        </is>
      </c>
      <c r="E2135" t="inlineStr">
        <is>
          <t>03/06/2023</t>
        </is>
      </c>
      <c r="F2135" t="inlineStr">
        <is>
          <t>New Lead</t>
        </is>
      </c>
      <c r="G2135" t="inlineStr">
        <is>
          <t>Gas-related / review</t>
        </is>
      </c>
      <c r="H2135" t="inlineStr">
        <is>
          <t>"Extension in Bid
                Submission Due Date for “ARC for Civil, Electrical and Mechanical Work for the Period of 01 Year
                vide Tender No.: VGL/CO/C&amp;P-PNG/BD202305S013 Dated 03/06/2023 &amp; Tender ID: 596928</t>
        </is>
      </c>
      <c r="K2135" t="inlineStr">
        <is>
          <t>Not found</t>
        </is>
      </c>
      <c r="L2135" t="inlineStr">
        <is>
          <t>Unknown</t>
        </is>
      </c>
      <c r="M2135" t="n">
        <v>28</v>
      </c>
      <c r="T2135" t="inlineStr">
        <is>
          <t>https://www.vgl.co.in/wp-content/uploads/2025/pdf/Extension_NIT_ARC.pdf</t>
        </is>
      </c>
      <c r="U2135" t="inlineStr">
        <is>
          <t>No</t>
        </is>
      </c>
      <c r="V2135" t="inlineStr">
        <is>
          <t>Bot tarafindan tespit edildi (2026-07-01); Bot tespit/zenginlestirme (2026-07-01); meta:score=60;priority=Medium;source_type=html_link;closing_date=03/06/2023;equipment=Gas-related / review;reasons=equipment:Gas-related / review,document source,tender reference signal,closing date signal</t>
        </is>
      </c>
    </row>
    <row r="2136">
      <c r="A2136" t="inlineStr">
        <is>
          <t>T-1940</t>
        </is>
      </c>
      <c r="B2136" t="inlineStr">
        <is>
          <t>Vadodara Gas Limited</t>
        </is>
      </c>
      <c r="C2136" t="inlineStr">
        <is>
          <t>Vadodara Gas Limited</t>
        </is>
      </c>
      <c r="D2136" t="inlineStr">
        <is>
          <t>VGL/CO/C</t>
        </is>
      </c>
      <c r="E2136" t="inlineStr">
        <is>
          <t>16/06/2023</t>
        </is>
      </c>
      <c r="F2136" t="inlineStr">
        <is>
          <t>New Lead</t>
        </is>
      </c>
      <c r="G2136" t="inlineStr">
        <is>
          <t>Gas-related / review</t>
        </is>
      </c>
      <c r="H2136" t="inlineStr">
        <is>
          <t>Notice Inviting Tender
                for “Hiring of Services for Forecourt Operation of CNG Mother Station at Dashrath, Vadodara for
                the Period of Three Years (Tender No.: VGL/CO/C&amp;P-CNG/BD202306S027 Dated 16/06/2023 and Tender ID:
                599305</t>
        </is>
      </c>
      <c r="K2136" t="inlineStr">
        <is>
          <t>Not found</t>
        </is>
      </c>
      <c r="L2136" t="inlineStr">
        <is>
          <t>Unknown</t>
        </is>
      </c>
      <c r="T2136" t="inlineStr">
        <is>
          <t>https://www.vgl.co.in/wp-content/uploads/2025/pdf/NIT_FC DS S027 23-24.pdf</t>
        </is>
      </c>
      <c r="U2136" t="inlineStr">
        <is>
          <t>No</t>
        </is>
      </c>
      <c r="V2136" t="inlineStr">
        <is>
          <t>Bot tarafindan tespit edildi (2026-07-01); Bot tespit/zenginlestirme (2026-07-01); meta:score=50;priority=Medium;source_type=html_link;closing_date=;equipment=Gas-related / review;reasons=equipment:Gas-related / review,document source,tender reference signal</t>
        </is>
      </c>
    </row>
    <row r="2137">
      <c r="A2137" t="inlineStr">
        <is>
          <t>T-1941</t>
        </is>
      </c>
      <c r="B2137" t="inlineStr">
        <is>
          <t>Vadodara Gas Limited</t>
        </is>
      </c>
      <c r="C2137" t="inlineStr">
        <is>
          <t>Vadodara Gas Limited</t>
        </is>
      </c>
      <c r="D2137" t="inlineStr">
        <is>
          <t>VGL/CO/C</t>
        </is>
      </c>
      <c r="E2137" t="inlineStr">
        <is>
          <t>16/06/2023</t>
        </is>
      </c>
      <c r="F2137" t="inlineStr">
        <is>
          <t>New Lead</t>
        </is>
      </c>
      <c r="G2137" t="inlineStr">
        <is>
          <t>Gas-related / review</t>
        </is>
      </c>
      <c r="H2137" t="inlineStr">
        <is>
          <t>Notice Inviting Tender
                for “Hiring of Services for Forecourt Operation of CNG Mother Station at Nizampura, Vadodara for
                the Period of Three Years (Tender No.: VGL/CO/C&amp;P-CNG/BD202306S026 Dated 16/06/2023 and Tender ID:
                599286</t>
        </is>
      </c>
      <c r="K2137" t="inlineStr">
        <is>
          <t>Not found</t>
        </is>
      </c>
      <c r="L2137" t="inlineStr">
        <is>
          <t>Unknown</t>
        </is>
      </c>
      <c r="T2137" t="inlineStr">
        <is>
          <t>https://www.vgl.co.in/wp-content/uploads/2025/pdf/NIT_FC NZ S026 23-24.pdf</t>
        </is>
      </c>
      <c r="U2137" t="inlineStr">
        <is>
          <t>No</t>
        </is>
      </c>
      <c r="V2137" t="inlineStr">
        <is>
          <t>Bot tarafindan tespit edildi (2026-07-01); Bot tespit/zenginlestirme (2026-07-01); meta:score=50;priority=Medium;source_type=html_link;closing_date=;equipment=Gas-related / review;reasons=equipment:Gas-related / review,document source,tender reference signal</t>
        </is>
      </c>
    </row>
    <row r="2138">
      <c r="A2138" t="inlineStr">
        <is>
          <t>T-1942</t>
        </is>
      </c>
      <c r="B2138" t="inlineStr">
        <is>
          <t>Vadodara Gas Limited</t>
        </is>
      </c>
      <c r="C2138" t="inlineStr">
        <is>
          <t>Vadodara Gas Limited</t>
        </is>
      </c>
      <c r="D2138" t="inlineStr">
        <is>
          <t>VGL/CO/C</t>
        </is>
      </c>
      <c r="E2138" t="inlineStr">
        <is>
          <t>03/06/2023</t>
        </is>
      </c>
      <c r="F2138" t="inlineStr">
        <is>
          <t>New Lead</t>
        </is>
      </c>
      <c r="G2138" t="inlineStr">
        <is>
          <t>Gas-related / review</t>
        </is>
      </c>
      <c r="H2138" t="inlineStr">
        <is>
          <t>Notice Inviting Tender for “Procurement of FRP Frames for PE Valve Chambers
                (Tender No.: VGL/CO/C&amp;P-PNG/BD202305P014 Dated 03/06/2023 and Tender ID: 596916)</t>
        </is>
      </c>
      <c r="K2138" t="inlineStr">
        <is>
          <t>Not found</t>
        </is>
      </c>
      <c r="L2138" t="inlineStr">
        <is>
          <t>Unknown</t>
        </is>
      </c>
      <c r="T2138" t="inlineStr">
        <is>
          <t>https://www.vgl.co.in/wp-content/uploads/2025/pdf/NIT_FRP.pdf</t>
        </is>
      </c>
      <c r="U2138" t="inlineStr">
        <is>
          <t>No</t>
        </is>
      </c>
      <c r="V2138" t="inlineStr">
        <is>
          <t>Bot tarafindan tespit edildi (2026-07-01); Bot tespit/zenginlestirme (2026-07-01); meta:score=50;priority=Medium;source_type=html_link;closing_date=;equipment=Gas-related / review;reasons=equipment:Gas-related / review,document source,tender reference signal</t>
        </is>
      </c>
    </row>
    <row r="2139">
      <c r="A2139" t="inlineStr">
        <is>
          <t>T-1943</t>
        </is>
      </c>
      <c r="B2139" t="inlineStr">
        <is>
          <t>Vadodara Gas Limited</t>
        </is>
      </c>
      <c r="C2139" t="inlineStr">
        <is>
          <t>Vadodara Gas Limited</t>
        </is>
      </c>
      <c r="D2139" t="inlineStr">
        <is>
          <t>VGL/CO/C</t>
        </is>
      </c>
      <c r="E2139" t="inlineStr">
        <is>
          <t>03/06/2023</t>
        </is>
      </c>
      <c r="F2139" t="inlineStr">
        <is>
          <t>New Lead</t>
        </is>
      </c>
      <c r="G2139" t="inlineStr">
        <is>
          <t>Gas-related / review</t>
        </is>
      </c>
      <c r="H2139" t="inlineStr">
        <is>
          <t>Notice Inviting Tender
                for “ARC for Civil, Electrical and Mechanical Work for the Period of 01 Year (Tender No.:
                VGL/CO/C&amp;P-PNG/BD202305S013 Dated 03/06/2023 and Tender ID: 596928)</t>
        </is>
      </c>
      <c r="K2139" t="inlineStr">
        <is>
          <t>Not found</t>
        </is>
      </c>
      <c r="L2139" t="inlineStr">
        <is>
          <t>Unknown</t>
        </is>
      </c>
      <c r="T2139" t="inlineStr">
        <is>
          <t>https://www.vgl.co.in/wp-content/uploads/2025/pdf/NIT_ARC Civil S013.pdf</t>
        </is>
      </c>
      <c r="U2139" t="inlineStr">
        <is>
          <t>No</t>
        </is>
      </c>
      <c r="V2139" t="inlineStr">
        <is>
          <t>Bot tarafindan tespit edildi (2026-07-01); Bot tespit/zenginlestirme (2026-07-01); meta:score=50;priority=Medium;source_type=html_link;closing_date=;equipment=Gas-related / review;reasons=equipment:Gas-related / review,document source,tender reference signal</t>
        </is>
      </c>
    </row>
    <row r="2140">
      <c r="A2140" t="inlineStr">
        <is>
          <t>T-1944</t>
        </is>
      </c>
      <c r="B2140" t="inlineStr">
        <is>
          <t>Vadodara Gas Limited</t>
        </is>
      </c>
      <c r="C2140" t="inlineStr">
        <is>
          <t>Vadodara Gas Limited</t>
        </is>
      </c>
      <c r="D2140" t="inlineStr">
        <is>
          <t>VGL/CO/C</t>
        </is>
      </c>
      <c r="E2140" t="inlineStr">
        <is>
          <t>03/06/2023</t>
        </is>
      </c>
      <c r="F2140" t="inlineStr">
        <is>
          <t>New Lead</t>
        </is>
      </c>
      <c r="G2140" t="inlineStr">
        <is>
          <t>Gas-related / review</t>
        </is>
      </c>
      <c r="H2140" t="inlineStr">
        <is>
          <t>Notice Inviting Tender for
                “Hiring of Services for Third Party Inspection Agency (TPI) for Quality Assurance of PE PNG Last
                Mile Connectivity of Vadodara Gas Limited Works on Arc Basis for a Period of Two Years (Tender No.:
                VGL/CO/C&amp;P-PNG/BD202305S022 Dated 03/06/2023 and Tender ID: 596921)</t>
        </is>
      </c>
      <c r="K2140" t="inlineStr">
        <is>
          <t>Not found</t>
        </is>
      </c>
      <c r="L2140" t="inlineStr">
        <is>
          <t>Unknown</t>
        </is>
      </c>
      <c r="T2140" t="inlineStr">
        <is>
          <t>https://www.vgl.co.in/wp-content/uploads/2025/pdf/NIT_TPI 23-24.pdf</t>
        </is>
      </c>
      <c r="U2140" t="inlineStr">
        <is>
          <t>No</t>
        </is>
      </c>
      <c r="V2140" t="inlineStr">
        <is>
          <t>Bot tarafindan tespit edildi (2026-07-01); Bot tespit/zenginlestirme (2026-07-01); meta:score=50;priority=Medium;source_type=html_link;closing_date=;equipment=Gas-related / review;reasons=equipment:Gas-related / review,document source,tender reference signal</t>
        </is>
      </c>
    </row>
    <row r="2141">
      <c r="A2141" t="inlineStr">
        <is>
          <t>T-1945</t>
        </is>
      </c>
      <c r="B2141" t="inlineStr">
        <is>
          <t>Vadodara Gas Limited</t>
        </is>
      </c>
      <c r="C2141" t="inlineStr">
        <is>
          <t>Vadodara Gas Limited</t>
        </is>
      </c>
      <c r="D2141" t="inlineStr">
        <is>
          <t>VGL/CO/C</t>
        </is>
      </c>
      <c r="E2141" t="inlineStr">
        <is>
          <t>26/05/2023</t>
        </is>
      </c>
      <c r="F2141" t="inlineStr">
        <is>
          <t>New Lead</t>
        </is>
      </c>
      <c r="G2141" t="inlineStr">
        <is>
          <t>Gas-related / review</t>
        </is>
      </c>
      <c r="H2141" t="inlineStr">
        <is>
          <t>Notice inviting Tender
                for “Hiring of AMC Service for Cathodic Protection (CP) System of VGL Steel Pipeline
                Network”. (Tender No.: VGL/CO/C&amp;P-PNG/BD202305S010 Dated 26/05/2023 and Tender ID: 595287)</t>
        </is>
      </c>
      <c r="K2141" t="inlineStr">
        <is>
          <t>Not found</t>
        </is>
      </c>
      <c r="L2141" t="inlineStr">
        <is>
          <t>Unknown</t>
        </is>
      </c>
      <c r="T2141" t="inlineStr">
        <is>
          <t>https://www.vgl.co.in/wp-content/uploads/2025/pdf/NIT_AMC_CP_26-05-23.pdf</t>
        </is>
      </c>
      <c r="U2141" t="inlineStr">
        <is>
          <t>No</t>
        </is>
      </c>
      <c r="V2141" t="inlineStr">
        <is>
          <t>Bot tarafindan tespit edildi (2026-07-01); Bot tespit/zenginlestirme (2026-07-01); meta:score=50;priority=Medium;source_type=html_link;closing_date=;equipment=Gas-related / review;reasons=equipment:Gas-related / review,document source,tender reference signal</t>
        </is>
      </c>
    </row>
    <row r="2142">
      <c r="A2142" t="inlineStr">
        <is>
          <t>T-1946</t>
        </is>
      </c>
      <c r="B2142" t="inlineStr">
        <is>
          <t>Vadodara Gas Limited</t>
        </is>
      </c>
      <c r="C2142" t="inlineStr">
        <is>
          <t>Vadodara Gas Limited</t>
        </is>
      </c>
      <c r="D2142" t="inlineStr">
        <is>
          <t>VGL/CO/C</t>
        </is>
      </c>
      <c r="E2142" t="inlineStr">
        <is>
          <t>05/05/2023</t>
        </is>
      </c>
      <c r="F2142" t="inlineStr">
        <is>
          <t>New Lead</t>
        </is>
      </c>
      <c r="G2142" t="inlineStr">
        <is>
          <t>Gas-related / review</t>
        </is>
      </c>
      <c r="H2142" t="inlineStr">
        <is>
          <t>Replies
                to Bidder's Queries for "Hiring of Services for Forecourt Operation of CNG Mother Station at Racecourse,
                Vadodara for the Period of Three Years”. (Tender No.: VGL/CO/C&amp;P-PNG/BD202304S005 Dated
                05/05/2023 and Tender ID: 589862)</t>
        </is>
      </c>
      <c r="K2142" t="inlineStr">
        <is>
          <t>Not found</t>
        </is>
      </c>
      <c r="L2142" t="inlineStr">
        <is>
          <t>Unknown</t>
        </is>
      </c>
      <c r="T2142" t="inlineStr">
        <is>
          <t>https://www.vgl.co.in/wp-content/uploads/2025/pdf/REPLIES_TO_BIDDERS_QUERIES_22_05_23.pdf</t>
        </is>
      </c>
      <c r="U2142" t="inlineStr">
        <is>
          <t>No</t>
        </is>
      </c>
      <c r="V2142" t="inlineStr">
        <is>
          <t>Bot tarafindan tespit edildi (2026-07-01); Bot tespit/zenginlestirme (2026-07-01); meta:score=50;priority=Medium;source_type=html_link;closing_date=;equipment=Gas-related / review;reasons=equipment:Gas-related / review,document source,tender reference signal</t>
        </is>
      </c>
    </row>
    <row r="2143">
      <c r="A2143" t="inlineStr">
        <is>
          <t>T-1947</t>
        </is>
      </c>
      <c r="B2143" t="inlineStr">
        <is>
          <t>Vadodara Gas Limited</t>
        </is>
      </c>
      <c r="C2143" t="inlineStr">
        <is>
          <t>Vadodara Gas Limited</t>
        </is>
      </c>
      <c r="D2143" t="inlineStr">
        <is>
          <t>VGL/CO/C</t>
        </is>
      </c>
      <c r="E2143" t="inlineStr">
        <is>
          <t>29/04/2023</t>
        </is>
      </c>
      <c r="F2143" t="inlineStr">
        <is>
          <t>New Lead</t>
        </is>
      </c>
      <c r="G2143" t="inlineStr">
        <is>
          <t>Gas-related / review</t>
        </is>
      </c>
      <c r="H2143" t="inlineStr">
        <is>
          <t>Replies to
                Bidder's Queries for “Hiring the Services for Old Network Infrastructure Revamping and Annual
                Maintenance of Existing PNG Connection in Vadodara vide Tender No.: VGL/CO/C&amp;P-CNG/BD202304S003
                Dated 29/04/2023 &amp; Tender ID: 589372</t>
        </is>
      </c>
      <c r="K2143" t="inlineStr">
        <is>
          <t>Not found</t>
        </is>
      </c>
      <c r="L2143" t="inlineStr">
        <is>
          <t>Unknown</t>
        </is>
      </c>
      <c r="T2143" t="inlineStr">
        <is>
          <t>https://www.vgl.co.in/wp-content/uploads/2025/pdf/REPLIES_TO_BIDDERS_QUERIES-AMC.pdf</t>
        </is>
      </c>
      <c r="U2143" t="inlineStr">
        <is>
          <t>No</t>
        </is>
      </c>
      <c r="V2143" t="inlineStr">
        <is>
          <t>Bot tarafindan tespit edildi (2026-07-01); Bot tespit/zenginlestirme (2026-07-01); meta:score=50;priority=Medium;source_type=html_link;closing_date=;equipment=Gas-related / review;reasons=equipment:Gas-related / review,document source,tender reference signal</t>
        </is>
      </c>
    </row>
    <row r="2144">
      <c r="A2144" t="inlineStr">
        <is>
          <t>T-1948</t>
        </is>
      </c>
      <c r="B2144" t="inlineStr">
        <is>
          <t>Vadodara Gas Limited</t>
        </is>
      </c>
      <c r="C2144" t="inlineStr">
        <is>
          <t>Vadodara Gas Limited</t>
        </is>
      </c>
      <c r="D2144" t="inlineStr">
        <is>
          <t>VGL/CO/C</t>
        </is>
      </c>
      <c r="E2144" t="inlineStr">
        <is>
          <t>29/04/2023</t>
        </is>
      </c>
      <c r="F2144" t="inlineStr">
        <is>
          <t>New Lead</t>
        </is>
      </c>
      <c r="G2144" t="inlineStr">
        <is>
          <t>Gas-related / review</t>
        </is>
      </c>
      <c r="H2144" t="inlineStr">
        <is>
          <t>Extension in Bid
                Submission Due Date for “Hiring the Services for Old Network Infrastructure Revamping and Annual
                Maintenance of Existing PNG Connection in Vadodara vide Tender No.: VGL/CO/C&amp;P-CNG/BD202304S003
                Dated 29/04/2023 &amp; Tender ID: 589372</t>
        </is>
      </c>
      <c r="K2144" t="inlineStr">
        <is>
          <t>Not found</t>
        </is>
      </c>
      <c r="L2144" t="inlineStr">
        <is>
          <t>Unknown</t>
        </is>
      </c>
      <c r="T2144" t="inlineStr">
        <is>
          <t>https://www.vgl.co.in/wp-content/uploads/2025/pdf/Extension-Due-Date-AMC.pdf</t>
        </is>
      </c>
      <c r="U2144" t="inlineStr">
        <is>
          <t>No</t>
        </is>
      </c>
      <c r="V2144" t="inlineStr">
        <is>
          <t>Bot tarafindan tespit edildi (2026-07-01); Bot tespit/zenginlestirme (2026-07-01); meta:score=60;priority=Medium;source_type=html_link;closing_date=;equipment=Gas-related / review;reasons=equipment:Gas-related / review,document source,tender reference signal,closing date signal</t>
        </is>
      </c>
    </row>
    <row r="2145">
      <c r="A2145" t="inlineStr">
        <is>
          <t>T-1949</t>
        </is>
      </c>
      <c r="B2145" t="inlineStr">
        <is>
          <t>Vadodara Gas Limited</t>
        </is>
      </c>
      <c r="C2145" t="inlineStr">
        <is>
          <t>Vadodara Gas Limited</t>
        </is>
      </c>
      <c r="D2145" t="inlineStr">
        <is>
          <t>VGL/CO/C</t>
        </is>
      </c>
      <c r="E2145" t="inlineStr">
        <is>
          <t>29/04/2023</t>
        </is>
      </c>
      <c r="F2145" t="inlineStr">
        <is>
          <t>New Lead</t>
        </is>
      </c>
      <c r="G2145" t="inlineStr">
        <is>
          <t>Gas-related / review</t>
        </is>
      </c>
      <c r="H2145" t="inlineStr">
        <is>
          <t>Replies to
                Bidder's Queries for “Hiring the Services for Providing the Above Ground GI Installation including
                Last Mile at Consumer End for New Domestic PNG Connection vide Tender No.:
                VGL/CO/C&amp;P-CNG/BD202304S004 Dated 29/04/2023 &amp; Tender ID: 589430</t>
        </is>
      </c>
      <c r="K2145" t="inlineStr">
        <is>
          <t>Not found</t>
        </is>
      </c>
      <c r="L2145" t="inlineStr">
        <is>
          <t>Unknown</t>
        </is>
      </c>
      <c r="T2145" t="inlineStr">
        <is>
          <t>https://www.vgl.co.in/wp-content/uploads/2025/pdf/REPLIES_TO_BIDDERS_QUERIES-D-PNG.pdf</t>
        </is>
      </c>
      <c r="U2145" t="inlineStr">
        <is>
          <t>No</t>
        </is>
      </c>
      <c r="V2145" t="inlineStr">
        <is>
          <t>Bot tarafindan tespit edildi (2026-07-01); Bot tespit/zenginlestirme (2026-07-01); meta:score=50;priority=Medium;source_type=html_link;closing_date=;equipment=Gas-related / review;reasons=equipment:Gas-related / review,document source,tender reference signal</t>
        </is>
      </c>
    </row>
    <row r="2146">
      <c r="A2146" t="inlineStr">
        <is>
          <t>T-1950</t>
        </is>
      </c>
      <c r="B2146" t="inlineStr">
        <is>
          <t>Vadodara Gas Limited</t>
        </is>
      </c>
      <c r="C2146" t="inlineStr">
        <is>
          <t>Vadodara Gas Limited</t>
        </is>
      </c>
      <c r="D2146" t="inlineStr">
        <is>
          <t>VGL/CO/C</t>
        </is>
      </c>
      <c r="E2146" t="inlineStr">
        <is>
          <t>29/04/2023</t>
        </is>
      </c>
      <c r="F2146" t="inlineStr">
        <is>
          <t>New Lead</t>
        </is>
      </c>
      <c r="G2146" t="inlineStr">
        <is>
          <t>Gas-related / review</t>
        </is>
      </c>
      <c r="H2146" t="inlineStr">
        <is>
          <t>Extension in Bid
                Submission Due Date for “Hiring the Services for Providing the Above Ground GI Installation
                including Last Mile at Consumer End for New Domestic PNG Connection vide Tender No.:
                VGL/CO/C&amp;P-CNG/BD202304S004 Dated 29/04/2023 &amp; Tender ID: 589430</t>
        </is>
      </c>
      <c r="K2146" t="inlineStr">
        <is>
          <t>Not found</t>
        </is>
      </c>
      <c r="L2146" t="inlineStr">
        <is>
          <t>Unknown</t>
        </is>
      </c>
      <c r="T2146" t="inlineStr">
        <is>
          <t>https://www.vgl.co.in/wp-content/uploads/2025/pdf/Extension-Due-Date-D-PNG.pdf</t>
        </is>
      </c>
      <c r="U2146" t="inlineStr">
        <is>
          <t>No</t>
        </is>
      </c>
      <c r="V2146" t="inlineStr">
        <is>
          <t>Bot tarafindan tespit edildi (2026-07-01); Bot tespit/zenginlestirme (2026-07-01); meta:score=60;priority=Medium;source_type=html_link;closing_date=;equipment=Gas-related / review;reasons=equipment:Gas-related / review,document source,tender reference signal,closing date signal</t>
        </is>
      </c>
    </row>
    <row r="2147">
      <c r="A2147" t="inlineStr">
        <is>
          <t>T-1951</t>
        </is>
      </c>
      <c r="B2147" t="inlineStr">
        <is>
          <t>Vadodara Gas Limited</t>
        </is>
      </c>
      <c r="C2147" t="inlineStr">
        <is>
          <t>Vadodara Gas Limited</t>
        </is>
      </c>
      <c r="D2147" t="inlineStr">
        <is>
          <t>Tender No.: VGL/CO/C</t>
        </is>
      </c>
      <c r="E2147" t="inlineStr">
        <is>
          <t>29/04/2023</t>
        </is>
      </c>
      <c r="F2147" t="inlineStr">
        <is>
          <t>Awarded</t>
        </is>
      </c>
      <c r="G2147" t="inlineStr">
        <is>
          <t>Gas-related / review</t>
        </is>
      </c>
      <c r="H2147" t="inlineStr">
        <is>
          <t>Corrigendum-1 for
                “Transportation of Natural Gas in the Compressed form through 8000 WL or Above Capacity Mobile
                Cascades for the Period of 36 Months vide Tender No.: VGL/CO/C&amp;P-CNG/BD202304S002 Dated 29/04/2023
                and Tender ID: 589364</t>
        </is>
      </c>
      <c r="K2147" t="inlineStr">
        <is>
          <t>Not found</t>
        </is>
      </c>
      <c r="L2147" t="inlineStr">
        <is>
          <t>Unknown</t>
        </is>
      </c>
      <c r="T2147" t="inlineStr">
        <is>
          <t>https://www.vgl.co.in/wp-content/uploads/2025/pdf/Corrigendum - 1.pdf</t>
        </is>
      </c>
      <c r="U2147" t="inlineStr">
        <is>
          <t>No</t>
        </is>
      </c>
      <c r="V2147" t="inlineStr">
        <is>
          <t>Bot tarafindan tespit edildi (2026-07-01) | Bot enrich; date=2026-07-01; type=pdf; score=240; Bot tespit/zenginlestirme (2026-07-01); meta:score=50;priority=Medium;source_type=html_link;closing_date=;equipment=Gas-related / review;reasons=equipment:Gas-related / review,document source,tender reference signal</t>
        </is>
      </c>
    </row>
    <row r="2148">
      <c r="A2148" t="inlineStr">
        <is>
          <t>T-1952</t>
        </is>
      </c>
      <c r="B2148" t="inlineStr">
        <is>
          <t>Vadodara Gas Limited</t>
        </is>
      </c>
      <c r="C2148" t="inlineStr">
        <is>
          <t>Vadodara Gas Limited</t>
        </is>
      </c>
      <c r="D2148" t="inlineStr">
        <is>
          <t>VGL/CO/C</t>
        </is>
      </c>
      <c r="E2148" t="inlineStr">
        <is>
          <t>29/04/2023</t>
        </is>
      </c>
      <c r="F2148" t="inlineStr">
        <is>
          <t>New Lead</t>
        </is>
      </c>
      <c r="G2148" t="inlineStr">
        <is>
          <t>Gas-related / review</t>
        </is>
      </c>
      <c r="H2148" t="inlineStr">
        <is>
          <t>Extension
                of Bid Submission Due Date for “Transportation of Natural Gas in the Compressed form through 8000
                WL or Above Capacity Mobile Cascades for the Period of 36 Months vide Tender No.:
                VGL/CO/C&amp;P-CNG/BD202304S002 Dated 29/04/2023 and Tender ID: 589364</t>
        </is>
      </c>
      <c r="K2148" t="inlineStr">
        <is>
          <t>Not found</t>
        </is>
      </c>
      <c r="L2148" t="inlineStr">
        <is>
          <t>Unknown</t>
        </is>
      </c>
      <c r="T2148" t="inlineStr">
        <is>
          <t>https://www.vgl.co.in/wp-content/uploads/2025/pdf/Extension-Bid-Submission-Due_Date.pdf</t>
        </is>
      </c>
      <c r="U2148" t="inlineStr">
        <is>
          <t>No</t>
        </is>
      </c>
      <c r="V2148" t="inlineStr">
        <is>
          <t>Bot tarafindan tespit edildi (2026-07-01); Bot tespit/zenginlestirme (2026-07-01); meta:score=60;priority=Medium;source_type=html_link;closing_date=;equipment=Gas-related / review;reasons=equipment:Gas-related / review,document source,tender reference signal,closing date signal</t>
        </is>
      </c>
    </row>
    <row r="2149">
      <c r="A2149" t="inlineStr">
        <is>
          <t>T-1953</t>
        </is>
      </c>
      <c r="B2149" t="inlineStr">
        <is>
          <t>Vadodara Gas Limited</t>
        </is>
      </c>
      <c r="C2149" t="inlineStr">
        <is>
          <t>Vadodara Gas Limited</t>
        </is>
      </c>
      <c r="D2149" t="inlineStr">
        <is>
          <t>592749</t>
        </is>
      </c>
      <c r="E2149" t="inlineStr">
        <is>
          <t>15/05/2023</t>
        </is>
      </c>
      <c r="F2149" t="inlineStr">
        <is>
          <t>New Lead</t>
        </is>
      </c>
      <c r="G2149" t="inlineStr">
        <is>
          <t>Gas-related / review</t>
        </is>
      </c>
      <c r="H2149" t="inlineStr">
        <is>
          <t>Notice inviting Tender for
                “Hiring of Services for Forecourt Operation of CNG Mother Station at Gajrawadi for the Period of 2
                Years”. (VGL/CO/C&amp;P-PNG/BD202303S037_RI Dated 15/05/2023 and Tender ID: 592749)</t>
        </is>
      </c>
      <c r="K2149" t="inlineStr">
        <is>
          <t>Not found</t>
        </is>
      </c>
      <c r="L2149" t="inlineStr">
        <is>
          <t>Unknown</t>
        </is>
      </c>
      <c r="T2149" t="inlineStr">
        <is>
          <t>https://www.vgl.co.in/wp-content/uploads/2025/pdf/NIT_FC_GJ.pdf</t>
        </is>
      </c>
      <c r="U2149" t="inlineStr">
        <is>
          <t>No</t>
        </is>
      </c>
      <c r="V2149" t="inlineStr">
        <is>
          <t>Bot tarafindan tespit edildi (2026-07-01); Bot tespit/zenginlestirme (2026-07-01); meta:score=50;priority=Medium;source_type=html_link;closing_date=;equipment=Gas-related / review;reasons=equipment:Gas-related / review,document source,tender reference signal</t>
        </is>
      </c>
    </row>
    <row r="2150">
      <c r="A2150" t="inlineStr">
        <is>
          <t>T-1954</t>
        </is>
      </c>
      <c r="B2150" t="inlineStr">
        <is>
          <t>Vadodara Gas Limited</t>
        </is>
      </c>
      <c r="C2150" t="inlineStr">
        <is>
          <t>Vadodara Gas Limited</t>
        </is>
      </c>
      <c r="D2150" t="inlineStr">
        <is>
          <t>589364</t>
        </is>
      </c>
      <c r="E2150" t="inlineStr">
        <is>
          <t>29/04/2023</t>
        </is>
      </c>
      <c r="F2150" t="inlineStr">
        <is>
          <t>New Lead</t>
        </is>
      </c>
      <c r="G2150" t="inlineStr">
        <is>
          <t>Gas-related / review</t>
        </is>
      </c>
      <c r="H2150" t="inlineStr">
        <is>
          <t>Replies to
                Bidder's Queries for “Transportation of Natural Gas in the Compressed form through 8000 WL or
                Above Capacity Mobile Cascades for the Period of 36 Months”. (VGL/CO/C&amp;P-CNG/BD202304S002
                Dated 29/04/2023 &amp; Tender ID: 589364)”</t>
        </is>
      </c>
      <c r="K2150" t="inlineStr">
        <is>
          <t>Not found</t>
        </is>
      </c>
      <c r="L2150" t="inlineStr">
        <is>
          <t>Unknown</t>
        </is>
      </c>
      <c r="T2150" t="inlineStr">
        <is>
          <t>https://www.vgl.co.in/wp-content/uploads/2025/pdf/REPLIES_TO_BIDDERS_QUERIES.pdf</t>
        </is>
      </c>
      <c r="U2150" t="inlineStr">
        <is>
          <t>No</t>
        </is>
      </c>
      <c r="V2150" t="inlineStr">
        <is>
          <t>Bot tarafindan tespit edildi (2026-07-01); Bot tespit/zenginlestirme (2026-07-01); meta:score=35;priority=Low;source_type=html_link;closing_date=;equipment=Gas-related / review;reasons=equipment:Gas-related / review,document source</t>
        </is>
      </c>
    </row>
    <row r="2151">
      <c r="A2151" t="inlineStr">
        <is>
          <t>T-1955</t>
        </is>
      </c>
      <c r="B2151" t="inlineStr">
        <is>
          <t>Vadodara Gas Limited</t>
        </is>
      </c>
      <c r="C2151" t="inlineStr">
        <is>
          <t>Vadodara Gas Limited</t>
        </is>
      </c>
      <c r="D2151" t="inlineStr">
        <is>
          <t>589862</t>
        </is>
      </c>
      <c r="E2151" t="inlineStr">
        <is>
          <t>05/05/2023</t>
        </is>
      </c>
      <c r="F2151" t="inlineStr">
        <is>
          <t>New Lead</t>
        </is>
      </c>
      <c r="G2151" t="inlineStr">
        <is>
          <t>Gas-related / review</t>
        </is>
      </c>
      <c r="H2151" t="inlineStr">
        <is>
          <t>Notice Inviting Tender for
                “Hiring of Services for Forecourt Operation of CNG Mother Station at Racecourse, Vadodara for the
                Period of Three Years”. (VGL/CO/C&amp;P-PNG/BD202304S005 Dated 05/05/2023 and Tender ID:
                589862)”</t>
        </is>
      </c>
      <c r="K2151" t="inlineStr">
        <is>
          <t>Not found</t>
        </is>
      </c>
      <c r="L2151" t="inlineStr">
        <is>
          <t>Unknown</t>
        </is>
      </c>
      <c r="T2151" t="inlineStr">
        <is>
          <t>https://www.vgl.co.in/wp-content/uploads/2025/pdf/NIT_RC_FC_005.pdf</t>
        </is>
      </c>
      <c r="U2151" t="inlineStr">
        <is>
          <t>No</t>
        </is>
      </c>
      <c r="V2151" t="inlineStr">
        <is>
          <t>Bot tarafindan tespit edildi (2026-07-01); Bot tespit/zenginlestirme (2026-07-01); meta:score=50;priority=Medium;source_type=html_link;closing_date=;equipment=Gas-related / review;reasons=equipment:Gas-related / review,document source,tender reference signal</t>
        </is>
      </c>
    </row>
    <row r="2152">
      <c r="A2152" t="inlineStr">
        <is>
          <t>T-1956</t>
        </is>
      </c>
      <c r="B2152" t="inlineStr">
        <is>
          <t>Vadodara Gas Limited</t>
        </is>
      </c>
      <c r="C2152" t="inlineStr">
        <is>
          <t>Vadodara Gas Limited</t>
        </is>
      </c>
      <c r="D2152" t="inlineStr">
        <is>
          <t>586187</t>
        </is>
      </c>
      <c r="E2152" t="inlineStr">
        <is>
          <t>15/04/2023</t>
        </is>
      </c>
      <c r="F2152" t="inlineStr">
        <is>
          <t>New Lead</t>
        </is>
      </c>
      <c r="G2152" t="inlineStr">
        <is>
          <t>Gas-related / review</t>
        </is>
      </c>
      <c r="H2152" t="inlineStr">
        <is>
          <t>Replies to
                Bidder’s Queries for “Replies to Bidder's Queries for "Transportation of Natural Gas in form
                of Compressed Gas through Mobile Cascade from Mother Station to Daughter Booster Station for a Period of
                36 Months (VGL/CO/C&amp;P-CNG/BD202303S038 Dated 15/04/2023 &amp; Tender ID: 586187)</t>
        </is>
      </c>
      <c r="K2152" t="inlineStr">
        <is>
          <t>Not found</t>
        </is>
      </c>
      <c r="L2152" t="inlineStr">
        <is>
          <t>Unknown</t>
        </is>
      </c>
      <c r="T2152" t="inlineStr">
        <is>
          <t>https://www.vgl.co.in/wp-content/uploads/2025/pdf/REPLIES_TO_BIDDERS_QUERIES_LCV.pdf</t>
        </is>
      </c>
      <c r="U2152" t="inlineStr">
        <is>
          <t>No</t>
        </is>
      </c>
      <c r="V2152" t="inlineStr">
        <is>
          <t>Bot tarafindan tespit edildi (2026-07-01); Bot tespit/zenginlestirme (2026-07-01); meta:score=35;priority=Low;source_type=html_link;closing_date=;equipment=Gas-related / review;reasons=equipment:Gas-related / review,document source</t>
        </is>
      </c>
    </row>
    <row r="2153">
      <c r="A2153" t="inlineStr">
        <is>
          <t>T-1957</t>
        </is>
      </c>
      <c r="B2153" t="inlineStr">
        <is>
          <t>Vadodara Gas Limited</t>
        </is>
      </c>
      <c r="C2153" t="inlineStr">
        <is>
          <t>Vadodara Gas Limited</t>
        </is>
      </c>
      <c r="D2153" t="inlineStr">
        <is>
          <t>VGL/CO/C</t>
        </is>
      </c>
      <c r="E2153" t="inlineStr">
        <is>
          <t>29/04/2023</t>
        </is>
      </c>
      <c r="F2153" t="inlineStr">
        <is>
          <t>New Lead</t>
        </is>
      </c>
      <c r="G2153" t="inlineStr">
        <is>
          <t>Gas-related / review</t>
        </is>
      </c>
      <c r="H2153" t="inlineStr">
        <is>
          <t>Notice Inviting Tender for
                “Transportation of Natural Gas in the compressed form Through 8000 WL or above Capacity Mobile
                Cascades for the Period of 36 Months (Tender No.: VGL/CO/C&amp;P-CNG/BD202304S002 Dated 29/04/2023 and
                Tender ID: 589364)</t>
        </is>
      </c>
      <c r="K2153" t="inlineStr">
        <is>
          <t>Not found</t>
        </is>
      </c>
      <c r="L2153" t="inlineStr">
        <is>
          <t>Unknown</t>
        </is>
      </c>
      <c r="T2153" t="inlineStr">
        <is>
          <t>https://www.vgl.co.in/wp-content/uploads/2025/pdf/NIT_LCV S002.pdf</t>
        </is>
      </c>
      <c r="U2153" t="inlineStr">
        <is>
          <t>No</t>
        </is>
      </c>
      <c r="V2153" t="inlineStr">
        <is>
          <t>Bot tarafindan tespit edildi (2026-07-01); Bot tespit/zenginlestirme (2026-07-01); meta:score=50;priority=Medium;source_type=html_link;closing_date=;equipment=Gas-related / review;reasons=equipment:Gas-related / review,document source,tender reference signal</t>
        </is>
      </c>
    </row>
    <row r="2154">
      <c r="A2154" t="inlineStr">
        <is>
          <t>T-1958</t>
        </is>
      </c>
      <c r="B2154" t="inlineStr">
        <is>
          <t>Vadodara Gas Limited</t>
        </is>
      </c>
      <c r="C2154" t="inlineStr">
        <is>
          <t>Vadodara Gas Limited</t>
        </is>
      </c>
      <c r="D2154" t="inlineStr">
        <is>
          <t>VGL/CO/C</t>
        </is>
      </c>
      <c r="E2154" t="inlineStr">
        <is>
          <t>29/04/2023</t>
        </is>
      </c>
      <c r="F2154" t="inlineStr">
        <is>
          <t>New Lead</t>
        </is>
      </c>
      <c r="G2154" t="inlineStr">
        <is>
          <t>Gas-related / review</t>
        </is>
      </c>
      <c r="H2154" t="inlineStr">
        <is>
          <t>Notice Inviting Tender for
                “Hiring the Services for providing the above Ground GI Installation Including Last Mile at
                Consumer End for New Domestic PNG Connection (Tender No.: VGL/CO/C&amp;P-PNG/BD202304S004 Dated
                29/04/2023 and Tender ID: 589430)</t>
        </is>
      </c>
      <c r="K2154" t="inlineStr">
        <is>
          <t>Not found</t>
        </is>
      </c>
      <c r="L2154" t="inlineStr">
        <is>
          <t>Unknown</t>
        </is>
      </c>
      <c r="T2154" t="inlineStr">
        <is>
          <t>https://www.vgl.co.in/wp-content/uploads/2025/pdf/NIT_D-PNG S004.pdf</t>
        </is>
      </c>
      <c r="U2154" t="inlineStr">
        <is>
          <t>No</t>
        </is>
      </c>
      <c r="V2154" t="inlineStr">
        <is>
          <t>Bot tarafindan tespit edildi (2026-07-01); Bot tespit/zenginlestirme (2026-07-01); meta:score=50;priority=Medium;source_type=html_link;closing_date=;equipment=Gas-related / review;reasons=equipment:Gas-related / review,document source,tender reference signal</t>
        </is>
      </c>
    </row>
    <row r="2155">
      <c r="A2155" t="inlineStr">
        <is>
          <t>T-1959</t>
        </is>
      </c>
      <c r="B2155" t="inlineStr">
        <is>
          <t>Vadodara Gas Limited</t>
        </is>
      </c>
      <c r="C2155" t="inlineStr">
        <is>
          <t>Vadodara Gas Limited</t>
        </is>
      </c>
      <c r="D2155" t="inlineStr">
        <is>
          <t>VGL/CO/C</t>
        </is>
      </c>
      <c r="E2155" t="inlineStr">
        <is>
          <t>29/04/2023</t>
        </is>
      </c>
      <c r="F2155" t="inlineStr">
        <is>
          <t>New Lead</t>
        </is>
      </c>
      <c r="G2155" t="inlineStr">
        <is>
          <t>Gas-related / review</t>
        </is>
      </c>
      <c r="H2155" t="inlineStr">
        <is>
          <t>Notice Inviting Tender for
                “Hiring the Services for Old Network Infrastructure Revamping and Annual Maintenance of Existing
                PNG Connection in Vadodara (Tender No.: VGL/CO/C&amp;P-PNG/BD202304S003 Dated 29/04/2023 and Tender ID:
                589372)</t>
        </is>
      </c>
      <c r="K2155" t="inlineStr">
        <is>
          <t>Not found</t>
        </is>
      </c>
      <c r="L2155" t="inlineStr">
        <is>
          <t>Unknown</t>
        </is>
      </c>
      <c r="T2155" t="inlineStr">
        <is>
          <t>https://www.vgl.co.in/wp-content/uploads/2025/pdf/NIT_AMC S003.pdf</t>
        </is>
      </c>
      <c r="U2155" t="inlineStr">
        <is>
          <t>No</t>
        </is>
      </c>
      <c r="V2155" t="inlineStr">
        <is>
          <t>Bot tarafindan tespit edildi (2026-07-01); Bot tespit/zenginlestirme (2026-07-01); meta:score=50;priority=Medium;source_type=html_link;closing_date=;equipment=Gas-related / review;reasons=equipment:Gas-related / review,document source,tender reference signal</t>
        </is>
      </c>
    </row>
    <row r="2156">
      <c r="A2156" t="inlineStr">
        <is>
          <t>T-1960</t>
        </is>
      </c>
      <c r="B2156" t="inlineStr">
        <is>
          <t>Vadodara Gas Limited</t>
        </is>
      </c>
      <c r="C2156" t="inlineStr">
        <is>
          <t>Vadodara Gas Limited</t>
        </is>
      </c>
      <c r="D2156" t="inlineStr">
        <is>
          <t>VGL/CO/C</t>
        </is>
      </c>
      <c r="E2156" t="inlineStr">
        <is>
          <t>24/03/2023</t>
        </is>
      </c>
      <c r="F2156" t="inlineStr">
        <is>
          <t>New Lead</t>
        </is>
      </c>
      <c r="G2156" t="inlineStr">
        <is>
          <t>Gas-related / review</t>
        </is>
      </c>
      <c r="H2156" t="inlineStr">
        <is>
          <t>Extension
                in Bid Submission Due Date for the Tender of “Hiring of Services for Operation &amp; Maintenance
                of Steel Pipeline of Vadodara Ga for a Period of 24 Months (Tender No.: VGL/CO/C&amp;P-PNG/BD202303S024
                Dated 24/03/2023 and Tender ID: 582341)</t>
        </is>
      </c>
      <c r="K2156" t="inlineStr">
        <is>
          <t>Not found</t>
        </is>
      </c>
      <c r="L2156" t="inlineStr">
        <is>
          <t>Unknown</t>
        </is>
      </c>
      <c r="T2156" t="inlineStr">
        <is>
          <t>https://www.vgl.co.in/wp-content/uploads/2025/pdf/Bid-Submission-Due-Date-Extension.pdf</t>
        </is>
      </c>
      <c r="U2156" t="inlineStr">
        <is>
          <t>No</t>
        </is>
      </c>
      <c r="V2156" t="inlineStr">
        <is>
          <t>Bot tarafindan tespit edildi (2026-07-01); Bot tespit/zenginlestirme (2026-07-01); meta:score=60;priority=Medium;source_type=html_link;closing_date=;equipment=Gas-related / review;reasons=equipment:Gas-related / review,document source,tender reference signal,closing date signal</t>
        </is>
      </c>
    </row>
    <row r="2157">
      <c r="A2157" t="inlineStr">
        <is>
          <t>T-1961</t>
        </is>
      </c>
      <c r="B2157" t="inlineStr">
        <is>
          <t>Vadodara Gas Limited</t>
        </is>
      </c>
      <c r="C2157" t="inlineStr">
        <is>
          <t>Vadodara Gas Limited</t>
        </is>
      </c>
      <c r="D2157" t="inlineStr">
        <is>
          <t>VGL/CO/C</t>
        </is>
      </c>
      <c r="E2157" t="inlineStr">
        <is>
          <t>24/03/2023</t>
        </is>
      </c>
      <c r="F2157" t="inlineStr">
        <is>
          <t>New Lead</t>
        </is>
      </c>
      <c r="G2157" t="inlineStr">
        <is>
          <t>Gas-related / review</t>
        </is>
      </c>
      <c r="H2157" t="inlineStr">
        <is>
          <t>Notice Inviting Tender for
                “Hiring of Services for Operation &amp; Maintenance of Steel Pipeline of Vadodara Ga for a Period
                of 24 Months (Tender No.: VGL/CO/C&amp;P-PNG/BD202303S024 Dated 24/03/2023 and Tender ID: 582341)</t>
        </is>
      </c>
      <c r="K2157" t="inlineStr">
        <is>
          <t>Not found</t>
        </is>
      </c>
      <c r="L2157" t="inlineStr">
        <is>
          <t>Unknown</t>
        </is>
      </c>
      <c r="T2157" t="inlineStr">
        <is>
          <t>https://www.vgl.co.in/wp-content/uploads/2025/pdf/NIT_Steel O&amp;M.pdf</t>
        </is>
      </c>
      <c r="U2157" t="inlineStr">
        <is>
          <t>No</t>
        </is>
      </c>
      <c r="V2157" t="inlineStr">
        <is>
          <t>Bot tarafindan tespit edildi (2026-07-01); Bot tespit/zenginlestirme (2026-07-01); meta:score=50;priority=Medium;source_type=html_link;closing_date=;equipment=Gas-related / review;reasons=equipment:Gas-related / review,document source,tender reference signal</t>
        </is>
      </c>
    </row>
    <row r="2158">
      <c r="A2158" t="inlineStr">
        <is>
          <t>T-1962</t>
        </is>
      </c>
      <c r="B2158" t="inlineStr">
        <is>
          <t>Vadodara Gas Limited</t>
        </is>
      </c>
      <c r="C2158" t="inlineStr">
        <is>
          <t>Vadodara Gas Limited</t>
        </is>
      </c>
      <c r="E2158" t="inlineStr">
        <is>
          <t>22/02/2023</t>
        </is>
      </c>
      <c r="F2158" t="inlineStr">
        <is>
          <t>New Lead</t>
        </is>
      </c>
      <c r="G2158" t="inlineStr">
        <is>
          <t>Gas-related / review</t>
        </is>
      </c>
      <c r="H2158" t="inlineStr">
        <is>
          <t>Replies to Bidder’s Queries for “Hiring of Services for Hydro Testing of CNG
                Cascades Installed at VGL's CNG Station for a Period of Two Years (VGL/CO/C&amp;P-CNG/BD202301S034 Dated
                22/02/2023)</t>
        </is>
      </c>
      <c r="K2158" t="inlineStr">
        <is>
          <t>Not found</t>
        </is>
      </c>
      <c r="L2158" t="inlineStr">
        <is>
          <t>Unknown</t>
        </is>
      </c>
      <c r="T2158" t="inlineStr">
        <is>
          <t>https://www.vgl.co.in/wp-content/uploads/2025/pdf/REPLIES-TO-BIDDERS-QUERIES-hydrotesting.pdf</t>
        </is>
      </c>
      <c r="U2158" t="inlineStr">
        <is>
          <t>No</t>
        </is>
      </c>
      <c r="V2158" t="inlineStr">
        <is>
          <t>Bot tarafindan tespit edildi (2026-07-01); Bot tespit/zenginlestirme (2026-07-01); meta:score=35;priority=Low;source_type=html_link;closing_date=;equipment=Gas-related / review;reasons=equipment:Gas-related / review,document source</t>
        </is>
      </c>
    </row>
    <row r="2159">
      <c r="A2159" t="inlineStr">
        <is>
          <t>T-1963</t>
        </is>
      </c>
      <c r="B2159" t="inlineStr">
        <is>
          <t>Vadodara Gas Limited</t>
        </is>
      </c>
      <c r="C2159" t="inlineStr">
        <is>
          <t>Vadodara Gas Limited</t>
        </is>
      </c>
      <c r="D2159" t="inlineStr">
        <is>
          <t>VGL/CO/C</t>
        </is>
      </c>
      <c r="F2159" t="inlineStr">
        <is>
          <t>New Lead</t>
        </is>
      </c>
      <c r="G2159" t="inlineStr">
        <is>
          <t>Gas-related / review</t>
        </is>
      </c>
      <c r="H2159" t="inlineStr">
        <is>
          <t>Notice Inviting Tender for
                “Hiring of Services for Hydro Testing of CNG Cascades installed at VGL’s CNG Station for a
                Period of Two Years” Vide Tender No.: VGL/CO/C&amp;P-CNG/BD202301S034 Dated 22.02.2023</t>
        </is>
      </c>
      <c r="K2159" t="inlineStr">
        <is>
          <t>Not found</t>
        </is>
      </c>
      <c r="L2159" t="inlineStr">
        <is>
          <t>Unknown</t>
        </is>
      </c>
      <c r="T2159" t="inlineStr">
        <is>
          <t>https://www.vgl.co.in/wp-content/uploads/2025/pdf/NIT_Hydrotesting.pdf</t>
        </is>
      </c>
      <c r="U2159" t="inlineStr">
        <is>
          <t>No</t>
        </is>
      </c>
      <c r="V2159" t="inlineStr">
        <is>
          <t>Bot tarafindan tespit edildi (2026-07-01); Bot tespit/zenginlestirme (2026-07-01); meta:score=50;priority=Medium;source_type=html_link;closing_date=;equipment=Gas-related / review;reasons=equipment:Gas-related / review,document source,tender reference signal</t>
        </is>
      </c>
    </row>
    <row r="2160">
      <c r="A2160" t="inlineStr">
        <is>
          <t>T-1964</t>
        </is>
      </c>
      <c r="B2160" t="inlineStr">
        <is>
          <t>Vadodara Gas Limited</t>
        </is>
      </c>
      <c r="C2160" t="inlineStr">
        <is>
          <t>Vadodara Gas Limited</t>
        </is>
      </c>
      <c r="D2160" t="inlineStr">
        <is>
          <t>572622</t>
        </is>
      </c>
      <c r="E2160" t="inlineStr">
        <is>
          <t>02/01/2023</t>
        </is>
      </c>
      <c r="F2160" t="inlineStr">
        <is>
          <t>New Lead</t>
        </is>
      </c>
      <c r="G2160" t="inlineStr">
        <is>
          <t>Gas-related / review</t>
        </is>
      </c>
      <c r="H2160" t="inlineStr">
        <is>
          <t>“Replies to Bidder’s Queries for “Transportation of Natural Gas in
                Compressed form through Mobile Cascade for a period of 36 months” (VGL/CO/C&amp;P-CNG/BD202301S031
                Dated 02/01/2023 and Tender ID: 572622)</t>
        </is>
      </c>
      <c r="K2160" t="inlineStr">
        <is>
          <t>Not found</t>
        </is>
      </c>
      <c r="L2160" t="inlineStr">
        <is>
          <t>Unknown</t>
        </is>
      </c>
      <c r="T2160" t="inlineStr">
        <is>
          <t>https://www.vgl.co.in/wp-content/uploads/2025/pdf/REPLIES_TO_BIDDERS_QUERIES-TRANSPORATION OF NATURAL GAS TENDER.pdf</t>
        </is>
      </c>
      <c r="U2160" t="inlineStr">
        <is>
          <t>No</t>
        </is>
      </c>
      <c r="V2160" t="inlineStr">
        <is>
          <t>Bot tarafindan tespit edildi (2026-07-01); Bot tespit/zenginlestirme (2026-07-01); meta:score=35;priority=Low;source_type=html_link;closing_date=;equipment=Gas-related / review;reasons=equipment:Gas-related / review,document source</t>
        </is>
      </c>
    </row>
    <row r="2161">
      <c r="A2161" t="inlineStr">
        <is>
          <t>T-1965</t>
        </is>
      </c>
      <c r="B2161" t="inlineStr">
        <is>
          <t>Vadodara Gas Limited</t>
        </is>
      </c>
      <c r="C2161" t="inlineStr">
        <is>
          <t>Vadodara Gas Limited</t>
        </is>
      </c>
      <c r="F2161" t="inlineStr">
        <is>
          <t>New Lead</t>
        </is>
      </c>
      <c r="G2161" t="inlineStr">
        <is>
          <t>Gas-related / review</t>
        </is>
      </c>
      <c r="H2161" t="inlineStr">
        <is>
          <t>“Replies to Bidder's
                Queries “Hiring of Services for Operation &amp; Maintenance of PE Network and PNG Connectivity of
                Vadodara GA (Nandanvan Base) for a Period of 02 Years</t>
        </is>
      </c>
      <c r="K2161" t="inlineStr">
        <is>
          <t>Not found</t>
        </is>
      </c>
      <c r="L2161" t="inlineStr">
        <is>
          <t>Unknown</t>
        </is>
      </c>
      <c r="T2161" t="inlineStr">
        <is>
          <t>https://www.vgl.co.in/wp-content/uploads/2025/pdf/Nandanvan-Base.pdf</t>
        </is>
      </c>
      <c r="U2161" t="inlineStr">
        <is>
          <t>No</t>
        </is>
      </c>
      <c r="V2161" t="inlineStr">
        <is>
          <t>Bot tarafindan tespit edildi (2026-07-01); Bot tespit/zenginlestirme (2026-07-01); meta:score=35;priority=Low;source_type=html_link;closing_date=;equipment=Gas-related / review;reasons=equipment:Gas-related / review,document source</t>
        </is>
      </c>
    </row>
    <row r="2162">
      <c r="A2162" t="inlineStr">
        <is>
          <t>T-1966</t>
        </is>
      </c>
      <c r="B2162" t="inlineStr">
        <is>
          <t>Vadodara Gas Limited</t>
        </is>
      </c>
      <c r="C2162" t="inlineStr">
        <is>
          <t>Vadodara Gas Limited</t>
        </is>
      </c>
      <c r="F2162" t="inlineStr">
        <is>
          <t>New Lead</t>
        </is>
      </c>
      <c r="G2162" t="inlineStr">
        <is>
          <t>Gas-related / review</t>
        </is>
      </c>
      <c r="H2162" t="inlineStr">
        <is>
          <t>“Replies to Bidder's
                Queries “Hiring of Services for Operation &amp; Maintenance of PE Network and PNG Connectivity of
                Vadodara GA (Gajrawadi Base) for a Period of 02 Years</t>
        </is>
      </c>
      <c r="K2162" t="inlineStr">
        <is>
          <t>Not found</t>
        </is>
      </c>
      <c r="L2162" t="inlineStr">
        <is>
          <t>Unknown</t>
        </is>
      </c>
      <c r="T2162" t="inlineStr">
        <is>
          <t>https://www.vgl.co.in/wp-content/uploads/2025/pdf/Gajrawadi-Base.pdf</t>
        </is>
      </c>
      <c r="U2162" t="inlineStr">
        <is>
          <t>No</t>
        </is>
      </c>
      <c r="V2162" t="inlineStr">
        <is>
          <t>Bot tarafindan tespit edildi (2026-07-01); Bot tespit/zenginlestirme (2026-07-01); meta:score=35;priority=Low;source_type=html_link;closing_date=;equipment=Gas-related / review;reasons=equipment:Gas-related / review,document source</t>
        </is>
      </c>
    </row>
    <row r="2163">
      <c r="A2163" t="inlineStr">
        <is>
          <t>T-1967</t>
        </is>
      </c>
      <c r="B2163" t="inlineStr">
        <is>
          <t>Vadodara Gas Limited</t>
        </is>
      </c>
      <c r="C2163" t="inlineStr">
        <is>
          <t>Vadodara Gas Limited</t>
        </is>
      </c>
      <c r="D2163" t="inlineStr">
        <is>
          <t>VGL/CO/C</t>
        </is>
      </c>
      <c r="E2163" t="inlineStr">
        <is>
          <t>24/01/2023</t>
        </is>
      </c>
      <c r="F2163" t="inlineStr">
        <is>
          <t>New Lead</t>
        </is>
      </c>
      <c r="G2163" t="inlineStr">
        <is>
          <t>Gas-related / review</t>
        </is>
      </c>
      <c r="H2163" t="inlineStr">
        <is>
          <t>“Hiring of Services for
                Operation &amp; Maintenance of PE Network and PNG Connectivity of Vadodara GA (Nandanvan Base) for a
                Period of 02 Years (Tender No.: VGL/CO/C&amp;P-PNG/BD202301S022 Dated 24/01/2023 and Tender ID:
                572907)</t>
        </is>
      </c>
      <c r="K2163" t="inlineStr">
        <is>
          <t>Not found</t>
        </is>
      </c>
      <c r="L2163" t="inlineStr">
        <is>
          <t>Unknown</t>
        </is>
      </c>
      <c r="T2163" t="inlineStr">
        <is>
          <t>https://www.vgl.co.in/wp-content/uploads/2025/pdf/NIT_O&amp;M_ND.pdf</t>
        </is>
      </c>
      <c r="U2163" t="inlineStr">
        <is>
          <t>No</t>
        </is>
      </c>
      <c r="V2163" t="inlineStr">
        <is>
          <t>Bot tarafindan tespit edildi (2026-07-01); Bot tespit/zenginlestirme (2026-07-01); meta:score=50;priority=Medium;source_type=html_link;closing_date=;equipment=Gas-related / review;reasons=equipment:Gas-related / review,document source,tender reference signal</t>
        </is>
      </c>
    </row>
    <row r="2164">
      <c r="A2164" t="inlineStr">
        <is>
          <t>T-1968</t>
        </is>
      </c>
      <c r="B2164" t="inlineStr">
        <is>
          <t>Vadodara Gas Limited</t>
        </is>
      </c>
      <c r="C2164" t="inlineStr">
        <is>
          <t>Vadodara Gas Limited</t>
        </is>
      </c>
      <c r="D2164" t="inlineStr">
        <is>
          <t>VGL/CO/C</t>
        </is>
      </c>
      <c r="E2164" t="inlineStr">
        <is>
          <t>24/01/2023</t>
        </is>
      </c>
      <c r="F2164" t="inlineStr">
        <is>
          <t>New Lead</t>
        </is>
      </c>
      <c r="G2164" t="inlineStr">
        <is>
          <t>Gas-related / review</t>
        </is>
      </c>
      <c r="H2164" t="inlineStr">
        <is>
          <t>“Notice Inviting Tender
                for Hiring of Services for Operation &amp; Maintenance of PE Network and PNG Connectivity of Vadodara GA
                (Gajrawadi Base) for a Period of 02 Years (Tender No.: VGL/CO/C&amp;P-PNG/BD202301S021 Dated 24/01/2023
                and Tender ID: 572771)</t>
        </is>
      </c>
      <c r="K2164" t="inlineStr">
        <is>
          <t>Not found</t>
        </is>
      </c>
      <c r="L2164" t="inlineStr">
        <is>
          <t>Unknown</t>
        </is>
      </c>
      <c r="T2164" t="inlineStr">
        <is>
          <t>https://www.vgl.co.in/wp-content/uploads/2025/pdf/NIT_O&amp;M_GJ.pdf</t>
        </is>
      </c>
      <c r="U2164" t="inlineStr">
        <is>
          <t>No</t>
        </is>
      </c>
      <c r="V2164" t="inlineStr">
        <is>
          <t>Bot tarafindan tespit edildi (2026-07-01); Bot tespit/zenginlestirme (2026-07-01); meta:score=50;priority=Medium;source_type=html_link;closing_date=;equipment=Gas-related / review;reasons=equipment:Gas-related / review,document source,tender reference signal</t>
        </is>
      </c>
    </row>
    <row r="2165">
      <c r="A2165" t="inlineStr">
        <is>
          <t>T-1969</t>
        </is>
      </c>
      <c r="B2165" t="inlineStr">
        <is>
          <t>Vadodara Gas Limited</t>
        </is>
      </c>
      <c r="C2165" t="inlineStr">
        <is>
          <t>Vadodara Gas Limited</t>
        </is>
      </c>
      <c r="D2165" t="inlineStr">
        <is>
          <t>572622</t>
        </is>
      </c>
      <c r="E2165" t="inlineStr">
        <is>
          <t>02/01/2023</t>
        </is>
      </c>
      <c r="F2165" t="inlineStr">
        <is>
          <t>New Lead</t>
        </is>
      </c>
      <c r="G2165" t="inlineStr">
        <is>
          <t>Gas-related / review</t>
        </is>
      </c>
      <c r="H2165" t="inlineStr">
        <is>
          <t>"Notice Inviting Tender for Transportation of Natural Gas in Compressed form through
                Mobile Cascade for a period of 36 months (VGL/CO/C&amp;P-CNG/BD202301S031 Dated 02/01/2023 and Tender
                ID: 572622)</t>
        </is>
      </c>
      <c r="K2165" t="inlineStr">
        <is>
          <t>Not found</t>
        </is>
      </c>
      <c r="L2165" t="inlineStr">
        <is>
          <t>Unknown</t>
        </is>
      </c>
      <c r="T2165" t="inlineStr">
        <is>
          <t>https://www.vgl.co.in/wp-content/uploads/2025/pdf/NIT_LCV.pdf</t>
        </is>
      </c>
      <c r="U2165" t="inlineStr">
        <is>
          <t>No</t>
        </is>
      </c>
      <c r="V2165" t="inlineStr">
        <is>
          <t>Bot tarafindan tespit edildi (2026-07-01); Bot tespit/zenginlestirme (2026-07-01); meta:score=50;priority=Medium;source_type=html_link;closing_date=;equipment=Gas-related / review;reasons=equipment:Gas-related / review,document source,tender reference signal</t>
        </is>
      </c>
    </row>
    <row r="2166">
      <c r="A2166" t="inlineStr">
        <is>
          <t>T-1970</t>
        </is>
      </c>
      <c r="B2166" t="inlineStr">
        <is>
          <t>Vadodara Gas Limited</t>
        </is>
      </c>
      <c r="C2166" t="inlineStr">
        <is>
          <t>Vadodara Gas Limited</t>
        </is>
      </c>
      <c r="D2166" t="inlineStr">
        <is>
          <t>Tender No.: VGL/CO/C</t>
        </is>
      </c>
      <c r="E2166" t="inlineStr">
        <is>
          <t>06/12/2022</t>
        </is>
      </c>
      <c r="F2166" t="inlineStr">
        <is>
          <t>Awarded</t>
        </is>
      </c>
      <c r="G2166" t="inlineStr">
        <is>
          <t>Gas-related / review</t>
        </is>
      </c>
      <c r="H2166" t="inlineStr">
        <is>
          <t>"Corrigendum-3 for Purchase of 02 Nos. 1200 SCMH Motor Driven Compressor Package with 36
                Months AMC for Amendment of VGL Mother Stations” (Tender No.: VGL/CO/C&amp;P-CNG/BD202206041/RI
                Dated 06/12/2022)</t>
        </is>
      </c>
      <c r="K2166" t="inlineStr">
        <is>
          <t>oof Electricc Motor II Ceertificate Driven coompressor ppackage haandling hyydroc</t>
        </is>
      </c>
      <c r="L2166" t="inlineStr">
        <is>
          <t>Unknown</t>
        </is>
      </c>
      <c r="T2166" t="inlineStr">
        <is>
          <t>https://www.vgl.co.in/wp-content/uploads/2025/pdf/1200_SCMH_Motor_Driven_Corrigendum-3.pdf</t>
        </is>
      </c>
      <c r="U2166" t="inlineStr">
        <is>
          <t>No</t>
        </is>
      </c>
      <c r="V2166" t="inlineStr">
        <is>
          <t>Bot tarafindan tespit edildi (2026-07-01) | Bot enrich; date=2026-07-01; type=pdf; score=240; Bot tespit/zenginlestirme (2026-07-01); meta:score=70;priority=High;source_type=html_link;closing_date=None;equipment=Gas-related / review;reasons=equipment:Gas-related / review,document source,quantity signal,tender reference signal</t>
        </is>
      </c>
    </row>
    <row r="2167">
      <c r="A2167" t="inlineStr">
        <is>
          <t>T-1971</t>
        </is>
      </c>
      <c r="B2167" t="inlineStr">
        <is>
          <t>Vadodara Gas Limited</t>
        </is>
      </c>
      <c r="C2167" t="inlineStr">
        <is>
          <t>Vadodara Gas Limited</t>
        </is>
      </c>
      <c r="D2167" t="inlineStr">
        <is>
          <t>Tender No.: VGL/CO/C</t>
        </is>
      </c>
      <c r="E2167" t="inlineStr">
        <is>
          <t>06/12/2022</t>
        </is>
      </c>
      <c r="F2167" t="inlineStr">
        <is>
          <t>Awarded</t>
        </is>
      </c>
      <c r="G2167" t="inlineStr">
        <is>
          <t>Gas-related / review</t>
        </is>
      </c>
      <c r="H2167" t="inlineStr">
        <is>
          <t>"Corrigendum-2 for Purchase of 02 Nos. 1200 SCMH Motor Driven Compressor Package with 36
                Months AMC for Amendment of VGL Mother Stations” (Tender No.: VGL/CO/C&amp;P-CNG/BD202206041/RI
                Dated 06/12/2022)</t>
        </is>
      </c>
      <c r="K2167" t="inlineStr">
        <is>
          <t>of Electricc Motor DDriven commpressor paackage hanndling I Certiificate hydrocaa</t>
        </is>
      </c>
      <c r="L2167" t="inlineStr">
        <is>
          <t>Unknown</t>
        </is>
      </c>
      <c r="T2167" t="inlineStr">
        <is>
          <t>https://www.vgl.co.in/wp-content/uploads/2025/pdf/1200_SCMH_Motor_Driven_Corrigendum-2.pdf</t>
        </is>
      </c>
      <c r="U2167" t="inlineStr">
        <is>
          <t>No</t>
        </is>
      </c>
      <c r="V2167" t="inlineStr">
        <is>
          <t>Bot tarafindan tespit edildi (2026-07-01) | Bot enrich; date=2026-07-01; type=pdf; score=240; Bot tespit/zenginlestirme (2026-07-01); meta:score=70;priority=High;source_type=html_link;closing_date=None;equipment=Gas-related / review;reasons=equipment:Gas-related / review,document source,quantity signal,tender reference signal</t>
        </is>
      </c>
    </row>
    <row r="2168">
      <c r="A2168" t="inlineStr">
        <is>
          <t>T-1972</t>
        </is>
      </c>
      <c r="B2168" t="inlineStr">
        <is>
          <t>Vadodara Gas Limited</t>
        </is>
      </c>
      <c r="C2168" t="inlineStr">
        <is>
          <t>Vadodara Gas Limited</t>
        </is>
      </c>
      <c r="D2168" t="inlineStr">
        <is>
          <t>Tender No.: VGL/CO/C</t>
        </is>
      </c>
      <c r="E2168" t="inlineStr">
        <is>
          <t>06/12/2022</t>
        </is>
      </c>
      <c r="F2168" t="inlineStr">
        <is>
          <t>Awarded</t>
        </is>
      </c>
      <c r="G2168" t="inlineStr">
        <is>
          <t>Gas-related / review</t>
        </is>
      </c>
      <c r="H2168" t="inlineStr">
        <is>
          <t>"Corrigendum-1 for Purchase of 02 Nos. 1200 SCMH Motor Driven Compressor Package with 36
                Months AMC for Amendment of VGL Mother Stations” (Tender No.: VGL/CO/C&amp;P-CNG/BD202206041/RI
                Dated 06/12/2022)</t>
        </is>
      </c>
      <c r="K2168" t="inlineStr">
        <is>
          <t>I. The biddder must be a reguular packagger and suupplier of Electric MMotor Driv</t>
        </is>
      </c>
      <c r="L2168" t="inlineStr">
        <is>
          <t>Unknown</t>
        </is>
      </c>
      <c r="T2168" t="inlineStr">
        <is>
          <t>https://www.vgl.co.in/wp-content/uploads/2025/pdf/1200_SCMH_Motor_Driven_Corrigendum-1.pdf</t>
        </is>
      </c>
      <c r="U2168" t="inlineStr">
        <is>
          <t>No</t>
        </is>
      </c>
      <c r="V2168" t="inlineStr">
        <is>
          <t>Bot tarafindan tespit edildi (2026-07-01) | Bot enrich; date=2026-07-01; type=pdf; score=240; Bot tespit/zenginlestirme (2026-07-01); meta:score=70;priority=High;source_type=html_link;closing_date=None;equipment=Gas-related / review;reasons=equipment:Gas-related / review,document source,quantity signal,tender reference signal</t>
        </is>
      </c>
    </row>
    <row r="2169">
      <c r="A2169" t="inlineStr">
        <is>
          <t>T-1973</t>
        </is>
      </c>
      <c r="B2169" t="inlineStr">
        <is>
          <t>Vadodara Gas Limited</t>
        </is>
      </c>
      <c r="C2169" t="inlineStr">
        <is>
          <t>Vadodara Gas Limited</t>
        </is>
      </c>
      <c r="D2169" t="inlineStr">
        <is>
          <t>Tender No.: VGL/CO/C</t>
        </is>
      </c>
      <c r="E2169" t="inlineStr">
        <is>
          <t>06/12/2022</t>
        </is>
      </c>
      <c r="F2169" t="inlineStr">
        <is>
          <t>Awarded</t>
        </is>
      </c>
      <c r="G2169" t="inlineStr">
        <is>
          <t>Irrelevant / non-target</t>
        </is>
      </c>
      <c r="H2169" t="inlineStr">
        <is>
          <t>"Replies to
                Bidder's Queries - Additional for Purchase of 02 Nos. 1200 SCMH Motor Driven Compressor Package with 36
                Months AMC for Amendment of VGL Mother Stations (Tender No.: VGL/CO/C&amp;P-CNG/BD202206041/RI Dated
                06/12/2022)</t>
        </is>
      </c>
      <c r="K2169" t="inlineStr">
        <is>
          <t>forevery903KgofCNG 903 (for 1200 SCMH) X CNG produced during the month H</t>
        </is>
      </c>
      <c r="L2169" t="inlineStr">
        <is>
          <t>Unknown</t>
        </is>
      </c>
      <c r="M2169" t="n">
        <v>55</v>
      </c>
      <c r="T2169" t="inlineStr">
        <is>
          <t>https://www.vgl.co.in/wp-content/uploads/2025/pdf/Pre-Bid_Queries_Additional.pdf</t>
        </is>
      </c>
      <c r="U2169" t="inlineStr">
        <is>
          <t>No</t>
        </is>
      </c>
      <c r="V2169" t="inlineStr">
        <is>
          <t>Bot tarafindan tespit edildi (2026-07-01) | Bot enrich; date=2026-07-01; type=pdf; score=240; Bot tespit/zenginlestirme (2026-07-01); meta:score=70;priority=High;source_type=html_link;closing_date=None;equipment=Gas-related / review;reasons=equipment:Gas-related / review,document source,quantity signal,tender reference signal</t>
        </is>
      </c>
    </row>
    <row r="2170">
      <c r="A2170" t="inlineStr">
        <is>
          <t>T-1974</t>
        </is>
      </c>
      <c r="B2170" t="inlineStr">
        <is>
          <t>Vadodara Gas Limited</t>
        </is>
      </c>
      <c r="C2170" t="inlineStr">
        <is>
          <t>Vadodara Gas Limited</t>
        </is>
      </c>
      <c r="D2170" t="inlineStr">
        <is>
          <t>Tender No.: VGL/CO/C</t>
        </is>
      </c>
      <c r="E2170" t="inlineStr">
        <is>
          <t>06/12/2022</t>
        </is>
      </c>
      <c r="F2170" t="inlineStr">
        <is>
          <t>Awarded</t>
        </is>
      </c>
      <c r="G2170" t="inlineStr">
        <is>
          <t>Irrelevant / non-target</t>
        </is>
      </c>
      <c r="H2170" t="inlineStr">
        <is>
          <t>"Replies to Bidder's
                Queries for Purchase of 02 Nos. 1200 SCMH Motor Driven Compressor Package with 36 Months AMC for
                Amendment of VGL Mother Stations (Tender No.: VGL/CO/C&amp;P-CNG/BD202206041/RI Dated 06/12/2022)</t>
        </is>
      </c>
      <c r="K2170" t="inlineStr">
        <is>
          <t>has to ensure the safety of man and machine all the times. 5 99 of 222 v. of 2.23</t>
        </is>
      </c>
      <c r="L2170" t="inlineStr">
        <is>
          <t>Unknown</t>
        </is>
      </c>
      <c r="T2170" t="inlineStr">
        <is>
          <t>https://www.vgl.co.in/wp-content/uploads/2025/pdf/Pre-Bid_Queries_.pdf</t>
        </is>
      </c>
      <c r="U2170" t="inlineStr">
        <is>
          <t>No</t>
        </is>
      </c>
      <c r="V2170" t="inlineStr">
        <is>
          <t>Bot tarafindan tespit edildi (2026-07-01) | Bot enrich; date=2026-07-01; type=pdf; score=240; Bot tespit/zenginlestirme (2026-07-01); meta:score=70;priority=High;source_type=html_link;closing_date=None;equipment=Gas-related / review;reasons=equipment:Gas-related / review,document source,quantity signal,tender reference signal</t>
        </is>
      </c>
    </row>
    <row r="2171">
      <c r="A2171" t="inlineStr">
        <is>
          <t>T-1975</t>
        </is>
      </c>
      <c r="B2171" t="inlineStr">
        <is>
          <t>Vadodara Gas Limited</t>
        </is>
      </c>
      <c r="C2171" t="inlineStr">
        <is>
          <t>Vadodara Gas Limited</t>
        </is>
      </c>
      <c r="D2171" t="inlineStr">
        <is>
          <t>Tender No.: VGL/CO/C</t>
        </is>
      </c>
      <c r="E2171" t="inlineStr">
        <is>
          <t>06/12/2022</t>
        </is>
      </c>
      <c r="F2171" t="inlineStr">
        <is>
          <t>Awarded</t>
        </is>
      </c>
      <c r="G2171" t="inlineStr">
        <is>
          <t>Gas-related / review</t>
        </is>
      </c>
      <c r="H2171" t="inlineStr">
        <is>
          <t>"Notice Inviting
                Tender for Purchase of 02 Nos. 1200 SCMH Motor Driven Compressor Package with 36 Months AMC for
                Amendment of VGL Mother Stations (Tender No.: VGL/CO/C&amp;P-CNG/BD202206041/RI Dated 06/12/2022)</t>
        </is>
      </c>
      <c r="K2171" t="inlineStr">
        <is>
          <t>s under appropriate category for</t>
        </is>
      </c>
      <c r="L2171" t="inlineStr">
        <is>
          <t>Unknown</t>
        </is>
      </c>
      <c r="T2171" t="inlineStr">
        <is>
          <t>https://www.vgl.co.in/wp-content/uploads/2025/pdf/NIT_Compressor_1200SCMH.pdf</t>
        </is>
      </c>
      <c r="U2171" t="inlineStr">
        <is>
          <t>No</t>
        </is>
      </c>
      <c r="V2171" t="inlineStr">
        <is>
          <t>Bot tarafindan tespit edildi (2026-07-01) | Bot enrich; date=2026-07-01; type=pdf; score=240; Bot tespit/zenginlestirme (2026-07-01); meta:score=70;priority=High;source_type=html_link;closing_date=20/12/2022;equipment=Gas-related / review;reasons=equipment:Gas-related / review,document source,quantity signal,tender reference signal</t>
        </is>
      </c>
    </row>
    <row r="2172">
      <c r="A2172" t="inlineStr">
        <is>
          <t>T-1976</t>
        </is>
      </c>
      <c r="B2172" t="inlineStr">
        <is>
          <t>Vadodara Gas Limited</t>
        </is>
      </c>
      <c r="C2172" t="inlineStr">
        <is>
          <t>Vadodara Gas Limited</t>
        </is>
      </c>
      <c r="E2172" t="inlineStr">
        <is>
          <t>10/11/2022</t>
        </is>
      </c>
      <c r="F2172" t="inlineStr">
        <is>
          <t>New Lead</t>
        </is>
      </c>
      <c r="G2172" t="inlineStr">
        <is>
          <t>Gas-related / review</t>
        </is>
      </c>
      <c r="H2172" t="inlineStr">
        <is>
          <t>"Replies to Bidder's Queries dt. 21.11.2022 Hiring of 02 Nos. 8000 WL or above Capacity
                Mobile Cascade along with Brand New Suitable LCVs/MCVs/HCVs on Wetlease basis for the period of 03 years
                (VGL/CO/C&amp;P-CNG/BD202211024 Dated 10/11/2022)</t>
        </is>
      </c>
      <c r="K2172" t="inlineStr">
        <is>
          <t>Not found</t>
        </is>
      </c>
      <c r="L2172" t="inlineStr">
        <is>
          <t>Unknown</t>
        </is>
      </c>
      <c r="T2172" t="inlineStr">
        <is>
          <t>https://www.vgl.co.in/wp-content/uploads/2025/pdf/REPLIES_TO_BIDDERS_QUERIES - BD202211024 DTD 21.11.2022.pdf</t>
        </is>
      </c>
      <c r="U2172" t="inlineStr">
        <is>
          <t>No</t>
        </is>
      </c>
      <c r="V2172" t="inlineStr">
        <is>
          <t>Bot tarafindan tespit edildi (2026-07-01); Bot tespit/zenginlestirme (2026-07-01); meta:score=55;priority=Medium;source_type=html_link;closing_date=;equipment=Gas-related / review;reasons=equipment:Gas-related / review,document source,quantity signal</t>
        </is>
      </c>
    </row>
    <row r="2173">
      <c r="A2173" t="inlineStr">
        <is>
          <t>T-1977</t>
        </is>
      </c>
      <c r="B2173" t="inlineStr">
        <is>
          <t>Vadodara Gas Limited</t>
        </is>
      </c>
      <c r="C2173" t="inlineStr">
        <is>
          <t>Vadodara Gas Limited</t>
        </is>
      </c>
      <c r="E2173" t="inlineStr">
        <is>
          <t>10/11/2022</t>
        </is>
      </c>
      <c r="F2173" t="inlineStr">
        <is>
          <t>New Lead</t>
        </is>
      </c>
      <c r="G2173" t="inlineStr">
        <is>
          <t>Gas-related / review</t>
        </is>
      </c>
      <c r="H2173" t="inlineStr">
        <is>
          <t>"Replies to Bidder's Queries dt. 19.11.2022 Hiring of 02 Nos. 8000 WL or above Capacity
                Mobile Cascade along with Brand New Suitable LCVs/MCVs/HCVs on Wetlease basis for the period of 03 years
                (VGL/CO/C&amp;P-CNG/BD202211024 Dated 10/11/2022)</t>
        </is>
      </c>
      <c r="K2173" t="inlineStr">
        <is>
          <t>Not found</t>
        </is>
      </c>
      <c r="L2173" t="inlineStr">
        <is>
          <t>Unknown</t>
        </is>
      </c>
      <c r="T2173" t="inlineStr">
        <is>
          <t>https://www.vgl.co.in/wp-content/uploads/2025/pdf/REPLIES_TO_BIDDERS_QUERIES - BD202211024 DTD 19.11.2022.pdf</t>
        </is>
      </c>
      <c r="U2173" t="inlineStr">
        <is>
          <t>No</t>
        </is>
      </c>
      <c r="V2173" t="inlineStr">
        <is>
          <t>Bot tarafindan tespit edildi (2026-07-01); Bot tespit/zenginlestirme (2026-07-01); meta:score=55;priority=Medium;source_type=html_link;closing_date=;equipment=Gas-related / review;reasons=equipment:Gas-related / review,document source,quantity signal</t>
        </is>
      </c>
    </row>
    <row r="2174">
      <c r="A2174" t="inlineStr">
        <is>
          <t>T-1978</t>
        </is>
      </c>
      <c r="B2174" t="inlineStr">
        <is>
          <t>Vadodara Gas Limited</t>
        </is>
      </c>
      <c r="C2174" t="inlineStr">
        <is>
          <t>Vadodara Gas Limited</t>
        </is>
      </c>
      <c r="D2174" t="inlineStr">
        <is>
          <t>Tender No.: VGL/CO/C</t>
        </is>
      </c>
      <c r="E2174" t="inlineStr">
        <is>
          <t>03/11/2022</t>
        </is>
      </c>
      <c r="F2174" t="inlineStr">
        <is>
          <t>Awarded</t>
        </is>
      </c>
      <c r="G2174" t="inlineStr">
        <is>
          <t>Irrelevant / non-target</t>
        </is>
      </c>
      <c r="H2174" t="inlineStr">
        <is>
          <t>"Replies to Bidder's Queries
                Purchase of 02 Nos. 1200 SCMH Motor Driven Compressor Package with 36 Months AMC for Amendment of VGL
                Mother Stations (Tender No.: VGL/CO/C&amp;P-CNG/BD202206041 Dated 03/11/2022)</t>
        </is>
      </c>
      <c r="K2174" t="inlineStr">
        <is>
          <t>has to ensure the safety of man and machine all the times. 5 104 of 220 v. of 2.2</t>
        </is>
      </c>
      <c r="L2174" t="inlineStr">
        <is>
          <t>Unknown</t>
        </is>
      </c>
      <c r="M2174" t="n">
        <v>43</v>
      </c>
      <c r="T2174" t="inlineStr">
        <is>
          <t>https://www.vgl.co.in/wp-content/uploads/2025/pdf/Pre-Bid_Queries.pdf</t>
        </is>
      </c>
      <c r="U2174" t="inlineStr">
        <is>
          <t>No</t>
        </is>
      </c>
      <c r="V2174" t="inlineStr">
        <is>
          <t>Bot tarafindan tespit edildi (2026-07-01) | Bot enrich; date=2026-07-01; type=pdf; score=240; Bot tespit/zenginlestirme (2026-07-01); meta:score=70;priority=High;source_type=html_link;closing_date=None;equipment=Gas-related / review;reasons=equipment:Gas-related / review,document source,quantity signal,tender reference signal</t>
        </is>
      </c>
    </row>
    <row r="2175">
      <c r="A2175" t="inlineStr">
        <is>
          <t>T-1979</t>
        </is>
      </c>
      <c r="B2175" t="inlineStr">
        <is>
          <t>Vadodara Gas Limited</t>
        </is>
      </c>
      <c r="C2175" t="inlineStr">
        <is>
          <t>Vadodara Gas Limited</t>
        </is>
      </c>
      <c r="D2175" t="inlineStr">
        <is>
          <t>VGL/CO/C</t>
        </is>
      </c>
      <c r="E2175" t="inlineStr">
        <is>
          <t>10/11/2022</t>
        </is>
      </c>
      <c r="F2175" t="inlineStr">
        <is>
          <t>New Lead</t>
        </is>
      </c>
      <c r="G2175" t="inlineStr">
        <is>
          <t>Gas-related / review</t>
        </is>
      </c>
      <c r="H2175" t="inlineStr">
        <is>
          <t>"Notice Inviting Tender
                for Hiring of 02 Nos. 8000 WL or above Capacity Mobile Cascade along with Brand New Suitable
                LCVs/MCVs/HCVs on Wetlease basis for the period of 03 years (Tender No.: VGL/CO/C&amp;P-CNG/BD202211024
                Dated 10/11/2022)</t>
        </is>
      </c>
      <c r="K2175" t="inlineStr">
        <is>
          <t>s under appropriate category for Hiring of 02 Nos. 8000 WL or above Capacity Mobi</t>
        </is>
      </c>
      <c r="L2175" t="inlineStr">
        <is>
          <t>Unknown</t>
        </is>
      </c>
      <c r="T2175" t="inlineStr">
        <is>
          <t>https://www.vgl.co.in/wp-content/uploads/2025/pdf/NIT_8000WL_Cascade.pdf</t>
        </is>
      </c>
      <c r="U2175" t="inlineStr">
        <is>
          <t>No</t>
        </is>
      </c>
      <c r="V2175" t="inlineStr">
        <is>
          <t>Bot tarafindan tespit edildi (2026-07-01); Bot tespit/zenginlestirme (2026-07-01); meta:score=70;priority=High;source_type=html_link;closing_date=None;equipment=Gas-related / review;reasons=equipment:Gas-related / review,document source,quantity signal,tender reference signal</t>
        </is>
      </c>
    </row>
    <row r="2176">
      <c r="A2176" t="inlineStr">
        <is>
          <t>T-1980</t>
        </is>
      </c>
      <c r="B2176" t="inlineStr">
        <is>
          <t>Vadodara Gas Limited</t>
        </is>
      </c>
      <c r="C2176" t="inlineStr">
        <is>
          <t>Vadodara Gas Limited</t>
        </is>
      </c>
      <c r="D2176" t="inlineStr">
        <is>
          <t>VGL/CO/C</t>
        </is>
      </c>
      <c r="E2176" t="inlineStr">
        <is>
          <t>18/10/2022</t>
        </is>
      </c>
      <c r="F2176" t="inlineStr">
        <is>
          <t>New Lead</t>
        </is>
      </c>
      <c r="G2176" t="inlineStr">
        <is>
          <t>Gas-related / review</t>
        </is>
      </c>
      <c r="H2176" t="inlineStr">
        <is>
          <t>"Replies to Bidder's Queries for Composite – Mechanical &amp; Electrical Works
                Contract For Upcoming New CNG Station at VGL, Vadodara (Tender No.: VGL/CO/C&amp;P-CNG/BD202206119/RI/01
                Dated 18/10/2022)</t>
        </is>
      </c>
      <c r="K2176" t="inlineStr">
        <is>
          <t>Not found</t>
        </is>
      </c>
      <c r="L2176" t="inlineStr">
        <is>
          <t>Unknown</t>
        </is>
      </c>
      <c r="T2176" t="inlineStr">
        <is>
          <t>https://www.vgl.co.in/wp-content/uploads/2025/pdf/REPLIES_TO_BIDDERS_QUERIES_Composite.pdf</t>
        </is>
      </c>
      <c r="U2176" t="inlineStr">
        <is>
          <t>No</t>
        </is>
      </c>
      <c r="V2176" t="inlineStr">
        <is>
          <t>Bot tarafindan tespit edildi (2026-07-01); Bot tespit/zenginlestirme (2026-07-01); meta:score=50;priority=Medium;source_type=html_link;closing_date=;equipment=Gas-related / review;reasons=equipment:Gas-related / review,document source,tender reference signal</t>
        </is>
      </c>
    </row>
    <row r="2177">
      <c r="A2177" t="inlineStr">
        <is>
          <t>T-1981</t>
        </is>
      </c>
      <c r="B2177" t="inlineStr">
        <is>
          <t>Vadodara Gas Limited</t>
        </is>
      </c>
      <c r="C2177" t="inlineStr">
        <is>
          <t>Vadodara Gas Limited</t>
        </is>
      </c>
      <c r="D2177" t="inlineStr">
        <is>
          <t>VGL/CO/C</t>
        </is>
      </c>
      <c r="E2177" t="inlineStr">
        <is>
          <t>23/09/2022</t>
        </is>
      </c>
      <c r="F2177" t="inlineStr">
        <is>
          <t>New Lead</t>
        </is>
      </c>
      <c r="G2177" t="inlineStr">
        <is>
          <t>Gas-related / review</t>
        </is>
      </c>
      <c r="H2177" t="inlineStr">
        <is>
          <t>"Replies to
                Bidder's Queries for Purchase of Domestic Diaphragm Meter on ARC Basis for period of One Year (Tender
                No.: VGL/CO/C&amp;P-PNG/BD202208P008 Dated 23/09/2022)</t>
        </is>
      </c>
      <c r="K2177" t="inlineStr">
        <is>
          <t>Not found</t>
        </is>
      </c>
      <c r="L2177" t="inlineStr">
        <is>
          <t>Unknown</t>
        </is>
      </c>
      <c r="T2177" t="inlineStr">
        <is>
          <t>https://www.vgl.co.in/wp-content/uploads/2025/pdf/REPLIES_TO_BIDDERS_QUERIES (1).pdf</t>
        </is>
      </c>
      <c r="U2177" t="inlineStr">
        <is>
          <t>No</t>
        </is>
      </c>
      <c r="V2177" t="inlineStr">
        <is>
          <t>Bot tarafindan tespit edildi (2026-07-01); Bot tespit/zenginlestirme (2026-07-01); meta:score=50;priority=Medium;source_type=html_link;closing_date=;equipment=Gas-related / review;reasons=equipment:Gas-related / review,document source,tender reference signal</t>
        </is>
      </c>
    </row>
    <row r="2178">
      <c r="A2178" t="inlineStr">
        <is>
          <t>T-1982</t>
        </is>
      </c>
      <c r="B2178" t="inlineStr">
        <is>
          <t>Vadodara Gas Limited</t>
        </is>
      </c>
      <c r="C2178" t="inlineStr">
        <is>
          <t>Vadodara Gas Limited</t>
        </is>
      </c>
      <c r="D2178" t="inlineStr">
        <is>
          <t>VGL/CO/C</t>
        </is>
      </c>
      <c r="E2178" t="inlineStr">
        <is>
          <t>18/10/2022</t>
        </is>
      </c>
      <c r="F2178" t="inlineStr">
        <is>
          <t>New Lead</t>
        </is>
      </c>
      <c r="G2178" t="inlineStr">
        <is>
          <t>Gas-related / review</t>
        </is>
      </c>
      <c r="H2178" t="inlineStr">
        <is>
          <t>"Notice Inviting Tender
                for Composite – Mechanical &amp; Electrical Works Contract For Upcoming New CNG Station at VGL,
                Vadodara (Tender No.: VGL/CO/C&amp;P-CNG/BD202206119/RI/01 Dated 18/10/2022)</t>
        </is>
      </c>
      <c r="K2178" t="inlineStr">
        <is>
          <t>Not found</t>
        </is>
      </c>
      <c r="L2178" t="inlineStr">
        <is>
          <t>Unknown</t>
        </is>
      </c>
      <c r="T2178" t="inlineStr">
        <is>
          <t>https://www.vgl.co.in/wp-content/uploads/2025/pdf/NIT_202206119_RI_01.pdf</t>
        </is>
      </c>
      <c r="U2178" t="inlineStr">
        <is>
          <t>No</t>
        </is>
      </c>
      <c r="V2178" t="inlineStr">
        <is>
          <t>Bot tarafindan tespit edildi (2026-07-01); Bot tespit/zenginlestirme (2026-07-01); meta:score=50;priority=Medium;source_type=html_link;closing_date=;equipment=Gas-related / review;reasons=equipment:Gas-related / review,document source,tender reference signal</t>
        </is>
      </c>
    </row>
    <row r="2179">
      <c r="A2179" t="inlineStr">
        <is>
          <t>T-1983</t>
        </is>
      </c>
      <c r="B2179" t="inlineStr">
        <is>
          <t>Vadodara Gas Limited</t>
        </is>
      </c>
      <c r="C2179" t="inlineStr">
        <is>
          <t>Vadodara Gas Limited</t>
        </is>
      </c>
      <c r="D2179" t="inlineStr">
        <is>
          <t>Tender No.: VGL/CO/C</t>
        </is>
      </c>
      <c r="E2179" t="inlineStr">
        <is>
          <t>23/09/2022</t>
        </is>
      </c>
      <c r="F2179" t="inlineStr">
        <is>
          <t>Awarded</t>
        </is>
      </c>
      <c r="G2179" t="inlineStr">
        <is>
          <t>Gas-related / review</t>
        </is>
      </c>
      <c r="H2179" t="inlineStr">
        <is>
          <t>"Corrigendum - 1for Purchase
                of Domestic Diaphragm Meter on ARC Basis for period of One Year (Tender No.:
                VGL/CO/C&amp;P-PNG/BD202208P008 Dated 23/09/2022)</t>
        </is>
      </c>
      <c r="K2179" t="inlineStr">
        <is>
          <t>Not found</t>
        </is>
      </c>
      <c r="L2179" t="inlineStr">
        <is>
          <t>Unknown</t>
        </is>
      </c>
      <c r="T2179" t="inlineStr">
        <is>
          <t>https://www.vgl.co.in/wp-content/uploads/2025/pdf/Corrigendum_-_1.pdf</t>
        </is>
      </c>
      <c r="U2179" t="inlineStr">
        <is>
          <t>No</t>
        </is>
      </c>
      <c r="V2179" t="inlineStr">
        <is>
          <t>Bot tarafindan tespit edildi (2026-07-01) | Bot enrich; date=2026-07-01; type=pdf; score=240; Bot tespit/zenginlestirme (2026-07-01); meta:score=50;priority=Medium;source_type=html_link;closing_date=;equipment=Gas-related / review;reasons=equipment:Gas-related / review,document source,tender reference signal</t>
        </is>
      </c>
    </row>
    <row r="2180">
      <c r="A2180" t="inlineStr">
        <is>
          <t>T-1984</t>
        </is>
      </c>
      <c r="B2180" t="inlineStr">
        <is>
          <t>Vadodara Gas Limited</t>
        </is>
      </c>
      <c r="C2180" t="inlineStr">
        <is>
          <t>Vadodara Gas Limited</t>
        </is>
      </c>
      <c r="D2180" t="inlineStr">
        <is>
          <t>VGL/CO/C</t>
        </is>
      </c>
      <c r="E2180" t="inlineStr">
        <is>
          <t>09/09/2022</t>
        </is>
      </c>
      <c r="F2180" t="inlineStr">
        <is>
          <t>New Lead</t>
        </is>
      </c>
      <c r="G2180" t="inlineStr">
        <is>
          <t>Gas-related / review</t>
        </is>
      </c>
      <c r="H2180" t="inlineStr">
        <is>
          <t>"Replies to Bidder's Queries against the tender for Non-Comprehensive Operation &amp;
                Maintenance Service of ICL Make 250 SCMH Booster Compressors &amp; Associated Accessories installed at
                VGL, Vadodara for the period of 02 Years Vide Tender No.: VGL/CO/C&amp;P-CNG/BD202204117 Dated
                09/09/2022</t>
        </is>
      </c>
      <c r="K2180" t="inlineStr">
        <is>
          <t>Not found</t>
        </is>
      </c>
      <c r="L2180" t="inlineStr">
        <is>
          <t>Unknown</t>
        </is>
      </c>
      <c r="T2180" t="inlineStr">
        <is>
          <t>https://www.vgl.co.in/wp-content/uploads/2025/pdf/REPLIES_TO_BIDDERS_QUERIES_-_250_SCMH.pdf</t>
        </is>
      </c>
      <c r="U2180" t="inlineStr">
        <is>
          <t>No</t>
        </is>
      </c>
      <c r="V2180" t="inlineStr">
        <is>
          <t>Bot tarafindan tespit edildi (2026-07-01); Bot tespit/zenginlestirme (2026-07-01); meta:score=50;priority=Medium;source_type=html_link;closing_date=;equipment=Gas-related / review;reasons=equipment:Gas-related / review,document source,tender reference signal</t>
        </is>
      </c>
    </row>
    <row r="2181">
      <c r="A2181" t="inlineStr">
        <is>
          <t>T-1985</t>
        </is>
      </c>
      <c r="B2181" t="inlineStr">
        <is>
          <t>Vadodara Gas Limited</t>
        </is>
      </c>
      <c r="C2181" t="inlineStr">
        <is>
          <t>Vadodara Gas Limited</t>
        </is>
      </c>
      <c r="D2181" t="inlineStr">
        <is>
          <t>VGL/CO/C</t>
        </is>
      </c>
      <c r="E2181" t="inlineStr">
        <is>
          <t>23/09/2022</t>
        </is>
      </c>
      <c r="F2181" t="inlineStr">
        <is>
          <t>New Lead</t>
        </is>
      </c>
      <c r="G2181" t="inlineStr">
        <is>
          <t>Gas-related / review</t>
        </is>
      </c>
      <c r="H2181" t="inlineStr">
        <is>
          <t>"Notice Inviting Tender for
                Purchase of Domestic Diaphragm Meter on ARC Basis for period of One Year (Tender No.:
                VGL/CO/C&amp;P-PNG/BD202208P008 Dated 23/09/2022)</t>
        </is>
      </c>
      <c r="K2181" t="inlineStr">
        <is>
          <t>Not found</t>
        </is>
      </c>
      <c r="L2181" t="inlineStr">
        <is>
          <t>Unknown</t>
        </is>
      </c>
      <c r="T2181" t="inlineStr">
        <is>
          <t>https://www.vgl.co.in/wp-content/uploads/2025/pdf/NIT_BD202208P008.pdf</t>
        </is>
      </c>
      <c r="U2181" t="inlineStr">
        <is>
          <t>No</t>
        </is>
      </c>
      <c r="V2181" t="inlineStr">
        <is>
          <t>Bot tarafindan tespit edildi (2026-07-01); Bot tespit/zenginlestirme (2026-07-01); meta:score=50;priority=Medium;source_type=html_link;closing_date=;equipment=Gas-related / review;reasons=equipment:Gas-related / review,document source,tender reference signal</t>
        </is>
      </c>
    </row>
    <row r="2182">
      <c r="A2182" t="inlineStr">
        <is>
          <t>T-1986</t>
        </is>
      </c>
      <c r="B2182" t="inlineStr">
        <is>
          <t>Vadodara Gas Limited</t>
        </is>
      </c>
      <c r="C2182" t="inlineStr">
        <is>
          <t>Vadodara Gas Limited</t>
        </is>
      </c>
      <c r="D2182" t="inlineStr">
        <is>
          <t>VGL/CO/C</t>
        </is>
      </c>
      <c r="E2182" t="inlineStr">
        <is>
          <t>22/08/2022</t>
        </is>
      </c>
      <c r="F2182" t="inlineStr">
        <is>
          <t>New Lead</t>
        </is>
      </c>
      <c r="G2182" t="inlineStr">
        <is>
          <t>Gas-related / review</t>
        </is>
      </c>
      <c r="H2182" t="inlineStr">
        <is>
          <t>"Replies to Bidders Queries - Additional against the tender for Purchase of 3000 WL
                Capacity Cascades on ARC Basis for Period of One Year Vide Tender No.: VGL/CO/C&amp;P-CNG/BD202208044
                Dated 22/08/2022</t>
        </is>
      </c>
      <c r="K2182" t="inlineStr">
        <is>
          <t>Not found</t>
        </is>
      </c>
      <c r="L2182" t="inlineStr">
        <is>
          <t>Unknown</t>
        </is>
      </c>
      <c r="T2182" t="inlineStr">
        <is>
          <t>https://www.vgl.co.in/wp-content/uploads/2025/pdf/Replies_to_Bidder_s_Queries__Additional.pdf</t>
        </is>
      </c>
      <c r="U2182" t="inlineStr">
        <is>
          <t>No</t>
        </is>
      </c>
      <c r="V2182" t="inlineStr">
        <is>
          <t>Bot tarafindan tespit edildi (2026-07-01); Bot tespit/zenginlestirme (2026-07-01); meta:score=50;priority=Medium;source_type=html_link;closing_date=;equipment=Gas-related / review;reasons=equipment:Gas-related / review,document source,tender reference signal</t>
        </is>
      </c>
    </row>
    <row r="2183">
      <c r="A2183" t="inlineStr">
        <is>
          <t>T-1987</t>
        </is>
      </c>
      <c r="B2183" t="inlineStr">
        <is>
          <t>Vadodara Gas Limited</t>
        </is>
      </c>
      <c r="C2183" t="inlineStr">
        <is>
          <t>Vadodara Gas Limited</t>
        </is>
      </c>
      <c r="D2183" t="inlineStr">
        <is>
          <t>VGL/CO/C</t>
        </is>
      </c>
      <c r="E2183" t="inlineStr">
        <is>
          <t>09/09/2022</t>
        </is>
      </c>
      <c r="F2183" t="inlineStr">
        <is>
          <t>New Lead</t>
        </is>
      </c>
      <c r="G2183" t="inlineStr">
        <is>
          <t>Gas-related / review</t>
        </is>
      </c>
      <c r="H2183" t="inlineStr">
        <is>
          <t>"Non-Comprehensive Operation
                &amp; Maintenance Service of ICL Make 250 SCMH Booster Compressors &amp; Associated Accessories
                installed at VGL, Vadodara for the period of 02 Years (Tender No.: VGL/CO/C&amp;P-CNG/BD202204117 Dated
                09/09/2022)</t>
        </is>
      </c>
      <c r="K2183" t="inlineStr">
        <is>
          <t>Not found</t>
        </is>
      </c>
      <c r="L2183" t="inlineStr">
        <is>
          <t>Unknown</t>
        </is>
      </c>
      <c r="T2183" t="inlineStr">
        <is>
          <t>https://www.vgl.co.in/wp-content/uploads/2025/pdf/NIT_BD202204117.pdf</t>
        </is>
      </c>
      <c r="U2183" t="inlineStr">
        <is>
          <t>No</t>
        </is>
      </c>
      <c r="V2183" t="inlineStr">
        <is>
          <t>Bot tarafindan tespit edildi (2026-07-01); Bot tespit/zenginlestirme (2026-07-01); meta:score=50;priority=Medium;source_type=html_link;closing_date=;equipment=Gas-related / review;reasons=equipment:Gas-related / review,document source,tender reference signal</t>
        </is>
      </c>
    </row>
    <row r="2184">
      <c r="A2184" t="inlineStr">
        <is>
          <t>T-1988</t>
        </is>
      </c>
      <c r="B2184" t="inlineStr">
        <is>
          <t>Vadodara Gas Limited</t>
        </is>
      </c>
      <c r="C2184" t="inlineStr">
        <is>
          <t>Vadodara Gas Limited</t>
        </is>
      </c>
      <c r="D2184" t="inlineStr">
        <is>
          <t>VGL/CO/C</t>
        </is>
      </c>
      <c r="E2184" t="inlineStr">
        <is>
          <t>08/09/2022</t>
        </is>
      </c>
      <c r="F2184" t="inlineStr">
        <is>
          <t>New Lead</t>
        </is>
      </c>
      <c r="G2184" t="inlineStr">
        <is>
          <t>Gas-related / review</t>
        </is>
      </c>
      <c r="H2184" t="inlineStr">
        <is>
          <t>"Notice Inviting Tender for
                Composite – Mechanical &amp; Electrical Works Contract For Upcoming New CNG Station at VGL,
                Vadodara (Tender No.: VGL/CO/C&amp;P-CNG/BD202206119 Dated 08/09/2022)</t>
        </is>
      </c>
      <c r="K2184" t="inlineStr">
        <is>
          <t>Not found</t>
        </is>
      </c>
      <c r="L2184" t="inlineStr">
        <is>
          <t>Unknown</t>
        </is>
      </c>
      <c r="T2184" t="inlineStr">
        <is>
          <t>https://www.vgl.co.in/wp-content/uploads/2025/pdf/NIT_202206119.pdf</t>
        </is>
      </c>
      <c r="U2184" t="inlineStr">
        <is>
          <t>No</t>
        </is>
      </c>
      <c r="V2184" t="inlineStr">
        <is>
          <t>Bot tarafindan tespit edildi (2026-07-01); Bot tespit/zenginlestirme (2026-07-01); meta:score=50;priority=Medium;source_type=html_link;closing_date=;equipment=Gas-related / review;reasons=equipment:Gas-related / review,document source,tender reference signal</t>
        </is>
      </c>
    </row>
    <row r="2185">
      <c r="A2185" t="inlineStr">
        <is>
          <t>T-1989</t>
        </is>
      </c>
      <c r="B2185" t="inlineStr">
        <is>
          <t>Vadodara Gas Limited</t>
        </is>
      </c>
      <c r="C2185" t="inlineStr">
        <is>
          <t>Vadodara Gas Limited</t>
        </is>
      </c>
      <c r="D2185" t="inlineStr">
        <is>
          <t>VGL/CO/C</t>
        </is>
      </c>
      <c r="E2185" t="inlineStr">
        <is>
          <t>22/08/2022</t>
        </is>
      </c>
      <c r="F2185" t="inlineStr">
        <is>
          <t>New Lead</t>
        </is>
      </c>
      <c r="G2185" t="inlineStr">
        <is>
          <t>Gas-related / review</t>
        </is>
      </c>
      <c r="H2185" t="inlineStr">
        <is>
          <t>"Replies
                to Bidders Queries against the tender for Purchase of 3000 WL Capacity Cascades on ARC Basis for Period
                of One Year Vide Tender No.: VGL/CO/C&amp;P-CNG/BD202208044 Dated 22/08/2022</t>
        </is>
      </c>
      <c r="K2185" t="inlineStr">
        <is>
          <t>Not found</t>
        </is>
      </c>
      <c r="L2185" t="inlineStr">
        <is>
          <t>Unknown</t>
        </is>
      </c>
      <c r="T2185" t="inlineStr">
        <is>
          <t>https://www.vgl.co.in/wp-content/uploads/2025/pdf/REPLIES_TO_BIDDERS_QUERIES_Cascade.pdf</t>
        </is>
      </c>
      <c r="U2185" t="inlineStr">
        <is>
          <t>No</t>
        </is>
      </c>
      <c r="V2185" t="inlineStr">
        <is>
          <t>Bot tarafindan tespit edildi (2026-07-01); Bot tespit/zenginlestirme (2026-07-01); meta:score=50;priority=Medium;source_type=html_link;closing_date=;equipment=Gas-related / review;reasons=equipment:Gas-related / review,document source,tender reference signal</t>
        </is>
      </c>
    </row>
    <row r="2186">
      <c r="A2186" t="inlineStr">
        <is>
          <t>T-1990</t>
        </is>
      </c>
      <c r="B2186" t="inlineStr">
        <is>
          <t>Vadodara Gas Limited</t>
        </is>
      </c>
      <c r="C2186" t="inlineStr">
        <is>
          <t>Vadodara Gas Limited</t>
        </is>
      </c>
      <c r="D2186" t="inlineStr">
        <is>
          <t>VGL/CO/C</t>
        </is>
      </c>
      <c r="E2186" t="inlineStr">
        <is>
          <t>22/08/2022</t>
        </is>
      </c>
      <c r="F2186" t="inlineStr">
        <is>
          <t>New Lead</t>
        </is>
      </c>
      <c r="G2186" t="inlineStr">
        <is>
          <t>Gas-related / review</t>
        </is>
      </c>
      <c r="H2186" t="inlineStr">
        <is>
          <t>"Notice Inviting Tender for
            Purchase of 3000 WL Capacity Cascades on ARC Basis for Period of One Year (Tender No.:
            VGL/CO/C&amp;P-CNG/BD202208044 Dated 22/08/2022)</t>
        </is>
      </c>
      <c r="K2186" t="inlineStr">
        <is>
          <t>Not found</t>
        </is>
      </c>
      <c r="L2186" t="inlineStr">
        <is>
          <t>Unknown</t>
        </is>
      </c>
      <c r="T2186" t="inlineStr">
        <is>
          <t>https://www.vgl.co.in/wp-content/uploads/2025/pdf/NIT_202208044.pdf</t>
        </is>
      </c>
      <c r="U2186" t="inlineStr">
        <is>
          <t>No</t>
        </is>
      </c>
      <c r="V2186" t="inlineStr">
        <is>
          <t>Bot tarafindan tespit edildi (2026-07-01); Bot tespit/zenginlestirme (2026-07-01); meta:score=50;priority=Medium;source_type=html_link;closing_date=;equipment=Gas-related / review;reasons=equipment:Gas-related / review,document source,tender reference signal</t>
        </is>
      </c>
    </row>
    <row r="2187">
      <c r="A2187" t="inlineStr">
        <is>
          <t>T-1991</t>
        </is>
      </c>
      <c r="B2187" t="inlineStr">
        <is>
          <t>Vadodara Gas Limited</t>
        </is>
      </c>
      <c r="C2187" t="inlineStr">
        <is>
          <t>Vadodara Gas Limited</t>
        </is>
      </c>
      <c r="D2187" t="inlineStr">
        <is>
          <t>VGL/CO/C</t>
        </is>
      </c>
      <c r="E2187" t="inlineStr">
        <is>
          <t>16/07/2022</t>
        </is>
      </c>
      <c r="F2187" t="inlineStr">
        <is>
          <t>New Lead</t>
        </is>
      </c>
      <c r="G2187" t="inlineStr">
        <is>
          <t>Gas-related / review</t>
        </is>
      </c>
      <c r="H2187" t="inlineStr">
        <is>
          <t>"Pre-Bids Queries
                Replies against the tender for Hiring of Vehicle Services at VGL for a Period of 24 Months (Tender No.:
                VGL/CO/C&amp;P-CNG/BD202204116 Dated 16/07/2022)</t>
        </is>
      </c>
      <c r="K2187" t="inlineStr">
        <is>
          <t>Not found</t>
        </is>
      </c>
      <c r="L2187" t="inlineStr">
        <is>
          <t>Unknown</t>
        </is>
      </c>
      <c r="T2187" t="inlineStr">
        <is>
          <t>https://www.vgl.co.in/wp-content/uploads/2025/pdf/Prebid_Queries_Replies.pdf</t>
        </is>
      </c>
      <c r="U2187" t="inlineStr">
        <is>
          <t>No</t>
        </is>
      </c>
      <c r="V2187" t="inlineStr">
        <is>
          <t>Bot tarafindan tespit edildi (2026-07-01); Bot tespit/zenginlestirme (2026-07-01); meta:score=50;priority=Medium;source_type=html_link;closing_date=;equipment=Gas-related / review;reasons=equipment:Gas-related / review,document source,tender reference signal</t>
        </is>
      </c>
    </row>
    <row r="2188">
      <c r="A2188" t="inlineStr">
        <is>
          <t>T-1992</t>
        </is>
      </c>
      <c r="B2188" t="inlineStr">
        <is>
          <t>Vadodara Gas Limited</t>
        </is>
      </c>
      <c r="C2188" t="inlineStr">
        <is>
          <t>Vadodara Gas Limited</t>
        </is>
      </c>
      <c r="D2188" t="inlineStr">
        <is>
          <t>VGL/CO/C</t>
        </is>
      </c>
      <c r="E2188" t="inlineStr">
        <is>
          <t>16/07/2022</t>
        </is>
      </c>
      <c r="F2188" t="inlineStr">
        <is>
          <t>New Lead</t>
        </is>
      </c>
      <c r="G2188" t="inlineStr">
        <is>
          <t>Gas-related / review</t>
        </is>
      </c>
      <c r="H2188" t="inlineStr">
        <is>
          <t>"Notice Inviting Tender for
                Hiring of Vehicle Services at VGL for a Period of 24 Months (Tender No.: VGL/CO/C&amp;P-CNG/BD202204116
                Dated 16/07/2022)</t>
        </is>
      </c>
      <c r="K2188" t="inlineStr">
        <is>
          <t>Not found</t>
        </is>
      </c>
      <c r="L2188" t="inlineStr">
        <is>
          <t>Unknown</t>
        </is>
      </c>
      <c r="T2188" t="inlineStr">
        <is>
          <t>https://www.vgl.co.in/wp-content/uploads/2025/pdf/NIT_202204116.pdf</t>
        </is>
      </c>
      <c r="U2188" t="inlineStr">
        <is>
          <t>No</t>
        </is>
      </c>
      <c r="V2188" t="inlineStr">
        <is>
          <t>Bot tarafindan tespit edildi (2026-07-01); Bot tespit/zenginlestirme (2026-07-01); meta:score=50;priority=Medium;source_type=html_link;closing_date=;equipment=Gas-related / review;reasons=equipment:Gas-related / review,document source,tender reference signal</t>
        </is>
      </c>
    </row>
    <row r="2189">
      <c r="A2189" t="inlineStr">
        <is>
          <t>T-1993</t>
        </is>
      </c>
      <c r="B2189" t="inlineStr">
        <is>
          <t>Vadodara Gas Limited</t>
        </is>
      </c>
      <c r="C2189" t="inlineStr">
        <is>
          <t>Vadodara Gas Limited</t>
        </is>
      </c>
      <c r="D2189" t="inlineStr">
        <is>
          <t>VGL/CO/C</t>
        </is>
      </c>
      <c r="E2189" t="inlineStr">
        <is>
          <t>29/06/2022</t>
        </is>
      </c>
      <c r="F2189" t="inlineStr">
        <is>
          <t>New Lead</t>
        </is>
      </c>
      <c r="G2189" t="inlineStr">
        <is>
          <t>Irrelevant / non-target</t>
        </is>
      </c>
      <c r="H2189" t="inlineStr">
        <is>
          <t>"Notice Inviting Tender for
                Hiring of Housekeeping Services at VGL for a Period of 24 Months (Tender No.:
                VGL/CO/C&amp;P-HR/BD202204112 Dated 29/06/2022)</t>
        </is>
      </c>
      <c r="K2189" t="inlineStr">
        <is>
          <t>Not found</t>
        </is>
      </c>
      <c r="L2189" t="inlineStr">
        <is>
          <t>Unknown</t>
        </is>
      </c>
      <c r="T2189" t="inlineStr">
        <is>
          <t>https://www.vgl.co.in/wp-content/uploads/2025/pdf/NIT_BD202202P78.pdf</t>
        </is>
      </c>
      <c r="U2189" t="inlineStr">
        <is>
          <t>No</t>
        </is>
      </c>
      <c r="V2189" t="inlineStr">
        <is>
          <t>Bot tarafindan tespit edildi (2026-07-01); Bot tespit/zenginlestirme (2026-07-01); meta:score=;priority=Low;source_type=html_link;closing_date=;equipment=Irrelevant / non-target;reasons=irrelevant_equipment,document source,tender reference signal,non-target service</t>
        </is>
      </c>
    </row>
    <row r="2190">
      <c r="A2190" t="inlineStr">
        <is>
          <t>T-1994</t>
        </is>
      </c>
      <c r="B2190" t="inlineStr">
        <is>
          <t>Vadodara Gas Limited</t>
        </is>
      </c>
      <c r="C2190" t="inlineStr">
        <is>
          <t>Vadodara Gas Limited</t>
        </is>
      </c>
      <c r="D2190" t="inlineStr">
        <is>
          <t>VGL/CO/C</t>
        </is>
      </c>
      <c r="E2190" t="inlineStr">
        <is>
          <t>06/06/2022</t>
        </is>
      </c>
      <c r="F2190" t="inlineStr">
        <is>
          <t>New Lead</t>
        </is>
      </c>
      <c r="G2190" t="inlineStr">
        <is>
          <t>Gas-related / review</t>
        </is>
      </c>
      <c r="H2190" t="inlineStr">
        <is>
          <t>"Replies to Bidder's queries – Additional" of the tender for "Purchase of 06 mm x
                ½” Gas Tap on ARC Basis for period of Two Years (Tender No.:
                VGL/CO/C&amp;P-PNG/BD202205P001 Dated: 06/06/2022)</t>
        </is>
      </c>
      <c r="K2190" t="inlineStr">
        <is>
          <t>Not found</t>
        </is>
      </c>
      <c r="L2190" t="inlineStr">
        <is>
          <t>Unknown</t>
        </is>
      </c>
      <c r="T2190" t="inlineStr">
        <is>
          <t>https://www.vgl.co.in/wp-content/uploads/2025/pdf/Replies_to_Bidders_Queries_BD202205P001_Additional.pdf</t>
        </is>
      </c>
      <c r="U2190" t="inlineStr">
        <is>
          <t>No</t>
        </is>
      </c>
      <c r="V2190" t="inlineStr">
        <is>
          <t>Bot tarafindan tespit edildi (2026-07-01); Bot tespit/zenginlestirme (2026-07-01); meta:score=50;priority=Medium;source_type=html_link;closing_date=;equipment=Gas-related / review;reasons=equipment:Gas-related / review,document source,tender reference signal</t>
        </is>
      </c>
    </row>
    <row r="2191">
      <c r="A2191" t="inlineStr">
        <is>
          <t>T-1995</t>
        </is>
      </c>
      <c r="B2191" t="inlineStr">
        <is>
          <t>Vadodara Gas Limited</t>
        </is>
      </c>
      <c r="C2191" t="inlineStr">
        <is>
          <t>Vadodara Gas Limited</t>
        </is>
      </c>
      <c r="D2191" t="inlineStr">
        <is>
          <t>VGL/CO/C</t>
        </is>
      </c>
      <c r="E2191" t="inlineStr">
        <is>
          <t>06/06/2022</t>
        </is>
      </c>
      <c r="F2191" t="inlineStr">
        <is>
          <t>New Lead</t>
        </is>
      </c>
      <c r="G2191" t="inlineStr">
        <is>
          <t>Gas-related / review</t>
        </is>
      </c>
      <c r="H2191" t="inlineStr">
        <is>
          <t>"Replies of Bidder's Queries of the tender for "Purchase of 06 mm x ½” Gas
                Tap on ARC Basis for period of Two Years (Tender No.: VGL/CO/C&amp;P-PNG/BD202205P001 Dated:
                06/06/2022)</t>
        </is>
      </c>
      <c r="K2191" t="inlineStr">
        <is>
          <t>Not found</t>
        </is>
      </c>
      <c r="L2191" t="inlineStr">
        <is>
          <t>Unknown</t>
        </is>
      </c>
      <c r="T2191" t="inlineStr">
        <is>
          <t>https://www.vgl.co.in/wp-content/uploads/2025/pdf/REPLIES_TO_BIDDERS_QUERIES_BD202205P001.pdf</t>
        </is>
      </c>
      <c r="U2191" t="inlineStr">
        <is>
          <t>No</t>
        </is>
      </c>
      <c r="V2191" t="inlineStr">
        <is>
          <t>Bot tarafindan tespit edildi (2026-07-01); Bot tespit/zenginlestirme (2026-07-01); meta:score=50;priority=Medium;source_type=html_link;closing_date=;equipment=Gas-related / review;reasons=equipment:Gas-related / review,document source,tender reference signal</t>
        </is>
      </c>
    </row>
    <row r="2192">
      <c r="A2192" t="inlineStr">
        <is>
          <t>T-1996</t>
        </is>
      </c>
      <c r="B2192" t="inlineStr">
        <is>
          <t>Vadodara Gas Limited</t>
        </is>
      </c>
      <c r="C2192" t="inlineStr">
        <is>
          <t>Vadodara Gas Limited</t>
        </is>
      </c>
      <c r="D2192" t="inlineStr">
        <is>
          <t>VGL/CO/C</t>
        </is>
      </c>
      <c r="E2192" t="inlineStr">
        <is>
          <t>06/06/2022</t>
        </is>
      </c>
      <c r="F2192" t="inlineStr">
        <is>
          <t>New Lead</t>
        </is>
      </c>
      <c r="G2192" t="inlineStr">
        <is>
          <t>Gas-related / review</t>
        </is>
      </c>
      <c r="H2192" t="inlineStr">
        <is>
          <t>"Notice Inviting Tender for
                Purchase of 06 mm x ½” Gas Tap on ARC Basis for period of Two Years (Tender No.:
                VGL/CO/C&amp;P-PNG/BD202205P001 Dated: 06/06/2022)</t>
        </is>
      </c>
      <c r="K2192" t="inlineStr">
        <is>
          <t>Not found</t>
        </is>
      </c>
      <c r="L2192" t="inlineStr">
        <is>
          <t>Unknown</t>
        </is>
      </c>
      <c r="T2192" t="inlineStr">
        <is>
          <t>https://www.vgl.co.in/wp-content/uploads/2025/pdf/NIT_BD202205P001.pdf</t>
        </is>
      </c>
      <c r="U2192" t="inlineStr">
        <is>
          <t>No</t>
        </is>
      </c>
      <c r="V2192" t="inlineStr">
        <is>
          <t>Bot tarafindan tespit edildi (2026-07-01); Bot tespit/zenginlestirme (2026-07-01); meta:score=50;priority=Medium;source_type=html_link;closing_date=;equipment=Gas-related / review;reasons=equipment:Gas-related / review,document source,tender reference signal</t>
        </is>
      </c>
    </row>
    <row r="2193">
      <c r="A2193" t="inlineStr">
        <is>
          <t>T-1997</t>
        </is>
      </c>
      <c r="B2193" t="inlineStr">
        <is>
          <t>Vadodara Gas Limited</t>
        </is>
      </c>
      <c r="C2193" t="inlineStr">
        <is>
          <t>Vadodara Gas Limited</t>
        </is>
      </c>
      <c r="D2193" t="inlineStr">
        <is>
          <t>VGL/CO/C</t>
        </is>
      </c>
      <c r="F2193" t="inlineStr">
        <is>
          <t>New Lead</t>
        </is>
      </c>
      <c r="G2193" t="inlineStr">
        <is>
          <t>Unclassified</t>
        </is>
      </c>
      <c r="H2193" t="inlineStr">
        <is>
          <t>"Notice Inviting Tender for Purchase of Firewall, Server and Network Switch (Tender No.:
                VGL/CO/C&amp;P-IT/BD202108165 Dated: 23.05.2022)</t>
        </is>
      </c>
      <c r="K2193" t="inlineStr">
        <is>
          <t>Not found</t>
        </is>
      </c>
      <c r="L2193" t="inlineStr">
        <is>
          <t>Unknown</t>
        </is>
      </c>
      <c r="T2193" t="inlineStr">
        <is>
          <t>https://www.vgl.co.in/wp-content/uploads/2025/pdf/NIT.pdf</t>
        </is>
      </c>
      <c r="U2193" t="inlineStr">
        <is>
          <t>No</t>
        </is>
      </c>
      <c r="V2193" t="inlineStr">
        <is>
          <t>Bot tarafindan tespit edildi (2026-07-01); Bot tespit/zenginlestirme (2026-07-01); meta:score=35;priority=Low;source_type=html_link;closing_date=;equipment=Unclassified;reasons=document source,tender reference signal</t>
        </is>
      </c>
    </row>
    <row r="2194">
      <c r="A2194" t="inlineStr">
        <is>
          <t>T-1998</t>
        </is>
      </c>
      <c r="B2194" t="inlineStr">
        <is>
          <t>Vadodara Gas Limited</t>
        </is>
      </c>
      <c r="C2194" t="inlineStr">
        <is>
          <t>Vadodara Gas Limited</t>
        </is>
      </c>
      <c r="D2194" t="inlineStr">
        <is>
          <t>VGL/CO/C</t>
        </is>
      </c>
      <c r="F2194" t="inlineStr">
        <is>
          <t>New Lead</t>
        </is>
      </c>
      <c r="G2194" t="inlineStr">
        <is>
          <t>Gas-related / review</t>
        </is>
      </c>
      <c r="H2194" t="inlineStr">
        <is>
          <t>"Replies
                of Bidder's Queries of the tender for Purchase of Desktop Computers, Laptop and Printers (Tender No.:
                VGL/CO/C&amp;P-CNG/BD202102135 Dated: 16.05.2022)</t>
        </is>
      </c>
      <c r="K2194" t="inlineStr">
        <is>
          <t>Not found</t>
        </is>
      </c>
      <c r="L2194" t="inlineStr">
        <is>
          <t>Unknown</t>
        </is>
      </c>
      <c r="T2194" t="inlineStr">
        <is>
          <t>https://www.vgl.co.in/wp-content/uploads/2025/pdf/Replies_to_Bidder_s_Queries_Final.pdf</t>
        </is>
      </c>
      <c r="U2194" t="inlineStr">
        <is>
          <t>No</t>
        </is>
      </c>
      <c r="V2194" t="inlineStr">
        <is>
          <t>Bot tarafindan tespit edildi (2026-07-01); Bot tespit/zenginlestirme (2026-07-01); meta:score=50;priority=Medium;source_type=html_link;closing_date=;equipment=Gas-related / review;reasons=equipment:Gas-related / review,document source,tender reference signal</t>
        </is>
      </c>
    </row>
    <row r="2195">
      <c r="A2195" t="inlineStr">
        <is>
          <t>T-1999</t>
        </is>
      </c>
      <c r="B2195" t="inlineStr">
        <is>
          <t>Vadodara Gas Limited</t>
        </is>
      </c>
      <c r="C2195" t="inlineStr">
        <is>
          <t>Vadodara Gas Limited</t>
        </is>
      </c>
      <c r="D2195" t="inlineStr">
        <is>
          <t>Tender No.: VGL/CO/C</t>
        </is>
      </c>
      <c r="E2195" t="inlineStr">
        <is>
          <t>16/05/2022</t>
        </is>
      </c>
      <c r="F2195" t="inlineStr">
        <is>
          <t>Awarded</t>
        </is>
      </c>
      <c r="G2195" t="inlineStr">
        <is>
          <t>domestic regulator</t>
        </is>
      </c>
      <c r="H2195" t="inlineStr">
        <is>
          <t>"Notice Inviting
                Tender for Purchase of Domestic Regulator on ARC Basis for period of Two Years (Tender No.:
                VGL/CO/C&amp;P-PNG/BD202203P80 Dated: 16.05.2022)</t>
        </is>
      </c>
      <c r="K2195" t="inlineStr">
        <is>
          <t>s under appropriate category for</t>
        </is>
      </c>
      <c r="L2195" t="inlineStr">
        <is>
          <t>Unknown</t>
        </is>
      </c>
      <c r="M2195" t="n">
        <v>1.2</v>
      </c>
      <c r="T2195" t="inlineStr">
        <is>
          <t>https://www.vgl.co.in/wp-content/uploads/2025/pdf/NIT_Domestic_Regulator.pdf</t>
        </is>
      </c>
      <c r="U2195" t="inlineStr">
        <is>
          <t>No</t>
        </is>
      </c>
      <c r="V2195" t="inlineStr">
        <is>
          <t>Bot tarafindan tespit edildi (2026-07-01) | Bot enrich; date=2026-07-01; type=pdf; score=320; Bot tespit/zenginlestirme (2026-07-01); meta:score=100;priority=High;source_type=html_link;closing_date=08/06/2022;equipment=Domestic regulator;reasons=equipment:Domestic regulator,target regulator keyword,document source,tender reference signal; Bot clean extraction (2026-07-01); meta:score=100;priority=High;source_type=html_link;closing_date=08/06/2022;equipment=Domestic gas regulator;quality_status=market_target;market_relevance=High;document_type=loa;unit_price_inr=;amount_label=currency_near_total;matched_terms=Domestic gas regulator;reject_reasons=;scope=market_intelligence_only;excluded_scope=no_bid_or_offer_submission_automation</t>
        </is>
      </c>
    </row>
    <row r="2196">
      <c r="A2196" t="inlineStr">
        <is>
          <t>T-2000</t>
        </is>
      </c>
      <c r="B2196" t="inlineStr">
        <is>
          <t>Vadodara Gas Limited</t>
        </is>
      </c>
      <c r="C2196" t="inlineStr">
        <is>
          <t>Vadodara Gas Limited</t>
        </is>
      </c>
      <c r="D2196" t="inlineStr">
        <is>
          <t>VGL/CO/C</t>
        </is>
      </c>
      <c r="F2196" t="inlineStr">
        <is>
          <t>New Lead</t>
        </is>
      </c>
      <c r="G2196" t="inlineStr">
        <is>
          <t>Gas-related / review</t>
        </is>
      </c>
      <c r="H2196" t="inlineStr">
        <is>
          <t>"Notice Inviting Tender for Purchase of Desktop Computers, Laptop and Printers (Tender
                No.: VGL/CO/C&amp;P-CNG/BD202102135 Dated: 16.05.2022)</t>
        </is>
      </c>
      <c r="K2196" t="inlineStr">
        <is>
          <t>Not found</t>
        </is>
      </c>
      <c r="L2196" t="inlineStr">
        <is>
          <t>Unknown</t>
        </is>
      </c>
      <c r="T2196" t="inlineStr">
        <is>
          <t>https://www.vgl.co.in/wp-content/uploads/2025/pdf/NIT1.pdf</t>
        </is>
      </c>
      <c r="U2196" t="inlineStr">
        <is>
          <t>No</t>
        </is>
      </c>
      <c r="V2196" t="inlineStr">
        <is>
          <t>Bot tarafindan tespit edildi (2026-07-01); Bot tespit/zenginlestirme (2026-07-01); meta:score=50;priority=Medium;source_type=html_link;closing_date=;equipment=Gas-related / review;reasons=equipment:Gas-related / review,document source,tender reference signal</t>
        </is>
      </c>
    </row>
    <row r="2197">
      <c r="A2197" t="inlineStr">
        <is>
          <t>T-2001</t>
        </is>
      </c>
      <c r="B2197" t="inlineStr">
        <is>
          <t>Vadodara Gas Limited</t>
        </is>
      </c>
      <c r="C2197" t="inlineStr">
        <is>
          <t>Vadodara Gas Limited</t>
        </is>
      </c>
      <c r="D2197" t="inlineStr">
        <is>
          <t>VGL/CO/C</t>
        </is>
      </c>
      <c r="F2197" t="inlineStr">
        <is>
          <t>New Lead</t>
        </is>
      </c>
      <c r="G2197" t="inlineStr">
        <is>
          <t>Irrelevant / non-target</t>
        </is>
      </c>
      <c r="H2197" t="inlineStr">
        <is>
          <t>"Replies of Bidder's Queries of the tender for Hiring of Security Services at VGL for
                Period of 24 Months (Tender No.: VGL/CO/C&amp;P-CNG/BD202203105)</t>
        </is>
      </c>
      <c r="K2197" t="inlineStr">
        <is>
          <t>Not found</t>
        </is>
      </c>
      <c r="L2197" t="inlineStr">
        <is>
          <t>Unknown</t>
        </is>
      </c>
      <c r="T2197" t="inlineStr">
        <is>
          <t>https://www.vgl.co.in/wp-content/uploads/2025/pdf/Replies_to_Bidder_s_Queries_Security.pdf</t>
        </is>
      </c>
      <c r="U2197" t="inlineStr">
        <is>
          <t>No</t>
        </is>
      </c>
      <c r="V2197" t="inlineStr">
        <is>
          <t>Bot tarafindan tespit edildi (2026-07-01); Bot tespit/zenginlestirme (2026-07-01); meta:score=;priority=Low;source_type=html_link;closing_date=;equipment=Irrelevant / non-target;reasons=irrelevant_equipment,document source,tender reference signal,non-target service</t>
        </is>
      </c>
    </row>
    <row r="2198">
      <c r="A2198" t="inlineStr">
        <is>
          <t>T-2002</t>
        </is>
      </c>
      <c r="B2198" t="inlineStr">
        <is>
          <t>Vadodara Gas Limited</t>
        </is>
      </c>
      <c r="C2198" t="inlineStr">
        <is>
          <t>Vadodara Gas Limited</t>
        </is>
      </c>
      <c r="F2198" t="inlineStr">
        <is>
          <t>New Lead</t>
        </is>
      </c>
      <c r="G2198" t="inlineStr">
        <is>
          <t>Gas-related / review</t>
        </is>
      </c>
      <c r="H2198" t="inlineStr">
        <is>
          <t>"Corrigendum-1 &amp; Replies of Bidder's Queries of the tender for Purchase of GI Pipe
                on ARC basis for Period of One Year Vide Tender No.: VGL/ CO/C&amp;P-PNG/BD202202P78</t>
        </is>
      </c>
      <c r="K2198" t="inlineStr">
        <is>
          <t>Not found</t>
        </is>
      </c>
      <c r="L2198" t="inlineStr">
        <is>
          <t>Unknown</t>
        </is>
      </c>
      <c r="T2198" t="inlineStr">
        <is>
          <t>https://www.vgl.co.in/wp-content/uploads/2025/pdf/Corrigendum-1_and_Replies_to_Bidders_Queries_GI_Pipe_BD202202P78.pdf</t>
        </is>
      </c>
      <c r="U2198" t="inlineStr">
        <is>
          <t>No</t>
        </is>
      </c>
      <c r="V2198" t="inlineStr">
        <is>
          <t>Bot tarafindan tespit edildi (2026-07-01); Bot tespit/zenginlestirme (2026-07-01); meta:score=50;priority=Medium;source_type=html_link;closing_date=;equipment=Gas-related / review;reasons=equipment:Gas-related / review,document source,tender reference signal</t>
        </is>
      </c>
    </row>
    <row r="2199">
      <c r="A2199" t="inlineStr">
        <is>
          <t>T-2003</t>
        </is>
      </c>
      <c r="B2199" t="inlineStr">
        <is>
          <t>Vadodara Gas Limited</t>
        </is>
      </c>
      <c r="C2199" t="inlineStr">
        <is>
          <t>Vadodara Gas Limited</t>
        </is>
      </c>
      <c r="D2199" t="inlineStr">
        <is>
          <t>VGL/CO/C</t>
        </is>
      </c>
      <c r="F2199" t="inlineStr">
        <is>
          <t>New Lead</t>
        </is>
      </c>
      <c r="G2199" t="inlineStr">
        <is>
          <t>Irrelevant / non-target</t>
        </is>
      </c>
      <c r="H2199" t="inlineStr">
        <is>
          <t>"Notice Inviting Tender for
                Hiring of Security Services at VGL for Period of 24 Months (Tender No.: VGL/CO/C&amp;P-CNG/BD202203105
                Dated: 23.04.2022)</t>
        </is>
      </c>
      <c r="K2199" t="inlineStr">
        <is>
          <t>Not found</t>
        </is>
      </c>
      <c r="L2199" t="inlineStr">
        <is>
          <t>Unknown</t>
        </is>
      </c>
      <c r="T2199" t="inlineStr">
        <is>
          <t>https://www.vgl.co.in/wp-content/uploads/2025/pdf/NIT_BD202203105.pdf</t>
        </is>
      </c>
      <c r="U2199" t="inlineStr">
        <is>
          <t>No</t>
        </is>
      </c>
      <c r="V2199" t="inlineStr">
        <is>
          <t>Bot tarafindan tespit edildi (2026-07-01); Bot tespit/zenginlestirme (2026-07-01); meta:score=;priority=Low;source_type=html_link;closing_date=;equipment=Irrelevant / non-target;reasons=irrelevant_equipment,document source,tender reference signal,non-target service</t>
        </is>
      </c>
    </row>
    <row r="2200">
      <c r="A2200" t="inlineStr">
        <is>
          <t>T-2004</t>
        </is>
      </c>
      <c r="B2200" t="inlineStr">
        <is>
          <t>Vadodara Gas Limited</t>
        </is>
      </c>
      <c r="C2200" t="inlineStr">
        <is>
          <t>Vadodara Gas Limited</t>
        </is>
      </c>
      <c r="D2200" t="inlineStr">
        <is>
          <t>VGL/CO/C</t>
        </is>
      </c>
      <c r="F2200" t="inlineStr">
        <is>
          <t>New Lead</t>
        </is>
      </c>
      <c r="G2200" t="inlineStr">
        <is>
          <t>Gas-related / review</t>
        </is>
      </c>
      <c r="H2200" t="inlineStr">
        <is>
          <t>"Replies of Bidder's Queries of the tender for Hiring of Services for Laying of MDPE
                Pipeline &amp; Industrial Hook-up in POR GIDC Area vide Tender No. VGL/CO/C&amp;P-PNG/BD202201S72</t>
        </is>
      </c>
      <c r="K2200" t="inlineStr">
        <is>
          <t>Not found</t>
        </is>
      </c>
      <c r="L2200" t="inlineStr">
        <is>
          <t>Unknown</t>
        </is>
      </c>
      <c r="T2200" t="inlineStr">
        <is>
          <t>https://www.vgl.co.in/wp-content/uploads/2025/pdf/Replies_to_Bidder_s_Queries_POR_GIDC.pdf</t>
        </is>
      </c>
      <c r="U2200" t="inlineStr">
        <is>
          <t>No</t>
        </is>
      </c>
      <c r="V2200" t="inlineStr">
        <is>
          <t>Bot tarafindan tespit edildi (2026-07-01); Bot tespit/zenginlestirme (2026-07-01); meta:score=50;priority=Medium;source_type=html_link;closing_date=;equipment=Gas-related / review;reasons=equipment:Gas-related / review,document source,tender reference signal</t>
        </is>
      </c>
    </row>
    <row r="2201">
      <c r="A2201" t="inlineStr">
        <is>
          <t>T-2005</t>
        </is>
      </c>
      <c r="B2201" t="inlineStr">
        <is>
          <t>Vadodara Gas Limited</t>
        </is>
      </c>
      <c r="C2201" t="inlineStr">
        <is>
          <t>Vadodara Gas Limited</t>
        </is>
      </c>
      <c r="D2201" t="inlineStr">
        <is>
          <t>VGL/CO/C</t>
        </is>
      </c>
      <c r="F2201" t="inlineStr">
        <is>
          <t>New Lead</t>
        </is>
      </c>
      <c r="G2201" t="inlineStr">
        <is>
          <t>Gas-related / review</t>
        </is>
      </c>
      <c r="H2201" t="inlineStr">
        <is>
          <t>"Notice Inviting Tender for
                Hiring of Services for Laying of MDPE Pipeline &amp; Industrial Hook-up in POR GIDC Area Vide Tender No.
                VGL/CO/C&amp;P-PNG/BD202201S72 Dated: 28.03.2022</t>
        </is>
      </c>
      <c r="K2201" t="inlineStr">
        <is>
          <t>Not found</t>
        </is>
      </c>
      <c r="L2201" t="inlineStr">
        <is>
          <t>Unknown</t>
        </is>
      </c>
      <c r="T2201" t="inlineStr">
        <is>
          <t>https://www.vgl.co.in/wp-content/uploads/2025/pdf/NIT_GIDC_POR.pdf</t>
        </is>
      </c>
      <c r="U2201" t="inlineStr">
        <is>
          <t>No</t>
        </is>
      </c>
      <c r="V2201" t="inlineStr">
        <is>
          <t>Bot tarafindan tespit edildi (2026-07-01); Bot tespit/zenginlestirme (2026-07-01); meta:score=50;priority=Medium;source_type=html_link;closing_date=;equipment=Gas-related / review;reasons=equipment:Gas-related / review,document source,tender reference signal</t>
        </is>
      </c>
    </row>
    <row r="2202">
      <c r="A2202" t="inlineStr">
        <is>
          <t>T-2006</t>
        </is>
      </c>
      <c r="B2202" t="inlineStr">
        <is>
          <t>Vadodara Gas Limited</t>
        </is>
      </c>
      <c r="C2202" t="inlineStr">
        <is>
          <t>Vadodara Gas Limited</t>
        </is>
      </c>
      <c r="D2202" t="inlineStr">
        <is>
          <t>VGL/CO/C</t>
        </is>
      </c>
      <c r="F2202" t="inlineStr">
        <is>
          <t>New Lead</t>
        </is>
      </c>
      <c r="G2202" t="inlineStr">
        <is>
          <t>Gas-related / review</t>
        </is>
      </c>
      <c r="H2202" t="inlineStr">
        <is>
          <t>"Corrigendum-1 &amp; Replies of Bidder's Queries of the tender for Purchase of MDPE Pipe
                on ARC Basis for Period of One Year vide Tender No. VGL/CO/C&amp;P-PNG/BD202201P72</t>
        </is>
      </c>
      <c r="K2202" t="inlineStr">
        <is>
          <t>Not found</t>
        </is>
      </c>
      <c r="L2202" t="inlineStr">
        <is>
          <t>Unknown</t>
        </is>
      </c>
      <c r="T2202" t="inlineStr">
        <is>
          <t>https://www.vgl.co.in/wp-content/uploads/2025/pdf/Replies_to_Bidder_s_Queries_MDPE_Pipe.pdf</t>
        </is>
      </c>
      <c r="U2202" t="inlineStr">
        <is>
          <t>No</t>
        </is>
      </c>
      <c r="V2202" t="inlineStr">
        <is>
          <t>Bot tarafindan tespit edildi (2026-07-01); Bot tespit/zenginlestirme (2026-07-01); meta:score=50;priority=Medium;source_type=html_link;closing_date=;equipment=Gas-related / review;reasons=equipment:Gas-related / review,document source,tender reference signal</t>
        </is>
      </c>
    </row>
    <row r="2203">
      <c r="A2203" t="inlineStr">
        <is>
          <t>T-2007</t>
        </is>
      </c>
      <c r="B2203" t="inlineStr">
        <is>
          <t>Vadodara Gas Limited</t>
        </is>
      </c>
      <c r="C2203" t="inlineStr">
        <is>
          <t>Vadodara Gas Limited</t>
        </is>
      </c>
      <c r="D2203" t="inlineStr">
        <is>
          <t>VGL/CO/C</t>
        </is>
      </c>
      <c r="F2203" t="inlineStr">
        <is>
          <t>New Lead</t>
        </is>
      </c>
      <c r="G2203" t="inlineStr">
        <is>
          <t>Gas-related / review</t>
        </is>
      </c>
      <c r="H2203" t="inlineStr">
        <is>
          <t>"Replies of Bidder's Queries for the tender for Purchase of Electro-Fusion Fittings on
                ARC Basis for Period of One Year vide Tender No. VGL/CO/C&amp;P-PNG/BD202112P70</t>
        </is>
      </c>
      <c r="K2203" t="inlineStr">
        <is>
          <t>Not found</t>
        </is>
      </c>
      <c r="L2203" t="inlineStr">
        <is>
          <t>Unknown</t>
        </is>
      </c>
      <c r="T2203" t="inlineStr">
        <is>
          <t>https://www.vgl.co.in/wp-content/uploads/2025/pdf/REPLIES_TO_BIDDERS_QUERIES_EF_Fitting.pdf</t>
        </is>
      </c>
      <c r="U2203" t="inlineStr">
        <is>
          <t>No</t>
        </is>
      </c>
      <c r="V2203" t="inlineStr">
        <is>
          <t>Bot tarafindan tespit edildi (2026-07-01); Bot tespit/zenginlestirme (2026-07-01); meta:score=50;priority=Medium;source_type=html_link;closing_date=;equipment=Gas-related / review;reasons=equipment:Gas-related / review,document source,tender reference signal</t>
        </is>
      </c>
    </row>
    <row r="2204">
      <c r="A2204" t="inlineStr">
        <is>
          <t>T-2008</t>
        </is>
      </c>
      <c r="B2204" t="inlineStr">
        <is>
          <t>Vadodara Gas Limited</t>
        </is>
      </c>
      <c r="C2204" t="inlineStr">
        <is>
          <t>Vadodara Gas Limited</t>
        </is>
      </c>
      <c r="F2204" t="inlineStr">
        <is>
          <t>New Lead</t>
        </is>
      </c>
      <c r="G2204" t="inlineStr">
        <is>
          <t>Unclassified</t>
        </is>
      </c>
      <c r="H2204" t="inlineStr">
        <is>
          <t>Notice Inviting Tender for
                Notice Inviting Tender for Purchase of MDPE Pipe on ARC Basis for period of one year</t>
        </is>
      </c>
      <c r="K2204" t="inlineStr">
        <is>
          <t>Not found</t>
        </is>
      </c>
      <c r="L2204" t="inlineStr">
        <is>
          <t>Unknown</t>
        </is>
      </c>
      <c r="T2204" t="inlineStr">
        <is>
          <t>https://www.vgl.co.in/wp-content/uploads/2025/pdf/NIT_MDPE_Pipe.pdf</t>
        </is>
      </c>
      <c r="U2204" t="inlineStr">
        <is>
          <t>No</t>
        </is>
      </c>
      <c r="V2204" t="inlineStr">
        <is>
          <t>Bot tarafindan tespit edildi (2026-07-01); Bot tespit/zenginlestirme (2026-07-01); meta:score=35;priority=Low;source_type=html_link;closing_date=;equipment=Unclassified;reasons=document source,tender reference signal</t>
        </is>
      </c>
    </row>
    <row r="2205">
      <c r="A2205" t="inlineStr">
        <is>
          <t>T-2009</t>
        </is>
      </c>
      <c r="B2205" t="inlineStr">
        <is>
          <t>Vadodara Gas Limited</t>
        </is>
      </c>
      <c r="C2205" t="inlineStr">
        <is>
          <t>Vadodara Gas Limited</t>
        </is>
      </c>
      <c r="D2205" t="inlineStr">
        <is>
          <t>VGL/CO/C</t>
        </is>
      </c>
      <c r="F2205" t="inlineStr">
        <is>
          <t>New Lead</t>
        </is>
      </c>
      <c r="G2205" t="inlineStr">
        <is>
          <t>Irrelevant / non-target</t>
        </is>
      </c>
      <c r="H2205" t="inlineStr">
        <is>
          <t>Corrigendum-1 &amp; Replies of Bidder's Queries for the tender for Hiring of Manpower
                for Billing, Distribution and Cash Collection of VGL’s PNG Customers at Dandiya Bazzar Gas Office
                and Ward Offices for VGL, Vadodara for a period of two years vide Tender No.:
                VGL/CO/C&amp;P-CNG/BD202111172</t>
        </is>
      </c>
      <c r="K2205" t="inlineStr">
        <is>
          <t>Not found</t>
        </is>
      </c>
      <c r="L2205" t="inlineStr">
        <is>
          <t>Unknown</t>
        </is>
      </c>
      <c r="T2205" t="inlineStr">
        <is>
          <t>https://www.vgl.co.in/wp-content/uploads/2025/pdf/Corrigedum-1___Replies_to_Bidder_s_Queries_Billing.pdf</t>
        </is>
      </c>
      <c r="U2205" t="inlineStr">
        <is>
          <t>No</t>
        </is>
      </c>
      <c r="V2205" t="inlineStr">
        <is>
          <t>Bot tarafindan tespit edildi (2026-07-01); Bot tespit/zenginlestirme (2026-07-01); meta:score=;priority=Low;source_type=html_link;closing_date=;equipment=Irrelevant / non-target;reasons=irrelevant_equipment,document source,tender reference signal,non-target service</t>
        </is>
      </c>
    </row>
    <row r="2206">
      <c r="A2206" t="inlineStr">
        <is>
          <t>T-2010</t>
        </is>
      </c>
      <c r="B2206" t="inlineStr">
        <is>
          <t>Vadodara Gas Limited</t>
        </is>
      </c>
      <c r="C2206" t="inlineStr">
        <is>
          <t>Vadodara Gas Limited</t>
        </is>
      </c>
      <c r="D2206" t="inlineStr">
        <is>
          <t>VGL/CO/C</t>
        </is>
      </c>
      <c r="F2206" t="inlineStr">
        <is>
          <t>New Lead</t>
        </is>
      </c>
      <c r="G2206" t="inlineStr">
        <is>
          <t>Gas-related / review</t>
        </is>
      </c>
      <c r="H2206" t="inlineStr">
        <is>
          <t>Corrigendum-1 &amp; Replies of Bidder's Queries for the tender for Balance Laying and
                Construction of Steel Pipeline Network &amp; Associated Works in between Manisha Circle to Airport for
                CNG &amp; City Gas Distribution Project at Vadodara vide Tender No.: VGL/CO/C&amp;P-CNG/BD202109169</t>
        </is>
      </c>
      <c r="K2206" t="inlineStr">
        <is>
          <t>Not found</t>
        </is>
      </c>
      <c r="L2206" t="inlineStr">
        <is>
          <t>Unknown</t>
        </is>
      </c>
      <c r="T2206" t="inlineStr">
        <is>
          <t>https://www.vgl.co.in/wp-content/uploads/2025/pdf/Corrgiendum-1___Replies_to_Bidder_s_Queries_Steel_Laying.pdf</t>
        </is>
      </c>
      <c r="U2206" t="inlineStr">
        <is>
          <t>No</t>
        </is>
      </c>
      <c r="V2206" t="inlineStr">
        <is>
          <t>Bot tarafindan tespit edildi (2026-07-01); Bot tespit/zenginlestirme (2026-07-01); meta:score=50;priority=Medium;source_type=html_link;closing_date=;equipment=Gas-related / review;reasons=equipment:Gas-related / review,document source,tender reference signal</t>
        </is>
      </c>
    </row>
    <row r="2207">
      <c r="A2207" t="inlineStr">
        <is>
          <t>T-2011</t>
        </is>
      </c>
      <c r="B2207" t="inlineStr">
        <is>
          <t>Vadodara Gas Limited</t>
        </is>
      </c>
      <c r="C2207" t="inlineStr">
        <is>
          <t>Vadodara Gas Limited</t>
        </is>
      </c>
      <c r="D2207" t="inlineStr">
        <is>
          <t>VGL/CO/C</t>
        </is>
      </c>
      <c r="F2207" t="inlineStr">
        <is>
          <t>New Lead</t>
        </is>
      </c>
      <c r="G2207" t="inlineStr">
        <is>
          <t>Gas-related / review</t>
        </is>
      </c>
      <c r="H2207" t="inlineStr">
        <is>
          <t>Replies of Bidder's Queries for the tender for Hiring of Services for Providing the till
                Last Mile Connectivity to Commercial &amp; Industrial Customers of Vadodara GA on ARC Basis for Period
                of One Year vide Tender No.: VGL/CO/C&amp;P-PNG/BD202111S69</t>
        </is>
      </c>
      <c r="K2207" t="inlineStr">
        <is>
          <t>Not found</t>
        </is>
      </c>
      <c r="L2207" t="inlineStr">
        <is>
          <t>Unknown</t>
        </is>
      </c>
      <c r="T2207" t="inlineStr">
        <is>
          <t>https://www.vgl.co.in/wp-content/uploads/2025/pdf/Replies_to_Bidder_s_Queries_Industrial___Commercial.pdf</t>
        </is>
      </c>
      <c r="U2207" t="inlineStr">
        <is>
          <t>No</t>
        </is>
      </c>
      <c r="V2207" t="inlineStr">
        <is>
          <t>Bot tarafindan tespit edildi (2026-07-01); Bot tespit/zenginlestirme (2026-07-01); meta:score=50;priority=Medium;source_type=html_link;closing_date=;equipment=Gas-related / review;reasons=equipment:Gas-related / review,document source,tender reference signal</t>
        </is>
      </c>
    </row>
    <row r="2208">
      <c r="A2208" t="inlineStr">
        <is>
          <t>T-2012</t>
        </is>
      </c>
      <c r="B2208" t="inlineStr">
        <is>
          <t>Vadodara Gas Limited</t>
        </is>
      </c>
      <c r="C2208" t="inlineStr">
        <is>
          <t>Vadodara Gas Limited</t>
        </is>
      </c>
      <c r="D2208" t="inlineStr">
        <is>
          <t>VGL/CO/C</t>
        </is>
      </c>
      <c r="E2208" t="inlineStr">
        <is>
          <t>10/01/2022</t>
        </is>
      </c>
      <c r="F2208" t="inlineStr">
        <is>
          <t>New Lead</t>
        </is>
      </c>
      <c r="G2208" t="inlineStr">
        <is>
          <t>Gas-related / review</t>
        </is>
      </c>
      <c r="H2208" t="inlineStr">
        <is>
          <t>Notice Inviting Tender for
                Purchase of Electro-Fusion Fitting on ARC Basis for period on One Year Vide Tender No.
                VGL/CO/C&amp;P-PNG/BD202112P70 Dated: 10/01/2022</t>
        </is>
      </c>
      <c r="K2208" t="inlineStr">
        <is>
          <t>Not found</t>
        </is>
      </c>
      <c r="L2208" t="inlineStr">
        <is>
          <t>Unknown</t>
        </is>
      </c>
      <c r="T2208" t="inlineStr">
        <is>
          <t>https://www.vgl.co.in/wp-content/uploads/2025/pdf/NIT_BD202112P70.pdf</t>
        </is>
      </c>
      <c r="U2208" t="inlineStr">
        <is>
          <t>No</t>
        </is>
      </c>
      <c r="V2208" t="inlineStr">
        <is>
          <t>Bot tarafindan tespit edildi (2026-07-01); Bot tespit/zenginlestirme (2026-07-01); meta:score=50;priority=Medium;source_type=html_link;closing_date=;equipment=Gas-related / review;reasons=equipment:Gas-related / review,document source,tender reference signal</t>
        </is>
      </c>
    </row>
    <row r="2209">
      <c r="A2209" t="inlineStr">
        <is>
          <t>T-2013</t>
        </is>
      </c>
      <c r="B2209" t="inlineStr">
        <is>
          <t>Vadodara Gas Limited</t>
        </is>
      </c>
      <c r="C2209" t="inlineStr">
        <is>
          <t>Vadodara Gas Limited</t>
        </is>
      </c>
      <c r="D2209" t="inlineStr">
        <is>
          <t>VGL/CO/C</t>
        </is>
      </c>
      <c r="E2209" t="inlineStr">
        <is>
          <t>05/01/2022</t>
        </is>
      </c>
      <c r="F2209" t="inlineStr">
        <is>
          <t>New Lead</t>
        </is>
      </c>
      <c r="G2209" t="inlineStr">
        <is>
          <t>Gas-related / review</t>
        </is>
      </c>
      <c r="H2209" t="inlineStr">
        <is>
          <t>Notice Inviting
                Tender for Services for Balance Laying and Construction of Steel Pipeline Network &amp; Associated Works
                for CNG &amp; City Gas Distribution Project at Vadodara City vide Tender No.:
                VGL/CO/C&amp;P-CNG/BD202109169 dated 05/01/2022</t>
        </is>
      </c>
      <c r="K2209" t="inlineStr">
        <is>
          <t>Not found</t>
        </is>
      </c>
      <c r="L2209" t="inlineStr">
        <is>
          <t>Unknown</t>
        </is>
      </c>
      <c r="T2209" t="inlineStr">
        <is>
          <t>https://www.vgl.co.in/wp-content/uploads/2025/pdf/NIT_BD202109169_STEEL_LAYING.pdf</t>
        </is>
      </c>
      <c r="U2209" t="inlineStr">
        <is>
          <t>No</t>
        </is>
      </c>
      <c r="V2209" t="inlineStr">
        <is>
          <t>Bot tarafindan tespit edildi (2026-07-01); Bot tespit/zenginlestirme (2026-07-01); meta:score=50;priority=Medium;source_type=html_link;closing_date=;equipment=Gas-related / review;reasons=equipment:Gas-related / review,document source,tender reference signal</t>
        </is>
      </c>
    </row>
    <row r="2210">
      <c r="A2210" t="inlineStr">
        <is>
          <t>T-2014</t>
        </is>
      </c>
      <c r="B2210" t="inlineStr">
        <is>
          <t>Vadodara Gas Limited</t>
        </is>
      </c>
      <c r="C2210" t="inlineStr">
        <is>
          <t>Vadodara Gas Limited</t>
        </is>
      </c>
      <c r="D2210" t="inlineStr">
        <is>
          <t>VGL/CO/C</t>
        </is>
      </c>
      <c r="E2210" t="inlineStr">
        <is>
          <t>04/01/2022</t>
        </is>
      </c>
      <c r="F2210" t="inlineStr">
        <is>
          <t>New Lead</t>
        </is>
      </c>
      <c r="G2210" t="inlineStr">
        <is>
          <t>Irrelevant / non-target</t>
        </is>
      </c>
      <c r="H2210" t="inlineStr">
        <is>
          <t>Notice Inviting Tender
                for Services for Hiring of Manpower for Billing, Distribution and Cash Collection of VGL’s PNG
                Customers at Dandiya Bazaar Gas Office and Ward Offices for VGL, Vadodara for a Period of Two Years vide
                Tender No.: VGL/CO/C&amp;P-CNG/BD202111172 dated 04/01/2022</t>
        </is>
      </c>
      <c r="K2210" t="inlineStr">
        <is>
          <t>Not found</t>
        </is>
      </c>
      <c r="L2210" t="inlineStr">
        <is>
          <t>Unknown</t>
        </is>
      </c>
      <c r="T2210" t="inlineStr">
        <is>
          <t>https://www.vgl.co.in/wp-content/uploads/2025/pdf/NIT_202111172_BILLING.pdf</t>
        </is>
      </c>
      <c r="U2210" t="inlineStr">
        <is>
          <t>No</t>
        </is>
      </c>
      <c r="V2210" t="inlineStr">
        <is>
          <t>Bot tarafindan tespit edildi (2026-07-01); Bot tespit/zenginlestirme (2026-07-01); meta:score=;priority=Low;source_type=html_link;closing_date=;equipment=Irrelevant / non-target;reasons=irrelevant_equipment,document source,tender reference signal,non-target service</t>
        </is>
      </c>
    </row>
    <row r="2211">
      <c r="A2211" t="inlineStr">
        <is>
          <t>T-2015</t>
        </is>
      </c>
      <c r="B2211" t="inlineStr">
        <is>
          <t>Vadodara Gas Limited</t>
        </is>
      </c>
      <c r="C2211" t="inlineStr">
        <is>
          <t>Vadodara Gas Limited</t>
        </is>
      </c>
      <c r="F2211" t="inlineStr">
        <is>
          <t>New Lead</t>
        </is>
      </c>
      <c r="G2211" t="inlineStr">
        <is>
          <t>Unclassified</t>
        </is>
      </c>
      <c r="H2211" t="inlineStr">
        <is>
          <t>Notice Inviting Tender for
                Hiring of Services for Providing the till Last Mile Connectivity to Commercial &amp; Industrial
                Customers of Vadodara GA on ARC Basis for Period of One Year.</t>
        </is>
      </c>
      <c r="K2211" t="inlineStr">
        <is>
          <t>Not found</t>
        </is>
      </c>
      <c r="L2211" t="inlineStr">
        <is>
          <t>Unknown</t>
        </is>
      </c>
      <c r="T2211" t="inlineStr">
        <is>
          <t>https://www.vgl.co.in/wp-content/uploads/2025/pdf/NIT_BD202111S69.pdf</t>
        </is>
      </c>
      <c r="U2211" t="inlineStr">
        <is>
          <t>No</t>
        </is>
      </c>
      <c r="V2211" t="inlineStr">
        <is>
          <t>Bot tarafindan tespit edildi (2026-07-01); Bot tespit/zenginlestirme (2026-07-01); meta:score=35;priority=Low;source_type=html_link;closing_date=;equipment=Unclassified;reasons=document source,tender reference signal</t>
        </is>
      </c>
    </row>
    <row r="2212">
      <c r="A2212" t="inlineStr">
        <is>
          <t>T-2016</t>
        </is>
      </c>
      <c r="B2212" t="inlineStr">
        <is>
          <t>Vadodara Gas Limited</t>
        </is>
      </c>
      <c r="C2212" t="inlineStr">
        <is>
          <t>Vadodara Gas Limited</t>
        </is>
      </c>
      <c r="F2212" t="inlineStr">
        <is>
          <t>New Lead</t>
        </is>
      </c>
      <c r="G2212" t="inlineStr">
        <is>
          <t>Unclassified</t>
        </is>
      </c>
      <c r="H2212" t="inlineStr">
        <is>
          <t>Notice Inviting Tender for
                Purchase of FRP Frames &amp; Covers of PE Valve Chambers.</t>
        </is>
      </c>
      <c r="K2212" t="inlineStr">
        <is>
          <t>Not found</t>
        </is>
      </c>
      <c r="L2212" t="inlineStr">
        <is>
          <t>Unknown</t>
        </is>
      </c>
      <c r="T2212" t="inlineStr">
        <is>
          <t>https://www.vgl.co.in/wp-content/uploads/2025/pdf/NIT_BD202112P69.pdf</t>
        </is>
      </c>
      <c r="U2212" t="inlineStr">
        <is>
          <t>No</t>
        </is>
      </c>
      <c r="V2212" t="inlineStr">
        <is>
          <t>Bot tarafindan tespit edildi (2026-07-01); Bot tespit/zenginlestirme (2026-07-01); meta:score=35;priority=Low;source_type=html_link;closing_date=;equipment=Unclassified;reasons=document source,tender reference signal</t>
        </is>
      </c>
    </row>
    <row r="2213">
      <c r="A2213" t="inlineStr">
        <is>
          <t>T-2017</t>
        </is>
      </c>
      <c r="B2213" t="inlineStr">
        <is>
          <t>Vadodara Gas Limited</t>
        </is>
      </c>
      <c r="C2213" t="inlineStr">
        <is>
          <t>Vadodara Gas Limited</t>
        </is>
      </c>
      <c r="D2213" t="inlineStr">
        <is>
          <t>VGL/CO/C</t>
        </is>
      </c>
      <c r="F2213" t="inlineStr">
        <is>
          <t>New Lead</t>
        </is>
      </c>
      <c r="G2213" t="inlineStr">
        <is>
          <t>Gas-related / review</t>
        </is>
      </c>
      <c r="H2213" t="inlineStr">
        <is>
          <t>Replies of Bidder's Queries (Additional) for the tender for Purchase of ½”
                Isolation Ball Valve on ARC Basis for period of 02 years vide Tender No.
                VGL/CO/C&amp;P-PNG/BD202111P67</t>
        </is>
      </c>
      <c r="K2213" t="inlineStr">
        <is>
          <t>Not found</t>
        </is>
      </c>
      <c r="L2213" t="inlineStr">
        <is>
          <t>Unknown</t>
        </is>
      </c>
      <c r="T2213" t="inlineStr">
        <is>
          <t>https://www.vgl.co.in/wp-content/uploads/2025/pdf/Replies_to_Bidders_Queries_Additional_Isolation_Ball_Valve.pdf</t>
        </is>
      </c>
      <c r="U2213" t="inlineStr">
        <is>
          <t>No</t>
        </is>
      </c>
      <c r="V2213" t="inlineStr">
        <is>
          <t>Bot tarafindan tespit edildi (2026-07-01); Bot tespit/zenginlestirme (2026-07-01); meta:score=50;priority=Medium;source_type=html_link;closing_date=;equipment=Gas-related / review;reasons=equipment:Gas-related / review,document source,tender reference signal</t>
        </is>
      </c>
    </row>
    <row r="2214">
      <c r="A2214" t="inlineStr">
        <is>
          <t>T-2018</t>
        </is>
      </c>
      <c r="B2214" t="inlineStr">
        <is>
          <t>Vadodara Gas Limited</t>
        </is>
      </c>
      <c r="C2214" t="inlineStr">
        <is>
          <t>Vadodara Gas Limited</t>
        </is>
      </c>
      <c r="D2214" t="inlineStr">
        <is>
          <t>VGL/CO/C</t>
        </is>
      </c>
      <c r="F2214" t="inlineStr">
        <is>
          <t>New Lead</t>
        </is>
      </c>
      <c r="G2214" t="inlineStr">
        <is>
          <t>Gas-related / review</t>
        </is>
      </c>
      <c r="H2214" t="inlineStr">
        <is>
          <t>Corrigendum-1 &amp; Replies of Bidder's Queries for the tender for Purchase of
                ½” Isolation Ball Valve on ARC Basis for period of 02 years vide Tender No.
                VGL/CO/C&amp;P-PNG/BD202111P67</t>
        </is>
      </c>
      <c r="K2214" t="inlineStr">
        <is>
          <t>Not found</t>
        </is>
      </c>
      <c r="L2214" t="inlineStr">
        <is>
          <t>Unknown</t>
        </is>
      </c>
      <c r="T2214" t="inlineStr">
        <is>
          <t>https://www.vgl.co.in/wp-content/uploads/2025/pdf/Corrigendum-1___Replies_to_Bidder_s_Queries_Isolation_Ball_Valve.pdf</t>
        </is>
      </c>
      <c r="U2214" t="inlineStr">
        <is>
          <t>No</t>
        </is>
      </c>
      <c r="V2214" t="inlineStr">
        <is>
          <t>Bot tarafindan tespit edildi (2026-07-01); Bot tespit/zenginlestirme (2026-07-01); meta:score=50;priority=Medium;source_type=html_link;closing_date=;equipment=Gas-related / review;reasons=equipment:Gas-related / review,document source,tender reference signal</t>
        </is>
      </c>
    </row>
    <row r="2215">
      <c r="A2215" t="inlineStr">
        <is>
          <t>T-2019</t>
        </is>
      </c>
      <c r="B2215" t="inlineStr">
        <is>
          <t>Vadodara Gas Limited</t>
        </is>
      </c>
      <c r="C2215" t="inlineStr">
        <is>
          <t>Vadodara Gas Limited</t>
        </is>
      </c>
      <c r="D2215" t="inlineStr">
        <is>
          <t>Tender No.: REPL/NGC/003/21</t>
        </is>
      </c>
      <c r="E2215" t="inlineStr">
        <is>
          <t>03/11/2021</t>
        </is>
      </c>
      <c r="F2215" t="inlineStr">
        <is>
          <t>Awarded</t>
        </is>
      </c>
      <c r="G2215" t="inlineStr">
        <is>
          <t>Gas-related / review</t>
        </is>
      </c>
      <c r="H2215" t="inlineStr">
        <is>
          <t>Corrigendum - 1 of the
                Tender for Hiring of CNG Engine LCV for Transportation of CNG through Mobile Cascades from Mother
                Station to DBS for a Period of Three Year vide Tender No.: REPL/NGC/003/21 Dated 03/11/2021</t>
        </is>
      </c>
      <c r="K2215" t="inlineStr">
        <is>
          <t>Not found</t>
        </is>
      </c>
      <c r="L2215" t="inlineStr">
        <is>
          <t>Unknown</t>
        </is>
      </c>
      <c r="T2215" t="inlineStr">
        <is>
          <t>https://www.vgl.co.in/wp-content/uploads/2025/pdf/Corrigendum-01_LCV.pdf</t>
        </is>
      </c>
      <c r="U2215" t="inlineStr">
        <is>
          <t>No</t>
        </is>
      </c>
      <c r="V2215" t="inlineStr">
        <is>
          <t>Bot tarafindan tespit edildi (2026-07-01) | Bot enrich; date=2026-07-01; type=pdf; score=240; Bot tespit/zenginlestirme (2026-07-01); meta:score=50;priority=Medium;source_type=html_link;closing_date=;equipment=Gas-related / review;reasons=equipment:Gas-related / review,document source,tender reference signal</t>
        </is>
      </c>
    </row>
    <row r="2216">
      <c r="A2216" t="inlineStr">
        <is>
          <t>T-2020</t>
        </is>
      </c>
      <c r="B2216" t="inlineStr">
        <is>
          <t>Vadodara Gas Limited</t>
        </is>
      </c>
      <c r="C2216" t="inlineStr">
        <is>
          <t>Vadodara Gas Limited</t>
        </is>
      </c>
      <c r="D2216" t="inlineStr">
        <is>
          <t>REPL/NGC/003/21</t>
        </is>
      </c>
      <c r="E2216" t="inlineStr">
        <is>
          <t>03/11/2021</t>
        </is>
      </c>
      <c r="F2216" t="inlineStr">
        <is>
          <t>New Lead</t>
        </is>
      </c>
      <c r="G2216" t="inlineStr">
        <is>
          <t>Gas-related / review</t>
        </is>
      </c>
      <c r="H2216" t="inlineStr">
        <is>
          <t>Replies to
                Bidders Queries of the Tender for Hiring of CNG Engine LCV for Transportation of CNG through Mobile
                Cascades from Mother Station to DBC for a Period of Three Year vide Tender No.: REPL/NGC/003/21
                Dated 03/11/2021</t>
        </is>
      </c>
      <c r="K2216" t="inlineStr">
        <is>
          <t>Not found</t>
        </is>
      </c>
      <c r="L2216" t="inlineStr">
        <is>
          <t>Unknown</t>
        </is>
      </c>
      <c r="T2216" t="inlineStr">
        <is>
          <t>https://www.vgl.co.in/wp-content/uploads/2025/pdf/Pre-Bid_Queries_Replies_LCV.pdf</t>
        </is>
      </c>
      <c r="U2216" t="inlineStr">
        <is>
          <t>No</t>
        </is>
      </c>
      <c r="V2216" t="inlineStr">
        <is>
          <t>Bot tarafindan tespit edildi (2026-07-01); Bot tespit/zenginlestirme (2026-07-01); meta:score=50;priority=Medium;source_type=html_link;closing_date=;equipment=Gas-related / review;reasons=equipment:Gas-related / review,document source,tender reference signal</t>
        </is>
      </c>
    </row>
    <row r="2217">
      <c r="A2217" t="inlineStr">
        <is>
          <t>T-2021</t>
        </is>
      </c>
      <c r="B2217" t="inlineStr">
        <is>
          <t>Vadodara Gas Limited</t>
        </is>
      </c>
      <c r="C2217" t="inlineStr">
        <is>
          <t>Vadodara Gas Limited</t>
        </is>
      </c>
      <c r="D2217" t="inlineStr">
        <is>
          <t>Tender No.: REPL/NGC/003/21</t>
        </is>
      </c>
      <c r="E2217" t="inlineStr">
        <is>
          <t>03/11/2021</t>
        </is>
      </c>
      <c r="F2217" t="inlineStr">
        <is>
          <t>Awarded</t>
        </is>
      </c>
      <c r="G2217" t="inlineStr">
        <is>
          <t>Gas-related / review</t>
        </is>
      </c>
      <c r="H2217" t="inlineStr">
        <is>
          <t>Corrigendum - 2 of the
                Tender for Hiring of CNG Engine LCV for Transportation of CNG through Mobile Cascades from Mother
                Station to DBC for a Period of Three Year vide Tender No.: REPL/NGC/003/21 Dated 03/11/2021</t>
        </is>
      </c>
      <c r="K2217" t="inlineStr">
        <is>
          <t>Not found</t>
        </is>
      </c>
      <c r="L2217" t="inlineStr">
        <is>
          <t>Unknown</t>
        </is>
      </c>
      <c r="T2217" t="inlineStr">
        <is>
          <t>https://www.vgl.co.in/wp-content/uploads/2025/pdf/Corrigendum-02_LCV.pdf</t>
        </is>
      </c>
      <c r="U2217" t="inlineStr">
        <is>
          <t>No</t>
        </is>
      </c>
      <c r="V2217" t="inlineStr">
        <is>
          <t>Bot tarafindan tespit edildi (2026-07-01) | Bot enrich; date=2026-07-01; type=pdf; score=240; Bot tespit/zenginlestirme (2026-07-01); meta:score=50;priority=Medium;source_type=html_link;closing_date=;equipment=Gas-related / review;reasons=equipment:Gas-related / review,document source,tender reference signal</t>
        </is>
      </c>
    </row>
    <row r="2218">
      <c r="A2218" t="inlineStr">
        <is>
          <t>T-2022</t>
        </is>
      </c>
      <c r="B2218" t="inlineStr">
        <is>
          <t>Vadodara Gas Limited</t>
        </is>
      </c>
      <c r="C2218" t="inlineStr">
        <is>
          <t>Vadodara Gas Limited</t>
        </is>
      </c>
      <c r="D2218" t="inlineStr">
        <is>
          <t>Tender No.: REPL/NGC/001/21</t>
        </is>
      </c>
      <c r="E2218" t="inlineStr">
        <is>
          <t>20/10/2021</t>
        </is>
      </c>
      <c r="F2218" t="inlineStr">
        <is>
          <t>Awarded</t>
        </is>
      </c>
      <c r="G2218" t="inlineStr">
        <is>
          <t>Gas-related / review</t>
        </is>
      </c>
      <c r="H2218" t="inlineStr">
        <is>
          <t>Corrigendum - 2
                of the Tender for Procurement of CNG Storage Cascades" vide Tender No.: REPL/NGC/001/21 Dated
                20/10/2021</t>
        </is>
      </c>
      <c r="K2218" t="inlineStr">
        <is>
          <t>Not found</t>
        </is>
      </c>
      <c r="L2218" t="inlineStr">
        <is>
          <t>Unknown</t>
        </is>
      </c>
      <c r="T2218" t="inlineStr">
        <is>
          <t>https://www.vgl.co.in/wp-content/uploads/2025/pdf/Corrigendum-2-d-20-10-2021.pdf</t>
        </is>
      </c>
      <c r="U2218" t="inlineStr">
        <is>
          <t>No</t>
        </is>
      </c>
      <c r="V2218" t="inlineStr">
        <is>
          <t>Bot tarafindan tespit edildi (2026-07-01) | Bot enrich; date=2026-07-01; type=pdf; score=240; Bot tespit/zenginlestirme (2026-07-01); meta:score=50;priority=Medium;source_type=html_link;closing_date=;equipment=Gas-related / review;reasons=equipment:Gas-related / review,document source,tender reference signal</t>
        </is>
      </c>
    </row>
    <row r="2219">
      <c r="A2219" t="inlineStr">
        <is>
          <t>T-2023</t>
        </is>
      </c>
      <c r="B2219" t="inlineStr">
        <is>
          <t>Vadodara Gas Limited</t>
        </is>
      </c>
      <c r="C2219" t="inlineStr">
        <is>
          <t>Vadodara Gas Limited</t>
        </is>
      </c>
      <c r="D2219" t="inlineStr">
        <is>
          <t>REPL/NGC/001/21</t>
        </is>
      </c>
      <c r="E2219" t="inlineStr">
        <is>
          <t>20/10/2021</t>
        </is>
      </c>
      <c r="F2219" t="inlineStr">
        <is>
          <t>New Lead</t>
        </is>
      </c>
      <c r="G2219" t="inlineStr">
        <is>
          <t>Gas-related / review</t>
        </is>
      </c>
      <c r="H2219" t="inlineStr">
        <is>
          <t>Replies to Bidders Queries along with Extension in Bid Submission Due Date of the Tender
                for Procurement of CNG Storage Cascades" vide Tender No.: REPL/NGC/001/21 Dated 20/10/2021</t>
        </is>
      </c>
      <c r="K2219" t="inlineStr">
        <is>
          <t>Not found</t>
        </is>
      </c>
      <c r="L2219" t="inlineStr">
        <is>
          <t>Unknown</t>
        </is>
      </c>
      <c r="T2219" t="inlineStr">
        <is>
          <t>https://www.vgl.co.in/wp-content/uploads/2025/pdf/Replies-to-Bidders-Queries-along-d-20-10-2021.pdf</t>
        </is>
      </c>
      <c r="U2219" t="inlineStr">
        <is>
          <t>No</t>
        </is>
      </c>
      <c r="V2219" t="inlineStr">
        <is>
          <t>Bot tarafindan tespit edildi (2026-07-01); Bot tespit/zenginlestirme (2026-07-01); meta:score=60;priority=Medium;source_type=html_link;closing_date=20/10/2021;equipment=Gas-related / review;reasons=equipment:Gas-related / review,document source,tender reference signal,closing date signal</t>
        </is>
      </c>
    </row>
    <row r="2220">
      <c r="A2220" t="inlineStr">
        <is>
          <t>T-2024</t>
        </is>
      </c>
      <c r="B2220" t="inlineStr">
        <is>
          <t>Vadodara Gas Limited</t>
        </is>
      </c>
      <c r="C2220" t="inlineStr">
        <is>
          <t>Vadodara Gas Limited</t>
        </is>
      </c>
      <c r="F2220" t="inlineStr">
        <is>
          <t>New Lead</t>
        </is>
      </c>
      <c r="G2220" t="inlineStr">
        <is>
          <t>Unclassified</t>
        </is>
      </c>
      <c r="H2220" t="inlineStr">
        <is>
          <t>Notice Inviting Tender for
                Purchase of Rubber Hose on ARC Basis for period of Two Years.</t>
        </is>
      </c>
      <c r="K2220" t="inlineStr">
        <is>
          <t>Not found</t>
        </is>
      </c>
      <c r="L2220" t="inlineStr">
        <is>
          <t>Unknown</t>
        </is>
      </c>
      <c r="T2220" t="inlineStr">
        <is>
          <t>https://www.vgl.co.in/wp-content/uploads/2025/pdf/NIT_BD202111P68.pdf</t>
        </is>
      </c>
      <c r="U2220" t="inlineStr">
        <is>
          <t>No</t>
        </is>
      </c>
      <c r="V2220" t="inlineStr">
        <is>
          <t>Bot tarafindan tespit edildi (2026-07-01); Bot tespit/zenginlestirme (2026-07-01); meta:score=35;priority=Low;source_type=html_link;closing_date=;equipment=Unclassified;reasons=document source,tender reference signal</t>
        </is>
      </c>
    </row>
    <row r="2221">
      <c r="A2221" t="inlineStr">
        <is>
          <t>T-2025</t>
        </is>
      </c>
      <c r="B2221" t="inlineStr">
        <is>
          <t>Vadodara Gas Limited</t>
        </is>
      </c>
      <c r="C2221" t="inlineStr">
        <is>
          <t>Vadodara Gas Limited</t>
        </is>
      </c>
      <c r="F2221" t="inlineStr">
        <is>
          <t>New Lead</t>
        </is>
      </c>
      <c r="G2221" t="inlineStr">
        <is>
          <t>Unclassified</t>
        </is>
      </c>
      <c r="H2221" t="inlineStr">
        <is>
          <t>Notice Inviting Tender for
                Purchase of 1/2" Isolation Ball Valve on ARC Basis for period of Two Years.</t>
        </is>
      </c>
      <c r="K2221" t="inlineStr">
        <is>
          <t>Not found</t>
        </is>
      </c>
      <c r="L2221" t="inlineStr">
        <is>
          <t>Unknown</t>
        </is>
      </c>
      <c r="T2221" t="inlineStr">
        <is>
          <t>https://www.vgl.co.in/wp-content/uploads/2025/pdf/NIT_BD202111P67.pdf</t>
        </is>
      </c>
      <c r="U2221" t="inlineStr">
        <is>
          <t>No</t>
        </is>
      </c>
      <c r="V2221" t="inlineStr">
        <is>
          <t>Bot tarafindan tespit edildi (2026-07-01); Bot tespit/zenginlestirme (2026-07-01); meta:score=35;priority=Low;source_type=html_link;closing_date=;equipment=Unclassified;reasons=document source,tender reference signal</t>
        </is>
      </c>
    </row>
    <row r="2222">
      <c r="A2222" t="inlineStr">
        <is>
          <t>T-2026</t>
        </is>
      </c>
      <c r="B2222" t="inlineStr">
        <is>
          <t>Vadodara Gas Limited</t>
        </is>
      </c>
      <c r="C2222" t="inlineStr">
        <is>
          <t>Vadodara Gas Limited</t>
        </is>
      </c>
      <c r="D2222" t="inlineStr">
        <is>
          <t>VGL/CO/C</t>
        </is>
      </c>
      <c r="E2222" t="inlineStr">
        <is>
          <t>28/10/2021</t>
        </is>
      </c>
      <c r="F2222" t="inlineStr">
        <is>
          <t>New Lead</t>
        </is>
      </c>
      <c r="G2222" t="inlineStr">
        <is>
          <t>Gas-related / review</t>
        </is>
      </c>
      <c r="H2222" t="inlineStr">
        <is>
          <t>Demolition of Existing Compound/ Boundary Wall and Construction of New Compound/
                Boundary Wall at VGL Stores and Misc. Civil &amp; Electrical Works at VGL Stores and Nandanvan Gas
                Station vide Tender No.: VGL/CO/C&amp;P-CNG/BD202109168 Dated 28/10/2021</t>
        </is>
      </c>
      <c r="K2222" t="inlineStr">
        <is>
          <t>Not found</t>
        </is>
      </c>
      <c r="L2222" t="inlineStr">
        <is>
          <t>Unknown</t>
        </is>
      </c>
      <c r="T2222" t="inlineStr">
        <is>
          <t>https://www.vgl.co.in/wp-content/uploads/2025/pdf/Replies_to_Bidder_s_Queries_-_Compound_Wall.pdf</t>
        </is>
      </c>
      <c r="U2222" t="inlineStr">
        <is>
          <t>No</t>
        </is>
      </c>
      <c r="V2222" t="inlineStr">
        <is>
          <t>Bot tarafindan tespit edildi (2026-07-01); Bot tespit/zenginlestirme (2026-07-01); meta:score=50;priority=Medium;source_type=html_link;closing_date=;equipment=Gas-related / review;reasons=equipment:Gas-related / review,document source,tender reference signal</t>
        </is>
      </c>
    </row>
    <row r="2223">
      <c r="A2223" t="inlineStr">
        <is>
          <t>T-2027</t>
        </is>
      </c>
      <c r="B2223" t="inlineStr">
        <is>
          <t>Vadodara Gas Limited</t>
        </is>
      </c>
      <c r="C2223" t="inlineStr">
        <is>
          <t>Vadodara Gas Limited</t>
        </is>
      </c>
      <c r="D2223" t="inlineStr">
        <is>
          <t>REPL/NGC/001/21</t>
        </is>
      </c>
      <c r="E2223" t="inlineStr">
        <is>
          <t>20/10/2021</t>
        </is>
      </c>
      <c r="F2223" t="inlineStr">
        <is>
          <t>New Lead</t>
        </is>
      </c>
      <c r="G2223" t="inlineStr">
        <is>
          <t>Gas-related / review</t>
        </is>
      </c>
      <c r="H2223" t="inlineStr">
        <is>
          <t>Extension in Bid Submission Due Date of the Tender for Procurement of CNG Storage
                Cascades" vide Tender No.: REPL/NGC/001/21 Dated 20/10/2021</t>
        </is>
      </c>
      <c r="K2223" t="inlineStr">
        <is>
          <t>Not found</t>
        </is>
      </c>
      <c r="L2223" t="inlineStr">
        <is>
          <t>Unknown</t>
        </is>
      </c>
      <c r="T2223" t="inlineStr">
        <is>
          <t>https://www.vgl.co.in/wp-content/uploads/2025/pdf/EXTENSION_IN_BID_SUBMISSION_DUE_DATE_REPL_VGL_NGC_001_21.pdf</t>
        </is>
      </c>
      <c r="U2223" t="inlineStr">
        <is>
          <t>No</t>
        </is>
      </c>
      <c r="V2223" t="inlineStr">
        <is>
          <t>Bot tarafindan tespit edildi (2026-07-01); Bot tespit/zenginlestirme (2026-07-01); meta:score=60;priority=Medium;source_type=html_link;closing_date=20/10/2021;equipment=Gas-related / review;reasons=equipment:Gas-related / review,document source,tender reference signal,closing date signal</t>
        </is>
      </c>
    </row>
    <row r="2224">
      <c r="A2224" t="inlineStr">
        <is>
          <t>T-2028</t>
        </is>
      </c>
      <c r="B2224" t="inlineStr">
        <is>
          <t>Vadodara Gas Limited</t>
        </is>
      </c>
      <c r="C2224" t="inlineStr">
        <is>
          <t>Vadodara Gas Limited</t>
        </is>
      </c>
      <c r="F2224" t="inlineStr">
        <is>
          <t>New Lead</t>
        </is>
      </c>
      <c r="G2224" t="inlineStr">
        <is>
          <t>Unclassified</t>
        </is>
      </c>
      <c r="H2224" t="inlineStr">
        <is>
          <t>Notice
                inviting tender for purchase of fire extinguishers on annual rate contract [arc] basis for a period of
                one year</t>
        </is>
      </c>
      <c r="K2224" t="inlineStr">
        <is>
          <t>Not found</t>
        </is>
      </c>
      <c r="L2224" t="inlineStr">
        <is>
          <t>Unknown</t>
        </is>
      </c>
      <c r="T2224" t="inlineStr">
        <is>
          <t>https://www.vgl.co.in/wp-content/uploads/2025/pdf/NIT_FOR_PURCHASE_OF_FIREX-nov-2021.pdf</t>
        </is>
      </c>
      <c r="U2224" t="inlineStr">
        <is>
          <t>No</t>
        </is>
      </c>
      <c r="V2224" t="inlineStr">
        <is>
          <t>Bot tarafindan tespit edildi (2026-07-01); Bot tespit/zenginlestirme (2026-07-01); meta:score=35;priority=Low;source_type=html_link;closing_date=;equipment=Unclassified;reasons=document source,tender reference signal</t>
        </is>
      </c>
    </row>
    <row r="2225">
      <c r="A2225" t="inlineStr">
        <is>
          <t>T-2029</t>
        </is>
      </c>
      <c r="B2225" t="inlineStr">
        <is>
          <t>Vadodara Gas Limited</t>
        </is>
      </c>
      <c r="C2225" t="inlineStr">
        <is>
          <t>Vadodara Gas Limited</t>
        </is>
      </c>
      <c r="F2225" t="inlineStr">
        <is>
          <t>New Lead</t>
        </is>
      </c>
      <c r="G2225" t="inlineStr">
        <is>
          <t>Gas-related / review</t>
        </is>
      </c>
      <c r="H2225" t="inlineStr">
        <is>
          <t>Notice inviting tender for
                hiring of cng engine lcv for transportation of cng through mobile cascades from mother station to dbs
                for a period of three years</t>
        </is>
      </c>
      <c r="K2225" t="inlineStr">
        <is>
          <t>Not found</t>
        </is>
      </c>
      <c r="L2225" t="inlineStr">
        <is>
          <t>Unknown</t>
        </is>
      </c>
      <c r="T2225" t="inlineStr">
        <is>
          <t>https://www.vgl.co.in/wp-content/uploads/2025/pdf/NIT-nov-2021.pdf</t>
        </is>
      </c>
      <c r="U2225" t="inlineStr">
        <is>
          <t>No</t>
        </is>
      </c>
      <c r="V2225" t="inlineStr">
        <is>
          <t>Bot tarafindan tespit edildi (2026-07-01); Bot tespit/zenginlestirme (2026-07-01); meta:score=50;priority=Medium;source_type=html_link;closing_date=;equipment=Gas-related / review;reasons=equipment:Gas-related / review,document source,tender reference signal</t>
        </is>
      </c>
    </row>
    <row r="2226">
      <c r="A2226" t="inlineStr">
        <is>
          <t>T-2030</t>
        </is>
      </c>
      <c r="B2226" t="inlineStr">
        <is>
          <t>Vadodara Gas Limited</t>
        </is>
      </c>
      <c r="C2226" t="inlineStr">
        <is>
          <t>Vadodara Gas Limited</t>
        </is>
      </c>
      <c r="D2226" t="inlineStr">
        <is>
          <t>bid submission</t>
        </is>
      </c>
      <c r="E2226" t="inlineStr">
        <is>
          <t>07/10/2021</t>
        </is>
      </c>
      <c r="F2226" t="inlineStr">
        <is>
          <t>Awarded</t>
        </is>
      </c>
      <c r="G2226" t="inlineStr">
        <is>
          <t>Gas-related / review</t>
        </is>
      </c>
      <c r="H2226" t="inlineStr">
        <is>
          <t>Corrigendum - 1 regarding
                extension in bid submission due date of the Tender for Hiring of Services for Supply, Up-gradation &amp;
                Comprehensive Maintenance of Complete CCTV Surveillance System at VGL’s CNG Stations, Vadodara for
                a period of two years" vide Tender No.: VGL/CO/C&amp;P-CNG/BD202106153 Dated 07/10/2021</t>
        </is>
      </c>
      <c r="K2226" t="inlineStr">
        <is>
          <t>Not found</t>
        </is>
      </c>
      <c r="L2226" t="inlineStr">
        <is>
          <t>Unknown</t>
        </is>
      </c>
      <c r="T2226" t="inlineStr">
        <is>
          <t>https://www.vgl.co.in/wp-content/uploads/2025/pdf/CORRIGENDUM_-_1.pdf</t>
        </is>
      </c>
      <c r="U2226" t="inlineStr">
        <is>
          <t>No</t>
        </is>
      </c>
      <c r="V2226" t="inlineStr">
        <is>
          <t>Bot tarafindan tespit edildi (2026-07-01) | Bot enrich; date=2026-07-01; type=pdf; score=240; Bot tespit/zenginlestirme (2026-07-01); meta:score=60;priority=Medium;source_type=html_link;closing_date=;equipment=Gas-related / review;reasons=equipment:Gas-related / review,document source,tender reference signal,closing date signal</t>
        </is>
      </c>
    </row>
    <row r="2227">
      <c r="A2227" t="inlineStr">
        <is>
          <t>T-2031</t>
        </is>
      </c>
      <c r="B2227" t="inlineStr">
        <is>
          <t>Vadodara Gas Limited</t>
        </is>
      </c>
      <c r="C2227" t="inlineStr">
        <is>
          <t>Vadodara Gas Limited</t>
        </is>
      </c>
      <c r="D2227" t="inlineStr">
        <is>
          <t>VGL/CO/C</t>
        </is>
      </c>
      <c r="E2227" t="inlineStr">
        <is>
          <t>28/10/2021</t>
        </is>
      </c>
      <c r="F2227" t="inlineStr">
        <is>
          <t>New Lead</t>
        </is>
      </c>
      <c r="G2227" t="inlineStr">
        <is>
          <t>Gas-related / review</t>
        </is>
      </c>
      <c r="H2227" t="inlineStr">
        <is>
          <t>Demolition of
                Existing Compound/ Boundary Wall and Construction of New Compound/ Boundary Wall at VGL Stores and Misc.
                Civil &amp; Electrical Works at VGL Stores and Nandanvan Gas Station vide Tender No.:
                VGL/CO/C&amp;P-CNG/BD202109168 Dated 28/10/2021</t>
        </is>
      </c>
      <c r="K2227" t="inlineStr">
        <is>
          <t>Not found</t>
        </is>
      </c>
      <c r="L2227" t="inlineStr">
        <is>
          <t>Unknown</t>
        </is>
      </c>
      <c r="T2227" t="inlineStr">
        <is>
          <t>https://www.vgl.co.in/wp-content/uploads/2025/pdf/NIT_BD202109168_Compound_Wall.pdf</t>
        </is>
      </c>
      <c r="U2227" t="inlineStr">
        <is>
          <t>No</t>
        </is>
      </c>
      <c r="V2227" t="inlineStr">
        <is>
          <t>Bot tarafindan tespit edildi (2026-07-01); Bot tespit/zenginlestirme (2026-07-01); meta:score=50;priority=Medium;source_type=html_link;closing_date=;equipment=Gas-related / review;reasons=equipment:Gas-related / review,document source,tender reference signal</t>
        </is>
      </c>
    </row>
    <row r="2228">
      <c r="A2228" t="inlineStr">
        <is>
          <t>T-2032</t>
        </is>
      </c>
      <c r="B2228" t="inlineStr">
        <is>
          <t>Vadodara Gas Limited</t>
        </is>
      </c>
      <c r="C2228" t="inlineStr">
        <is>
          <t>Vadodara Gas Limited</t>
        </is>
      </c>
      <c r="D2228" t="inlineStr">
        <is>
          <t>VGL/CO/C</t>
        </is>
      </c>
      <c r="F2228" t="inlineStr">
        <is>
          <t>New Lead</t>
        </is>
      </c>
      <c r="G2228" t="inlineStr">
        <is>
          <t>Gas-related / review</t>
        </is>
      </c>
      <c r="H2228" t="inlineStr">
        <is>
          <t>Corrigendum-1 regarding extension in bid submission due date of the tender for Hiring of
                Services for Consumer Complaint Center on ARC Basis for Period of 02 Years vide Tender No.
                VGL/CO/C&amp;P-PNG/BD202108S62 Dated: 06.10.2021</t>
        </is>
      </c>
      <c r="K2228" t="inlineStr">
        <is>
          <t>Not found</t>
        </is>
      </c>
      <c r="L2228" t="inlineStr">
        <is>
          <t>Unknown</t>
        </is>
      </c>
      <c r="T2228" t="inlineStr">
        <is>
          <t>https://www.vgl.co.in/wp-content/uploads/2025/pdf/Corrigendum-1_Due_Date_Extension.pdf</t>
        </is>
      </c>
      <c r="U2228" t="inlineStr">
        <is>
          <t>No</t>
        </is>
      </c>
      <c r="V2228" t="inlineStr">
        <is>
          <t>Bot tarafindan tespit edildi (2026-07-01); Bot tespit/zenginlestirme (2026-07-01); meta:score=60;priority=Medium;source_type=html_link;closing_date=;equipment=Gas-related / review;reasons=equipment:Gas-related / review,document source,tender reference signal,closing date signal</t>
        </is>
      </c>
    </row>
    <row r="2229">
      <c r="A2229" t="inlineStr">
        <is>
          <t>T-2033</t>
        </is>
      </c>
      <c r="B2229" t="inlineStr">
        <is>
          <t>Vadodara Gas Limited</t>
        </is>
      </c>
      <c r="C2229" t="inlineStr">
        <is>
          <t>Vadodara Gas Limited</t>
        </is>
      </c>
      <c r="D2229" t="inlineStr">
        <is>
          <t>REPL/NGC/001/21</t>
        </is>
      </c>
      <c r="E2229" t="inlineStr">
        <is>
          <t>20/10/2021</t>
        </is>
      </c>
      <c r="F2229" t="inlineStr">
        <is>
          <t>New Lead</t>
        </is>
      </c>
      <c r="G2229" t="inlineStr">
        <is>
          <t>Gas-related / review</t>
        </is>
      </c>
      <c r="H2229" t="inlineStr">
        <is>
          <t>Procurement of CNG
                Storage Cascades" vide Tender No.: REPL/NGC/001/21 Dated 20/10/2021</t>
        </is>
      </c>
      <c r="K2229" t="inlineStr">
        <is>
          <t>Not found</t>
        </is>
      </c>
      <c r="L2229" t="inlineStr">
        <is>
          <t>Unknown</t>
        </is>
      </c>
      <c r="T2229" t="inlineStr">
        <is>
          <t>https://www.vgl.co.in/wp-content/uploads/2025/pdf/NIT_REPL_VGL_NGC_001_21.pdf</t>
        </is>
      </c>
      <c r="U2229" t="inlineStr">
        <is>
          <t>No</t>
        </is>
      </c>
      <c r="V2229" t="inlineStr">
        <is>
          <t>Bot tarafindan tespit edildi (2026-07-01); Bot tespit/zenginlestirme (2026-07-01); meta:score=50;priority=Medium;source_type=html_link;closing_date=;equipment=Gas-related / review;reasons=equipment:Gas-related / review,document source,tender reference signal</t>
        </is>
      </c>
    </row>
    <row r="2230">
      <c r="A2230" t="inlineStr">
        <is>
          <t>T-2034</t>
        </is>
      </c>
      <c r="B2230" t="inlineStr">
        <is>
          <t>Vadodara Gas Limited</t>
        </is>
      </c>
      <c r="C2230" t="inlineStr">
        <is>
          <t>Vadodara Gas Limited</t>
        </is>
      </c>
      <c r="D2230" t="inlineStr">
        <is>
          <t>VGL/CO/C</t>
        </is>
      </c>
      <c r="E2230" t="inlineStr">
        <is>
          <t>07/10/2021</t>
        </is>
      </c>
      <c r="F2230" t="inlineStr">
        <is>
          <t>New Lead</t>
        </is>
      </c>
      <c r="G2230" t="inlineStr">
        <is>
          <t>Gas-related / review</t>
        </is>
      </c>
      <c r="H2230" t="inlineStr">
        <is>
          <t>Hiring of Services for
                Supply, Up-gradation &amp; Comprehensive Maintenance of Complete CCTV Surveillance System at VGL’s
                CNG Stations, Vadodara for a period of two years" vide Tender No.: VGL/CO/C&amp;P-CNG/BD202106153 Dated
                07/10/2021</t>
        </is>
      </c>
      <c r="K2230" t="inlineStr">
        <is>
          <t>Not found</t>
        </is>
      </c>
      <c r="L2230" t="inlineStr">
        <is>
          <t>Unknown</t>
        </is>
      </c>
      <c r="T2230" t="inlineStr">
        <is>
          <t>https://www.vgl.co.in/wp-content/uploads/2025/pdf/NIT_202106153_CCTV.pdf</t>
        </is>
      </c>
      <c r="U2230" t="inlineStr">
        <is>
          <t>No</t>
        </is>
      </c>
      <c r="V2230" t="inlineStr">
        <is>
          <t>Bot tarafindan tespit edildi (2026-07-01); Bot tespit/zenginlestirme (2026-07-01); meta:score=50;priority=Medium;source_type=html_link;closing_date=;equipment=Gas-related / review;reasons=equipment:Gas-related / review,document source,tender reference signal</t>
        </is>
      </c>
    </row>
    <row r="2231">
      <c r="A2231" t="inlineStr">
        <is>
          <t>T-2035</t>
        </is>
      </c>
      <c r="B2231" t="inlineStr">
        <is>
          <t>Vadodara Gas Limited</t>
        </is>
      </c>
      <c r="C2231" t="inlineStr">
        <is>
          <t>Vadodara Gas Limited</t>
        </is>
      </c>
      <c r="D2231" t="inlineStr">
        <is>
          <t>bid submission</t>
        </is>
      </c>
      <c r="E2231" t="inlineStr">
        <is>
          <t>09/09/2021</t>
        </is>
      </c>
      <c r="F2231" t="inlineStr">
        <is>
          <t>Awarded</t>
        </is>
      </c>
      <c r="G2231" t="inlineStr">
        <is>
          <t>Gas-related / review</t>
        </is>
      </c>
      <c r="H2231" t="inlineStr">
        <is>
          <t>Corrigendum - 2 regarding extension in bid submission due date of the Tender for
                Purchase of 3000 WL Capacity Cascades vide Tender No.: VGL/CO/C&amp;P-CNG/BD202108161 Dated
                09/09/2021</t>
        </is>
      </c>
      <c r="K2231" t="inlineStr">
        <is>
          <t>Not found</t>
        </is>
      </c>
      <c r="L2231" t="inlineStr">
        <is>
          <t>Unknown</t>
        </is>
      </c>
      <c r="T2231" t="inlineStr">
        <is>
          <t>https://www.vgl.co.in/wp-content/uploads/2025/pdf/CORRIGENDUM_-_2_BID_DUE_DATE_EXTENSION.pdf</t>
        </is>
      </c>
      <c r="U2231" t="inlineStr">
        <is>
          <t>No</t>
        </is>
      </c>
      <c r="V2231" t="inlineStr">
        <is>
          <t>Bot tarafindan tespit edildi (2026-07-01) | closing=09/09/2021 | Bot enrich; date=2026-07-01; type=pdf; closing=09/09/2021; score=240; Bot tespit/zenginlestirme (2026-07-01); meta:score=60;priority=Medium;source_type=html_link;closing_date=09/09/2021;equipment=Gas-related / review;reasons=equipment:Gas-related / review,document source,tender reference signal,closing date signal</t>
        </is>
      </c>
    </row>
    <row r="2232">
      <c r="A2232" t="inlineStr">
        <is>
          <t>T-2036</t>
        </is>
      </c>
      <c r="B2232" t="inlineStr">
        <is>
          <t>Vadodara Gas Limited</t>
        </is>
      </c>
      <c r="C2232" t="inlineStr">
        <is>
          <t>Vadodara Gas Limited</t>
        </is>
      </c>
      <c r="D2232" t="inlineStr">
        <is>
          <t>Tender No.: VGL/CO/C</t>
        </is>
      </c>
      <c r="E2232" t="inlineStr">
        <is>
          <t>09/09/2021</t>
        </is>
      </c>
      <c r="F2232" t="inlineStr">
        <is>
          <t>Awarded</t>
        </is>
      </c>
      <c r="G2232" t="inlineStr">
        <is>
          <t>Irrelevant / non-target</t>
        </is>
      </c>
      <c r="H2232" t="inlineStr">
        <is>
          <t>Corrigendum - 1 for the Tender for Hiring of Manpower through Third Party for Peripheral
                &amp; Support Services at VGL for a period of 24 Months vide Tender No.: VGL/CO/C&amp;P-CNG/BD202103144
                Dated 09/09/2021</t>
        </is>
      </c>
      <c r="K2232" t="inlineStr">
        <is>
          <t>Not found</t>
        </is>
      </c>
      <c r="L2232" t="inlineStr">
        <is>
          <t>Unknown</t>
        </is>
      </c>
      <c r="T2232" t="inlineStr">
        <is>
          <t>https://www.vgl.co.in/wp-content/uploads/2025/pdf/CORRIGENDUM_-_1_PERIPHERAL_AND_SUPPORT_SERVICES_BD202103144.pdf</t>
        </is>
      </c>
      <c r="U2232" t="inlineStr">
        <is>
          <t>No</t>
        </is>
      </c>
      <c r="V2232" t="inlineStr">
        <is>
          <t>Bot tarafindan tespit edildi (2026-07-01) | Bot enrich; date=2026-07-01; type=pdf; score=240; Bot tespit/zenginlestirme (2026-07-01); meta:score=;priority=Low;source_type=html_link;closing_date=;equipment=Irrelevant / non-target;reasons=irrelevant_equipment,document source,tender reference signal,non-target service</t>
        </is>
      </c>
    </row>
    <row r="2233">
      <c r="A2233" t="inlineStr">
        <is>
          <t>T-2037</t>
        </is>
      </c>
      <c r="B2233" t="inlineStr">
        <is>
          <t>Vadodara Gas Limited</t>
        </is>
      </c>
      <c r="C2233" t="inlineStr">
        <is>
          <t>Vadodara Gas Limited</t>
        </is>
      </c>
      <c r="D2233" t="inlineStr">
        <is>
          <t>Tender No.: VGL/CO/C</t>
        </is>
      </c>
      <c r="E2233" t="inlineStr">
        <is>
          <t>09/09/2021</t>
        </is>
      </c>
      <c r="F2233" t="inlineStr">
        <is>
          <t>Awarded</t>
        </is>
      </c>
      <c r="G2233" t="inlineStr">
        <is>
          <t>Gas-related / review</t>
        </is>
      </c>
      <c r="H2233" t="inlineStr">
        <is>
          <t>Corrigendum - 1 for the Tender for Purchase of 3000 WL Capacity Cascades vide Tender
                No.: VGL/CO/C&amp;P-CNG/BD202108161 Dated 09/09/2021</t>
        </is>
      </c>
      <c r="K2233" t="inlineStr">
        <is>
          <t>Not found</t>
        </is>
      </c>
      <c r="L2233" t="inlineStr">
        <is>
          <t>Unknown</t>
        </is>
      </c>
      <c r="T2233" t="inlineStr">
        <is>
          <t>https://www.vgl.co.in/wp-content/uploads/2025/pdf/CORRIGENDUM_-_1_FOR_PURCHASE_OF_3000_WL_CAPACITY_CASCADES_BD202108161.pdf</t>
        </is>
      </c>
      <c r="U2233" t="inlineStr">
        <is>
          <t>No</t>
        </is>
      </c>
      <c r="V2233" t="inlineStr">
        <is>
          <t>Bot tarafindan tespit edildi (2026-07-01) | Bot enrich; date=2026-07-01; type=pdf; score=240; Bot tespit/zenginlestirme (2026-07-01); meta:score=50;priority=Medium;source_type=html_link;closing_date=;equipment=Gas-related / review;reasons=equipment:Gas-related / review,document source,tender reference signal</t>
        </is>
      </c>
    </row>
    <row r="2234">
      <c r="A2234" t="inlineStr">
        <is>
          <t>T-2038</t>
        </is>
      </c>
      <c r="B2234" t="inlineStr">
        <is>
          <t>Vadodara Gas Limited</t>
        </is>
      </c>
      <c r="C2234" t="inlineStr">
        <is>
          <t>Vadodara Gas Limited</t>
        </is>
      </c>
      <c r="D2234" t="inlineStr">
        <is>
          <t>VGL/CO/C</t>
        </is>
      </c>
      <c r="E2234" t="inlineStr">
        <is>
          <t>09/09/2021</t>
        </is>
      </c>
      <c r="F2234" t="inlineStr">
        <is>
          <t>New Lead</t>
        </is>
      </c>
      <c r="G2234" t="inlineStr">
        <is>
          <t>Gas-related / review</t>
        </is>
      </c>
      <c r="H2234" t="inlineStr">
        <is>
          <t>Replies to Bidder's Queries for the Tender for Purchase of 3000 WL Capacity Cascades
                vide Tender No.: VGL/CO/C&amp;P-CNG/BD202108161 Dated 09/09/2021</t>
        </is>
      </c>
      <c r="K2234" t="inlineStr">
        <is>
          <t>Not found</t>
        </is>
      </c>
      <c r="L2234" t="inlineStr">
        <is>
          <t>Unknown</t>
        </is>
      </c>
      <c r="T2234" t="inlineStr">
        <is>
          <t>https://www.vgl.co.in/wp-content/uploads/2025/pdf/REPLIES_TO_BIDDER_S_QUERIES_FOR_PURCHASE_OF_3000_WL_CAPACITY_CASCADES_BD202108161.pdf</t>
        </is>
      </c>
      <c r="U2234" t="inlineStr">
        <is>
          <t>No</t>
        </is>
      </c>
      <c r="V2234" t="inlineStr">
        <is>
          <t>Bot tarafindan tespit edildi (2026-07-01); Bot tespit/zenginlestirme (2026-07-01); meta:score=50;priority=Medium;source_type=html_link;closing_date=;equipment=Gas-related / review;reasons=equipment:Gas-related / review,document source,tender reference signal</t>
        </is>
      </c>
    </row>
    <row r="2235">
      <c r="A2235" t="inlineStr">
        <is>
          <t>T-2039</t>
        </is>
      </c>
      <c r="B2235" t="inlineStr">
        <is>
          <t>Vadodara Gas Limited</t>
        </is>
      </c>
      <c r="C2235" t="inlineStr">
        <is>
          <t>Vadodara Gas Limited</t>
        </is>
      </c>
      <c r="D2235" t="inlineStr">
        <is>
          <t>VGL/CO/C</t>
        </is>
      </c>
      <c r="F2235" t="inlineStr">
        <is>
          <t>New Lead</t>
        </is>
      </c>
      <c r="G2235" t="inlineStr">
        <is>
          <t>Gas-related / review</t>
        </is>
      </c>
      <c r="H2235" t="inlineStr">
        <is>
          <t>Replies to Bidder's Queries for the Tender for Purchase of Temperature Gauge and
                Pressure Gauge vide Tender No.: VGL/CO/C&amp;P-CNG/BD202108160</t>
        </is>
      </c>
      <c r="K2235" t="inlineStr">
        <is>
          <t>Not found</t>
        </is>
      </c>
      <c r="L2235" t="inlineStr">
        <is>
          <t>Unknown</t>
        </is>
      </c>
      <c r="T2235" t="inlineStr">
        <is>
          <t>https://www.vgl.co.in/wp-content/uploads/2025/pdf/REPLIES_TO_BIDDER_S_QUERIES_FOR_PURCHASE_OF_TEMPERATURE_GAUGE_AND_PRESSURE_GAUGE.pdf</t>
        </is>
      </c>
      <c r="U2235" t="inlineStr">
        <is>
          <t>No</t>
        </is>
      </c>
      <c r="V2235" t="inlineStr">
        <is>
          <t>Bot tarafindan tespit edildi (2026-07-01); Bot tespit/zenginlestirme (2026-07-01); meta:score=50;priority=Medium;source_type=html_link;closing_date=;equipment=Gas-related / review;reasons=equipment:Gas-related / review,document source,tender reference signal</t>
        </is>
      </c>
    </row>
    <row r="2236">
      <c r="A2236" t="inlineStr">
        <is>
          <t>T-2040</t>
        </is>
      </c>
      <c r="B2236" t="inlineStr">
        <is>
          <t>Vadodara Gas Limited</t>
        </is>
      </c>
      <c r="C2236" t="inlineStr">
        <is>
          <t>Vadodara Gas Limited</t>
        </is>
      </c>
      <c r="D2236" t="inlineStr">
        <is>
          <t>VGL/CO/C</t>
        </is>
      </c>
      <c r="F2236" t="inlineStr">
        <is>
          <t>New Lead</t>
        </is>
      </c>
      <c r="G2236" t="inlineStr">
        <is>
          <t>Irrelevant / non-target</t>
        </is>
      </c>
      <c r="H2236" t="inlineStr">
        <is>
          <t>Replies to Bidder's Queries for the Tender for Hiring of Manpower through Third Party
                for Peripheral &amp; Support Services at VGL for a period of 24 Months vide Tender No.:
                VGL/CO/C&amp;P-CNG/BD202103144</t>
        </is>
      </c>
      <c r="K2236" t="inlineStr">
        <is>
          <t>Not found</t>
        </is>
      </c>
      <c r="L2236" t="inlineStr">
        <is>
          <t>Unknown</t>
        </is>
      </c>
      <c r="T2236" t="inlineStr">
        <is>
          <t>https://www.vgl.co.in/wp-content/uploads/2025/pdf/REPLIES_TO_BIDDER_S_QUERIES_-_PERIPHERAL_AND_SUPPORT_SERVICES.pdf</t>
        </is>
      </c>
      <c r="U2236" t="inlineStr">
        <is>
          <t>No</t>
        </is>
      </c>
      <c r="V2236" t="inlineStr">
        <is>
          <t>Bot tarafindan tespit edildi (2026-07-01); Bot tespit/zenginlestirme (2026-07-01); meta:score=;priority=Low;source_type=html_link;closing_date=;equipment=Irrelevant / non-target;reasons=irrelevant_equipment,document source,tender reference signal,non-target service</t>
        </is>
      </c>
    </row>
    <row r="2237">
      <c r="A2237" t="inlineStr">
        <is>
          <t>T-2041</t>
        </is>
      </c>
      <c r="B2237" t="inlineStr">
        <is>
          <t>Vadodara Gas Limited</t>
        </is>
      </c>
      <c r="C2237" t="inlineStr">
        <is>
          <t>Vadodara Gas Limited</t>
        </is>
      </c>
      <c r="F2237" t="inlineStr">
        <is>
          <t>New Lead</t>
        </is>
      </c>
      <c r="G2237" t="inlineStr">
        <is>
          <t>Gas-related / review</t>
        </is>
      </c>
      <c r="H2237" t="inlineStr">
        <is>
          <t>Extension in bid submission due date for Annual rate Contract for Procurement of CNG CAR
                and Combo (Car - Bus) Dispenser Package.</t>
        </is>
      </c>
      <c r="K2237" t="inlineStr">
        <is>
          <t>Not found</t>
        </is>
      </c>
      <c r="L2237" t="inlineStr">
        <is>
          <t>Unknown</t>
        </is>
      </c>
      <c r="T2237" t="inlineStr">
        <is>
          <t>https://www.vgl.co.in/wp-content/uploads/2025/pdf/Extension_in_Bid_submission_Due_Date_-_Dispenser.pdf</t>
        </is>
      </c>
      <c r="U2237" t="inlineStr">
        <is>
          <t>No</t>
        </is>
      </c>
      <c r="V2237" t="inlineStr">
        <is>
          <t>Bot tarafindan tespit edildi (2026-07-01); Bot tespit/zenginlestirme (2026-07-01); meta:score=45;priority=Medium;source_type=html_link;closing_date=;equipment=Gas-related / review;reasons=equipment:Gas-related / review,document source,closing date signal</t>
        </is>
      </c>
    </row>
    <row r="2238">
      <c r="A2238" t="inlineStr">
        <is>
          <t>T-2042</t>
        </is>
      </c>
      <c r="B2238" t="inlineStr">
        <is>
          <t>Vadodara Gas Limited</t>
        </is>
      </c>
      <c r="C2238" t="inlineStr">
        <is>
          <t>Vadodara Gas Limited</t>
        </is>
      </c>
      <c r="F2238" t="inlineStr">
        <is>
          <t>New Lead</t>
        </is>
      </c>
      <c r="G2238" t="inlineStr">
        <is>
          <t>Unclassified</t>
        </is>
      </c>
      <c r="H2238" t="inlineStr">
        <is>
          <t>Purchase of Temperature Gauge and Pressure Gauge.</t>
        </is>
      </c>
      <c r="K2238" t="inlineStr">
        <is>
          <t>Not found</t>
        </is>
      </c>
      <c r="L2238" t="inlineStr">
        <is>
          <t>Unknown</t>
        </is>
      </c>
      <c r="T2238" t="inlineStr">
        <is>
          <t>https://www.vgl.co.in/wp-content/uploads/2025/pdf/NIT_FOR_PURCHASE_OF_PRESSURE_AND_TEMPERATURE_GAUGE.pdf</t>
        </is>
      </c>
      <c r="U2238" t="inlineStr">
        <is>
          <t>No</t>
        </is>
      </c>
      <c r="V2238" t="inlineStr">
        <is>
          <t>Bot tarafindan tespit edildi (2026-07-01); Bot tespit/zenginlestirme (2026-07-01); meta:score=35;priority=Low;source_type=html_link;closing_date=;equipment=Unclassified;reasons=document source,tender reference signal</t>
        </is>
      </c>
    </row>
    <row r="2239">
      <c r="A2239" t="inlineStr">
        <is>
          <t>T-2043</t>
        </is>
      </c>
      <c r="B2239" t="inlineStr">
        <is>
          <t>Vadodara Gas Limited</t>
        </is>
      </c>
      <c r="C2239" t="inlineStr">
        <is>
          <t>Vadodara Gas Limited</t>
        </is>
      </c>
      <c r="F2239" t="inlineStr">
        <is>
          <t>New Lead</t>
        </is>
      </c>
      <c r="G2239" t="inlineStr">
        <is>
          <t>Gas-related / review</t>
        </is>
      </c>
      <c r="H2239" t="inlineStr">
        <is>
          <t>Replies to Bidder's queries for Annual rate Contract for Procurement of CNG CAR and
                Combo (Car - Bus) Dispenser Package.</t>
        </is>
      </c>
      <c r="K2239" t="inlineStr">
        <is>
          <t>Not found</t>
        </is>
      </c>
      <c r="L2239" t="inlineStr">
        <is>
          <t>Unknown</t>
        </is>
      </c>
      <c r="T2239" t="inlineStr">
        <is>
          <t>https://www.vgl.co.in/wp-content/uploads/2025/pdf/REPLIES_TO_BIDDERS_QUERIES_REPL_VGL_NGD_002_21.pdf</t>
        </is>
      </c>
      <c r="U2239" t="inlineStr">
        <is>
          <t>No</t>
        </is>
      </c>
      <c r="V2239" t="inlineStr">
        <is>
          <t>Bot tarafindan tespit edildi (2026-07-01); Bot tespit/zenginlestirme (2026-07-01); meta:score=35;priority=Low;source_type=html_link;closing_date=;equipment=Gas-related / review;reasons=equipment:Gas-related / review,document source</t>
        </is>
      </c>
    </row>
    <row r="2240">
      <c r="A2240" t="inlineStr">
        <is>
          <t>T-2044</t>
        </is>
      </c>
      <c r="B2240" t="inlineStr">
        <is>
          <t>Vadodara Gas Limited</t>
        </is>
      </c>
      <c r="C2240" t="inlineStr">
        <is>
          <t>Vadodara Gas Limited</t>
        </is>
      </c>
      <c r="F2240" t="inlineStr">
        <is>
          <t>New Lead</t>
        </is>
      </c>
      <c r="G2240" t="inlineStr">
        <is>
          <t>Irrelevant / non-target</t>
        </is>
      </c>
      <c r="H2240" t="inlineStr">
        <is>
          <t>Hiring of Manpower through
                Third Party for Peripheral &amp; Support Services at VGL for a period of 24 Months</t>
        </is>
      </c>
      <c r="K2240" t="inlineStr">
        <is>
          <t>Not found</t>
        </is>
      </c>
      <c r="L2240" t="inlineStr">
        <is>
          <t>Unknown</t>
        </is>
      </c>
      <c r="T2240" t="inlineStr">
        <is>
          <t>https://www.vgl.co.in/wp-content/uploads/2025/pdf/NIT_202103144.pdf</t>
        </is>
      </c>
      <c r="U2240" t="inlineStr">
        <is>
          <t>No</t>
        </is>
      </c>
      <c r="V2240" t="inlineStr">
        <is>
          <t>Bot tarafindan tespit edildi (2026-07-01); Bot tespit/zenginlestirme (2026-07-01); meta:score=;priority=Low;source_type=html_link;closing_date=;equipment=Irrelevant / non-target;reasons=irrelevant_equipment,document source,tender reference signal,non-target service</t>
        </is>
      </c>
    </row>
    <row r="2241">
      <c r="A2241" t="inlineStr">
        <is>
          <t>T-2045</t>
        </is>
      </c>
      <c r="B2241" t="inlineStr">
        <is>
          <t>Vadodara Gas Limited</t>
        </is>
      </c>
      <c r="C2241" t="inlineStr">
        <is>
          <t>Vadodara Gas Limited</t>
        </is>
      </c>
      <c r="F2241" t="inlineStr">
        <is>
          <t>New Lead</t>
        </is>
      </c>
      <c r="G2241" t="inlineStr">
        <is>
          <t>Unclassified</t>
        </is>
      </c>
      <c r="H2241" t="inlineStr">
        <is>
          <t>Purchase of 3000 WL
                Capacity Cascades</t>
        </is>
      </c>
      <c r="K2241" t="inlineStr">
        <is>
          <t>Not found</t>
        </is>
      </c>
      <c r="L2241" t="inlineStr">
        <is>
          <t>Unknown</t>
        </is>
      </c>
      <c r="T2241" t="inlineStr">
        <is>
          <t>https://www.vgl.co.in/wp-content/uploads/2025/pdf/NIT_BD202108161_CASCADE.pdf</t>
        </is>
      </c>
      <c r="U2241" t="inlineStr">
        <is>
          <t>No</t>
        </is>
      </c>
      <c r="V2241" t="inlineStr">
        <is>
          <t>Bot tarafindan tespit edildi (2026-07-01); Bot tespit/zenginlestirme (2026-07-01); meta:score=35;priority=Low;source_type=html_link;closing_date=;equipment=Unclassified;reasons=document source,tender reference signal</t>
        </is>
      </c>
    </row>
    <row r="2242">
      <c r="A2242" t="inlineStr">
        <is>
          <t>T-2046</t>
        </is>
      </c>
      <c r="B2242" t="inlineStr">
        <is>
          <t>Vadodara Gas Limited</t>
        </is>
      </c>
      <c r="C2242" t="inlineStr">
        <is>
          <t>Vadodara Gas Limited</t>
        </is>
      </c>
      <c r="F2242" t="inlineStr">
        <is>
          <t>New Lead</t>
        </is>
      </c>
      <c r="G2242" t="inlineStr">
        <is>
          <t>Gas-related / review</t>
        </is>
      </c>
      <c r="H2242" t="inlineStr">
        <is>
          <t>NIT for Procurement of
                CNG Car and Combo (Car-Bus) Dispenser Package</t>
        </is>
      </c>
      <c r="K2242" t="inlineStr">
        <is>
          <t>Not found</t>
        </is>
      </c>
      <c r="L2242" t="inlineStr">
        <is>
          <t>Unknown</t>
        </is>
      </c>
      <c r="T2242" t="inlineStr">
        <is>
          <t>https://www.vgl.co.in/wp-content/uploads/2025/pdf/NIT_Dispenser-2021.pdf</t>
        </is>
      </c>
      <c r="U2242" t="inlineStr">
        <is>
          <t>No</t>
        </is>
      </c>
      <c r="V2242" t="inlineStr">
        <is>
          <t>Bot tarafindan tespit edildi (2026-07-01); Bot tespit/zenginlestirme (2026-07-01); meta:score=50;priority=Medium;source_type=html_link;closing_date=;equipment=Gas-related / review;reasons=equipment:Gas-related / review,document source,tender reference signal</t>
        </is>
      </c>
    </row>
    <row r="2243">
      <c r="A2243" t="inlineStr">
        <is>
          <t>T-2047</t>
        </is>
      </c>
      <c r="B2243" t="inlineStr">
        <is>
          <t>Vadodara Gas Limited</t>
        </is>
      </c>
      <c r="C2243" t="inlineStr">
        <is>
          <t>Vadodara Gas Limited</t>
        </is>
      </c>
      <c r="F2243" t="inlineStr">
        <is>
          <t>New Lead</t>
        </is>
      </c>
      <c r="G2243" t="inlineStr">
        <is>
          <t>Gas-related / review</t>
        </is>
      </c>
      <c r="H2243" t="inlineStr">
        <is>
          <t>Canopy
                &amp; other Misc. works to be carried out at VGL’s Nizampura CNG Station, Vadodara</t>
        </is>
      </c>
      <c r="K2243" t="inlineStr">
        <is>
          <t>Not found</t>
        </is>
      </c>
      <c r="L2243" t="inlineStr">
        <is>
          <t>Unknown</t>
        </is>
      </c>
      <c r="T2243" t="inlineStr">
        <is>
          <t>https://www.vgl.co.in/wp-content/uploads/2025/pdf/NIT_BD202105145_NZ_CANOPY_17_2021.pdf</t>
        </is>
      </c>
      <c r="U2243" t="inlineStr">
        <is>
          <t>No</t>
        </is>
      </c>
      <c r="V2243" t="inlineStr">
        <is>
          <t>Bot tarafindan tespit edildi (2026-07-01); Bot tespit/zenginlestirme (2026-07-01); meta:score=50;priority=Medium;source_type=html_link;closing_date=;equipment=Gas-related / review;reasons=equipment:Gas-related / review,document source,tender reference signal</t>
        </is>
      </c>
    </row>
    <row r="2244">
      <c r="A2244" t="inlineStr">
        <is>
          <t>T-2048</t>
        </is>
      </c>
      <c r="B2244" t="inlineStr">
        <is>
          <t>Vadodara Gas Limited</t>
        </is>
      </c>
      <c r="C2244" t="inlineStr">
        <is>
          <t>Vadodara Gas Limited</t>
        </is>
      </c>
      <c r="F2244" t="inlineStr">
        <is>
          <t>New Lead</t>
        </is>
      </c>
      <c r="G2244" t="inlineStr">
        <is>
          <t>Unclassified</t>
        </is>
      </c>
      <c r="H2244" t="inlineStr">
        <is>
          <t>HIRING
                OF SERVICES FOR AMC OF FIRE FIGHTING EQUIPMENTS AND PURCHASE OF CONSUMABLE SPARES FOR FIRE EXTINGUISHERS
                AT VGL, VADODARA FOR A PERIOD OF TWO YEARS</t>
        </is>
      </c>
      <c r="K2244" t="inlineStr">
        <is>
          <t>Not found</t>
        </is>
      </c>
      <c r="L2244" t="inlineStr">
        <is>
          <t>Unknown</t>
        </is>
      </c>
      <c r="T2244" t="inlineStr">
        <is>
          <t>https://www.vgl.co.in/wp-content/uploads/2025/pdf/NIT_AMC_FIRE_EXTINGUISHER_BD202106151.pdf</t>
        </is>
      </c>
      <c r="U2244" t="inlineStr">
        <is>
          <t>No</t>
        </is>
      </c>
      <c r="V2244" t="inlineStr">
        <is>
          <t>Bot tarafindan tespit edildi (2026-07-01); Bot tespit/zenginlestirme (2026-07-01); meta:score=35;priority=Low;source_type=html_link;closing_date=;equipment=Unclassified;reasons=document source,tender reference signal</t>
        </is>
      </c>
    </row>
    <row r="2245">
      <c r="A2245" t="inlineStr">
        <is>
          <t>T-2049</t>
        </is>
      </c>
      <c r="B2245" t="inlineStr">
        <is>
          <t>Vadodara Gas Limited</t>
        </is>
      </c>
      <c r="C2245" t="inlineStr">
        <is>
          <t>Vadodara Gas Limited</t>
        </is>
      </c>
      <c r="F2245" t="inlineStr">
        <is>
          <t>New Lead</t>
        </is>
      </c>
      <c r="G2245" t="inlineStr">
        <is>
          <t>RMS</t>
        </is>
      </c>
      <c r="H2245" t="inlineStr">
        <is>
          <t>Terms &amp; Condition</t>
        </is>
      </c>
      <c r="K2245" t="inlineStr">
        <is>
          <t>Not found</t>
        </is>
      </c>
      <c r="L2245" t="inlineStr">
        <is>
          <t>Unknown</t>
        </is>
      </c>
      <c r="T2245" t="inlineStr">
        <is>
          <t>https://www.vgl.co.in/terms-condition/</t>
        </is>
      </c>
      <c r="U2245" t="inlineStr">
        <is>
          <t>No</t>
        </is>
      </c>
      <c r="V2245" t="inlineStr">
        <is>
          <t>Bot tarafindan tespit edildi (2026-07-01)</t>
        </is>
      </c>
    </row>
    <row r="2246">
      <c r="A2246" t="inlineStr">
        <is>
          <t>T-2050</t>
        </is>
      </c>
      <c r="B2246" t="inlineStr">
        <is>
          <t>Vadodara Gas Limited</t>
        </is>
      </c>
      <c r="C2246" t="inlineStr">
        <is>
          <t>Vadodara Gas Limited</t>
        </is>
      </c>
      <c r="F2246" t="inlineStr">
        <is>
          <t>New Lead</t>
        </is>
      </c>
      <c r="H2246" t="inlineStr">
        <is>
          <t>Download</t>
        </is>
      </c>
      <c r="K2246" t="inlineStr">
        <is>
          <t>Not found</t>
        </is>
      </c>
      <c r="L2246" t="inlineStr">
        <is>
          <t>Unknown</t>
        </is>
      </c>
      <c r="T2246" t="inlineStr">
        <is>
          <t>https://www.vgl.co.in/download/</t>
        </is>
      </c>
      <c r="U2246" t="inlineStr">
        <is>
          <t>No</t>
        </is>
      </c>
      <c r="V2246" t="inlineStr">
        <is>
          <t>Bot tarafindan tespit edildi (2026-07-01)</t>
        </is>
      </c>
    </row>
    <row r="2247">
      <c r="A2247" t="inlineStr">
        <is>
          <t>T-2051</t>
        </is>
      </c>
      <c r="B2247" t="inlineStr">
        <is>
          <t>Aegis Gas / Aegis Logistics</t>
        </is>
      </c>
      <c r="C2247" t="inlineStr">
        <is>
          <t>Aegis Gas / Aegis Logistics</t>
        </is>
      </c>
      <c r="F2247" t="inlineStr">
        <is>
          <t>New Lead</t>
        </is>
      </c>
      <c r="H2247" t="inlineStr">
        <is>
          <t>COMMUNITY</t>
        </is>
      </c>
      <c r="K2247" t="inlineStr">
        <is>
          <t>Not found</t>
        </is>
      </c>
      <c r="L2247" t="inlineStr">
        <is>
          <t>Unknown</t>
        </is>
      </c>
      <c r="T2247" t="inlineStr">
        <is>
          <t>https://aegisindia.com/community/</t>
        </is>
      </c>
      <c r="U2247" t="inlineStr">
        <is>
          <t>No</t>
        </is>
      </c>
      <c r="V2247" t="inlineStr">
        <is>
          <t>Bot tarafindan tespit edildi (2026-07-01)</t>
        </is>
      </c>
    </row>
    <row r="2248">
      <c r="A2248" t="inlineStr">
        <is>
          <t>T-2052</t>
        </is>
      </c>
      <c r="B2248" t="inlineStr">
        <is>
          <t>Aegis Gas / Aegis Logistics</t>
        </is>
      </c>
      <c r="C2248" t="inlineStr">
        <is>
          <t>Aegis Gas / Aegis Logistics</t>
        </is>
      </c>
      <c r="F2248" t="inlineStr">
        <is>
          <t>New Lead</t>
        </is>
      </c>
      <c r="H2248" t="inlineStr">
        <is>
          <t>Investor Downloads</t>
        </is>
      </c>
      <c r="K2248" t="inlineStr">
        <is>
          <t>Not found</t>
        </is>
      </c>
      <c r="L2248" t="inlineStr">
        <is>
          <t>Unknown</t>
        </is>
      </c>
      <c r="T2248" t="inlineStr">
        <is>
          <t>https://aegisindia.com/investor-information/#investor-downloads</t>
        </is>
      </c>
      <c r="U2248" t="inlineStr">
        <is>
          <t>No</t>
        </is>
      </c>
      <c r="V2248" t="inlineStr">
        <is>
          <t>Bot tarafindan tespit edildi (2026-07-01)</t>
        </is>
      </c>
    </row>
    <row r="2249">
      <c r="A2249" t="inlineStr">
        <is>
          <t>T-2053</t>
        </is>
      </c>
      <c r="B2249" t="inlineStr">
        <is>
          <t>Aegis Gas / Aegis Logistics</t>
        </is>
      </c>
      <c r="C2249" t="inlineStr">
        <is>
          <t>Aegis Gas / Aegis Logistics</t>
        </is>
      </c>
      <c r="F2249" t="inlineStr">
        <is>
          <t>New Lead</t>
        </is>
      </c>
      <c r="H2249" t="inlineStr">
        <is>
          <t>http://uat.genuus.asia/aegisnew/community/</t>
        </is>
      </c>
      <c r="K2249" t="inlineStr">
        <is>
          <t>Not found</t>
        </is>
      </c>
      <c r="L2249" t="inlineStr">
        <is>
          <t>Unknown</t>
        </is>
      </c>
      <c r="T2249" t="inlineStr">
        <is>
          <t>http://uat.genuus.asia/aegisnew/community/</t>
        </is>
      </c>
      <c r="U2249" t="inlineStr">
        <is>
          <t>No</t>
        </is>
      </c>
      <c r="V2249" t="inlineStr">
        <is>
          <t>Bot tarafindan tespit edildi (2026-07-01)</t>
        </is>
      </c>
    </row>
    <row r="2250">
      <c r="A2250" t="inlineStr">
        <is>
          <t>T-2054</t>
        </is>
      </c>
      <c r="B2250" t="inlineStr">
        <is>
          <t>Aegis Gas / Aegis Logistics</t>
        </is>
      </c>
      <c r="C2250" t="inlineStr">
        <is>
          <t>Aegis Gas / Aegis Logistics</t>
        </is>
      </c>
      <c r="F2250" t="inlineStr">
        <is>
          <t>New Lead</t>
        </is>
      </c>
      <c r="H2250" t="inlineStr">
        <is>
          <t>Community</t>
        </is>
      </c>
      <c r="K2250" t="inlineStr">
        <is>
          <t>Not found</t>
        </is>
      </c>
      <c r="L2250" t="inlineStr">
        <is>
          <t>Unknown</t>
        </is>
      </c>
      <c r="T2250" t="inlineStr">
        <is>
          <t>http://aegisindia.com/community/</t>
        </is>
      </c>
      <c r="U2250" t="inlineStr">
        <is>
          <t>No</t>
        </is>
      </c>
      <c r="V2250" t="inlineStr">
        <is>
          <t>Bot tarafindan tespit edildi (2026-07-01)</t>
        </is>
      </c>
    </row>
    <row r="2251">
      <c r="A2251" t="inlineStr">
        <is>
          <t>T-2055</t>
        </is>
      </c>
      <c r="B2251" t="inlineStr">
        <is>
          <t>Aegis Gas / Aegis Logistics</t>
        </is>
      </c>
      <c r="C2251" t="inlineStr">
        <is>
          <t>Aegis Gas / Aegis Logistics</t>
        </is>
      </c>
      <c r="F2251" t="inlineStr">
        <is>
          <t>New Lead</t>
        </is>
      </c>
      <c r="H2251" t="inlineStr">
        <is>
          <t>Investor Downloads</t>
        </is>
      </c>
      <c r="K2251" t="inlineStr">
        <is>
          <t>Not found</t>
        </is>
      </c>
      <c r="L2251" t="inlineStr">
        <is>
          <t>Unknown</t>
        </is>
      </c>
      <c r="T2251" t="inlineStr">
        <is>
          <t>http://aegisindia.com/investor-information/#investor-downloads</t>
        </is>
      </c>
      <c r="U2251" t="inlineStr">
        <is>
          <t>No</t>
        </is>
      </c>
      <c r="V2251" t="inlineStr">
        <is>
          <t>Bot tarafindan tespit edildi (2026-07-01)</t>
        </is>
      </c>
    </row>
    <row r="2252">
      <c r="A2252" t="inlineStr">
        <is>
          <t>T-2056</t>
        </is>
      </c>
      <c r="B2252" t="inlineStr">
        <is>
          <t>Aegis Gas / Aegis Logistics</t>
        </is>
      </c>
      <c r="C2252" t="inlineStr">
        <is>
          <t>Aegis Gas / Aegis Logistics</t>
        </is>
      </c>
      <c r="F2252" t="inlineStr">
        <is>
          <t>New Lead</t>
        </is>
      </c>
      <c r="H2252" t="inlineStr">
        <is>
          <t>Tenders</t>
        </is>
      </c>
      <c r="K2252" t="inlineStr">
        <is>
          <t>Not found</t>
        </is>
      </c>
      <c r="L2252" t="inlineStr">
        <is>
          <t>Unknown</t>
        </is>
      </c>
      <c r="T2252" t="inlineStr">
        <is>
          <t>http://aegisindia.com/tenders</t>
        </is>
      </c>
      <c r="U2252" t="inlineStr">
        <is>
          <t>No</t>
        </is>
      </c>
      <c r="V2252" t="inlineStr">
        <is>
          <t>Bot tarafindan tespit edildi (2026-07-01)</t>
        </is>
      </c>
    </row>
    <row r="2253">
      <c r="A2253" t="inlineStr">
        <is>
          <t>T-2057</t>
        </is>
      </c>
      <c r="B2253" t="inlineStr">
        <is>
          <t>Reliance BP Mobility / Jio-bp gas related</t>
        </is>
      </c>
      <c r="C2253" t="inlineStr">
        <is>
          <t>Reliance BP Mobility / Jio-bp gas related</t>
        </is>
      </c>
      <c r="D2253" t="inlineStr">
        <is>
          <t>rogen</t>
        </is>
      </c>
      <c r="F2253" t="inlineStr">
        <is>
          <t>New Lead</t>
        </is>
      </c>
      <c r="G2253" t="inlineStr">
        <is>
          <t>Gas-related / review</t>
        </is>
      </c>
      <c r="H2253" t="inlineStr">
        <is>
          <t>Jio-bp pulseIndia's growing network of EV charging stations. Use our smart EV charging solutions to find a high-speed charging unit or a best EV charging station near you for a seamless drive.</t>
        </is>
      </c>
      <c r="K2253" t="inlineStr">
        <is>
          <t>Not found</t>
        </is>
      </c>
      <c r="L2253" t="inlineStr">
        <is>
          <t>Unknown</t>
        </is>
      </c>
      <c r="T2253" t="inlineStr">
        <is>
          <t>https://www.jiobp.com/products-and-services/EV-charging</t>
        </is>
      </c>
      <c r="U2253" t="inlineStr">
        <is>
          <t>No</t>
        </is>
      </c>
      <c r="V2253" t="inlineStr">
        <is>
          <t>Bot tarafindan tespit edildi (2026-07-01); Bot tespit/zenginlestirme (2026-07-01); meta:score=30;priority=Low;source_type=html_table;closing_date=;equipment=Gas-related / review;reasons=equipment:Gas-related / review,tender reference signal</t>
        </is>
      </c>
    </row>
    <row r="2254">
      <c r="A2254" t="inlineStr">
        <is>
          <t>T-2058</t>
        </is>
      </c>
      <c r="B2254" t="inlineStr">
        <is>
          <t>Reliance BP Mobility / Jio-bp gas related</t>
        </is>
      </c>
      <c r="C2254" t="inlineStr">
        <is>
          <t>Reliance BP Mobility / Jio-bp gas related</t>
        </is>
      </c>
      <c r="D2254" t="inlineStr">
        <is>
          <t>rogen</t>
        </is>
      </c>
      <c r="F2254" t="inlineStr">
        <is>
          <t>New Lead</t>
        </is>
      </c>
      <c r="G2254" t="inlineStr">
        <is>
          <t>Unclassified</t>
        </is>
      </c>
      <c r="H2254" t="inlineStr">
        <is>
          <t>Know More</t>
        </is>
      </c>
      <c r="K2254" t="inlineStr">
        <is>
          <t>Not found</t>
        </is>
      </c>
      <c r="L2254" t="inlineStr">
        <is>
          <t>Unknown</t>
        </is>
      </c>
      <c r="T2254" t="inlineStr">
        <is>
          <t>https://www.jiobp.com/products-and-services/nitrofill</t>
        </is>
      </c>
      <c r="U2254" t="inlineStr">
        <is>
          <t>No</t>
        </is>
      </c>
      <c r="V2254" t="inlineStr">
        <is>
          <t>Bot tarafindan tespit edildi (2026-07-01); Bot tespit/zenginlestirme (2026-07-01); meta:score=15;priority=Low;source_type=html_table;closing_date=;equipment=Unclassified;reasons=tender reference signal</t>
        </is>
      </c>
    </row>
    <row r="2255">
      <c r="A2255" t="inlineStr">
        <is>
          <t>T-2059</t>
        </is>
      </c>
      <c r="B2255" t="inlineStr">
        <is>
          <t>Engineers India Limited (EIL)</t>
        </is>
      </c>
      <c r="C2255" t="inlineStr">
        <is>
          <t>Engineers India Limited (EIL)</t>
        </is>
      </c>
      <c r="F2255" t="inlineStr">
        <is>
          <t>New Lead</t>
        </is>
      </c>
      <c r="H2255" t="inlineStr">
        <is>
          <t>Tenders</t>
        </is>
      </c>
      <c r="K2255" t="inlineStr">
        <is>
          <t>Not found</t>
        </is>
      </c>
      <c r="L2255" t="inlineStr">
        <is>
          <t>Unknown</t>
        </is>
      </c>
      <c r="T2255" t="inlineStr">
        <is>
          <t>https://engineersindia.com/tender</t>
        </is>
      </c>
      <c r="U2255" t="inlineStr">
        <is>
          <t>No</t>
        </is>
      </c>
      <c r="V2255" t="inlineStr">
        <is>
          <t>Bot tarafindan tespit edildi (2026-07-01)</t>
        </is>
      </c>
    </row>
    <row r="2256">
      <c r="A2256" t="inlineStr">
        <is>
          <t>T-2060</t>
        </is>
      </c>
      <c r="B2256" t="inlineStr">
        <is>
          <t>Engineers India Limited (EIL)</t>
        </is>
      </c>
      <c r="C2256" t="inlineStr">
        <is>
          <t>Engineers India Limited (EIL)</t>
        </is>
      </c>
      <c r="F2256" t="inlineStr">
        <is>
          <t>New Lead</t>
        </is>
      </c>
      <c r="H2256" t="inlineStr">
        <is>
          <t>हिंदी</t>
        </is>
      </c>
      <c r="K2256" t="inlineStr">
        <is>
          <t>Not found</t>
        </is>
      </c>
      <c r="L2256" t="inlineStr">
        <is>
          <t>Unknown</t>
        </is>
      </c>
      <c r="T2256" t="inlineStr">
        <is>
          <t>https://engineersindia.com/Language?ReturnUrl=%2Ftenders%2F&amp;handler=Return</t>
        </is>
      </c>
      <c r="U2256" t="inlineStr">
        <is>
          <t>No</t>
        </is>
      </c>
      <c r="V2256" t="inlineStr">
        <is>
          <t>Bot tarafindan tespit edildi (2026-07-01)</t>
        </is>
      </c>
    </row>
    <row r="2257">
      <c r="A2257" t="inlineStr">
        <is>
          <t>T-2061</t>
        </is>
      </c>
      <c r="B2257" t="inlineStr">
        <is>
          <t>Engineers India Limited (EIL)</t>
        </is>
      </c>
      <c r="C2257" t="inlineStr">
        <is>
          <t>Engineers India Limited (EIL)</t>
        </is>
      </c>
      <c r="F2257" t="inlineStr">
        <is>
          <t>New Lead</t>
        </is>
      </c>
      <c r="H2257" t="inlineStr">
        <is>
          <t>Live Tenders</t>
        </is>
      </c>
      <c r="K2257" t="inlineStr">
        <is>
          <t>Not found</t>
        </is>
      </c>
      <c r="L2257" t="inlineStr">
        <is>
          <t>Unknown</t>
        </is>
      </c>
      <c r="T2257" t="inlineStr">
        <is>
          <t>https://tenders.eil.co.in/NewTenders/Default.aspx</t>
        </is>
      </c>
      <c r="U2257" t="inlineStr">
        <is>
          <t>No</t>
        </is>
      </c>
      <c r="V2257" t="inlineStr">
        <is>
          <t>Bot tarafindan tespit edildi (2026-07-01)</t>
        </is>
      </c>
    </row>
    <row r="2258">
      <c r="A2258" t="inlineStr">
        <is>
          <t>T-2062</t>
        </is>
      </c>
      <c r="B2258" t="inlineStr">
        <is>
          <t>Engineers India Limited (EIL)</t>
        </is>
      </c>
      <c r="C2258" t="inlineStr">
        <is>
          <t>Engineers India Limited (EIL)</t>
        </is>
      </c>
      <c r="F2258" t="inlineStr">
        <is>
          <t>New Lead</t>
        </is>
      </c>
      <c r="H2258" t="inlineStr">
        <is>
          <t>Scheduled Pre-Tender meets</t>
        </is>
      </c>
      <c r="K2258" t="inlineStr">
        <is>
          <t>Not found</t>
        </is>
      </c>
      <c r="L2258" t="inlineStr">
        <is>
          <t>Unknown</t>
        </is>
      </c>
      <c r="T2258" t="inlineStr">
        <is>
          <t>https://tenders.eil.co.in/newtenders/PreBidMeetings</t>
        </is>
      </c>
      <c r="U2258" t="inlineStr">
        <is>
          <t>No</t>
        </is>
      </c>
      <c r="V2258" t="inlineStr">
        <is>
          <t>Bot tarafindan tespit edildi (2026-07-01)</t>
        </is>
      </c>
    </row>
    <row r="2259">
      <c r="A2259" t="inlineStr">
        <is>
          <t>T-2063</t>
        </is>
      </c>
      <c r="B2259" t="inlineStr">
        <is>
          <t>Engineers India Limited (EIL)</t>
        </is>
      </c>
      <c r="C2259" t="inlineStr">
        <is>
          <t>Engineers India Limited (EIL)</t>
        </is>
      </c>
      <c r="F2259" t="inlineStr">
        <is>
          <t>New Lead</t>
        </is>
      </c>
      <c r="H2259" t="inlineStr">
        <is>
          <t>Important Issues in EIL Procurement</t>
        </is>
      </c>
      <c r="K2259" t="inlineStr">
        <is>
          <t>Not found</t>
        </is>
      </c>
      <c r="L2259" t="inlineStr">
        <is>
          <t>Unknown</t>
        </is>
      </c>
      <c r="T2259" t="inlineStr">
        <is>
          <t>https://tenders.eil.co.in/newtenders/Home/zero.pdf</t>
        </is>
      </c>
      <c r="U2259" t="inlineStr">
        <is>
          <t>No</t>
        </is>
      </c>
      <c r="V2259" t="inlineStr">
        <is>
          <t>Bot tarafindan tespit edildi (2026-07-01)</t>
        </is>
      </c>
    </row>
    <row r="2260">
      <c r="A2260" t="inlineStr">
        <is>
          <t>T-2064</t>
        </is>
      </c>
      <c r="B2260" t="inlineStr">
        <is>
          <t>Engineers India Limited (EIL)</t>
        </is>
      </c>
      <c r="C2260" t="inlineStr">
        <is>
          <t>Engineers India Limited (EIL)</t>
        </is>
      </c>
      <c r="F2260" t="inlineStr">
        <is>
          <t>New Lead</t>
        </is>
      </c>
      <c r="H2260" t="inlineStr">
        <is>
          <t>Procurement from Micro &amp; Small Enterprises</t>
        </is>
      </c>
      <c r="K2260" t="inlineStr">
        <is>
          <t>Not found</t>
        </is>
      </c>
      <c r="L2260" t="inlineStr">
        <is>
          <t>Unknown</t>
        </is>
      </c>
      <c r="T2260" t="inlineStr">
        <is>
          <t>https://engineersindia.com/storage/2020/03/PROCUREMENT-FROM-MSES-BY-EIL.pdf</t>
        </is>
      </c>
      <c r="U2260" t="inlineStr">
        <is>
          <t>No</t>
        </is>
      </c>
      <c r="V2260" t="inlineStr">
        <is>
          <t>Bot tarafindan tespit edildi (2026-07-01)</t>
        </is>
      </c>
    </row>
    <row r="2261">
      <c r="A2261" t="inlineStr">
        <is>
          <t>T-2065</t>
        </is>
      </c>
      <c r="B2261" t="inlineStr">
        <is>
          <t>Engineers India Limited (EIL)</t>
        </is>
      </c>
      <c r="C2261" t="inlineStr">
        <is>
          <t>Engineers India Limited (EIL)</t>
        </is>
      </c>
      <c r="D2261" t="inlineStr">
        <is>
          <t>admin/Uploads/Files/20250207_FUTURE</t>
        </is>
      </c>
      <c r="F2261" t="inlineStr">
        <is>
          <t>Awarded</t>
        </is>
      </c>
      <c r="G2261" t="inlineStr">
        <is>
          <t>Unclassified</t>
        </is>
      </c>
      <c r="H2261" t="inlineStr">
        <is>
          <t>Five year Procurement Plan</t>
        </is>
      </c>
      <c r="K2261" t="inlineStr">
        <is>
          <t>Not found</t>
        </is>
      </c>
      <c r="L2261" t="inlineStr">
        <is>
          <t>Unknown</t>
        </is>
      </c>
      <c r="T2261" t="inlineStr">
        <is>
          <t>https://engineersindia.com/admin/Uploads/Files/20250207_FUTURE PROCUREMENT PLAN_EIL.pdf</t>
        </is>
      </c>
      <c r="U2261" t="inlineStr">
        <is>
          <t>No</t>
        </is>
      </c>
      <c r="V2261" t="inlineStr">
        <is>
          <t>Bot tarafindan tespit edildi (2026-07-01) | Bot enrich; date=2026-07-01; type=pdf; score=140; Bot tespit/zenginlestirme (2026-07-01); meta:score=20;priority=Low;source_type=html_link;closing_date=;equipment=Unclassified;reasons=document source</t>
        </is>
      </c>
    </row>
    <row r="2262">
      <c r="A2262" t="inlineStr">
        <is>
          <t>T-2066</t>
        </is>
      </c>
      <c r="B2262" t="inlineStr">
        <is>
          <t>Engineers India Limited (EIL)</t>
        </is>
      </c>
      <c r="C2262" t="inlineStr">
        <is>
          <t>Engineers India Limited (EIL)</t>
        </is>
      </c>
      <c r="F2262" t="inlineStr">
        <is>
          <t>New Lead</t>
        </is>
      </c>
      <c r="H2262" t="inlineStr">
        <is>
          <t>Independent External Monitors in case of issues concerning Integrity Pact</t>
        </is>
      </c>
      <c r="K2262" t="inlineStr">
        <is>
          <t>Not found</t>
        </is>
      </c>
      <c r="L2262" t="inlineStr">
        <is>
          <t>Unknown</t>
        </is>
      </c>
      <c r="T2262" t="inlineStr">
        <is>
          <t>https://tenders.eil.co.in/newtenders/Integrity_Pact</t>
        </is>
      </c>
      <c r="U2262" t="inlineStr">
        <is>
          <t>No</t>
        </is>
      </c>
      <c r="V2262" t="inlineStr">
        <is>
          <t>Bot tarafindan tespit edildi (2026-07-01)</t>
        </is>
      </c>
    </row>
    <row r="2263">
      <c r="A2263" t="inlineStr">
        <is>
          <t>T-2067</t>
        </is>
      </c>
      <c r="B2263" t="inlineStr">
        <is>
          <t>Engineers India Limited (EIL)</t>
        </is>
      </c>
      <c r="C2263" t="inlineStr">
        <is>
          <t>Engineers India Limited (EIL)</t>
        </is>
      </c>
      <c r="D2263" t="inlineStr">
        <is>
          <t>admin/Uploads/Files/EIL_Conciliation_Rules_2012.pdf</t>
        </is>
      </c>
      <c r="F2263" t="inlineStr">
        <is>
          <t>Awarded</t>
        </is>
      </c>
      <c r="G2263" t="inlineStr">
        <is>
          <t>Unclassified</t>
        </is>
      </c>
      <c r="H2263" t="inlineStr">
        <is>
          <t>Conciliation mechanism in case of Post Award Disputes through OEC (Outside Experts Committee)</t>
        </is>
      </c>
      <c r="K2263" t="inlineStr">
        <is>
          <t>Not found</t>
        </is>
      </c>
      <c r="L2263" t="inlineStr">
        <is>
          <t>Unknown</t>
        </is>
      </c>
      <c r="T2263" t="inlineStr">
        <is>
          <t>https://engineersindia.com/admin/Uploads/Files/EIL_Conciliation_Rules_2012.pdf</t>
        </is>
      </c>
      <c r="U2263" t="inlineStr">
        <is>
          <t>No</t>
        </is>
      </c>
      <c r="V2263" t="inlineStr">
        <is>
          <t>Bot tarafindan tespit edildi (2026-07-01) | Bot enrich; date=2026-07-01; type=pdf; score=140; Bot tespit/zenginlestirme (2026-07-01); meta:score=55;priority=Medium;source_type=html_link;closing_date=;equipment=Unclassified;reasons=award/result signal,document source</t>
        </is>
      </c>
    </row>
    <row r="2264">
      <c r="A2264" t="inlineStr">
        <is>
          <t>T-2068</t>
        </is>
      </c>
      <c r="B2264" t="inlineStr">
        <is>
          <t>Engineers India Limited (EIL)</t>
        </is>
      </c>
      <c r="C2264" t="inlineStr">
        <is>
          <t>Engineers India Limited (EIL)</t>
        </is>
      </c>
      <c r="D2264" t="inlineStr">
        <is>
          <t>Uploads/Files/EIL-GSTIN.pdf</t>
        </is>
      </c>
      <c r="F2264" t="inlineStr">
        <is>
          <t>Awarded</t>
        </is>
      </c>
      <c r="G2264" t="inlineStr">
        <is>
          <t>Unclassified</t>
        </is>
      </c>
      <c r="H2264" t="inlineStr">
        <is>
          <t>List of GSTIN of EIL</t>
        </is>
      </c>
      <c r="K2264" t="inlineStr">
        <is>
          <t>Not found</t>
        </is>
      </c>
      <c r="L2264" t="inlineStr">
        <is>
          <t>Unknown</t>
        </is>
      </c>
      <c r="T2264" t="inlineStr">
        <is>
          <t>https://engineersindia.com/Uploads/Files/EIL-GSTIN.pdf</t>
        </is>
      </c>
      <c r="U2264" t="inlineStr">
        <is>
          <t>No</t>
        </is>
      </c>
      <c r="V2264" t="inlineStr">
        <is>
          <t>Bot tarafindan tespit edildi (2026-07-01) | Bot enrich; date=2026-07-01; type=pdf; score=140; Bot tespit/zenginlestirme (2026-07-01); meta:score=20;priority=Low;source_type=html_link;closing_date=;equipment=Unclassified;reasons=document source</t>
        </is>
      </c>
    </row>
    <row r="2265">
      <c r="A2265" t="inlineStr">
        <is>
          <t>T-2069</t>
        </is>
      </c>
      <c r="B2265" t="inlineStr">
        <is>
          <t>Engineers India Limited (EIL)</t>
        </is>
      </c>
      <c r="C2265" t="inlineStr">
        <is>
          <t>Engineers India Limited (EIL)</t>
        </is>
      </c>
      <c r="D2265" t="inlineStr">
        <is>
          <t>pages/Composition-of-IC-in-terms-of-POSH-Act</t>
        </is>
      </c>
      <c r="F2265" t="inlineStr">
        <is>
          <t>New Lead</t>
        </is>
      </c>
      <c r="G2265" t="inlineStr">
        <is>
          <t>RMS</t>
        </is>
      </c>
      <c r="H2265" t="inlineStr">
        <is>
          <t>Composition of IC in terms of POSH Act</t>
        </is>
      </c>
      <c r="K2265" t="inlineStr">
        <is>
          <t>Not found</t>
        </is>
      </c>
      <c r="L2265" t="inlineStr">
        <is>
          <t>Unknown</t>
        </is>
      </c>
      <c r="T2265" t="inlineStr">
        <is>
          <t>https://engineersindia.com/pages/Composition-of-IC-in-terms-of-POSH-Act</t>
        </is>
      </c>
      <c r="U2265" t="inlineStr">
        <is>
          <t>No</t>
        </is>
      </c>
      <c r="V2265" t="inlineStr">
        <is>
          <t>Bot tarafindan tespit edildi (2026-07-01) | Bot enrich; date=2026-07-01; type=html; score=160</t>
        </is>
      </c>
    </row>
    <row r="2266">
      <c r="A2266" t="inlineStr">
        <is>
          <t>T-2070</t>
        </is>
      </c>
      <c r="B2266" t="inlineStr">
        <is>
          <t>Engineers India Limited (EIL)</t>
        </is>
      </c>
      <c r="C2266" t="inlineStr">
        <is>
          <t>Engineers India Limited (EIL)</t>
        </is>
      </c>
      <c r="F2266" t="inlineStr">
        <is>
          <t>New Lead</t>
        </is>
      </c>
      <c r="G2266" t="inlineStr">
        <is>
          <t>RMS</t>
        </is>
      </c>
      <c r="H2266" t="inlineStr">
        <is>
          <t>Terms &amp; Conditions</t>
        </is>
      </c>
      <c r="K2266" t="inlineStr">
        <is>
          <t>Not found</t>
        </is>
      </c>
      <c r="L2266" t="inlineStr">
        <is>
          <t>Unknown</t>
        </is>
      </c>
      <c r="T2266" t="inlineStr">
        <is>
          <t>https://engineersindia.com/Terms-&amp;-Conditions</t>
        </is>
      </c>
      <c r="U2266" t="inlineStr">
        <is>
          <t>No</t>
        </is>
      </c>
      <c r="V2266" t="inlineStr">
        <is>
          <t>Bot tarafindan tespit edildi (2026-07-01)</t>
        </is>
      </c>
    </row>
    <row r="2267">
      <c r="A2267" t="inlineStr">
        <is>
          <t>T-2071</t>
        </is>
      </c>
      <c r="B2267" t="inlineStr">
        <is>
          <t>CPPP / eProcure</t>
        </is>
      </c>
      <c r="C2267" t="inlineStr">
        <is>
          <t>CPPP / eProcure</t>
        </is>
      </c>
      <c r="F2267" t="inlineStr">
        <is>
          <t>New Lead</t>
        </is>
      </c>
      <c r="H2267" t="inlineStr">
        <is>
          <t>Active Tenders</t>
        </is>
      </c>
      <c r="K2267" t="inlineStr">
        <is>
          <t>Not found</t>
        </is>
      </c>
      <c r="L2267" t="inlineStr">
        <is>
          <t>Unknown</t>
        </is>
      </c>
      <c r="T2267" t="inlineStr">
        <is>
          <t>https://www.etenders.gov.in/eprocure/app?page=FrontEndLatestActiveTenders&amp;service=page</t>
        </is>
      </c>
      <c r="U2267" t="inlineStr">
        <is>
          <t>No</t>
        </is>
      </c>
      <c r="V2267" t="inlineStr">
        <is>
          <t>Bot tarafindan tespit edildi (2026-07-01)</t>
        </is>
      </c>
    </row>
    <row r="2268">
      <c r="A2268" t="inlineStr">
        <is>
          <t>T-2072</t>
        </is>
      </c>
      <c r="B2268" t="inlineStr">
        <is>
          <t>CPPP / eProcure</t>
        </is>
      </c>
      <c r="C2268" t="inlineStr">
        <is>
          <t>CPPP / eProcure</t>
        </is>
      </c>
      <c r="F2268" t="inlineStr">
        <is>
          <t>New Lead</t>
        </is>
      </c>
      <c r="H2268" t="inlineStr">
        <is>
          <t>Tenders by Closing Date</t>
        </is>
      </c>
      <c r="K2268" t="inlineStr">
        <is>
          <t>Not found</t>
        </is>
      </c>
      <c r="L2268" t="inlineStr">
        <is>
          <t>Unknown</t>
        </is>
      </c>
      <c r="T2268" t="inlineStr">
        <is>
          <t>https://www.etenders.gov.in/eprocure/app?page=FrontEndListTendersbyDate&amp;service=page</t>
        </is>
      </c>
      <c r="U2268" t="inlineStr">
        <is>
          <t>No</t>
        </is>
      </c>
      <c r="V2268" t="inlineStr">
        <is>
          <t>Bot tarafindan tespit edildi (2026-07-01)</t>
        </is>
      </c>
    </row>
    <row r="2269">
      <c r="A2269" t="inlineStr">
        <is>
          <t>T-2073</t>
        </is>
      </c>
      <c r="B2269" t="inlineStr">
        <is>
          <t>CPPP / eProcure</t>
        </is>
      </c>
      <c r="C2269" t="inlineStr">
        <is>
          <t>CPPP / eProcure</t>
        </is>
      </c>
      <c r="F2269" t="inlineStr">
        <is>
          <t>New Lead</t>
        </is>
      </c>
      <c r="H2269" t="inlineStr">
        <is>
          <t>Corrigendum</t>
        </is>
      </c>
      <c r="K2269" t="inlineStr">
        <is>
          <t>Not found</t>
        </is>
      </c>
      <c r="L2269" t="inlineStr">
        <is>
          <t>Unknown</t>
        </is>
      </c>
      <c r="T2269" t="inlineStr">
        <is>
          <t>https://www.etenders.gov.in/eprocure/app?page=FrontEndLatestActiveCorrigendums&amp;service=page</t>
        </is>
      </c>
      <c r="U2269" t="inlineStr">
        <is>
          <t>No</t>
        </is>
      </c>
      <c r="V2269" t="inlineStr">
        <is>
          <t>Bot tarafindan tespit edildi (2026-07-01)</t>
        </is>
      </c>
    </row>
    <row r="2270">
      <c r="A2270" t="inlineStr">
        <is>
          <t>T-2074</t>
        </is>
      </c>
      <c r="B2270" t="inlineStr">
        <is>
          <t>CPPP / eProcure</t>
        </is>
      </c>
      <c r="C2270" t="inlineStr">
        <is>
          <t>CPPP / eProcure</t>
        </is>
      </c>
      <c r="F2270" t="inlineStr">
        <is>
          <t>New Lead</t>
        </is>
      </c>
      <c r="H2270" t="inlineStr">
        <is>
          <t>Results of Tenders</t>
        </is>
      </c>
      <c r="K2270" t="inlineStr">
        <is>
          <t>Not found</t>
        </is>
      </c>
      <c r="L2270" t="inlineStr">
        <is>
          <t>Unknown</t>
        </is>
      </c>
      <c r="T2270" t="inlineStr">
        <is>
          <t>https://www.etenders.gov.in/eprocure/app?page=ResultOfTenders&amp;service=page</t>
        </is>
      </c>
      <c r="U2270" t="inlineStr">
        <is>
          <t>No</t>
        </is>
      </c>
      <c r="V2270" t="inlineStr">
        <is>
          <t>Bot tarafindan tespit edildi (2026-07-01)</t>
        </is>
      </c>
    </row>
    <row r="2271">
      <c r="A2271" t="inlineStr">
        <is>
          <t>T-2075</t>
        </is>
      </c>
      <c r="B2271" t="inlineStr">
        <is>
          <t>CPPP / eProcure</t>
        </is>
      </c>
      <c r="C2271" t="inlineStr">
        <is>
          <t>CPPP / eProcure</t>
        </is>
      </c>
      <c r="F2271" t="inlineStr">
        <is>
          <t>New Lead</t>
        </is>
      </c>
      <c r="H2271" t="inlineStr">
        <is>
          <t>MIS Reports</t>
        </is>
      </c>
      <c r="K2271" t="inlineStr">
        <is>
          <t>Not found</t>
        </is>
      </c>
      <c r="L2271" t="inlineStr">
        <is>
          <t>Unknown</t>
        </is>
      </c>
      <c r="T2271" t="inlineStr">
        <is>
          <t>https://gepnicreports.gov.in/eprocreports/etenders/</t>
        </is>
      </c>
      <c r="U2271" t="inlineStr">
        <is>
          <t>No</t>
        </is>
      </c>
      <c r="V2271" t="inlineStr">
        <is>
          <t>Bot tarafindan tespit edildi (2026-07-01)</t>
        </is>
      </c>
    </row>
    <row r="2272">
      <c r="A2272" t="inlineStr">
        <is>
          <t>T-2076</t>
        </is>
      </c>
      <c r="B2272" t="inlineStr">
        <is>
          <t>CPPP / eProcure</t>
        </is>
      </c>
      <c r="C2272" t="inlineStr">
        <is>
          <t>CPPP / eProcure</t>
        </is>
      </c>
      <c r="F2272" t="inlineStr">
        <is>
          <t>New Lead</t>
        </is>
      </c>
      <c r="H2272" t="inlineStr">
        <is>
          <t>Tenders by Location</t>
        </is>
      </c>
      <c r="K2272" t="inlineStr">
        <is>
          <t>Not found</t>
        </is>
      </c>
      <c r="L2272" t="inlineStr">
        <is>
          <t>Unknown</t>
        </is>
      </c>
      <c r="T2272" t="inlineStr">
        <is>
          <t>https://www.etenders.gov.in/eprocure/app?page=FrontEndTendersByLocation&amp;service=page</t>
        </is>
      </c>
      <c r="U2272" t="inlineStr">
        <is>
          <t>No</t>
        </is>
      </c>
      <c r="V2272" t="inlineStr">
        <is>
          <t>Bot tarafindan tespit edildi (2026-07-01)</t>
        </is>
      </c>
    </row>
    <row r="2273">
      <c r="A2273" t="inlineStr">
        <is>
          <t>T-2077</t>
        </is>
      </c>
      <c r="B2273" t="inlineStr">
        <is>
          <t>CPPP / eProcure</t>
        </is>
      </c>
      <c r="C2273" t="inlineStr">
        <is>
          <t>CPPP / eProcure</t>
        </is>
      </c>
      <c r="F2273" t="inlineStr">
        <is>
          <t>New Lead</t>
        </is>
      </c>
      <c r="H2273" t="inlineStr">
        <is>
          <t>Tenders by Organisation</t>
        </is>
      </c>
      <c r="K2273" t="inlineStr">
        <is>
          <t>Not found</t>
        </is>
      </c>
      <c r="L2273" t="inlineStr">
        <is>
          <t>Unknown</t>
        </is>
      </c>
      <c r="T2273" t="inlineStr">
        <is>
          <t>https://www.etenders.gov.in/eprocure/app?page=FrontEndTendersByOrganisation&amp;service=page</t>
        </is>
      </c>
      <c r="U2273" t="inlineStr">
        <is>
          <t>No</t>
        </is>
      </c>
      <c r="V2273" t="inlineStr">
        <is>
          <t>Bot tarafindan tespit edildi (2026-07-01)</t>
        </is>
      </c>
    </row>
    <row r="2274">
      <c r="A2274" t="inlineStr">
        <is>
          <t>T-2078</t>
        </is>
      </c>
      <c r="B2274" t="inlineStr">
        <is>
          <t>CPPP / eProcure</t>
        </is>
      </c>
      <c r="C2274" t="inlineStr">
        <is>
          <t>CPPP / eProcure</t>
        </is>
      </c>
      <c r="F2274" t="inlineStr">
        <is>
          <t>New Lead</t>
        </is>
      </c>
      <c r="H2274" t="inlineStr">
        <is>
          <t>Tenders by Classification</t>
        </is>
      </c>
      <c r="K2274" t="inlineStr">
        <is>
          <t>Not found</t>
        </is>
      </c>
      <c r="L2274" t="inlineStr">
        <is>
          <t>Unknown</t>
        </is>
      </c>
      <c r="T2274" t="inlineStr">
        <is>
          <t>https://www.etenders.gov.in/eprocure/app?page=FrontEndTendersByClassification&amp;service=page</t>
        </is>
      </c>
      <c r="U2274" t="inlineStr">
        <is>
          <t>No</t>
        </is>
      </c>
      <c r="V2274" t="inlineStr">
        <is>
          <t>Bot tarafindan tespit edildi (2026-07-01)</t>
        </is>
      </c>
    </row>
    <row r="2275">
      <c r="A2275" t="inlineStr">
        <is>
          <t>T-2079</t>
        </is>
      </c>
      <c r="B2275" t="inlineStr">
        <is>
          <t>CPPP / eProcure</t>
        </is>
      </c>
      <c r="C2275" t="inlineStr">
        <is>
          <t>CPPP / eProcure</t>
        </is>
      </c>
      <c r="F2275" t="inlineStr">
        <is>
          <t>New Lead</t>
        </is>
      </c>
      <c r="H2275" t="inlineStr">
        <is>
          <t>Tenders in Archive</t>
        </is>
      </c>
      <c r="K2275" t="inlineStr">
        <is>
          <t>Not found</t>
        </is>
      </c>
      <c r="L2275" t="inlineStr">
        <is>
          <t>Unknown</t>
        </is>
      </c>
      <c r="T2275" t="inlineStr">
        <is>
          <t>https://www.etenders.gov.in/eprocure/app?page=FrontEndTendersInArchive&amp;service=page</t>
        </is>
      </c>
      <c r="U2275" t="inlineStr">
        <is>
          <t>No</t>
        </is>
      </c>
      <c r="V2275" t="inlineStr">
        <is>
          <t>Bot tarafindan tespit edildi (2026-07-01)</t>
        </is>
      </c>
    </row>
    <row r="2276">
      <c r="A2276" t="inlineStr">
        <is>
          <t>T-2080</t>
        </is>
      </c>
      <c r="B2276" t="inlineStr">
        <is>
          <t>CPPP / eProcure</t>
        </is>
      </c>
      <c r="C2276" t="inlineStr">
        <is>
          <t>CPPP / eProcure</t>
        </is>
      </c>
      <c r="F2276" t="inlineStr">
        <is>
          <t>New Lead</t>
        </is>
      </c>
      <c r="H2276" t="inlineStr">
        <is>
          <t>Tenders Status</t>
        </is>
      </c>
      <c r="K2276" t="inlineStr">
        <is>
          <t>Not found</t>
        </is>
      </c>
      <c r="L2276" t="inlineStr">
        <is>
          <t>Unknown</t>
        </is>
      </c>
      <c r="T2276" t="inlineStr">
        <is>
          <t>https://www.etenders.gov.in/eprocure/app?page=WebTenderStatusLists&amp;service=page</t>
        </is>
      </c>
      <c r="U2276" t="inlineStr">
        <is>
          <t>No</t>
        </is>
      </c>
      <c r="V2276" t="inlineStr">
        <is>
          <t>Bot tarafindan tespit edildi (2026-07-01)</t>
        </is>
      </c>
    </row>
    <row r="2277">
      <c r="A2277" t="inlineStr">
        <is>
          <t>T-2081</t>
        </is>
      </c>
      <c r="B2277" t="inlineStr">
        <is>
          <t>CPPP / eProcure</t>
        </is>
      </c>
      <c r="C2277" t="inlineStr">
        <is>
          <t>CPPP / eProcure</t>
        </is>
      </c>
      <c r="F2277" t="inlineStr">
        <is>
          <t>New Lead</t>
        </is>
      </c>
      <c r="H2277" t="inlineStr">
        <is>
          <t>Cancelled/Retendered</t>
        </is>
      </c>
      <c r="K2277" t="inlineStr">
        <is>
          <t>Not found</t>
        </is>
      </c>
      <c r="L2277" t="inlineStr">
        <is>
          <t>Unknown</t>
        </is>
      </c>
      <c r="T2277" t="inlineStr">
        <is>
          <t>https://www.etenders.gov.in/eprocure/app?page=WebCancelledTenderLists&amp;service=page</t>
        </is>
      </c>
      <c r="U2277" t="inlineStr">
        <is>
          <t>No</t>
        </is>
      </c>
      <c r="V2277" t="inlineStr">
        <is>
          <t>Bot tarafindan tespit edildi (2026-07-01)</t>
        </is>
      </c>
    </row>
    <row r="2278">
      <c r="A2278" t="inlineStr">
        <is>
          <t>T-2082</t>
        </is>
      </c>
      <c r="B2278" t="inlineStr">
        <is>
          <t>CPPP / eProcure</t>
        </is>
      </c>
      <c r="C2278" t="inlineStr">
        <is>
          <t>CPPP / eProcure</t>
        </is>
      </c>
      <c r="F2278" t="inlineStr">
        <is>
          <t>New Lead</t>
        </is>
      </c>
      <c r="H2278" t="inlineStr">
        <is>
          <t>Downloads</t>
        </is>
      </c>
      <c r="K2278" t="inlineStr">
        <is>
          <t>Not found</t>
        </is>
      </c>
      <c r="L2278" t="inlineStr">
        <is>
          <t>Unknown</t>
        </is>
      </c>
      <c r="T2278" t="inlineStr">
        <is>
          <t>https://www.etenders.gov.in/eprocure/app?page=StandardBiddingDocuments&amp;service=page</t>
        </is>
      </c>
      <c r="U2278" t="inlineStr">
        <is>
          <t>No</t>
        </is>
      </c>
      <c r="V2278" t="inlineStr">
        <is>
          <t>Bot tarafindan tespit edildi (2026-07-01)</t>
        </is>
      </c>
    </row>
    <row r="2279">
      <c r="A2279" t="inlineStr">
        <is>
          <t>T-2083</t>
        </is>
      </c>
      <c r="B2279" t="inlineStr">
        <is>
          <t>CPPP / eProcure</t>
        </is>
      </c>
      <c r="C2279" t="inlineStr">
        <is>
          <t>CPPP / eProcure</t>
        </is>
      </c>
      <c r="F2279" t="inlineStr">
        <is>
          <t>New Lead</t>
        </is>
      </c>
      <c r="H2279" t="inlineStr">
        <is>
          <t>1. Tender for Construction of Research Scholar Girls Hostel and Transit Quarters Women at NU, SAS Campus Medziphema, Pkg. XVI. on EPC basis.</t>
        </is>
      </c>
      <c r="K2279" t="inlineStr">
        <is>
          <t>Not found</t>
        </is>
      </c>
      <c r="L2279" t="inlineStr">
        <is>
          <t>Unknown</t>
        </is>
      </c>
      <c r="T2279" t="inlineStr">
        <is>
          <t>https://www.etenders.gov.in/eprocure/app?component=%24DirectLink&amp;page=Home&amp;service=direct&amp;session=T&amp;sp=S210l%2FOrLXrxrMw2F88tzrw%3D%3D</t>
        </is>
      </c>
      <c r="U2279" t="inlineStr">
        <is>
          <t>No</t>
        </is>
      </c>
      <c r="V2279" t="inlineStr">
        <is>
          <t>Bot tarafindan tespit edildi (2026-07-01)</t>
        </is>
      </c>
    </row>
    <row r="2280">
      <c r="A2280" t="inlineStr">
        <is>
          <t>T-2084</t>
        </is>
      </c>
      <c r="B2280" t="inlineStr">
        <is>
          <t>CPPP / eProcure</t>
        </is>
      </c>
      <c r="C2280" t="inlineStr">
        <is>
          <t>CPPP / eProcure</t>
        </is>
      </c>
      <c r="F2280" t="inlineStr">
        <is>
          <t>New Lead</t>
        </is>
      </c>
      <c r="H2280" t="inlineStr">
        <is>
          <t>6. Procurement of Inside BOP for Drilling Services, Tripura Asset</t>
        </is>
      </c>
      <c r="K2280" t="inlineStr">
        <is>
          <t>Not found</t>
        </is>
      </c>
      <c r="L2280" t="inlineStr">
        <is>
          <t>Unknown</t>
        </is>
      </c>
      <c r="T2280" t="inlineStr">
        <is>
          <t>https://www.etenders.gov.in/eprocure/app?component=%24DirectLink&amp;page=Home&amp;service=direct&amp;session=T&amp;sp=SEHtgv0tkPs7WuzjZ6nMtTg%3D%3D</t>
        </is>
      </c>
      <c r="U2280" t="inlineStr">
        <is>
          <t>No</t>
        </is>
      </c>
      <c r="V2280" t="inlineStr">
        <is>
          <t>Bot tarafindan tespit edildi (2026-07-01)</t>
        </is>
      </c>
    </row>
    <row r="2281">
      <c r="A2281" t="inlineStr">
        <is>
          <t>T-2085</t>
        </is>
      </c>
      <c r="B2281" t="inlineStr">
        <is>
          <t>CPPP / eProcure</t>
        </is>
      </c>
      <c r="C2281" t="inlineStr">
        <is>
          <t>CPPP / eProcure</t>
        </is>
      </c>
      <c r="F2281" t="inlineStr">
        <is>
          <t>New Lead</t>
        </is>
      </c>
      <c r="H2281" t="inlineStr">
        <is>
          <t>7.  Providing Electrical Infrastructure in defence room at CANI, CLS Building, Port Blair (SW. Providing wiring for AC Units, extended copper pipe, and allied switchgears)</t>
        </is>
      </c>
      <c r="K2281" t="inlineStr">
        <is>
          <t>Not found</t>
        </is>
      </c>
      <c r="L2281" t="inlineStr">
        <is>
          <t>Unknown</t>
        </is>
      </c>
      <c r="T2281" t="inlineStr">
        <is>
          <t>https://www.etenders.gov.in/eprocure/app?component=%24DirectLink&amp;page=Home&amp;service=direct&amp;session=T&amp;sp=SNiEDIwkJCSQNe2A6yrGZyA%3D%3D</t>
        </is>
      </c>
      <c r="U2281" t="inlineStr">
        <is>
          <t>No</t>
        </is>
      </c>
      <c r="V2281" t="inlineStr">
        <is>
          <t>Bot tarafindan tespit edildi (2026-07-01)</t>
        </is>
      </c>
    </row>
    <row r="2282">
      <c r="A2282" t="inlineStr">
        <is>
          <t>T-2086</t>
        </is>
      </c>
      <c r="B2282" t="inlineStr">
        <is>
          <t>CPPP / eProcure</t>
        </is>
      </c>
      <c r="C2282" t="inlineStr">
        <is>
          <t>CPPP / eProcure</t>
        </is>
      </c>
      <c r="F2282" t="inlineStr">
        <is>
          <t>New Lead</t>
        </is>
      </c>
      <c r="H2282" t="inlineStr">
        <is>
          <t>1. Corrigendum-1</t>
        </is>
      </c>
      <c r="K2282" t="inlineStr">
        <is>
          <t>Not found</t>
        </is>
      </c>
      <c r="L2282" t="inlineStr">
        <is>
          <t>Unknown</t>
        </is>
      </c>
      <c r="T2282" t="inlineStr">
        <is>
          <t>https://www.etenders.gov.in/eprocure/app?component=%24DirectLink_0&amp;page=Home&amp;service=direct&amp;session=T&amp;sp=SvQ8YxZuF%2FO%2Fz9HRd9QXHFg%3D%3D</t>
        </is>
      </c>
      <c r="U2282" t="inlineStr">
        <is>
          <t>No</t>
        </is>
      </c>
      <c r="V2282" t="inlineStr">
        <is>
          <t>Bot tarafindan tespit edildi (2026-07-01)</t>
        </is>
      </c>
    </row>
    <row r="2283">
      <c r="A2283" t="inlineStr">
        <is>
          <t>T-2087</t>
        </is>
      </c>
      <c r="B2283" t="inlineStr">
        <is>
          <t>CPPP / eProcure</t>
        </is>
      </c>
      <c r="C2283" t="inlineStr">
        <is>
          <t>CPPP / eProcure</t>
        </is>
      </c>
      <c r="F2283" t="inlineStr">
        <is>
          <t>New Lead</t>
        </is>
      </c>
      <c r="H2283" t="inlineStr">
        <is>
          <t>2. Corrigendum-1</t>
        </is>
      </c>
      <c r="K2283" t="inlineStr">
        <is>
          <t>Not found</t>
        </is>
      </c>
      <c r="L2283" t="inlineStr">
        <is>
          <t>Unknown</t>
        </is>
      </c>
      <c r="T2283" t="inlineStr">
        <is>
          <t>https://www.etenders.gov.in/eprocure/app?component=%24DirectLink_0&amp;page=Home&amp;service=direct&amp;session=T&amp;sp=S%2BvSjO0tTXtaTY1P0JQumJQ%3D%3D</t>
        </is>
      </c>
      <c r="U2283" t="inlineStr">
        <is>
          <t>No</t>
        </is>
      </c>
      <c r="V2283" t="inlineStr">
        <is>
          <t>Bot tarafindan tespit edildi (2026-07-01)</t>
        </is>
      </c>
    </row>
    <row r="2284">
      <c r="A2284" t="inlineStr">
        <is>
          <t>T-2088</t>
        </is>
      </c>
      <c r="B2284" t="inlineStr">
        <is>
          <t>CPPP / eProcure</t>
        </is>
      </c>
      <c r="C2284" t="inlineStr">
        <is>
          <t>CPPP / eProcure</t>
        </is>
      </c>
      <c r="F2284" t="inlineStr">
        <is>
          <t>New Lead</t>
        </is>
      </c>
      <c r="H2284" t="inlineStr">
        <is>
          <t>3. Corrigendum_1</t>
        </is>
      </c>
      <c r="K2284" t="inlineStr">
        <is>
          <t>Not found</t>
        </is>
      </c>
      <c r="L2284" t="inlineStr">
        <is>
          <t>Unknown</t>
        </is>
      </c>
      <c r="T2284" t="inlineStr">
        <is>
          <t>https://www.etenders.gov.in/eprocure/app?component=%24DirectLink_0&amp;page=Home&amp;service=direct&amp;session=T&amp;sp=Sc5zWypQ4hcjrRT2fPtE2Ng%3D%3D</t>
        </is>
      </c>
      <c r="U2284" t="inlineStr">
        <is>
          <t>No</t>
        </is>
      </c>
      <c r="V2284" t="inlineStr">
        <is>
          <t>Bot tarafindan tespit edildi (2026-07-01)</t>
        </is>
      </c>
    </row>
    <row r="2285">
      <c r="A2285" t="inlineStr">
        <is>
          <t>T-2089</t>
        </is>
      </c>
      <c r="B2285" t="inlineStr">
        <is>
          <t>CPPP / eProcure</t>
        </is>
      </c>
      <c r="C2285" t="inlineStr">
        <is>
          <t>CPPP / eProcure</t>
        </is>
      </c>
      <c r="F2285" t="inlineStr">
        <is>
          <t>New Lead</t>
        </is>
      </c>
      <c r="H2285" t="inlineStr">
        <is>
          <t>4. Corrigendum 1</t>
        </is>
      </c>
      <c r="K2285" t="inlineStr">
        <is>
          <t>Not found</t>
        </is>
      </c>
      <c r="L2285" t="inlineStr">
        <is>
          <t>Unknown</t>
        </is>
      </c>
      <c r="T2285" t="inlineStr">
        <is>
          <t>https://www.etenders.gov.in/eprocure/app?component=%24DirectLink_0&amp;page=Home&amp;service=direct&amp;session=T&amp;sp=SvT3jvMYa8RecS6EiNvgspw%3D%3D</t>
        </is>
      </c>
      <c r="U2285" t="inlineStr">
        <is>
          <t>No</t>
        </is>
      </c>
      <c r="V2285" t="inlineStr">
        <is>
          <t>Bot tarafindan tespit edildi (2026-07-01)</t>
        </is>
      </c>
    </row>
    <row r="2286">
      <c r="A2286" t="inlineStr">
        <is>
          <t>T-2090</t>
        </is>
      </c>
      <c r="B2286" t="inlineStr">
        <is>
          <t>CPPP / eProcure</t>
        </is>
      </c>
      <c r="C2286" t="inlineStr">
        <is>
          <t>CPPP / eProcure</t>
        </is>
      </c>
      <c r="F2286" t="inlineStr">
        <is>
          <t>New Lead</t>
        </is>
      </c>
      <c r="H2286" t="inlineStr">
        <is>
          <t>6. Corrigendum No. 4</t>
        </is>
      </c>
      <c r="K2286" t="inlineStr">
        <is>
          <t>Not found</t>
        </is>
      </c>
      <c r="L2286" t="inlineStr">
        <is>
          <t>Unknown</t>
        </is>
      </c>
      <c r="T2286" t="inlineStr">
        <is>
          <t>https://www.etenders.gov.in/eprocure/app?component=%24DirectLink_0&amp;page=Home&amp;service=direct&amp;session=T&amp;sp=SdkDFGQIrWQpy4Krycc1wrA%3D%3D</t>
        </is>
      </c>
      <c r="U2286" t="inlineStr">
        <is>
          <t>No</t>
        </is>
      </c>
      <c r="V2286" t="inlineStr">
        <is>
          <t>Bot tarafindan tespit edildi (2026-07-01)</t>
        </is>
      </c>
    </row>
    <row r="2287">
      <c r="A2287" t="inlineStr">
        <is>
          <t>T-2091</t>
        </is>
      </c>
      <c r="B2287" t="inlineStr">
        <is>
          <t>CPPP / eProcure</t>
        </is>
      </c>
      <c r="C2287" t="inlineStr">
        <is>
          <t>CPPP / eProcure</t>
        </is>
      </c>
      <c r="F2287" t="inlineStr">
        <is>
          <t>New Lead</t>
        </is>
      </c>
      <c r="H2287" t="inlineStr">
        <is>
          <t>7. Corrigendum-1</t>
        </is>
      </c>
      <c r="K2287" t="inlineStr">
        <is>
          <t>Not found</t>
        </is>
      </c>
      <c r="L2287" t="inlineStr">
        <is>
          <t>Unknown</t>
        </is>
      </c>
      <c r="T2287" t="inlineStr">
        <is>
          <t>https://www.etenders.gov.in/eprocure/app?component=%24DirectLink_0&amp;page=Home&amp;service=direct&amp;session=T&amp;sp=SsClPyv%2Fd8HlNkZIbLIrEhA%3D%3D</t>
        </is>
      </c>
      <c r="U2287" t="inlineStr">
        <is>
          <t>No</t>
        </is>
      </c>
      <c r="V2287" t="inlineStr">
        <is>
          <t>Bot tarafindan tespit edildi (2026-07-01)</t>
        </is>
      </c>
    </row>
    <row r="2288">
      <c r="A2288" t="inlineStr">
        <is>
          <t>T-2092</t>
        </is>
      </c>
      <c r="B2288" t="inlineStr">
        <is>
          <t>CPPP / eProcure</t>
        </is>
      </c>
      <c r="C2288" t="inlineStr">
        <is>
          <t>CPPP / eProcure</t>
        </is>
      </c>
      <c r="F2288" t="inlineStr">
        <is>
          <t>New Lead</t>
        </is>
      </c>
      <c r="H2288" t="inlineStr">
        <is>
          <t>8. Corrigendum 29</t>
        </is>
      </c>
      <c r="K2288" t="inlineStr">
        <is>
          <t>Not found</t>
        </is>
      </c>
      <c r="L2288" t="inlineStr">
        <is>
          <t>Unknown</t>
        </is>
      </c>
      <c r="T2288" t="inlineStr">
        <is>
          <t>https://www.etenders.gov.in/eprocure/app?component=%24DirectLink_0&amp;page=Home&amp;service=direct&amp;session=T&amp;sp=SECQzNzy%2BLKIOepqOAHpJ%2FQ%3D%3D</t>
        </is>
      </c>
      <c r="U2288" t="inlineStr">
        <is>
          <t>No</t>
        </is>
      </c>
      <c r="V2288" t="inlineStr">
        <is>
          <t>Bot tarafindan tespit edildi (2026-07-01)</t>
        </is>
      </c>
    </row>
    <row r="2289">
      <c r="A2289" t="inlineStr">
        <is>
          <t>T-2093</t>
        </is>
      </c>
      <c r="B2289" t="inlineStr">
        <is>
          <t>CPPP / eProcure</t>
        </is>
      </c>
      <c r="C2289" t="inlineStr">
        <is>
          <t>CPPP / eProcure</t>
        </is>
      </c>
      <c r="F2289" t="inlineStr">
        <is>
          <t>New Lead</t>
        </is>
      </c>
      <c r="H2289" t="inlineStr">
        <is>
          <t>9. CORRIGENDUM VI</t>
        </is>
      </c>
      <c r="K2289" t="inlineStr">
        <is>
          <t>Not found</t>
        </is>
      </c>
      <c r="L2289" t="inlineStr">
        <is>
          <t>Unknown</t>
        </is>
      </c>
      <c r="T2289" t="inlineStr">
        <is>
          <t>https://www.etenders.gov.in/eprocure/app?component=%24DirectLink_0&amp;page=Home&amp;service=direct&amp;session=T&amp;sp=S%2BD7S50oEM2SimoVBlmYkOA%3D%3D</t>
        </is>
      </c>
      <c r="U2289" t="inlineStr">
        <is>
          <t>No</t>
        </is>
      </c>
      <c r="V2289" t="inlineStr">
        <is>
          <t>Bot tarafindan tespit edildi (2026-07-01)</t>
        </is>
      </c>
    </row>
    <row r="2290">
      <c r="A2290" t="inlineStr">
        <is>
          <t>T-2094</t>
        </is>
      </c>
      <c r="B2290" t="inlineStr">
        <is>
          <t>CPPP / eProcure</t>
        </is>
      </c>
      <c r="C2290" t="inlineStr">
        <is>
          <t>CPPP / eProcure</t>
        </is>
      </c>
      <c r="F2290" t="inlineStr">
        <is>
          <t>New Lead</t>
        </is>
      </c>
      <c r="H2290" t="inlineStr">
        <is>
          <t>10. Corrigendum 10</t>
        </is>
      </c>
      <c r="K2290" t="inlineStr">
        <is>
          <t>Not found</t>
        </is>
      </c>
      <c r="L2290" t="inlineStr">
        <is>
          <t>Unknown</t>
        </is>
      </c>
      <c r="T2290" t="inlineStr">
        <is>
          <t>https://www.etenders.gov.in/eprocure/app?component=%24DirectLink_0&amp;page=Home&amp;service=direct&amp;session=T&amp;sp=ShVxCC8110YOx4wlBdmot8Q%3D%3D</t>
        </is>
      </c>
      <c r="U2290" t="inlineStr">
        <is>
          <t>No</t>
        </is>
      </c>
      <c r="V2290" t="inlineStr">
        <is>
          <t>Bot tarafindan tespit edildi (2026-07-01)</t>
        </is>
      </c>
    </row>
    <row r="2291">
      <c r="A2291" t="inlineStr">
        <is>
          <t>T-2095</t>
        </is>
      </c>
      <c r="B2291" t="inlineStr">
        <is>
          <t>CPPP / eProcure</t>
        </is>
      </c>
      <c r="C2291" t="inlineStr">
        <is>
          <t>CPPP / eProcure</t>
        </is>
      </c>
      <c r="F2291" t="inlineStr">
        <is>
          <t>New Lead</t>
        </is>
      </c>
      <c r="H2291" t="inlineStr">
        <is>
          <t>Online Bidder Enrollment</t>
        </is>
      </c>
      <c r="K2291" t="inlineStr">
        <is>
          <t>Not found</t>
        </is>
      </c>
      <c r="L2291" t="inlineStr">
        <is>
          <t>Unknown</t>
        </is>
      </c>
      <c r="T2291" t="inlineStr">
        <is>
          <t>https://www.etenders.gov.in/eprocure/app?component=%24WebHomeBorder.%24WebRightMenu.%24DirectLink&amp;page=Home&amp;service=direct&amp;session=T</t>
        </is>
      </c>
      <c r="U2291" t="inlineStr">
        <is>
          <t>No</t>
        </is>
      </c>
      <c r="V2291" t="inlineStr">
        <is>
          <t>Bot tarafindan tespit edildi (2026-07-01)</t>
        </is>
      </c>
    </row>
    <row r="2292">
      <c r="A2292" t="inlineStr">
        <is>
          <t>T-2096</t>
        </is>
      </c>
      <c r="B2292" t="inlineStr">
        <is>
          <t>CPPP / eProcure</t>
        </is>
      </c>
      <c r="C2292" t="inlineStr">
        <is>
          <t>CPPP / eProcure</t>
        </is>
      </c>
      <c r="F2292" t="inlineStr">
        <is>
          <t>New Lead</t>
        </is>
      </c>
      <c r="H2292" t="inlineStr">
        <is>
          <t>Guidelines for Hassle Free Bid Submission</t>
        </is>
      </c>
      <c r="K2292" t="inlineStr">
        <is>
          <t>Not found</t>
        </is>
      </c>
      <c r="L2292" t="inlineStr">
        <is>
          <t>Unknown</t>
        </is>
      </c>
      <c r="T2292" t="inlineStr">
        <is>
          <t>https://eprocure.gov.in/cppp/hassle_free_bid_submission.pdf</t>
        </is>
      </c>
      <c r="U2292" t="inlineStr">
        <is>
          <t>No</t>
        </is>
      </c>
      <c r="V2292" t="inlineStr">
        <is>
          <t>Bot tarafindan tespit edildi (2026-07-01)</t>
        </is>
      </c>
    </row>
    <row r="2293">
      <c r="A2293" t="inlineStr">
        <is>
          <t>T-2097</t>
        </is>
      </c>
      <c r="B2293" t="inlineStr">
        <is>
          <t>CPPP / eProcure</t>
        </is>
      </c>
      <c r="C2293" t="inlineStr">
        <is>
          <t>CPPP / eProcure</t>
        </is>
      </c>
      <c r="F2293" t="inlineStr">
        <is>
          <t>New Lead</t>
        </is>
      </c>
      <c r="H2293" t="inlineStr">
        <is>
          <t>Bidders Manual Kit</t>
        </is>
      </c>
      <c r="K2293" t="inlineStr">
        <is>
          <t>Not found</t>
        </is>
      </c>
      <c r="L2293" t="inlineStr">
        <is>
          <t>Unknown</t>
        </is>
      </c>
      <c r="T2293" t="inlineStr">
        <is>
          <t>https://www.etenders.gov.in/eprocure/app?page=BiddersManualKit&amp;service=page</t>
        </is>
      </c>
      <c r="U2293" t="inlineStr">
        <is>
          <t>No</t>
        </is>
      </c>
      <c r="V2293" t="inlineStr">
        <is>
          <t>Bot tarafindan tespit edildi (2026-07-01)</t>
        </is>
      </c>
    </row>
    <row r="2294">
      <c r="A2294" t="inlineStr">
        <is>
          <t>T-2098</t>
        </is>
      </c>
      <c r="B2294" t="inlineStr">
        <is>
          <t>SAP Ariba Discovery</t>
        </is>
      </c>
      <c r="C2294" t="inlineStr">
        <is>
          <t>SAP Ariba Discovery</t>
        </is>
      </c>
      <c r="D2294" t="inlineStr">
        <is>
          <t>aw/ad/termsCenter</t>
        </is>
      </c>
      <c r="F2294" t="inlineStr">
        <is>
          <t>New Lead</t>
        </is>
      </c>
      <c r="G2294" t="inlineStr">
        <is>
          <t>RMS</t>
        </is>
      </c>
      <c r="H2294" t="inlineStr">
        <is>
          <t>Terms of Use</t>
        </is>
      </c>
      <c r="K2294" t="inlineStr">
        <is>
          <t>Not found</t>
        </is>
      </c>
      <c r="L2294" t="inlineStr">
        <is>
          <t>Unknown</t>
        </is>
      </c>
      <c r="T2294" t="inlineStr">
        <is>
          <t>https://service.ariba.com/Authenticator.aw/ad/termsCenter?tou=BNTermsCenter</t>
        </is>
      </c>
      <c r="U2294" t="inlineStr">
        <is>
          <t>No</t>
        </is>
      </c>
      <c r="V2294" t="inlineStr">
        <is>
          <t>Bot tarafindan tespit edildi (2026-07-01) | Bot enrich; date=2026-07-01; type=html; score=160</t>
        </is>
      </c>
    </row>
    <row r="2295">
      <c r="A2295" t="inlineStr">
        <is>
          <t>T-2099</t>
        </is>
      </c>
      <c r="B2295" t="inlineStr">
        <is>
          <t>GAIL India</t>
        </is>
      </c>
      <c r="C2295" t="inlineStr">
        <is>
          <t>GAIL India</t>
        </is>
      </c>
      <c r="D2295" t="inlineStr">
        <is>
          <t>TENDER CONFERENCE</t>
        </is>
      </c>
      <c r="F2295" t="inlineStr">
        <is>
          <t>New Lead</t>
        </is>
      </c>
      <c r="H2295" t="inlineStr">
        <is>
          <t>DETAILS OF PRE-TENDER CONFERENCE Authentication of BEC Documents ADDENDUM TO INSTRUCTIONS TO BIDDERS (INSTRUCTIONS FOR PARTICIPATION IN E-TENDER)</t>
        </is>
      </c>
      <c r="L2295" t="inlineStr">
        <is>
          <t>Unknown</t>
        </is>
      </c>
      <c r="T2295" t="inlineStr">
        <is>
          <t>https://gailtenders.in/Write up.pdf</t>
        </is>
      </c>
      <c r="U2295" t="inlineStr">
        <is>
          <t>No</t>
        </is>
      </c>
      <c r="V2295" t="inlineStr">
        <is>
          <t>Bot tarafindan tespit edildi; date=2026-07-01; type=pdf; score=125; pdf_conf=Low</t>
        </is>
      </c>
    </row>
    <row r="2296">
      <c r="A2296" t="inlineStr">
        <is>
          <t>T-2100</t>
        </is>
      </c>
      <c r="B2296" t="inlineStr">
        <is>
          <t>Gujarat Gas (GGL)</t>
        </is>
      </c>
      <c r="C2296" t="inlineStr">
        <is>
          <t>Gujarat Gas (GGL)</t>
        </is>
      </c>
      <c r="D2296" t="inlineStr">
        <is>
          <t>com/our-business/png-domestic</t>
        </is>
      </c>
      <c r="F2296" t="inlineStr">
        <is>
          <t>New Lead</t>
        </is>
      </c>
      <c r="G2296" t="inlineStr">
        <is>
          <t>RMS</t>
        </is>
      </c>
      <c r="H2296" t="inlineStr">
        <is>
          <t>PNG - Domestic GA Wise Roll Out Plan Inquiry For New Connection Know your Gas Bill Availability Bill Payment Terms and Conditions Tariff Card PNG Price breakup Talk to Us</t>
        </is>
      </c>
      <c r="K2296" t="inlineStr">
        <is>
          <t>Not found</t>
        </is>
      </c>
      <c r="L2296" t="inlineStr">
        <is>
          <t>Unknown</t>
        </is>
      </c>
      <c r="T2296" t="inlineStr">
        <is>
          <t>https://www.gujaratgas.com/our-business/png-domestic/</t>
        </is>
      </c>
      <c r="U2296" t="inlineStr">
        <is>
          <t>No</t>
        </is>
      </c>
      <c r="V2296" t="inlineStr">
        <is>
          <t>Bot tarafindan tespit edildi; date=2026-07-01; type=html; score=160</t>
        </is>
      </c>
    </row>
    <row r="2297">
      <c r="A2297" t="inlineStr">
        <is>
          <t>T-2101</t>
        </is>
      </c>
      <c r="B2297" t="inlineStr">
        <is>
          <t>Gujarat Gas (GGL)</t>
        </is>
      </c>
      <c r="C2297" t="inlineStr">
        <is>
          <t>Gujarat Gas (GGL)</t>
        </is>
      </c>
      <c r="D2297" t="inlineStr">
        <is>
          <t>bidders</t>
        </is>
      </c>
      <c r="F2297" t="inlineStr">
        <is>
          <t>Awarded</t>
        </is>
      </c>
      <c r="H2297" t="inlineStr">
        <is>
          <t>Vendors It is mandatory for all bidders to upload all documents/ supporting for qualification as per Bidders Qualification Criteria (BQC) on n-procure portal. Failing which, Bidder would be disqualified, as Gujarat Gas Limited (GGL) would not entertain any doc</t>
        </is>
      </c>
      <c r="K2297" t="inlineStr">
        <is>
          <t>Not found</t>
        </is>
      </c>
      <c r="L2297" t="inlineStr">
        <is>
          <t>Unknown</t>
        </is>
      </c>
      <c r="T2297" t="inlineStr">
        <is>
          <t>https://www.gujaratgas.com/pdf/steps_to_access_N_procure_site.pdf</t>
        </is>
      </c>
      <c r="U2297" t="inlineStr">
        <is>
          <t>No</t>
        </is>
      </c>
      <c r="V2297" t="inlineStr">
        <is>
          <t>Bot tarafindan tespit edildi; date=2026-07-01; type=pdf; score=160</t>
        </is>
      </c>
    </row>
    <row r="2298">
      <c r="A2298" t="inlineStr">
        <is>
          <t>T-2102</t>
        </is>
      </c>
      <c r="B2298" t="inlineStr">
        <is>
          <t>Gujarat Gas (GGL)</t>
        </is>
      </c>
      <c r="C2298" t="inlineStr">
        <is>
          <t>Gujarat Gas (GGL)</t>
        </is>
      </c>
      <c r="D2298" t="inlineStr">
        <is>
          <t>com/pdf/png_domestic_png_price_breakup.pdf</t>
        </is>
      </c>
      <c r="F2298" t="inlineStr">
        <is>
          <t>New Lead</t>
        </is>
      </c>
      <c r="H2298" t="inlineStr">
        <is>
          <t>PNG Price breakup</t>
        </is>
      </c>
      <c r="K2298" t="inlineStr">
        <is>
          <t>Not found</t>
        </is>
      </c>
      <c r="L2298" t="inlineStr">
        <is>
          <t>Unknown</t>
        </is>
      </c>
      <c r="T2298" t="inlineStr">
        <is>
          <t>https://www.gujaratgas.com/pdf/png_domestic_png_price_breakup.pdf</t>
        </is>
      </c>
      <c r="U2298" t="inlineStr">
        <is>
          <t>No</t>
        </is>
      </c>
      <c r="V2298" t="inlineStr">
        <is>
          <t>Bot tarafindan tespit edildi; date=2026-07-01; type=pdf; score=85</t>
        </is>
      </c>
    </row>
    <row r="2299">
      <c r="A2299" t="inlineStr">
        <is>
          <t>T-2103</t>
        </is>
      </c>
      <c r="B2299" t="inlineStr">
        <is>
          <t>Adani Total Gas (ATGL)</t>
        </is>
      </c>
      <c r="C2299" t="inlineStr">
        <is>
          <t>Adani Total Gas (ATGL)</t>
        </is>
      </c>
      <c r="D2299" t="inlineStr">
        <is>
          <t>media/Project/AdaniGas/Commercials/PE-PNG-Works.pdf</t>
        </is>
      </c>
      <c r="F2299" t="inlineStr">
        <is>
          <t>New Lead</t>
        </is>
      </c>
      <c r="H2299" t="inlineStr">
        <is>
          <t>View</t>
        </is>
      </c>
      <c r="K2299" t="inlineStr">
        <is>
          <t>Not found</t>
        </is>
      </c>
      <c r="L2299" t="inlineStr">
        <is>
          <t>Unknown</t>
        </is>
      </c>
      <c r="T2299" t="inlineStr">
        <is>
          <t>https://www.adanigas.com/-/media/Project/AdaniGas/Commercials/PE-PNG-Works.pdf?q=1</t>
        </is>
      </c>
      <c r="U2299" t="inlineStr">
        <is>
          <t>No</t>
        </is>
      </c>
      <c r="V2299" t="inlineStr">
        <is>
          <t>Bot tarafindan tespit edildi; date=2026-07-01; type=pdf; score=85</t>
        </is>
      </c>
    </row>
    <row r="2300">
      <c r="A2300" t="inlineStr">
        <is>
          <t>T-2104</t>
        </is>
      </c>
      <c r="B2300" t="inlineStr">
        <is>
          <t>Gasonet Services</t>
        </is>
      </c>
      <c r="C2300" t="inlineStr">
        <is>
          <t>Gasonet Services</t>
        </is>
      </c>
      <c r="D2300" t="inlineStr">
        <is>
          <t>Tender No. : GSRJL/C</t>
        </is>
      </c>
      <c r="E2300" t="inlineStr">
        <is>
          <t>2024-25/01</t>
        </is>
      </c>
      <c r="F2300" t="inlineStr">
        <is>
          <t>New Lead</t>
        </is>
      </c>
      <c r="G2300" t="inlineStr">
        <is>
          <t>CGS</t>
        </is>
      </c>
      <c r="H2300" t="inlineStr">
        <is>
          <t>16 Composite Work For Construction Of Cgs Cum Mother Station At Dokwa, Churu. Tender No. : GSRJL/C&amp;P/CIVIL/CGS/2024-25/01 Tender - CGS GCC Layout Plan Typical Drawings HSE Policy SOR Composite Work Replies To Bidder Typical Drawings Approved Vendor List Civil</t>
        </is>
      </c>
      <c r="K2300" t="inlineStr">
        <is>
          <t>Not found</t>
        </is>
      </c>
      <c r="L2300" t="inlineStr">
        <is>
          <t>Unknown</t>
        </is>
      </c>
      <c r="T2300" t="inlineStr">
        <is>
          <t>https://www.gasonet.in/files/02. GCC_SEP.pdf</t>
        </is>
      </c>
      <c r="U2300" t="inlineStr">
        <is>
          <t>No</t>
        </is>
      </c>
      <c r="V2300" t="inlineStr">
        <is>
          <t>Bot tarafindan tespit edildi; date=2026-07-01; type=pdf; score=295; Bot tespit/zenginlestirme (2026-07-01); meta:score=10;priority=Low;source_type=html_table;closing_date=;equipment=Irrelevant / non-target;reasons=irrelevant_equipment,station/skid keyword,document source,tender reference signal</t>
        </is>
      </c>
    </row>
    <row r="2301">
      <c r="A2301" t="inlineStr">
        <is>
          <t>T-2105</t>
        </is>
      </c>
      <c r="B2301" t="inlineStr">
        <is>
          <t>Gasonet Services</t>
        </is>
      </c>
      <c r="C2301" t="inlineStr">
        <is>
          <t>Gasonet Services</t>
        </is>
      </c>
      <c r="D2301" t="inlineStr">
        <is>
          <t>Tender No. : GSRJL/C</t>
        </is>
      </c>
      <c r="E2301" t="inlineStr">
        <is>
          <t>2024-25/01</t>
        </is>
      </c>
      <c r="F2301" t="inlineStr">
        <is>
          <t>New Lead</t>
        </is>
      </c>
      <c r="G2301" t="inlineStr">
        <is>
          <t>CGS</t>
        </is>
      </c>
      <c r="H2301" t="inlineStr">
        <is>
          <t>16 Composite Work For Construction Of Cgs Cum Mother Station At Dokwa, Churu. Tender No. : GSRJL/C&amp;P/CIVIL/CGS/2024-25/01 Tender - CGS GCC Layout Plan Typical Drawings HSE Policy SOR Composite Work Replies To Bidder Typical Drawings Approved Vendor List Civil</t>
        </is>
      </c>
      <c r="K2301" t="inlineStr">
        <is>
          <t>PACKAGE ITEMS SHOULD BE CHECKED AND CORRELATED WITH VENDOR DRG. BEFORE EXECUTION. 8. IN THE ABSENCE O</t>
        </is>
      </c>
      <c r="L2301" t="inlineStr">
        <is>
          <t>Unknown</t>
        </is>
      </c>
      <c r="T2301" t="inlineStr">
        <is>
          <t>https://www.gasonet.in/files/03. Layout_Plan_SEP.pdf</t>
        </is>
      </c>
      <c r="U2301" t="inlineStr">
        <is>
          <t>No</t>
        </is>
      </c>
      <c r="V2301" t="inlineStr">
        <is>
          <t>Bot tarafindan tespit edildi; date=2026-07-01; type=pdf; score=295; Bot tespit/zenginlestirme (2026-07-01); meta:score=10;priority=Low;source_type=html_table;closing_date=;equipment=Irrelevant / non-target;reasons=irrelevant_equipment,station/skid keyword,document source,tender reference signal; Bot clean extraction (2026-07-01); meta:score=100;priority=High;source_type=html_table;closing_date=None;equipment=Regulating / metering station;quality_status=market_target;market_relevance=High;document_type=unknown;unit_price_inr=;amount_label=;matched_terms=Regulating / metering station;reject_reasons=retail/cng station noise;scope=market_intelligence_only;excluded_scope=no_bid_or_offer_submission_automation</t>
        </is>
      </c>
    </row>
    <row r="2302">
      <c r="A2302" t="inlineStr">
        <is>
          <t>T-2106</t>
        </is>
      </c>
      <c r="B2302" t="inlineStr">
        <is>
          <t>Gasonet Services</t>
        </is>
      </c>
      <c r="C2302" t="inlineStr">
        <is>
          <t>Gasonet Services</t>
        </is>
      </c>
      <c r="D2302" t="inlineStr">
        <is>
          <t>Tender No. : GSRJL/C</t>
        </is>
      </c>
      <c r="E2302" t="inlineStr">
        <is>
          <t>2024-25/01</t>
        </is>
      </c>
      <c r="F2302" t="inlineStr">
        <is>
          <t>New Lead</t>
        </is>
      </c>
      <c r="G2302" t="inlineStr">
        <is>
          <t>CGS</t>
        </is>
      </c>
      <c r="H2302" t="inlineStr">
        <is>
          <t>16 Composite Work For Construction Of Cgs Cum Mother Station At Dokwa, Churu. Tender No. : GSRJL/C&amp;P/CIVIL/CGS/2024-25/01 Tender - CGS GCC Layout Plan Typical Drawings HSE Policy SOR Composite Work Replies To Bidder Typical Drawings Approved Vendor List Civil</t>
        </is>
      </c>
      <c r="K2302" t="inlineStr">
        <is>
          <t>AND SUBMITTED FOR APPROVAL BEFORE EXECUTION OF WORK. 7. THE MINIMUM CLEAR CONCRETE COVER TO THE MAIN</t>
        </is>
      </c>
      <c r="L2302" t="inlineStr">
        <is>
          <t>Unknown</t>
        </is>
      </c>
      <c r="T2302" t="inlineStr">
        <is>
          <t>https://www.gasonet.in/files/04. Typical Drawings_SEP.pdf</t>
        </is>
      </c>
      <c r="U2302" t="inlineStr">
        <is>
          <t>No</t>
        </is>
      </c>
      <c r="V2302" t="inlineStr">
        <is>
          <t>Bot tarafindan tespit edildi; date=2026-07-01; type=pdf; score=295; Bot tespit/zenginlestirme (2026-07-01); meta:score=10;priority=Low;source_type=html_table;closing_date=;equipment=Irrelevant / non-target;reasons=irrelevant_equipment,station/skid keyword,document source,tender reference signal; Bot clean extraction (2026-07-01); meta:score=100;priority=High;source_type=html_table;closing_date=None;equipment=Regulating / metering station;quality_status=market_target;market_relevance=High;document_type=unknown;unit_price_inr=;amount_label=;matched_terms=Regulating / metering station;reject_reasons=retail/cng station noise;scope=market_intelligence_only;excluded_scope=no_bid_or_offer_submission_automation</t>
        </is>
      </c>
    </row>
    <row r="2303">
      <c r="A2303" t="inlineStr">
        <is>
          <t>T-2107</t>
        </is>
      </c>
      <c r="B2303" t="inlineStr">
        <is>
          <t>Gasonet Services</t>
        </is>
      </c>
      <c r="C2303" t="inlineStr">
        <is>
          <t>Gasonet Services</t>
        </is>
      </c>
      <c r="D2303" t="inlineStr">
        <is>
          <t>Tender No. : GSRJL/C</t>
        </is>
      </c>
      <c r="E2303" t="inlineStr">
        <is>
          <t>2024-25/01</t>
        </is>
      </c>
      <c r="F2303" t="inlineStr">
        <is>
          <t>New Lead</t>
        </is>
      </c>
      <c r="G2303" t="inlineStr">
        <is>
          <t>CGS</t>
        </is>
      </c>
      <c r="H2303" t="inlineStr">
        <is>
          <t>16 Composite Work For Construction Of Cgs Cum Mother Station At Dokwa, Churu. Tender No. : GSRJL/C&amp;P/CIVIL/CGS/2024-25/01 Tender - CGS GCC Layout Plan Typical Drawings HSE Policy SOR Composite Work Replies To Bidder Typical Drawings Approved Vendor List Civil</t>
        </is>
      </c>
      <c r="K2303" t="inlineStr">
        <is>
          <t>Not found</t>
        </is>
      </c>
      <c r="L2303" t="inlineStr">
        <is>
          <t>Unknown</t>
        </is>
      </c>
      <c r="T2303" t="inlineStr">
        <is>
          <t>https://www.gasonet.in/files/05. HSE Policy_SEP.pdf</t>
        </is>
      </c>
      <c r="U2303" t="inlineStr">
        <is>
          <t>No</t>
        </is>
      </c>
      <c r="V2303" t="inlineStr">
        <is>
          <t>Bot tarafindan tespit edildi; date=2026-07-01; type=pdf; score=295; Bot tespit/zenginlestirme (2026-07-01); meta:score=10;priority=Low;source_type=html_table;closing_date=;equipment=Irrelevant / non-target;reasons=irrelevant_equipment,station/skid keyword,document source,tender reference signal</t>
        </is>
      </c>
    </row>
    <row r="2304">
      <c r="A2304" t="inlineStr">
        <is>
          <t>T-2108</t>
        </is>
      </c>
      <c r="B2304" t="inlineStr">
        <is>
          <t>Gasonet Services</t>
        </is>
      </c>
      <c r="C2304" t="inlineStr">
        <is>
          <t>Gasonet Services</t>
        </is>
      </c>
      <c r="D2304" t="inlineStr">
        <is>
          <t>Tender No. : GSRJL/C</t>
        </is>
      </c>
      <c r="E2304" t="inlineStr">
        <is>
          <t>2024-25/01</t>
        </is>
      </c>
      <c r="F2304" t="inlineStr">
        <is>
          <t>New Lead</t>
        </is>
      </c>
      <c r="G2304" t="inlineStr">
        <is>
          <t>CGS</t>
        </is>
      </c>
      <c r="H2304" t="inlineStr">
        <is>
          <t>16 Composite Work For Construction Of Cgs Cum Mother Station At Dokwa, Churu. Tender No. : GSRJL/C&amp;P/CIVIL/CGS/2024-25/01 Tender - CGS GCC Layout Plan Typical Drawings HSE Policy SOR Composite Work Replies To Bidder Typical Drawings Approved Vendor List Civil</t>
        </is>
      </c>
      <c r="K2304" t="inlineStr">
        <is>
          <t>DRAWING (TYP.) FOR ODORIZER 4 NOS. - 250X250X300 POCKET FOR CANOPY SUPPORT 317</t>
        </is>
      </c>
      <c r="L2304" t="inlineStr">
        <is>
          <t>Unknown</t>
        </is>
      </c>
      <c r="T2304" t="inlineStr">
        <is>
          <t>https://www.gasonet.in/files/Typical Drawing.pdf</t>
        </is>
      </c>
      <c r="U2304" t="inlineStr">
        <is>
          <t>No</t>
        </is>
      </c>
      <c r="V2304" t="inlineStr">
        <is>
          <t>Bot tarafindan tespit edildi; date=2026-07-01; type=pdf; score=295; Bot tespit/zenginlestirme (2026-07-01); meta:score=10;priority=Low;source_type=html_table;closing_date=;equipment=Irrelevant / non-target;reasons=irrelevant_equipment,station/skid keyword,document source,tender reference signal; Bot clean extraction (2026-07-01); meta:score=100;priority=High;source_type=html_table;closing_date=None;equipment=Regulating / metering station;quality_status=market_target;market_relevance=High;document_type=boq;unit_price_inr=;amount_label=;matched_terms=Regulating / metering station;reject_reasons=retail/cng station noise;scope=market_intelligence_only;excluded_scope=no_bid_or_offer_submission_automation</t>
        </is>
      </c>
    </row>
    <row r="2305">
      <c r="A2305" t="inlineStr">
        <is>
          <t>T-2109</t>
        </is>
      </c>
      <c r="B2305" t="inlineStr">
        <is>
          <t>Gasonet Services</t>
        </is>
      </c>
      <c r="C2305" t="inlineStr">
        <is>
          <t>Gasonet Services</t>
        </is>
      </c>
      <c r="D2305" t="inlineStr">
        <is>
          <t>Tender No. : GSRJL/C</t>
        </is>
      </c>
      <c r="E2305" t="inlineStr">
        <is>
          <t>2024-25/01</t>
        </is>
      </c>
      <c r="F2305" t="inlineStr">
        <is>
          <t>New Lead</t>
        </is>
      </c>
      <c r="G2305" t="inlineStr">
        <is>
          <t>CGS</t>
        </is>
      </c>
      <c r="H2305" t="inlineStr">
        <is>
          <t>16 Composite Work For Construction Of Cgs Cum Mother Station At Dokwa, Churu. Tender No. : GSRJL/C&amp;P/CIVIL/CGS/2024-25/01 Tender - CGS GCC Layout Plan Typical Drawings HSE Policy SOR Composite Work Replies To Bidder Typical Drawings Approved Vendor List Civil</t>
        </is>
      </c>
      <c r="K2305" t="inlineStr">
        <is>
          <t>LIST FOR CONSUMABLE AND OTHER MATERIAL USED IN PIPELINE LAYING WORK TOTAL 20 SHEETS APPROVED VENDOR L</t>
        </is>
      </c>
      <c r="L2305" t="inlineStr">
        <is>
          <t>Unknown</t>
        </is>
      </c>
      <c r="T2305" t="inlineStr">
        <is>
          <t>https://www.gasonet.in/files/GASONET APPROVED VENDOR LIST.pdf</t>
        </is>
      </c>
      <c r="U2305" t="inlineStr">
        <is>
          <t>No</t>
        </is>
      </c>
      <c r="V2305" t="inlineStr">
        <is>
          <t>Bot tarafindan tespit edildi; date=2026-07-01; type=pdf; score=295; Bot tespit/zenginlestirme (2026-07-01); meta:score=10;priority=Low;source_type=html_table;closing_date=;equipment=Irrelevant / non-target;reasons=irrelevant_equipment,station/skid keyword,document source,tender reference signal; Bot clean extraction (2026-07-01); meta:score=100;priority=High;source_type=html_table;closing_date=None;equipment=Gas filter station / filter equipment;quality_status=market_target;market_relevance=High;document_type=po_work_order;unit_price_inr=;amount_label=;matched_terms=Gas filter station / filter equipment;reject_reasons=civil/electrical only;scope=market_intelligence_only;excluded_scope=no_bid_or_offer_submission_automation</t>
        </is>
      </c>
    </row>
    <row r="2306">
      <c r="A2306" t="inlineStr">
        <is>
          <t>T-2110</t>
        </is>
      </c>
      <c r="B2306" t="inlineStr">
        <is>
          <t>Gasonet Services</t>
        </is>
      </c>
      <c r="C2306" t="inlineStr">
        <is>
          <t>Gasonet Services</t>
        </is>
      </c>
      <c r="D2306" t="inlineStr">
        <is>
          <t>Tender No. : GSRJL/C</t>
        </is>
      </c>
      <c r="E2306" t="inlineStr">
        <is>
          <t>2024-25/01</t>
        </is>
      </c>
      <c r="F2306" t="inlineStr">
        <is>
          <t>New Lead</t>
        </is>
      </c>
      <c r="G2306" t="inlineStr">
        <is>
          <t>CGS</t>
        </is>
      </c>
      <c r="H2306" t="inlineStr">
        <is>
          <t>16 Composite Work For Construction Of Cgs Cum Mother Station At Dokwa, Churu. Tender No. : GSRJL/C&amp;P/CIVIL/CGS/2024-25/01 Tender - CGS GCC Layout Plan Typical Drawings HSE Policy SOR Composite Work Replies To Bidder Typical Drawings Approved Vendor List Civil</t>
        </is>
      </c>
      <c r="K2306" t="inlineStr">
        <is>
          <t>Not found</t>
        </is>
      </c>
      <c r="L2306" t="inlineStr">
        <is>
          <t>Unknown</t>
        </is>
      </c>
      <c r="T2306" t="inlineStr">
        <is>
          <t>https://www.gasonet.in/files/CIVIL WORK_merged.pdf</t>
        </is>
      </c>
      <c r="U2306" t="inlineStr">
        <is>
          <t>No</t>
        </is>
      </c>
      <c r="V2306" t="inlineStr">
        <is>
          <t>Bot tarafindan tespit edildi; date=2026-07-01; type=pdf; score=295; Bot tespit/zenginlestirme (2026-07-01); meta:score=10;priority=Low;source_type=html_table;closing_date=;equipment=Irrelevant / non-target;reasons=irrelevant_equipment,station/skid keyword,document source,tender reference signal</t>
        </is>
      </c>
    </row>
    <row r="2307">
      <c r="A2307" t="inlineStr">
        <is>
          <t>T-2111</t>
        </is>
      </c>
      <c r="B2307" t="inlineStr">
        <is>
          <t>Gasonet Services</t>
        </is>
      </c>
      <c r="C2307" t="inlineStr">
        <is>
          <t>Gasonet Services</t>
        </is>
      </c>
      <c r="D2307" t="inlineStr">
        <is>
          <t>Tender No. : GSL/DD/C</t>
        </is>
      </c>
      <c r="F2307" t="inlineStr">
        <is>
          <t>New Lead</t>
        </is>
      </c>
      <c r="G2307" t="inlineStr">
        <is>
          <t>MRS</t>
        </is>
      </c>
      <c r="H2307" t="inlineStr">
        <is>
          <t>19 Procurement Of District Regulation Skid (DRS) Metering Regulating Skid (MRS), Commercial Smart Meters And Regulators Tender No. : GSL/DD/C&amp;P/BD202507P002 Tender Document Technical Document SOR GCC Corrigendum-1 Replies to Bidder Queries CPBG_GSHP CPBG_GSRJL</t>
        </is>
      </c>
      <c r="K2307" t="inlineStr">
        <is>
          <t>Not found</t>
        </is>
      </c>
      <c r="L2307" t="inlineStr">
        <is>
          <t>Unknown</t>
        </is>
      </c>
      <c r="T2307" t="inlineStr">
        <is>
          <t>https://www.gasonet.in/files/CPBG_GSHPL.docx</t>
        </is>
      </c>
      <c r="U2307" t="inlineStr">
        <is>
          <t>No</t>
        </is>
      </c>
      <c r="V2307" t="inlineStr">
        <is>
          <t>Bot tarafindan tespit edildi; date=2026-07-01; type=doc; score=295; Bot tespit/zenginlestirme (2026-07-01); meta:score=95;priority=High;source_type=html_table;closing_date=None;equipment=Regulating station;reasons=equipment:Regulating station,station/skid keyword,document source,tender reference signal</t>
        </is>
      </c>
    </row>
    <row r="2308">
      <c r="A2308" t="inlineStr">
        <is>
          <t>T-2112</t>
        </is>
      </c>
      <c r="B2308" t="inlineStr">
        <is>
          <t>Gasonet Services</t>
        </is>
      </c>
      <c r="C2308" t="inlineStr">
        <is>
          <t>Gasonet Services</t>
        </is>
      </c>
      <c r="D2308" t="inlineStr">
        <is>
          <t>Tender No. : GSL/DD/C</t>
        </is>
      </c>
      <c r="F2308" t="inlineStr">
        <is>
          <t>New Lead</t>
        </is>
      </c>
      <c r="G2308" t="inlineStr">
        <is>
          <t>MRS</t>
        </is>
      </c>
      <c r="H2308" t="inlineStr">
        <is>
          <t>19 Procurement Of District Regulation Skid (DRS) Metering Regulating Skid (MRS), Commercial Smart Meters And Regulators Tender No. : GSL/DD/C&amp;P/BD202507P002 Tender Document Technical Document SOR GCC Corrigendum-1 Replies to Bidder Queries CPBG_GSHP CPBG_GSRJL</t>
        </is>
      </c>
      <c r="K2308" t="inlineStr">
        <is>
          <t>Not found</t>
        </is>
      </c>
      <c r="L2308" t="inlineStr">
        <is>
          <t>Unknown</t>
        </is>
      </c>
      <c r="T2308" t="inlineStr">
        <is>
          <t>https://www.gasonet.in/files/CPBG_GSRJL -19.docx</t>
        </is>
      </c>
      <c r="U2308" t="inlineStr">
        <is>
          <t>No</t>
        </is>
      </c>
      <c r="V2308" t="inlineStr">
        <is>
          <t>Bot tarafindan tespit edildi; date=2026-07-01; type=doc; score=295; Bot tespit/zenginlestirme (2026-07-01); meta:score=95;priority=High;source_type=html_table;closing_date=None;equipment=Regulating station;reasons=equipment:Regulating station,station/skid keyword,document source,tender reference signal</t>
        </is>
      </c>
    </row>
    <row r="2309">
      <c r="A2309" t="inlineStr">
        <is>
          <t>T-2113</t>
        </is>
      </c>
      <c r="B2309" t="inlineStr">
        <is>
          <t>Gasonet Services</t>
        </is>
      </c>
      <c r="C2309" t="inlineStr">
        <is>
          <t>Gasonet Services</t>
        </is>
      </c>
      <c r="D2309" t="inlineStr">
        <is>
          <t>Tender No. : GSL/DD/C</t>
        </is>
      </c>
      <c r="F2309" t="inlineStr">
        <is>
          <t>New Lead</t>
        </is>
      </c>
      <c r="G2309" t="inlineStr">
        <is>
          <t>MRS</t>
        </is>
      </c>
      <c r="H2309" t="inlineStr">
        <is>
          <t>19 Procurement Of District Regulation Skid (DRS) Metering Regulating Skid (MRS), Commercial Smart Meters And Regulators Tender No. : GSL/DD/C&amp;P/BD202507P002 Tender Document Technical Document SOR GCC Corrigendum-1 Replies to Bidder Queries CPBG_GSHP CPBG_GSRJL</t>
        </is>
      </c>
      <c r="K2309" t="inlineStr">
        <is>
          <t>Not found</t>
        </is>
      </c>
      <c r="L2309" t="inlineStr">
        <is>
          <t>Unknown</t>
        </is>
      </c>
      <c r="T2309" t="inlineStr">
        <is>
          <t>https://www.gasonet.in/files/CPBG_GSUKL.docx</t>
        </is>
      </c>
      <c r="U2309" t="inlineStr">
        <is>
          <t>No</t>
        </is>
      </c>
      <c r="V2309" t="inlineStr">
        <is>
          <t>Bot tarafindan tespit edildi; date=2026-07-01; type=doc; score=295; Bot tespit/zenginlestirme (2026-07-01); meta:score=95;priority=High;source_type=html_table;closing_date=None;equipment=Regulating station;reasons=equipment:Regulating station,station/skid keyword,document source,tender reference signal</t>
        </is>
      </c>
    </row>
    <row r="2310">
      <c r="A2310" t="inlineStr">
        <is>
          <t>T-2114</t>
        </is>
      </c>
      <c r="B2310" t="inlineStr">
        <is>
          <t>Gasonet Services</t>
        </is>
      </c>
      <c r="C2310" t="inlineStr">
        <is>
          <t>Gasonet Services</t>
        </is>
      </c>
      <c r="D2310" t="inlineStr">
        <is>
          <t>Tender No. : GSRJL/C</t>
        </is>
      </c>
      <c r="E2310" t="inlineStr">
        <is>
          <t>2025-26/03</t>
        </is>
      </c>
      <c r="F2310" t="inlineStr">
        <is>
          <t>New Lead</t>
        </is>
      </c>
      <c r="G2310" t="inlineStr">
        <is>
          <t>CGS</t>
        </is>
      </c>
      <c r="H2310" t="inlineStr">
        <is>
          <t>20 Laying of API 5L 3LPE CS Steel U/G Pipeline at Bikaner &amp; A/G Piping at CGS at Dokwa, Churu. Tender No. : GSRJL/C&amp;P/CS/2025-26/03 Tender Document GCC SCC &amp; SOW Typical Drawing HSE Policy SOR - CS Pipeline Laying for Bikaner SOR - AG Piping Work CGS Churu 15.</t>
        </is>
      </c>
      <c r="K2310" t="inlineStr">
        <is>
          <t>Not found</t>
        </is>
      </c>
      <c r="L2310" t="inlineStr">
        <is>
          <t>Unknown</t>
        </is>
      </c>
      <c r="T2310" t="inlineStr">
        <is>
          <t>https://www.gasonet.in/files/02-GCC.pdf</t>
        </is>
      </c>
      <c r="U2310" t="inlineStr">
        <is>
          <t>No</t>
        </is>
      </c>
      <c r="V2310" t="inlineStr">
        <is>
          <t>Bot tarafindan tespit edildi; date=2026-07-01; type=pdf; score=295; Bot tespit/zenginlestirme (2026-07-01); meta:score=10;priority=Low;source_type=html_table;closing_date=;equipment=Irrelevant / non-target;reasons=irrelevant_equipment,station/skid keyword,document source,tender reference signal</t>
        </is>
      </c>
    </row>
    <row r="2311">
      <c r="A2311" t="inlineStr">
        <is>
          <t>T-2115</t>
        </is>
      </c>
      <c r="B2311" t="inlineStr">
        <is>
          <t>Gasonet Services</t>
        </is>
      </c>
      <c r="C2311" t="inlineStr">
        <is>
          <t>Gasonet Services</t>
        </is>
      </c>
      <c r="D2311" t="inlineStr">
        <is>
          <t>Tender No. : GSRJL/C</t>
        </is>
      </c>
      <c r="E2311" t="inlineStr">
        <is>
          <t>2025-26/03</t>
        </is>
      </c>
      <c r="F2311" t="inlineStr">
        <is>
          <t>New Lead</t>
        </is>
      </c>
      <c r="G2311" t="inlineStr">
        <is>
          <t>CGS</t>
        </is>
      </c>
      <c r="H2311" t="inlineStr">
        <is>
          <t>20 Laying of API 5L 3LPE CS Steel U/G Pipeline at Bikaner &amp; A/G Piping at CGS at Dokwa, Churu. Tender No. : GSRJL/C&amp;P/CS/2025-26/03 Tender Document GCC SCC &amp; SOW Typical Drawing HSE Policy SOR - CS Pipeline Laying for Bikaner SOR - AG Piping Work CGS Churu 15.</t>
        </is>
      </c>
      <c r="K2311" t="inlineStr">
        <is>
          <t>SCOPE 4.2 FINAL INSPECTION DURING EXECUTION 4.3 DOCUMENTATION 4.4 STATEMENT OF FINAL BILLS ISSUE OF N</t>
        </is>
      </c>
      <c r="L2311" t="inlineStr">
        <is>
          <t>Unknown</t>
        </is>
      </c>
      <c r="T2311" t="inlineStr">
        <is>
          <t>https://www.gasonet.in/files/03-SCC &amp; SOW.pdf</t>
        </is>
      </c>
      <c r="U2311" t="inlineStr">
        <is>
          <t>No</t>
        </is>
      </c>
      <c r="V2311" t="inlineStr">
        <is>
          <t>Bot tarafindan tespit edildi; date=2026-07-01; type=pdf; score=295; Bot tespit/zenginlestirme (2026-07-01); meta:score=10;priority=Low;source_type=html_table;closing_date=;equipment=Irrelevant / non-target;reasons=irrelevant_equipment,station/skid keyword,document source,tender reference signal; Bot clean extraction (2026-07-01); meta:score=100;priority=High;source_type=html_table;closing_date=None;equipment=Regulating / metering station;quality_status=market_target;market_relevance=High;document_type=award;unit_price_inr=;amount_label=;matched_terms=Regulating / metering station;reject_reasons=employment/corporate,non-product service,civil/electrical only;scope=market_intelligence_only;excluded_scope=no_bid_or_offer_submission_automation</t>
        </is>
      </c>
    </row>
    <row r="2312">
      <c r="A2312" t="inlineStr">
        <is>
          <t>T-2116</t>
        </is>
      </c>
      <c r="B2312" t="inlineStr">
        <is>
          <t>Gasonet Services</t>
        </is>
      </c>
      <c r="C2312" t="inlineStr">
        <is>
          <t>Gasonet Services</t>
        </is>
      </c>
      <c r="D2312" t="inlineStr">
        <is>
          <t>Tender No. : GSRJL/C</t>
        </is>
      </c>
      <c r="E2312" t="inlineStr">
        <is>
          <t>2025-26/03</t>
        </is>
      </c>
      <c r="F2312" t="inlineStr">
        <is>
          <t>New Lead</t>
        </is>
      </c>
      <c r="G2312" t="inlineStr">
        <is>
          <t>CGS</t>
        </is>
      </c>
      <c r="H2312" t="inlineStr">
        <is>
          <t>20 Laying of API 5L 3LPE CS Steel U/G Pipeline at Bikaner &amp; A/G Piping at CGS at Dokwa, Churu. Tender No. : GSRJL/C&amp;P/CS/2025-26/03 Tender Document GCC SCC &amp; SOW Typical Drawing HSE Policy SOR - CS Pipeline Laying for Bikaner SOR - AG Piping Work CGS Churu 15.</t>
        </is>
      </c>
      <c r="K2312" t="inlineStr">
        <is>
          <t>ON SIMILAR LINES AND APPROVED BY THE OWNER. 6. THE MATERIAL FOR MARKERS SHALL BE AS FOLLOWING</t>
        </is>
      </c>
      <c r="L2312" t="inlineStr">
        <is>
          <t>Unknown</t>
        </is>
      </c>
      <c r="T2312" t="inlineStr">
        <is>
          <t>https://www.gasonet.in/files/04-Typical Drawing.pdf</t>
        </is>
      </c>
      <c r="U2312" t="inlineStr">
        <is>
          <t>No</t>
        </is>
      </c>
      <c r="V2312" t="inlineStr">
        <is>
          <t>Bot tarafindan tespit edildi; date=2026-07-01; type=pdf; score=295; Bot tespit/zenginlestirme (2026-07-01); meta:score=10;priority=Low;source_type=html_table;closing_date=;equipment=Irrelevant / non-target;reasons=irrelevant_equipment,station/skid keyword,document source,tender reference signal; Bot clean extraction (2026-07-01); meta:score=100;priority=High;source_type=html_table;closing_date=None;equipment=Regulating / metering station;quality_status=market_target;market_relevance=High;document_type=unknown;unit_price_inr=;amount_label=;matched_terms=Regulating / metering station,Gas filter station / filter equipment;reject_reasons=retail/cng station noise;scope=market_intelligence_only;excluded_scope=no_bid_or_offer_submission_automation</t>
        </is>
      </c>
    </row>
    <row r="2313">
      <c r="A2313" t="inlineStr">
        <is>
          <t>T-2117</t>
        </is>
      </c>
      <c r="B2313" t="inlineStr">
        <is>
          <t>Gasonet Services</t>
        </is>
      </c>
      <c r="C2313" t="inlineStr">
        <is>
          <t>Gasonet Services</t>
        </is>
      </c>
      <c r="D2313" t="inlineStr">
        <is>
          <t>Tender No. : GSRJL/C</t>
        </is>
      </c>
      <c r="E2313" t="inlineStr">
        <is>
          <t>2025-26/03</t>
        </is>
      </c>
      <c r="F2313" t="inlineStr">
        <is>
          <t>New Lead</t>
        </is>
      </c>
      <c r="G2313" t="inlineStr">
        <is>
          <t>CGS</t>
        </is>
      </c>
      <c r="H2313" t="inlineStr">
        <is>
          <t>20 Laying of API 5L 3LPE CS Steel U/G Pipeline at Bikaner &amp; A/G Piping at CGS at Dokwa, Churu. Tender No. : GSRJL/C&amp;P/CS/2025-26/03 Tender Document GCC SCC &amp; SOW Typical Drawing HSE Policy SOR - CS Pipeline Laying for Bikaner SOR - AG Piping Work CGS Churu 15.</t>
        </is>
      </c>
      <c r="K2313" t="inlineStr">
        <is>
          <t>Not found</t>
        </is>
      </c>
      <c r="L2313" t="inlineStr">
        <is>
          <t>Unknown</t>
        </is>
      </c>
      <c r="T2313" t="inlineStr">
        <is>
          <t>https://www.gasonet.in/files/05-HSE Policy.pdf</t>
        </is>
      </c>
      <c r="U2313" t="inlineStr">
        <is>
          <t>No</t>
        </is>
      </c>
      <c r="V2313" t="inlineStr">
        <is>
          <t>Bot tarafindan tespit edildi; date=2026-07-01; type=pdf; score=295; Bot tespit/zenginlestirme (2026-07-01); meta:score=10;priority=Low;source_type=html_table;closing_date=;equipment=Irrelevant / non-target;reasons=irrelevant_equipment,station/skid keyword,document source,tender reference signal</t>
        </is>
      </c>
    </row>
    <row r="2314">
      <c r="A2314" t="inlineStr">
        <is>
          <t>T-2118</t>
        </is>
      </c>
      <c r="B2314" t="inlineStr">
        <is>
          <t>Gasonet Services</t>
        </is>
      </c>
      <c r="C2314" t="inlineStr">
        <is>
          <t>Gasonet Services</t>
        </is>
      </c>
      <c r="D2314" t="inlineStr">
        <is>
          <t>Tender No. : GSRJL/C</t>
        </is>
      </c>
      <c r="E2314" t="inlineStr">
        <is>
          <t>2025-26/03</t>
        </is>
      </c>
      <c r="F2314" t="inlineStr">
        <is>
          <t>New Lead</t>
        </is>
      </c>
      <c r="G2314" t="inlineStr">
        <is>
          <t>CGS</t>
        </is>
      </c>
      <c r="H2314" t="inlineStr">
        <is>
          <t>20 Laying of API 5L 3LPE CS Steel U/G Pipeline at Bikaner &amp; A/G Piping at CGS at Dokwa, Churu. Tender No. : GSRJL/C&amp;P/CS/2025-26/03 Tender Document GCC SCC &amp; SOW Typical Drawing HSE Policy SOR - CS Pipeline Laying for Bikaner SOR - AG Piping Work CGS Churu 15.</t>
        </is>
      </c>
      <c r="K2314" t="inlineStr">
        <is>
          <t>Not found</t>
        </is>
      </c>
      <c r="L2314" t="inlineStr">
        <is>
          <t>Unknown</t>
        </is>
      </c>
      <c r="T2314" t="inlineStr">
        <is>
          <t>https://www.gasonet.in/files/06-SOR - CS Pipeline Laying for Bikaner.xlsx</t>
        </is>
      </c>
      <c r="U2314" t="inlineStr">
        <is>
          <t>No</t>
        </is>
      </c>
      <c r="V2314" t="inlineStr">
        <is>
          <t>Bot tarafindan tespit edildi; date=2026-07-01; type=excel; score=295; Bot tespit/zenginlestirme (2026-07-01); meta:score=10;priority=Low;source_type=html_table;closing_date=;equipment=Irrelevant / non-target;reasons=irrelevant_equipment,station/skid keyword,document source,tender reference signal</t>
        </is>
      </c>
    </row>
    <row r="2315">
      <c r="A2315" t="inlineStr">
        <is>
          <t>T-2119</t>
        </is>
      </c>
      <c r="B2315" t="inlineStr">
        <is>
          <t>Gasonet Services</t>
        </is>
      </c>
      <c r="C2315" t="inlineStr">
        <is>
          <t>Gasonet Services</t>
        </is>
      </c>
      <c r="D2315" t="inlineStr">
        <is>
          <t>Tender- Domestic</t>
        </is>
      </c>
      <c r="F2315" t="inlineStr">
        <is>
          <t>New Lead</t>
        </is>
      </c>
      <c r="G2315" t="inlineStr">
        <is>
          <t>service regulator</t>
        </is>
      </c>
      <c r="H2315" t="inlineStr">
        <is>
          <t>14 Purchase of Domestic and Service Regulator. GCC Tender- Domestic Service Regulator Regulator Datasheet Not Applicable 22.02.2024 at 14:00 Hrs 22.02.2024 at 17:00 Hrs</t>
        </is>
      </c>
      <c r="K2315" t="inlineStr">
        <is>
          <t>Not found</t>
        </is>
      </c>
      <c r="L2315" t="inlineStr">
        <is>
          <t>Unknown</t>
        </is>
      </c>
      <c r="T2315" t="inlineStr">
        <is>
          <t>https://www.gasonet.in/files/GCC.pdf</t>
        </is>
      </c>
      <c r="U2315" t="inlineStr">
        <is>
          <t>No</t>
        </is>
      </c>
      <c r="V2315" t="inlineStr">
        <is>
          <t>Bot tarafindan tespit edildi; date=2026-07-01; type=pdf; score=205; Bot tespit/zenginlestirme (2026-07-01); meta:score=85;priority=High;source_type=html_table;closing_date=None;equipment=Service regulator;reasons=equipment:Service regulator,target regulator keyword,document source</t>
        </is>
      </c>
    </row>
    <row r="2316">
      <c r="A2316" t="inlineStr">
        <is>
          <t>T-2120</t>
        </is>
      </c>
      <c r="B2316" t="inlineStr">
        <is>
          <t>Gasonet Services</t>
        </is>
      </c>
      <c r="C2316" t="inlineStr">
        <is>
          <t>Gasonet Services</t>
        </is>
      </c>
      <c r="D2316" t="inlineStr">
        <is>
          <t>Bid Queries_Compressor</t>
        </is>
      </c>
      <c r="F2316" t="inlineStr">
        <is>
          <t>New Lead</t>
        </is>
      </c>
      <c r="G2316" t="inlineStr">
        <is>
          <t>Gas-related / review</t>
        </is>
      </c>
      <c r="H2316" t="inlineStr">
        <is>
          <t>1 Annual Rate Contract for Supply of Motor Driven CNG Compressor Technical Commercial SOR Compressor Champawat SOR Compressor Churu SOR Compressor Mandi SOR Compressor Pauri Garwal (Rishikesh) Replies to Pre-Bid Queries_Compressor Corrigendum-01_Compressor 09.</t>
        </is>
      </c>
      <c r="K2316" t="inlineStr">
        <is>
          <t>Not found</t>
        </is>
      </c>
      <c r="L2316" t="inlineStr">
        <is>
          <t>Unknown</t>
        </is>
      </c>
      <c r="T2316" t="inlineStr">
        <is>
          <t>https://www.gasonet.in/files/Technical Volume II of II Compressor.pdf</t>
        </is>
      </c>
      <c r="U2316" t="inlineStr">
        <is>
          <t>No</t>
        </is>
      </c>
      <c r="V2316" t="inlineStr">
        <is>
          <t>Bot tarafindan tespit edildi; date=2026-07-01; type=pdf; score=195; Bot tespit/zenginlestirme (2026-07-01); meta:score=35;priority=Low;source_type=html_table;closing_date=;equipment=Gas-related / review;reasons=equipment:Gas-related / review,document source</t>
        </is>
      </c>
    </row>
    <row r="2317">
      <c r="A2317" t="inlineStr">
        <is>
          <t>T-2121</t>
        </is>
      </c>
      <c r="B2317" t="inlineStr">
        <is>
          <t>Gasonet Services</t>
        </is>
      </c>
      <c r="C2317" t="inlineStr">
        <is>
          <t>Gasonet Services</t>
        </is>
      </c>
      <c r="D2317" t="inlineStr">
        <is>
          <t>Bid Queries_Compressor</t>
        </is>
      </c>
      <c r="F2317" t="inlineStr">
        <is>
          <t>New Lead</t>
        </is>
      </c>
      <c r="G2317" t="inlineStr">
        <is>
          <t>Gas-related / review</t>
        </is>
      </c>
      <c r="H2317" t="inlineStr">
        <is>
          <t>1 Annual Rate Contract for Supply of Motor Driven CNG Compressor Technical Commercial SOR Compressor Champawat SOR Compressor Churu SOR Compressor Mandi SOR Compressor Pauri Garwal (Rishikesh) Replies to Pre-Bid Queries_Compressor Corrigendum-01_Compressor 09.</t>
        </is>
      </c>
      <c r="K2317" t="inlineStr">
        <is>
          <t>Not found</t>
        </is>
      </c>
      <c r="L2317" t="inlineStr">
        <is>
          <t>Unknown</t>
        </is>
      </c>
      <c r="T2317" t="inlineStr">
        <is>
          <t>https://www.gasonet.in/files/Commercial Volume I of II Compressor.pdf</t>
        </is>
      </c>
      <c r="U2317" t="inlineStr">
        <is>
          <t>No</t>
        </is>
      </c>
      <c r="V2317" t="inlineStr">
        <is>
          <t>Bot tarafindan tespit edildi; date=2026-07-01; type=pdf; score=195; Bot tespit/zenginlestirme (2026-07-01); meta:score=35;priority=Low;source_type=html_table;closing_date=;equipment=Gas-related / review;reasons=equipment:Gas-related / review,document source</t>
        </is>
      </c>
    </row>
    <row r="2318">
      <c r="A2318" t="inlineStr">
        <is>
          <t>T-2122</t>
        </is>
      </c>
      <c r="B2318" t="inlineStr">
        <is>
          <t>Gasonet Services</t>
        </is>
      </c>
      <c r="C2318" t="inlineStr">
        <is>
          <t>Gasonet Services</t>
        </is>
      </c>
      <c r="D2318" t="inlineStr">
        <is>
          <t>Bid Queries_Compressor</t>
        </is>
      </c>
      <c r="F2318" t="inlineStr">
        <is>
          <t>New Lead</t>
        </is>
      </c>
      <c r="G2318" t="inlineStr">
        <is>
          <t>Gas-related / review</t>
        </is>
      </c>
      <c r="H2318" t="inlineStr">
        <is>
          <t>1 Annual Rate Contract for Supply of Motor Driven CNG Compressor Technical Commercial SOR Compressor Champawat SOR Compressor Churu SOR Compressor Mandi SOR Compressor Pauri Garwal (Rishikesh) Replies to Pre-Bid Queries_Compressor Corrigendum-01_Compressor 09.</t>
        </is>
      </c>
      <c r="K2318" t="inlineStr">
        <is>
          <t>Not found</t>
        </is>
      </c>
      <c r="L2318" t="inlineStr">
        <is>
          <t>Unknown</t>
        </is>
      </c>
      <c r="T2318" t="inlineStr">
        <is>
          <t>https://www.gasonet.in/files/SOR Compressor Champawat.xlsx</t>
        </is>
      </c>
      <c r="U2318" t="inlineStr">
        <is>
          <t>No</t>
        </is>
      </c>
      <c r="V2318" t="inlineStr">
        <is>
          <t>Bot tarafindan tespit edildi; date=2026-07-01; type=excel; score=195; Bot tespit/zenginlestirme (2026-07-01); meta:score=35;priority=Low;source_type=html_table;closing_date=;equipment=Gas-related / review;reasons=equipment:Gas-related / review,document source</t>
        </is>
      </c>
    </row>
    <row r="2319">
      <c r="A2319" t="inlineStr">
        <is>
          <t>T-2123</t>
        </is>
      </c>
      <c r="B2319" t="inlineStr">
        <is>
          <t>Gasonet Services</t>
        </is>
      </c>
      <c r="C2319" t="inlineStr">
        <is>
          <t>Gasonet Services</t>
        </is>
      </c>
      <c r="D2319" t="inlineStr">
        <is>
          <t>Bid Queries_Compressor</t>
        </is>
      </c>
      <c r="F2319" t="inlineStr">
        <is>
          <t>New Lead</t>
        </is>
      </c>
      <c r="G2319" t="inlineStr">
        <is>
          <t>Gas-related / review</t>
        </is>
      </c>
      <c r="H2319" t="inlineStr">
        <is>
          <t>1 Annual Rate Contract for Supply of Motor Driven CNG Compressor Technical Commercial SOR Compressor Champawat SOR Compressor Churu SOR Compressor Mandi SOR Compressor Pauri Garwal (Rishikesh) Replies to Pre-Bid Queries_Compressor Corrigendum-01_Compressor 09.</t>
        </is>
      </c>
      <c r="K2319" t="inlineStr">
        <is>
          <t>Not found</t>
        </is>
      </c>
      <c r="L2319" t="inlineStr">
        <is>
          <t>Unknown</t>
        </is>
      </c>
      <c r="T2319" t="inlineStr">
        <is>
          <t>https://www.gasonet.in/files/SOR Compressor Churu.xlsx</t>
        </is>
      </c>
      <c r="U2319" t="inlineStr">
        <is>
          <t>No</t>
        </is>
      </c>
      <c r="V2319" t="inlineStr">
        <is>
          <t>Bot tarafindan tespit edildi; date=2026-07-01; type=excel; score=195; Bot tespit/zenginlestirme (2026-07-01); meta:score=35;priority=Low;source_type=html_table;closing_date=;equipment=Gas-related / review;reasons=equipment:Gas-related / review,document source</t>
        </is>
      </c>
    </row>
    <row r="2320">
      <c r="A2320" t="inlineStr">
        <is>
          <t>T-2124</t>
        </is>
      </c>
      <c r="B2320" t="inlineStr">
        <is>
          <t>Gasonet Services</t>
        </is>
      </c>
      <c r="C2320" t="inlineStr">
        <is>
          <t>Gasonet Services</t>
        </is>
      </c>
      <c r="D2320" t="inlineStr">
        <is>
          <t>Bid Queries_Compressor</t>
        </is>
      </c>
      <c r="F2320" t="inlineStr">
        <is>
          <t>New Lead</t>
        </is>
      </c>
      <c r="G2320" t="inlineStr">
        <is>
          <t>Gas-related / review</t>
        </is>
      </c>
      <c r="H2320" t="inlineStr">
        <is>
          <t>1 Annual Rate Contract for Supply of Motor Driven CNG Compressor Technical Commercial SOR Compressor Champawat SOR Compressor Churu SOR Compressor Mandi SOR Compressor Pauri Garwal (Rishikesh) Replies to Pre-Bid Queries_Compressor Corrigendum-01_Compressor 09.</t>
        </is>
      </c>
      <c r="K2320" t="inlineStr">
        <is>
          <t>Not found</t>
        </is>
      </c>
      <c r="L2320" t="inlineStr">
        <is>
          <t>Unknown</t>
        </is>
      </c>
      <c r="T2320" t="inlineStr">
        <is>
          <t>https://www.gasonet.in/files/SOR Compressor Mandi.xlsx</t>
        </is>
      </c>
      <c r="U2320" t="inlineStr">
        <is>
          <t>No</t>
        </is>
      </c>
      <c r="V2320" t="inlineStr">
        <is>
          <t>Bot tarafindan tespit edildi; date=2026-07-01; type=excel; score=195; Bot tespit/zenginlestirme (2026-07-01); meta:score=35;priority=Low;source_type=html_table;closing_date=;equipment=Gas-related / review;reasons=equipment:Gas-related / review,document source</t>
        </is>
      </c>
    </row>
    <row r="2321">
      <c r="A2321" t="inlineStr">
        <is>
          <t>T-2125</t>
        </is>
      </c>
      <c r="B2321" t="inlineStr">
        <is>
          <t>Gasonet Services</t>
        </is>
      </c>
      <c r="C2321" t="inlineStr">
        <is>
          <t>Gasonet Services</t>
        </is>
      </c>
      <c r="D2321" t="inlineStr">
        <is>
          <t>Bid Queries_Compressor</t>
        </is>
      </c>
      <c r="F2321" t="inlineStr">
        <is>
          <t>New Lead</t>
        </is>
      </c>
      <c r="G2321" t="inlineStr">
        <is>
          <t>Gas-related / review</t>
        </is>
      </c>
      <c r="H2321" t="inlineStr">
        <is>
          <t>1 Annual Rate Contract for Supply of Motor Driven CNG Compressor Technical Commercial SOR Compressor Champawat SOR Compressor Churu SOR Compressor Mandi SOR Compressor Pauri Garwal (Rishikesh) Replies to Pre-Bid Queries_Compressor Corrigendum-01_Compressor 09.</t>
        </is>
      </c>
      <c r="K2321" t="inlineStr">
        <is>
          <t>Not found</t>
        </is>
      </c>
      <c r="L2321" t="inlineStr">
        <is>
          <t>Unknown</t>
        </is>
      </c>
      <c r="T2321" t="inlineStr">
        <is>
          <t>https://www.gasonet.in/files/SOR Compressor Pauri Garwal (Rishikesh).xlsx</t>
        </is>
      </c>
      <c r="U2321" t="inlineStr">
        <is>
          <t>No</t>
        </is>
      </c>
      <c r="V2321" t="inlineStr">
        <is>
          <t>Bot tarafindan tespit edildi; date=2026-07-01; type=excel; score=195; Bot tespit/zenginlestirme (2026-07-01); meta:score=35;priority=Low;source_type=html_table;closing_date=;equipment=Gas-related / review;reasons=equipment:Gas-related / review,document source</t>
        </is>
      </c>
    </row>
    <row r="2322">
      <c r="A2322" t="inlineStr">
        <is>
          <t>T-2126</t>
        </is>
      </c>
      <c r="B2322" t="inlineStr">
        <is>
          <t>Gasonet Services</t>
        </is>
      </c>
      <c r="C2322" t="inlineStr">
        <is>
          <t>Gasonet Services</t>
        </is>
      </c>
      <c r="D2322" t="inlineStr">
        <is>
          <t>bid queries_Dispenser</t>
        </is>
      </c>
      <c r="F2322" t="inlineStr">
        <is>
          <t>New Lead</t>
        </is>
      </c>
      <c r="G2322" t="inlineStr">
        <is>
          <t>Gas-related / review</t>
        </is>
      </c>
      <c r="H2322" t="inlineStr">
        <is>
          <t>3 Annual Rate Contract for Supply, Installation &amp; Commissioning of CNG Car and Combo (Car-Bus) Dispenser package at Churu, Mandi, Pauri Garhwal (Rishikesh) &amp; Champawat GA. Technical I of II Commercial I of II SOR Dispenser -Pauri Garwal (Rishikesh) SOR Dispens</t>
        </is>
      </c>
      <c r="K2322" t="inlineStr">
        <is>
          <t>Not found</t>
        </is>
      </c>
      <c r="L2322" t="inlineStr">
        <is>
          <t>Unknown</t>
        </is>
      </c>
      <c r="T2322" t="inlineStr">
        <is>
          <t>https://www.gasonet.in/files/Technical I of II.pdf</t>
        </is>
      </c>
      <c r="U2322" t="inlineStr">
        <is>
          <t>No</t>
        </is>
      </c>
      <c r="V2322" t="inlineStr">
        <is>
          <t>Bot tarafindan tespit edildi; date=2026-07-01; type=pdf; score=195; Bot tespit/zenginlestirme (2026-07-01); meta:score=35;priority=Low;source_type=html_table;closing_date=;equipment=Gas-related / review;reasons=equipment:Gas-related / review,document source</t>
        </is>
      </c>
    </row>
    <row r="2323">
      <c r="A2323" t="inlineStr">
        <is>
          <t>T-2127</t>
        </is>
      </c>
      <c r="B2323" t="inlineStr">
        <is>
          <t>Gasonet Services</t>
        </is>
      </c>
      <c r="C2323" t="inlineStr">
        <is>
          <t>Gasonet Services</t>
        </is>
      </c>
      <c r="D2323" t="inlineStr">
        <is>
          <t>bid queries_Dispenser</t>
        </is>
      </c>
      <c r="F2323" t="inlineStr">
        <is>
          <t>New Lead</t>
        </is>
      </c>
      <c r="G2323" t="inlineStr">
        <is>
          <t>Gas-related / review</t>
        </is>
      </c>
      <c r="H2323" t="inlineStr">
        <is>
          <t>3 Annual Rate Contract for Supply, Installation &amp; Commissioning of CNG Car and Combo (Car-Bus) Dispenser package at Churu, Mandi, Pauri Garhwal (Rishikesh) &amp; Champawat GA. Technical I of II Commercial I of II SOR Dispenser -Pauri Garwal (Rishikesh) SOR Dispens</t>
        </is>
      </c>
      <c r="K2323" t="inlineStr">
        <is>
          <t>Not found</t>
        </is>
      </c>
      <c r="L2323" t="inlineStr">
        <is>
          <t>Unknown</t>
        </is>
      </c>
      <c r="T2323" t="inlineStr">
        <is>
          <t>https://www.gasonet.in/files/Commercial I of II.pdf</t>
        </is>
      </c>
      <c r="U2323" t="inlineStr">
        <is>
          <t>No</t>
        </is>
      </c>
      <c r="V2323" t="inlineStr">
        <is>
          <t>Bot tarafindan tespit edildi; date=2026-07-01; type=pdf; score=195; Bot tespit/zenginlestirme (2026-07-01); meta:score=35;priority=Low;source_type=html_table;closing_date=;equipment=Gas-related / review;reasons=equipment:Gas-related / review,document source</t>
        </is>
      </c>
    </row>
    <row r="2324">
      <c r="A2324" t="inlineStr">
        <is>
          <t>T-2128</t>
        </is>
      </c>
      <c r="B2324" t="inlineStr">
        <is>
          <t>Gasonet Services</t>
        </is>
      </c>
      <c r="C2324" t="inlineStr">
        <is>
          <t>Gasonet Services</t>
        </is>
      </c>
      <c r="D2324" t="inlineStr">
        <is>
          <t>bid queries_Dispenser</t>
        </is>
      </c>
      <c r="F2324" t="inlineStr">
        <is>
          <t>New Lead</t>
        </is>
      </c>
      <c r="G2324" t="inlineStr">
        <is>
          <t>Gas-related / review</t>
        </is>
      </c>
      <c r="H2324" t="inlineStr">
        <is>
          <t>3 Annual Rate Contract for Supply, Installation &amp; Commissioning of CNG Car and Combo (Car-Bus) Dispenser package at Churu, Mandi, Pauri Garhwal (Rishikesh) &amp; Champawat GA. Technical I of II Commercial I of II SOR Dispenser -Pauri Garwal (Rishikesh) SOR Dispens</t>
        </is>
      </c>
      <c r="K2324" t="inlineStr">
        <is>
          <t>Not found</t>
        </is>
      </c>
      <c r="L2324" t="inlineStr">
        <is>
          <t>Unknown</t>
        </is>
      </c>
      <c r="T2324" t="inlineStr">
        <is>
          <t>https://www.gasonet.in/files/SOR Dispenser -Pauri Garwal (Rishikesh).xlsx</t>
        </is>
      </c>
      <c r="U2324" t="inlineStr">
        <is>
          <t>No</t>
        </is>
      </c>
      <c r="V2324" t="inlineStr">
        <is>
          <t>Bot tarafindan tespit edildi; date=2026-07-01; type=excel; score=195; Bot tespit/zenginlestirme (2026-07-01); meta:score=35;priority=Low;source_type=html_table;closing_date=;equipment=Gas-related / review;reasons=equipment:Gas-related / review,document source</t>
        </is>
      </c>
    </row>
    <row r="2325">
      <c r="A2325" t="inlineStr">
        <is>
          <t>T-2129</t>
        </is>
      </c>
      <c r="B2325" t="inlineStr">
        <is>
          <t>Gasonet Services</t>
        </is>
      </c>
      <c r="C2325" t="inlineStr">
        <is>
          <t>Gasonet Services</t>
        </is>
      </c>
      <c r="D2325" t="inlineStr">
        <is>
          <t>bid queries_Dispenser</t>
        </is>
      </c>
      <c r="F2325" t="inlineStr">
        <is>
          <t>New Lead</t>
        </is>
      </c>
      <c r="G2325" t="inlineStr">
        <is>
          <t>Gas-related / review</t>
        </is>
      </c>
      <c r="H2325" t="inlineStr">
        <is>
          <t>3 Annual Rate Contract for Supply, Installation &amp; Commissioning of CNG Car and Combo (Car-Bus) Dispenser package at Churu, Mandi, Pauri Garhwal (Rishikesh) &amp; Champawat GA. Technical I of II Commercial I of II SOR Dispenser -Pauri Garwal (Rishikesh) SOR Dispens</t>
        </is>
      </c>
      <c r="K2325" t="inlineStr">
        <is>
          <t>Not found</t>
        </is>
      </c>
      <c r="L2325" t="inlineStr">
        <is>
          <t>Unknown</t>
        </is>
      </c>
      <c r="T2325" t="inlineStr">
        <is>
          <t>https://www.gasonet.in/files/SOR Dispenser -Champawat.xlsx</t>
        </is>
      </c>
      <c r="U2325" t="inlineStr">
        <is>
          <t>No</t>
        </is>
      </c>
      <c r="V2325" t="inlineStr">
        <is>
          <t>Bot tarafindan tespit edildi; date=2026-07-01; type=excel; score=195; Bot tespit/zenginlestirme (2026-07-01); meta:score=35;priority=Low;source_type=html_table;closing_date=;equipment=Gas-related / review;reasons=equipment:Gas-related / review,document source</t>
        </is>
      </c>
    </row>
    <row r="2326">
      <c r="A2326" t="inlineStr">
        <is>
          <t>T-2130</t>
        </is>
      </c>
      <c r="B2326" t="inlineStr">
        <is>
          <t>Gasonet Services</t>
        </is>
      </c>
      <c r="C2326" t="inlineStr">
        <is>
          <t>Gasonet Services</t>
        </is>
      </c>
      <c r="D2326" t="inlineStr">
        <is>
          <t>bid queries_Dispenser</t>
        </is>
      </c>
      <c r="F2326" t="inlineStr">
        <is>
          <t>New Lead</t>
        </is>
      </c>
      <c r="G2326" t="inlineStr">
        <is>
          <t>Gas-related / review</t>
        </is>
      </c>
      <c r="H2326" t="inlineStr">
        <is>
          <t>3 Annual Rate Contract for Supply, Installation &amp; Commissioning of CNG Car and Combo (Car-Bus) Dispenser package at Churu, Mandi, Pauri Garhwal (Rishikesh) &amp; Champawat GA. Technical I of II Commercial I of II SOR Dispenser -Pauri Garwal (Rishikesh) SOR Dispens</t>
        </is>
      </c>
      <c r="K2326" t="inlineStr">
        <is>
          <t>Not found</t>
        </is>
      </c>
      <c r="L2326" t="inlineStr">
        <is>
          <t>Unknown</t>
        </is>
      </c>
      <c r="T2326" t="inlineStr">
        <is>
          <t>https://www.gasonet.in/files/SOR Dispenser -Churu.xlsx</t>
        </is>
      </c>
      <c r="U2326" t="inlineStr">
        <is>
          <t>No</t>
        </is>
      </c>
      <c r="V2326" t="inlineStr">
        <is>
          <t>Bot tarafindan tespit edildi; date=2026-07-01; type=excel; score=195; Bot tespit/zenginlestirme (2026-07-01); meta:score=35;priority=Low;source_type=html_table;closing_date=;equipment=Gas-related / review;reasons=equipment:Gas-related / review,document source</t>
        </is>
      </c>
    </row>
    <row r="2327">
      <c r="A2327" t="inlineStr">
        <is>
          <t>T-2131</t>
        </is>
      </c>
      <c r="B2327" t="inlineStr">
        <is>
          <t>Gasonet Services</t>
        </is>
      </c>
      <c r="C2327" t="inlineStr">
        <is>
          <t>Gasonet Services</t>
        </is>
      </c>
      <c r="D2327" t="inlineStr">
        <is>
          <t>bid queries_Dispenser</t>
        </is>
      </c>
      <c r="F2327" t="inlineStr">
        <is>
          <t>New Lead</t>
        </is>
      </c>
      <c r="G2327" t="inlineStr">
        <is>
          <t>Gas-related / review</t>
        </is>
      </c>
      <c r="H2327" t="inlineStr">
        <is>
          <t>3 Annual Rate Contract for Supply, Installation &amp; Commissioning of CNG Car and Combo (Car-Bus) Dispenser package at Churu, Mandi, Pauri Garhwal (Rishikesh) &amp; Champawat GA. Technical I of II Commercial I of II SOR Dispenser -Pauri Garwal (Rishikesh) SOR Dispens</t>
        </is>
      </c>
      <c r="K2327" t="inlineStr">
        <is>
          <t>Not found</t>
        </is>
      </c>
      <c r="L2327" t="inlineStr">
        <is>
          <t>Unknown</t>
        </is>
      </c>
      <c r="T2327" t="inlineStr">
        <is>
          <t>https://www.gasonet.in/files/SOR Dispenser -Mandi.xlsx</t>
        </is>
      </c>
      <c r="U2327" t="inlineStr">
        <is>
          <t>No</t>
        </is>
      </c>
      <c r="V2327" t="inlineStr">
        <is>
          <t>Bot tarafindan tespit edildi; date=2026-07-01; type=excel; score=195; Bot tespit/zenginlestirme (2026-07-01); meta:score=35;priority=Low;source_type=html_table;closing_date=;equipment=Gas-related / review;reasons=equipment:Gas-related / review,document source</t>
        </is>
      </c>
    </row>
    <row r="2328">
      <c r="A2328" t="inlineStr">
        <is>
          <t>T-2132</t>
        </is>
      </c>
      <c r="B2328" t="inlineStr">
        <is>
          <t>Gasonet Services</t>
        </is>
      </c>
      <c r="C2328" t="inlineStr">
        <is>
          <t>Gasonet Services</t>
        </is>
      </c>
      <c r="D2328" t="inlineStr">
        <is>
          <t>bid queries_Dispenser</t>
        </is>
      </c>
      <c r="F2328" t="inlineStr">
        <is>
          <t>New Lead</t>
        </is>
      </c>
      <c r="G2328" t="inlineStr">
        <is>
          <t>Gas-related / review</t>
        </is>
      </c>
      <c r="H2328" t="inlineStr">
        <is>
          <t>3 Annual Rate Contract for Supply, Installation &amp; Commissioning of CNG Car and Combo (Car-Bus) Dispenser package at Churu, Mandi, Pauri Garhwal (Rishikesh) &amp; Champawat GA. Technical I of II Commercial I of II SOR Dispenser -Pauri Garwal (Rishikesh) SOR Dispens</t>
        </is>
      </c>
      <c r="K2328" t="inlineStr">
        <is>
          <t>Not found</t>
        </is>
      </c>
      <c r="L2328" t="inlineStr">
        <is>
          <t>Unknown</t>
        </is>
      </c>
      <c r="T2328" t="inlineStr">
        <is>
          <t>https://www.gasonet.in/files/Revised_SOR Dispenser -Pauri Garwal (Rishikesh).xlsx</t>
        </is>
      </c>
      <c r="U2328" t="inlineStr">
        <is>
          <t>No</t>
        </is>
      </c>
      <c r="V2328" t="inlineStr">
        <is>
          <t>Bot tarafindan tespit edildi; date=2026-07-01; type=excel; score=195; Bot tespit/zenginlestirme (2026-07-01); meta:score=35;priority=Low;source_type=html_table;closing_date=;equipment=Gas-related / review;reasons=equipment:Gas-related / review,document source</t>
        </is>
      </c>
    </row>
    <row r="2329">
      <c r="A2329" t="inlineStr">
        <is>
          <t>T-2133</t>
        </is>
      </c>
      <c r="B2329" t="inlineStr">
        <is>
          <t>Gasonet Services</t>
        </is>
      </c>
      <c r="C2329" t="inlineStr">
        <is>
          <t>Gasonet Services</t>
        </is>
      </c>
      <c r="D2329" t="inlineStr">
        <is>
          <t>bid queries_Dispenser</t>
        </is>
      </c>
      <c r="F2329" t="inlineStr">
        <is>
          <t>New Lead</t>
        </is>
      </c>
      <c r="G2329" t="inlineStr">
        <is>
          <t>Gas-related / review</t>
        </is>
      </c>
      <c r="H2329" t="inlineStr">
        <is>
          <t>3 Annual Rate Contract for Supply, Installation &amp; Commissioning of CNG Car and Combo (Car-Bus) Dispenser package at Churu, Mandi, Pauri Garhwal (Rishikesh) &amp; Champawat GA. Technical I of II Commercial I of II SOR Dispenser -Pauri Garwal (Rishikesh) SOR Dispens</t>
        </is>
      </c>
      <c r="K2329" t="inlineStr">
        <is>
          <t>Not found</t>
        </is>
      </c>
      <c r="L2329" t="inlineStr">
        <is>
          <t>Unknown</t>
        </is>
      </c>
      <c r="T2329" t="inlineStr">
        <is>
          <t>https://www.gasonet.in/files/Revised_SOR Dispenser -Champawat.xlsx</t>
        </is>
      </c>
      <c r="U2329" t="inlineStr">
        <is>
          <t>No</t>
        </is>
      </c>
      <c r="V2329" t="inlineStr">
        <is>
          <t>Bot tarafindan tespit edildi; date=2026-07-01; type=excel; score=195; Bot tespit/zenginlestirme (2026-07-01); meta:score=35;priority=Low;source_type=html_table;closing_date=;equipment=Gas-related / review;reasons=equipment:Gas-related / review,document source</t>
        </is>
      </c>
    </row>
    <row r="2330">
      <c r="A2330" t="inlineStr">
        <is>
          <t>T-2134</t>
        </is>
      </c>
      <c r="B2330" t="inlineStr">
        <is>
          <t>Gasonet Services</t>
        </is>
      </c>
      <c r="C2330" t="inlineStr">
        <is>
          <t>Gasonet Services</t>
        </is>
      </c>
      <c r="D2330" t="inlineStr">
        <is>
          <t>bid queries_Dispenser</t>
        </is>
      </c>
      <c r="F2330" t="inlineStr">
        <is>
          <t>New Lead</t>
        </is>
      </c>
      <c r="G2330" t="inlineStr">
        <is>
          <t>Gas-related / review</t>
        </is>
      </c>
      <c r="H2330" t="inlineStr">
        <is>
          <t>3 Annual Rate Contract for Supply, Installation &amp; Commissioning of CNG Car and Combo (Car-Bus) Dispenser package at Churu, Mandi, Pauri Garhwal (Rishikesh) &amp; Champawat GA. Technical I of II Commercial I of II SOR Dispenser -Pauri Garwal (Rishikesh) SOR Dispens</t>
        </is>
      </c>
      <c r="K2330" t="inlineStr">
        <is>
          <t>Not found</t>
        </is>
      </c>
      <c r="L2330" t="inlineStr">
        <is>
          <t>Unknown</t>
        </is>
      </c>
      <c r="T2330" t="inlineStr">
        <is>
          <t>https://www.gasonet.in/files/Revised_SOR Dispenser -Mandi.xlsx</t>
        </is>
      </c>
      <c r="U2330" t="inlineStr">
        <is>
          <t>No</t>
        </is>
      </c>
      <c r="V2330" t="inlineStr">
        <is>
          <t>Bot tarafindan tespit edildi; date=2026-07-01; type=excel; score=195; Bot tespit/zenginlestirme (2026-07-01); meta:score=35;priority=Low;source_type=html_table;closing_date=;equipment=Gas-related / review;reasons=equipment:Gas-related / review,document source</t>
        </is>
      </c>
    </row>
    <row r="2331">
      <c r="A2331" t="inlineStr">
        <is>
          <t>T-2135</t>
        </is>
      </c>
      <c r="B2331" t="inlineStr">
        <is>
          <t>Gasonet Services</t>
        </is>
      </c>
      <c r="C2331" t="inlineStr">
        <is>
          <t>Gasonet Services</t>
        </is>
      </c>
      <c r="D2331" t="inlineStr">
        <is>
          <t>bid queries_Dispenser</t>
        </is>
      </c>
      <c r="F2331" t="inlineStr">
        <is>
          <t>New Lead</t>
        </is>
      </c>
      <c r="G2331" t="inlineStr">
        <is>
          <t>Gas-related / review</t>
        </is>
      </c>
      <c r="H2331" t="inlineStr">
        <is>
          <t>3 Annual Rate Contract for Supply, Installation &amp; Commissioning of CNG Car and Combo (Car-Bus) Dispenser package at Churu, Mandi, Pauri Garhwal (Rishikesh) &amp; Champawat GA. Technical I of II Commercial I of II SOR Dispenser -Pauri Garwal (Rishikesh) SOR Dispens</t>
        </is>
      </c>
      <c r="K2331" t="inlineStr">
        <is>
          <t>Not found</t>
        </is>
      </c>
      <c r="L2331" t="inlineStr">
        <is>
          <t>Unknown</t>
        </is>
      </c>
      <c r="T2331" t="inlineStr">
        <is>
          <t>https://www.gasonet.in/files/Revised_SOR Dispenser -Churu.xlsx</t>
        </is>
      </c>
      <c r="U2331" t="inlineStr">
        <is>
          <t>No</t>
        </is>
      </c>
      <c r="V2331" t="inlineStr">
        <is>
          <t>Bot tarafindan tespit edildi; date=2026-07-01; type=excel; score=195; Bot tespit/zenginlestirme (2026-07-01); meta:score=35;priority=Low;source_type=html_table;closing_date=;equipment=Gas-related / review;reasons=equipment:Gas-related / review,document source</t>
        </is>
      </c>
    </row>
    <row r="2332">
      <c r="A2332" t="inlineStr">
        <is>
          <t>T-2136</t>
        </is>
      </c>
      <c r="B2332" t="inlineStr">
        <is>
          <t>Gasonet Services</t>
        </is>
      </c>
      <c r="C2332" t="inlineStr">
        <is>
          <t>Gasonet Services</t>
        </is>
      </c>
      <c r="D2332" t="inlineStr">
        <is>
          <t>TENDER DOCUMENT</t>
        </is>
      </c>
      <c r="F2332" t="inlineStr">
        <is>
          <t>New Lead</t>
        </is>
      </c>
      <c r="G2332" t="inlineStr">
        <is>
          <t>Gas-related / review</t>
        </is>
      </c>
      <c r="H2332" t="inlineStr">
        <is>
          <t>5 Annual Rate Contract For Hiring of HCV / MCV / LCV For CNG Transportation in Himachal, Rajasthan &amp; Uttarakhand GA'S TENDER DOCUMENT HCV-MCV-LCV HIRING-Comments SOR for LCV-HCV - UK- East SOR for LCV-HCV RAJASTHAN SOR for LCV-HCV - UK - West SOR for LCV-HCV -</t>
        </is>
      </c>
      <c r="K2332" t="inlineStr">
        <is>
          <t>Not found</t>
        </is>
      </c>
      <c r="L2332" t="inlineStr">
        <is>
          <t>Unknown</t>
        </is>
      </c>
      <c r="T2332" t="inlineStr">
        <is>
          <t>https://www.gasonet.in/files/SOR for LCV-HCV - UK- East.xlsx</t>
        </is>
      </c>
      <c r="U2332" t="inlineStr">
        <is>
          <t>No</t>
        </is>
      </c>
      <c r="V2332" t="inlineStr">
        <is>
          <t>Bot tarafindan tespit edildi; date=2026-07-01; type=excel; score=195; Bot tespit/zenginlestirme (2026-07-01); meta:score=35;priority=Low;source_type=html_table;closing_date=;equipment=Gas-related / review;reasons=equipment:Gas-related / review,document source</t>
        </is>
      </c>
    </row>
    <row r="2333">
      <c r="A2333" t="inlineStr">
        <is>
          <t>T-2137</t>
        </is>
      </c>
      <c r="B2333" t="inlineStr">
        <is>
          <t>Gasonet Services</t>
        </is>
      </c>
      <c r="C2333" t="inlineStr">
        <is>
          <t>Gasonet Services</t>
        </is>
      </c>
      <c r="D2333" t="inlineStr">
        <is>
          <t>TENDER DOCUMENT</t>
        </is>
      </c>
      <c r="F2333" t="inlineStr">
        <is>
          <t>New Lead</t>
        </is>
      </c>
      <c r="G2333" t="inlineStr">
        <is>
          <t>Gas-related / review</t>
        </is>
      </c>
      <c r="H2333" t="inlineStr">
        <is>
          <t>5 Annual Rate Contract For Hiring of HCV / MCV / LCV For CNG Transportation in Himachal, Rajasthan &amp; Uttarakhand GA'S TENDER DOCUMENT HCV-MCV-LCV HIRING-Comments SOR for LCV-HCV - UK- East SOR for LCV-HCV RAJASTHAN SOR for LCV-HCV - UK - West SOR for LCV-HCV -</t>
        </is>
      </c>
      <c r="K2333" t="inlineStr">
        <is>
          <t>Not found</t>
        </is>
      </c>
      <c r="L2333" t="inlineStr">
        <is>
          <t>Unknown</t>
        </is>
      </c>
      <c r="T2333" t="inlineStr">
        <is>
          <t>https://www.gasonet.in/files/SOR for LCV-HCV RAJASTHAN.xlsx</t>
        </is>
      </c>
      <c r="U2333" t="inlineStr">
        <is>
          <t>No</t>
        </is>
      </c>
      <c r="V2333" t="inlineStr">
        <is>
          <t>Bot tarafindan tespit edildi; date=2026-07-01; type=excel; score=195; Bot tespit/zenginlestirme (2026-07-01); meta:score=35;priority=Low;source_type=html_table;closing_date=;equipment=Gas-related / review;reasons=equipment:Gas-related / review,document source</t>
        </is>
      </c>
    </row>
    <row r="2334">
      <c r="A2334" t="inlineStr">
        <is>
          <t>T-2138</t>
        </is>
      </c>
      <c r="B2334" t="inlineStr">
        <is>
          <t>Gasonet Services</t>
        </is>
      </c>
      <c r="C2334" t="inlineStr">
        <is>
          <t>Gasonet Services</t>
        </is>
      </c>
      <c r="D2334" t="inlineStr">
        <is>
          <t>TENDER DOCUMENT</t>
        </is>
      </c>
      <c r="F2334" t="inlineStr">
        <is>
          <t>New Lead</t>
        </is>
      </c>
      <c r="G2334" t="inlineStr">
        <is>
          <t>Gas-related / review</t>
        </is>
      </c>
      <c r="H2334" t="inlineStr">
        <is>
          <t>5 Annual Rate Contract For Hiring of HCV / MCV / LCV For CNG Transportation in Himachal, Rajasthan &amp; Uttarakhand GA'S TENDER DOCUMENT HCV-MCV-LCV HIRING-Comments SOR for LCV-HCV - UK- East SOR for LCV-HCV RAJASTHAN SOR for LCV-HCV - UK - West SOR for LCV-HCV -</t>
        </is>
      </c>
      <c r="K2334" t="inlineStr">
        <is>
          <t>Not found</t>
        </is>
      </c>
      <c r="L2334" t="inlineStr">
        <is>
          <t>Unknown</t>
        </is>
      </c>
      <c r="T2334" t="inlineStr">
        <is>
          <t>https://www.gasonet.in/files/SOR for LCV-HCV - UK - West.xlsx</t>
        </is>
      </c>
      <c r="U2334" t="inlineStr">
        <is>
          <t>No</t>
        </is>
      </c>
      <c r="V2334" t="inlineStr">
        <is>
          <t>Bot tarafindan tespit edildi; date=2026-07-01; type=excel; score=195; Bot tespit/zenginlestirme (2026-07-01); meta:score=35;priority=Low;source_type=html_table;closing_date=;equipment=Gas-related / review;reasons=equipment:Gas-related / review,document source</t>
        </is>
      </c>
    </row>
    <row r="2335">
      <c r="A2335" t="inlineStr">
        <is>
          <t>T-2139</t>
        </is>
      </c>
      <c r="B2335" t="inlineStr">
        <is>
          <t>Gasonet Services</t>
        </is>
      </c>
      <c r="C2335" t="inlineStr">
        <is>
          <t>Gasonet Services</t>
        </is>
      </c>
      <c r="D2335" t="inlineStr">
        <is>
          <t>TENDER DOCUMENT</t>
        </is>
      </c>
      <c r="F2335" t="inlineStr">
        <is>
          <t>New Lead</t>
        </is>
      </c>
      <c r="G2335" t="inlineStr">
        <is>
          <t>Gas-related / review</t>
        </is>
      </c>
      <c r="H2335" t="inlineStr">
        <is>
          <t>5 Annual Rate Contract For Hiring of HCV / MCV / LCV For CNG Transportation in Himachal, Rajasthan &amp; Uttarakhand GA'S TENDER DOCUMENT HCV-MCV-LCV HIRING-Comments SOR for LCV-HCV - UK- East SOR for LCV-HCV RAJASTHAN SOR for LCV-HCV - UK - West SOR for LCV-HCV -</t>
        </is>
      </c>
      <c r="K2335" t="inlineStr">
        <is>
          <t>Not found</t>
        </is>
      </c>
      <c r="L2335" t="inlineStr">
        <is>
          <t>Unknown</t>
        </is>
      </c>
      <c r="T2335" t="inlineStr">
        <is>
          <t>https://www.gasonet.in/files/Uttrakhand-East GA.xlsx</t>
        </is>
      </c>
      <c r="U2335" t="inlineStr">
        <is>
          <t>No</t>
        </is>
      </c>
      <c r="V2335" t="inlineStr">
        <is>
          <t>Bot tarafindan tespit edildi; date=2026-07-01; type=excel; score=195; Bot tespit/zenginlestirme (2026-07-01); meta:score=35;priority=Low;source_type=html_table;closing_date=;equipment=Gas-related / review;reasons=equipment:Gas-related / review,document source</t>
        </is>
      </c>
    </row>
    <row r="2336">
      <c r="A2336" t="inlineStr">
        <is>
          <t>T-2140</t>
        </is>
      </c>
      <c r="B2336" t="inlineStr">
        <is>
          <t>Gasonet Services</t>
        </is>
      </c>
      <c r="C2336" t="inlineStr">
        <is>
          <t>Gasonet Services</t>
        </is>
      </c>
      <c r="D2336" t="inlineStr">
        <is>
          <t>TENDER DOCUMENT</t>
        </is>
      </c>
      <c r="F2336" t="inlineStr">
        <is>
          <t>New Lead</t>
        </is>
      </c>
      <c r="G2336" t="inlineStr">
        <is>
          <t>Gas-related / review</t>
        </is>
      </c>
      <c r="H2336" t="inlineStr">
        <is>
          <t>5 Annual Rate Contract For Hiring of HCV / MCV / LCV For CNG Transportation in Himachal, Rajasthan &amp; Uttarakhand GA'S TENDER DOCUMENT HCV-MCV-LCV HIRING-Comments SOR for LCV-HCV - UK- East SOR for LCV-HCV RAJASTHAN SOR for LCV-HCV - UK - West SOR for LCV-HCV -</t>
        </is>
      </c>
      <c r="K2336" t="inlineStr">
        <is>
          <t>Not found</t>
        </is>
      </c>
      <c r="L2336" t="inlineStr">
        <is>
          <t>Unknown</t>
        </is>
      </c>
      <c r="T2336" t="inlineStr">
        <is>
          <t>https://www.gasonet.in/files/HP -GA.xlsx</t>
        </is>
      </c>
      <c r="U2336" t="inlineStr">
        <is>
          <t>No</t>
        </is>
      </c>
      <c r="V2336" t="inlineStr">
        <is>
          <t>Bot tarafindan tespit edildi; date=2026-07-01; type=excel; score=195; Bot tespit/zenginlestirme (2026-07-01); meta:score=35;priority=Low;source_type=html_table;closing_date=;equipment=Gas-related / review;reasons=equipment:Gas-related / review,document source</t>
        </is>
      </c>
    </row>
    <row r="2337">
      <c r="A2337" t="inlineStr">
        <is>
          <t>T-2141</t>
        </is>
      </c>
      <c r="B2337" t="inlineStr">
        <is>
          <t>Gasonet Services</t>
        </is>
      </c>
      <c r="C2337" t="inlineStr">
        <is>
          <t>Gasonet Services</t>
        </is>
      </c>
      <c r="D2337" t="inlineStr">
        <is>
          <t>TENDER DOCUMENT</t>
        </is>
      </c>
      <c r="F2337" t="inlineStr">
        <is>
          <t>New Lead</t>
        </is>
      </c>
      <c r="G2337" t="inlineStr">
        <is>
          <t>Gas-related / review</t>
        </is>
      </c>
      <c r="H2337" t="inlineStr">
        <is>
          <t>5 Annual Rate Contract For Hiring of HCV / MCV / LCV For CNG Transportation in Himachal, Rajasthan &amp; Uttarakhand GA'S TENDER DOCUMENT HCV-MCV-LCV HIRING-Comments SOR for LCV-HCV - UK- East SOR for LCV-HCV RAJASTHAN SOR for LCV-HCV - UK - West SOR for LCV-HCV -</t>
        </is>
      </c>
      <c r="K2337" t="inlineStr">
        <is>
          <t>Not found</t>
        </is>
      </c>
      <c r="L2337" t="inlineStr">
        <is>
          <t>Unknown</t>
        </is>
      </c>
      <c r="T2337" t="inlineStr">
        <is>
          <t>https://www.gasonet.in/files/Rajasthan GA.xlsx</t>
        </is>
      </c>
      <c r="U2337" t="inlineStr">
        <is>
          <t>No</t>
        </is>
      </c>
      <c r="V2337" t="inlineStr">
        <is>
          <t>Bot tarafindan tespit edildi; date=2026-07-01; type=excel; score=195; Bot tespit/zenginlestirme (2026-07-01); meta:score=35;priority=Low;source_type=html_table;closing_date=;equipment=Gas-related / review;reasons=equipment:Gas-related / review,document source</t>
        </is>
      </c>
    </row>
    <row r="2338">
      <c r="A2338" t="inlineStr">
        <is>
          <t>T-2142</t>
        </is>
      </c>
      <c r="B2338" t="inlineStr">
        <is>
          <t>Gasonet Services</t>
        </is>
      </c>
      <c r="C2338" t="inlineStr">
        <is>
          <t>Gasonet Services</t>
        </is>
      </c>
      <c r="D2338" t="inlineStr">
        <is>
          <t>TENDER DOCUMENT</t>
        </is>
      </c>
      <c r="F2338" t="inlineStr">
        <is>
          <t>New Lead</t>
        </is>
      </c>
      <c r="G2338" t="inlineStr">
        <is>
          <t>Gas-related / review</t>
        </is>
      </c>
      <c r="H2338" t="inlineStr">
        <is>
          <t>5 Annual Rate Contract For Hiring of HCV / MCV / LCV For CNG Transportation in Himachal, Rajasthan &amp; Uttarakhand GA'S TENDER DOCUMENT HCV-MCV-LCV HIRING-Comments SOR for LCV-HCV - UK- East SOR for LCV-HCV RAJASTHAN SOR for LCV-HCV - UK - West SOR for LCV-HCV -</t>
        </is>
      </c>
      <c r="K2338" t="inlineStr">
        <is>
          <t>Not found</t>
        </is>
      </c>
      <c r="L2338" t="inlineStr">
        <is>
          <t>Unknown</t>
        </is>
      </c>
      <c r="T2338" t="inlineStr">
        <is>
          <t>https://www.gasonet.in/files/Uttrakhand WEST GA.xlsx</t>
        </is>
      </c>
      <c r="U2338" t="inlineStr">
        <is>
          <t>No</t>
        </is>
      </c>
      <c r="V2338" t="inlineStr">
        <is>
          <t>Bot tarafindan tespit edildi; date=2026-07-01; type=excel; score=195; Bot tespit/zenginlestirme (2026-07-01); meta:score=35;priority=Low;source_type=html_table;closing_date=;equipment=Gas-related / review;reasons=equipment:Gas-related / review,document source</t>
        </is>
      </c>
    </row>
    <row r="2339">
      <c r="A2339" t="inlineStr">
        <is>
          <t>T-2143</t>
        </is>
      </c>
      <c r="B2339" t="inlineStr">
        <is>
          <t>Gasonet Services</t>
        </is>
      </c>
      <c r="C2339" t="inlineStr">
        <is>
          <t>Gasonet Services</t>
        </is>
      </c>
      <c r="D2339" t="inlineStr">
        <is>
          <t>Tender No. : GSL/RJ/CO/C</t>
        </is>
      </c>
      <c r="E2339" t="inlineStr">
        <is>
          <t>27-06-2025</t>
        </is>
      </c>
      <c r="F2339" t="inlineStr">
        <is>
          <t>New Lead</t>
        </is>
      </c>
      <c r="G2339" t="inlineStr">
        <is>
          <t>Gas-related / review</t>
        </is>
      </c>
      <c r="H2339" t="inlineStr">
        <is>
          <t>18 Transportation of Liquefied Natural Gas (LNG) by Road from Dahej Terminal. Tender No. : GSL/RJ/CO/C&amp;P-PROJECTS/BD202506S001 Tender Document PNGRB - Transporation GCC CPBG - GSRJL Replies to Bidder Queries 27-06-2025 at 11:30 Hrs. 10-07-2025 till 16:00 Hrs.</t>
        </is>
      </c>
      <c r="K2339" t="inlineStr">
        <is>
          <t>Not found</t>
        </is>
      </c>
      <c r="L2339" t="inlineStr">
        <is>
          <t>Unknown</t>
        </is>
      </c>
      <c r="T2339" t="inlineStr">
        <is>
          <t>https://www.gasonet.in/files/PNGRB- Transporation.pdf</t>
        </is>
      </c>
      <c r="U2339" t="inlineStr">
        <is>
          <t>No</t>
        </is>
      </c>
      <c r="V2339" t="inlineStr">
        <is>
          <t>Bot tarafindan tespit edildi; date=2026-07-01; type=pdf; score=195; Bot tespit/zenginlestirme (2026-07-01); meta:score=50;priority=Medium;source_type=html_table;closing_date=;equipment=Gas-related / review;reasons=equipment:Gas-related / review,document source,tender reference signal</t>
        </is>
      </c>
    </row>
    <row r="2340">
      <c r="A2340" t="inlineStr">
        <is>
          <t>T-2144</t>
        </is>
      </c>
      <c r="B2340" t="inlineStr">
        <is>
          <t>Gasonet Services</t>
        </is>
      </c>
      <c r="C2340" t="inlineStr">
        <is>
          <t>Gasonet Services</t>
        </is>
      </c>
      <c r="D2340" t="inlineStr">
        <is>
          <t>Tender No. : GSL/RJ/CO/C</t>
        </is>
      </c>
      <c r="E2340" t="inlineStr">
        <is>
          <t>27-06-2025</t>
        </is>
      </c>
      <c r="F2340" t="inlineStr">
        <is>
          <t>New Lead</t>
        </is>
      </c>
      <c r="G2340" t="inlineStr">
        <is>
          <t>Gas-related / review</t>
        </is>
      </c>
      <c r="H2340" t="inlineStr">
        <is>
          <t>18 Transportation of Liquefied Natural Gas (LNG) by Road from Dahej Terminal. Tender No. : GSL/RJ/CO/C&amp;P-PROJECTS/BD202506S001 Tender Document PNGRB - Transporation GCC CPBG - GSRJL Replies to Bidder Queries 27-06-2025 at 11:30 Hrs. 10-07-2025 till 16:00 Hrs.</t>
        </is>
      </c>
      <c r="K2340" t="inlineStr">
        <is>
          <t>Not found</t>
        </is>
      </c>
      <c r="L2340" t="inlineStr">
        <is>
          <t>Unknown</t>
        </is>
      </c>
      <c r="T2340" t="inlineStr">
        <is>
          <t>https://www.gasonet.in/files/18-GCC.pdf</t>
        </is>
      </c>
      <c r="U2340" t="inlineStr">
        <is>
          <t>No</t>
        </is>
      </c>
      <c r="V2340" t="inlineStr">
        <is>
          <t>Bot tarafindan tespit edildi; date=2026-07-01; type=pdf; score=195; Bot tespit/zenginlestirme (2026-07-01); meta:score=50;priority=Medium;source_type=html_table;closing_date=;equipment=Gas-related / review;reasons=equipment:Gas-related / review,document source,tender reference signal</t>
        </is>
      </c>
    </row>
    <row r="2341">
      <c r="A2341" t="inlineStr">
        <is>
          <t>T-2145</t>
        </is>
      </c>
      <c r="B2341" t="inlineStr">
        <is>
          <t>Gasonet Services</t>
        </is>
      </c>
      <c r="C2341" t="inlineStr">
        <is>
          <t>Gasonet Services</t>
        </is>
      </c>
      <c r="D2341" t="inlineStr">
        <is>
          <t>Tender No. : GSL/RJ/CO/C</t>
        </is>
      </c>
      <c r="E2341" t="inlineStr">
        <is>
          <t>27-06-2025</t>
        </is>
      </c>
      <c r="F2341" t="inlineStr">
        <is>
          <t>New Lead</t>
        </is>
      </c>
      <c r="G2341" t="inlineStr">
        <is>
          <t>Gas-related / review</t>
        </is>
      </c>
      <c r="H2341" t="inlineStr">
        <is>
          <t>18 Transportation of Liquefied Natural Gas (LNG) by Road from Dahej Terminal. Tender No. : GSL/RJ/CO/C&amp;P-PROJECTS/BD202506S001 Tender Document PNGRB - Transporation GCC CPBG - GSRJL Replies to Bidder Queries 27-06-2025 at 11:30 Hrs. 10-07-2025 till 16:00 Hrs.</t>
        </is>
      </c>
      <c r="K2341" t="inlineStr">
        <is>
          <t>Not found</t>
        </is>
      </c>
      <c r="L2341" t="inlineStr">
        <is>
          <t>Unknown</t>
        </is>
      </c>
      <c r="T2341" t="inlineStr">
        <is>
          <t>https://www.gasonet.in/files/CPBG_GSRJL.docx</t>
        </is>
      </c>
      <c r="U2341" t="inlineStr">
        <is>
          <t>No</t>
        </is>
      </c>
      <c r="V2341" t="inlineStr">
        <is>
          <t>Bot tarafindan tespit edildi; date=2026-07-01; type=doc; score=195; Bot tespit/zenginlestirme (2026-07-01); meta:score=50;priority=Medium;source_type=html_table;closing_date=;equipment=Gas-related / review;reasons=equipment:Gas-related / review,document source,tender reference signal</t>
        </is>
      </c>
    </row>
    <row r="2342">
      <c r="A2342" t="inlineStr">
        <is>
          <t>T-2146</t>
        </is>
      </c>
      <c r="B2342" t="inlineStr">
        <is>
          <t>Gasonet Services</t>
        </is>
      </c>
      <c r="C2342" t="inlineStr">
        <is>
          <t>Gasonet Services</t>
        </is>
      </c>
      <c r="D2342" t="inlineStr">
        <is>
          <t>Tender No. : GASONET/C</t>
        </is>
      </c>
      <c r="F2342" t="inlineStr">
        <is>
          <t>New Lead</t>
        </is>
      </c>
      <c r="G2342" t="inlineStr">
        <is>
          <t>Gas-related / review</t>
        </is>
      </c>
      <c r="H2342" t="inlineStr">
        <is>
          <t>26 PROCUREMENT OF THE MLC PIPE FOR RAJASTHAN GA, HIMACHAL PRADESH GA &amp; UTTRAKHAND (UK-E &amp; UK-W) GA Tender No. : GASONET/C&amp;P/PNG/MLC PIPE/2025-2026/011 Bidders are required to submit a filled SOR, a duly signed and stamped PDF copy with password protected file,</t>
        </is>
      </c>
      <c r="K2342" t="inlineStr">
        <is>
          <t>Not found</t>
        </is>
      </c>
      <c r="L2342" t="inlineStr">
        <is>
          <t>Unknown</t>
        </is>
      </c>
      <c r="T2342" t="inlineStr">
        <is>
          <t>https://www.gasonet.in/files/26-GCC.pdf</t>
        </is>
      </c>
      <c r="U2342" t="inlineStr">
        <is>
          <t>No</t>
        </is>
      </c>
      <c r="V2342" t="inlineStr">
        <is>
          <t>Bot tarafindan tespit edildi; date=2026-07-01; type=pdf; score=185; Bot tespit/zenginlestirme (2026-07-01); meta:score=15;priority=Low;source_type=html_table;closing_date=;equipment=Gas-related / review;reasons=equipment:Gas-related / review,document source,tender reference signal,access/action page</t>
        </is>
      </c>
    </row>
    <row r="2343">
      <c r="A2343" t="inlineStr">
        <is>
          <t>T-2147</t>
        </is>
      </c>
      <c r="B2343" t="inlineStr">
        <is>
          <t>Gasonet Services</t>
        </is>
      </c>
      <c r="C2343" t="inlineStr">
        <is>
          <t>Gasonet Services</t>
        </is>
      </c>
      <c r="D2343" t="inlineStr">
        <is>
          <t>Tender No. : GASONET/C</t>
        </is>
      </c>
      <c r="F2343" t="inlineStr">
        <is>
          <t>New Lead</t>
        </is>
      </c>
      <c r="G2343" t="inlineStr">
        <is>
          <t>Gas-related / review</t>
        </is>
      </c>
      <c r="H2343" t="inlineStr">
        <is>
          <t>26 PROCUREMENT OF THE MLC PIPE FOR RAJASTHAN GA, HIMACHAL PRADESH GA &amp; UTTRAKHAND (UK-E &amp; UK-W) GA Tender No. : GASONET/C&amp;P/PNG/MLC PIPE/2025-2026/011 Bidders are required to submit a filled SOR, a duly signed and stamped PDF copy with password protected file,</t>
        </is>
      </c>
      <c r="K2343" t="inlineStr">
        <is>
          <t>Not found</t>
        </is>
      </c>
      <c r="L2343" t="inlineStr">
        <is>
          <t>Unknown</t>
        </is>
      </c>
      <c r="T2343" t="inlineStr">
        <is>
          <t>https://www.gasonet.in/files/26-SOR-MLC-PIPE-FITTINGS.xlsx</t>
        </is>
      </c>
      <c r="U2343" t="inlineStr">
        <is>
          <t>No</t>
        </is>
      </c>
      <c r="V2343" t="inlineStr">
        <is>
          <t>Bot tarafindan tespit edildi; date=2026-07-01; type=excel; score=185; Bot tespit/zenginlestirme (2026-07-01); meta:score=15;priority=Low;source_type=html_table;closing_date=;equipment=Gas-related / review;reasons=equipment:Gas-related / review,document source,tender reference signal,access/action page</t>
        </is>
      </c>
    </row>
    <row r="2344">
      <c r="A2344" t="inlineStr">
        <is>
          <t>T-2148</t>
        </is>
      </c>
      <c r="B2344" t="inlineStr">
        <is>
          <t>Gasonet Services</t>
        </is>
      </c>
      <c r="C2344" t="inlineStr">
        <is>
          <t>Gasonet Services</t>
        </is>
      </c>
      <c r="D2344" t="inlineStr">
        <is>
          <t>Tender No. : GASONET/C</t>
        </is>
      </c>
      <c r="F2344" t="inlineStr">
        <is>
          <t>New Lead</t>
        </is>
      </c>
      <c r="G2344" t="inlineStr">
        <is>
          <t>Gas-related / review</t>
        </is>
      </c>
      <c r="H2344" t="inlineStr">
        <is>
          <t>26 PROCUREMENT OF THE MLC PIPE FOR RAJASTHAN GA, HIMACHAL PRADESH GA &amp; UTTRAKHAND (UK-E &amp; UK-W) GA Tender No. : GASONET/C&amp;P/PNG/MLC PIPE/2025-2026/011 Bidders are required to submit a filled SOR, a duly signed and stamped PDF copy with password protected file,</t>
        </is>
      </c>
      <c r="K2344" t="inlineStr">
        <is>
          <t>Not found</t>
        </is>
      </c>
      <c r="L2344" t="inlineStr">
        <is>
          <t>Unknown</t>
        </is>
      </c>
      <c r="T2344" t="inlineStr">
        <is>
          <t>https://www.gasonet.in/files/26-SOR.pdf</t>
        </is>
      </c>
      <c r="U2344" t="inlineStr">
        <is>
          <t>No</t>
        </is>
      </c>
      <c r="V2344" t="inlineStr">
        <is>
          <t>Bot tarafindan tespit edildi; date=2026-07-01; type=pdf; score=185; Bot tespit/zenginlestirme (2026-07-01); meta:score=15;priority=Low;source_type=html_table;closing_date=;equipment=Gas-related / review;reasons=equipment:Gas-related / review,document source,tender reference signal,access/action page</t>
        </is>
      </c>
    </row>
    <row r="2345">
      <c r="A2345" t="inlineStr">
        <is>
          <t>T-2149</t>
        </is>
      </c>
      <c r="B2345" t="inlineStr">
        <is>
          <t>Gasonet Services</t>
        </is>
      </c>
      <c r="C2345" t="inlineStr">
        <is>
          <t>Gasonet Services</t>
        </is>
      </c>
      <c r="D2345" t="inlineStr">
        <is>
          <t>Tender No. : GASONET/C</t>
        </is>
      </c>
      <c r="F2345" t="inlineStr">
        <is>
          <t>New Lead</t>
        </is>
      </c>
      <c r="G2345" t="inlineStr">
        <is>
          <t>Gas-related / review</t>
        </is>
      </c>
      <c r="H2345" t="inlineStr">
        <is>
          <t>27 PROCUREMENT OF THE GI PIPE FOR RAJASTHAN GA, HIMACHAL PRADESH GA &amp; UTTRAKHAND (UK-E &amp; UK-W) GA Tender No. : GASONET/C&amp;P/PNG/GI PIPE/2025-2026/012 Bidders are required to submit a filled SOR, a duly signed and stamped PDF copy with password protected file, a</t>
        </is>
      </c>
      <c r="K2345" t="inlineStr">
        <is>
          <t>Not found</t>
        </is>
      </c>
      <c r="L2345" t="inlineStr">
        <is>
          <t>Unknown</t>
        </is>
      </c>
      <c r="T2345" t="inlineStr">
        <is>
          <t>https://www.gasonet.in/files/27-GCC.pdf</t>
        </is>
      </c>
      <c r="U2345" t="inlineStr">
        <is>
          <t>No</t>
        </is>
      </c>
      <c r="V2345" t="inlineStr">
        <is>
          <t>Bot tarafindan tespit edildi; date=2026-07-01; type=pdf; score=185; Bot tespit/zenginlestirme (2026-07-01); meta:score=15;priority=Low;source_type=html_table;closing_date=;equipment=Gas-related / review;reasons=equipment:Gas-related / review,document source,tender reference signal,access/action page</t>
        </is>
      </c>
    </row>
    <row r="2346">
      <c r="A2346" t="inlineStr">
        <is>
          <t>T-2150</t>
        </is>
      </c>
      <c r="B2346" t="inlineStr">
        <is>
          <t>Gasonet Services</t>
        </is>
      </c>
      <c r="C2346" t="inlineStr">
        <is>
          <t>Gasonet Services</t>
        </is>
      </c>
      <c r="D2346" t="inlineStr">
        <is>
          <t>Tender No. : GASONET/C</t>
        </is>
      </c>
      <c r="F2346" t="inlineStr">
        <is>
          <t>New Lead</t>
        </is>
      </c>
      <c r="G2346" t="inlineStr">
        <is>
          <t>Gas-related / review</t>
        </is>
      </c>
      <c r="H2346" t="inlineStr">
        <is>
          <t>27 PROCUREMENT OF THE GI PIPE FOR RAJASTHAN GA, HIMACHAL PRADESH GA &amp; UTTRAKHAND (UK-E &amp; UK-W) GA Tender No. : GASONET/C&amp;P/PNG/GI PIPE/2025-2026/012 Bidders are required to submit a filled SOR, a duly signed and stamped PDF copy with password protected file, a</t>
        </is>
      </c>
      <c r="K2346" t="inlineStr">
        <is>
          <t>Not found</t>
        </is>
      </c>
      <c r="L2346" t="inlineStr">
        <is>
          <t>Unknown</t>
        </is>
      </c>
      <c r="T2346" t="inlineStr">
        <is>
          <t>https://www.gasonet.in/files/27-SOR _GI-PIPE.xlsx</t>
        </is>
      </c>
      <c r="U2346" t="inlineStr">
        <is>
          <t>No</t>
        </is>
      </c>
      <c r="V2346" t="inlineStr">
        <is>
          <t>Bot tarafindan tespit edildi; date=2026-07-01; type=excel; score=185; Bot tespit/zenginlestirme (2026-07-01); meta:score=15;priority=Low;source_type=html_table;closing_date=;equipment=Gas-related / review;reasons=equipment:Gas-related / review,document source,tender reference signal,access/action page</t>
        </is>
      </c>
    </row>
    <row r="2347">
      <c r="A2347" t="inlineStr">
        <is>
          <t>T-2151</t>
        </is>
      </c>
      <c r="B2347" t="inlineStr">
        <is>
          <t>Gasonet Services</t>
        </is>
      </c>
      <c r="C2347" t="inlineStr">
        <is>
          <t>Gasonet Services</t>
        </is>
      </c>
      <c r="F2347" t="inlineStr">
        <is>
          <t>New Lead</t>
        </is>
      </c>
      <c r="G2347" t="inlineStr">
        <is>
          <t>Gas-related / review</t>
        </is>
      </c>
      <c r="H2347" t="inlineStr">
        <is>
          <t>2 Annual Rate Contract for Supply of CNG Stationary &amp; Mobile Cascade in Himanchal, Rajasthan and Uttarakhand GA's CNG CASCADE Technical Volume II of II CNG CASCADE Commercial Volume I of II SOR - Group A SOR - Group B Replies to Bidder's Queries_Cascade Corrig</t>
        </is>
      </c>
      <c r="K2347" t="inlineStr">
        <is>
          <t>Not found</t>
        </is>
      </c>
      <c r="L2347" t="inlineStr">
        <is>
          <t>Unknown</t>
        </is>
      </c>
      <c r="T2347" t="inlineStr">
        <is>
          <t>https://www.gasonet.in/files/CNG CASCADE Technical Volume II of II.pdf</t>
        </is>
      </c>
      <c r="U2347" t="inlineStr">
        <is>
          <t>No</t>
        </is>
      </c>
      <c r="V2347" t="inlineStr">
        <is>
          <t>Bot tarafindan tespit edildi; date=2026-07-01; type=pdf; score=175; Bot tespit/zenginlestirme (2026-07-01); meta:score=35;priority=Low;source_type=html_table;closing_date=;equipment=Gas-related / review;reasons=equipment:Gas-related / review,document source</t>
        </is>
      </c>
    </row>
    <row r="2348">
      <c r="A2348" t="inlineStr">
        <is>
          <t>T-2152</t>
        </is>
      </c>
      <c r="B2348" t="inlineStr">
        <is>
          <t>Gasonet Services</t>
        </is>
      </c>
      <c r="C2348" t="inlineStr">
        <is>
          <t>Gasonet Services</t>
        </is>
      </c>
      <c r="F2348" t="inlineStr">
        <is>
          <t>New Lead</t>
        </is>
      </c>
      <c r="G2348" t="inlineStr">
        <is>
          <t>Gas-related / review</t>
        </is>
      </c>
      <c r="H2348" t="inlineStr">
        <is>
          <t>2 Annual Rate Contract for Supply of CNG Stationary &amp; Mobile Cascade in Himanchal, Rajasthan and Uttarakhand GA's CNG CASCADE Technical Volume II of II CNG CASCADE Commercial Volume I of II SOR - Group A SOR - Group B Replies to Bidder's Queries_Cascade Corrig</t>
        </is>
      </c>
      <c r="K2348" t="inlineStr">
        <is>
          <t>Not found</t>
        </is>
      </c>
      <c r="L2348" t="inlineStr">
        <is>
          <t>Unknown</t>
        </is>
      </c>
      <c r="T2348" t="inlineStr">
        <is>
          <t>https://www.gasonet.in/files/CNG CASCADE Commercial Volume I of II.pdf</t>
        </is>
      </c>
      <c r="U2348" t="inlineStr">
        <is>
          <t>No</t>
        </is>
      </c>
      <c r="V2348" t="inlineStr">
        <is>
          <t>Bot tarafindan tespit edildi; date=2026-07-01; type=pdf; score=175; Bot tespit/zenginlestirme (2026-07-01); meta:score=35;priority=Low;source_type=html_table;closing_date=;equipment=Gas-related / review;reasons=equipment:Gas-related / review,document source</t>
        </is>
      </c>
    </row>
    <row r="2349">
      <c r="A2349" t="inlineStr">
        <is>
          <t>T-2153</t>
        </is>
      </c>
      <c r="B2349" t="inlineStr">
        <is>
          <t>Gasonet Services</t>
        </is>
      </c>
      <c r="C2349" t="inlineStr">
        <is>
          <t>Gasonet Services</t>
        </is>
      </c>
      <c r="F2349" t="inlineStr">
        <is>
          <t>New Lead</t>
        </is>
      </c>
      <c r="G2349" t="inlineStr">
        <is>
          <t>Gas-related / review</t>
        </is>
      </c>
      <c r="H2349" t="inlineStr">
        <is>
          <t>2 Annual Rate Contract for Supply of CNG Stationary &amp; Mobile Cascade in Himanchal, Rajasthan and Uttarakhand GA's CNG CASCADE Technical Volume II of II CNG CASCADE Commercial Volume I of II SOR - Group A SOR - Group B Replies to Bidder's Queries_Cascade Corrig</t>
        </is>
      </c>
      <c r="K2349" t="inlineStr">
        <is>
          <t>Not found</t>
        </is>
      </c>
      <c r="L2349" t="inlineStr">
        <is>
          <t>Unknown</t>
        </is>
      </c>
      <c r="T2349" t="inlineStr">
        <is>
          <t>https://www.gasonet.in/files/SOR - Group A.xlsx</t>
        </is>
      </c>
      <c r="U2349" t="inlineStr">
        <is>
          <t>No</t>
        </is>
      </c>
      <c r="V2349" t="inlineStr">
        <is>
          <t>Bot tarafindan tespit edildi; date=2026-07-01; type=excel; score=175; Bot tespit/zenginlestirme (2026-07-01); meta:score=35;priority=Low;source_type=html_table;closing_date=;equipment=Gas-related / review;reasons=equipment:Gas-related / review,document source</t>
        </is>
      </c>
    </row>
    <row r="2350">
      <c r="A2350" t="inlineStr">
        <is>
          <t>T-2154</t>
        </is>
      </c>
      <c r="B2350" t="inlineStr">
        <is>
          <t>Gasonet Services</t>
        </is>
      </c>
      <c r="C2350" t="inlineStr">
        <is>
          <t>Gasonet Services</t>
        </is>
      </c>
      <c r="F2350" t="inlineStr">
        <is>
          <t>New Lead</t>
        </is>
      </c>
      <c r="G2350" t="inlineStr">
        <is>
          <t>Gas-related / review</t>
        </is>
      </c>
      <c r="H2350" t="inlineStr">
        <is>
          <t>2 Annual Rate Contract for Supply of CNG Stationary &amp; Mobile Cascade in Himanchal, Rajasthan and Uttarakhand GA's CNG CASCADE Technical Volume II of II CNG CASCADE Commercial Volume I of II SOR - Group A SOR - Group B Replies to Bidder's Queries_Cascade Corrig</t>
        </is>
      </c>
      <c r="K2350" t="inlineStr">
        <is>
          <t>Not found</t>
        </is>
      </c>
      <c r="L2350" t="inlineStr">
        <is>
          <t>Unknown</t>
        </is>
      </c>
      <c r="T2350" t="inlineStr">
        <is>
          <t>https://www.gasonet.in/files/SOR - Group B.xlsx</t>
        </is>
      </c>
      <c r="U2350" t="inlineStr">
        <is>
          <t>No</t>
        </is>
      </c>
      <c r="V2350" t="inlineStr">
        <is>
          <t>Bot tarafindan tespit edildi; date=2026-07-01; type=excel; score=175; Bot tespit/zenginlestirme (2026-07-01); meta:score=35;priority=Low;source_type=html_table;closing_date=;equipment=Gas-related / review;reasons=equipment:Gas-related / review,document source</t>
        </is>
      </c>
    </row>
    <row r="2351">
      <c r="A2351" t="inlineStr">
        <is>
          <t>T-2155</t>
        </is>
      </c>
      <c r="B2351" t="inlineStr">
        <is>
          <t>Gasonet Services</t>
        </is>
      </c>
      <c r="C2351" t="inlineStr">
        <is>
          <t>Gasonet Services</t>
        </is>
      </c>
      <c r="D2351" t="inlineStr">
        <is>
          <t>Tender No. : GSRJL/C</t>
        </is>
      </c>
      <c r="E2351" t="inlineStr">
        <is>
          <t>2025-26/01</t>
        </is>
      </c>
      <c r="F2351" t="inlineStr">
        <is>
          <t>New Lead</t>
        </is>
      </c>
      <c r="G2351" t="inlineStr">
        <is>
          <t>Gas-related / review</t>
        </is>
      </c>
      <c r="H2351" t="inlineStr">
        <is>
          <t>17 Hiring Of Agency For Construction Management Services (CMS) For City Gas Distribution Projects. Tender No. : GSRJL/C&amp;P/CMS/2025-26/01 Tender Document Replies to Bidders Queries SOR 22-05-2025 at 11:00 hrs. 07-06-2025 up to 14:00 Hrs 07-06-2025 at 16:00 Hrs</t>
        </is>
      </c>
      <c r="K2351" t="inlineStr">
        <is>
          <t>Not found</t>
        </is>
      </c>
      <c r="L2351" t="inlineStr">
        <is>
          <t>Unknown</t>
        </is>
      </c>
      <c r="T2351" t="inlineStr">
        <is>
          <t>https://www.gasonet.in/files/SOR-4-6-25.xlsx</t>
        </is>
      </c>
      <c r="U2351" t="inlineStr">
        <is>
          <t>No</t>
        </is>
      </c>
      <c r="V2351" t="inlineStr">
        <is>
          <t>Bot tarafindan tespit edildi; date=2026-07-01; type=excel; score=135; Bot tespit/zenginlestirme (2026-07-01); meta:score=50;priority=Medium;source_type=html_table;closing_date=;equipment=Gas-related / review;reasons=equipment:Gas-related / review,document source,tender reference signal</t>
        </is>
      </c>
    </row>
    <row r="2352">
      <c r="A2352" t="inlineStr">
        <is>
          <t>T-2156</t>
        </is>
      </c>
      <c r="B2352" t="inlineStr">
        <is>
          <t>Gasonet Services</t>
        </is>
      </c>
      <c r="C2352" t="inlineStr">
        <is>
          <t>Gasonet Services</t>
        </is>
      </c>
      <c r="D2352" t="inlineStr">
        <is>
          <t>Tender No. : GSL/PE-BALL</t>
        </is>
      </c>
      <c r="E2352" t="inlineStr">
        <is>
          <t>2025-26/07</t>
        </is>
      </c>
      <c r="F2352" t="inlineStr">
        <is>
          <t>New Lead</t>
        </is>
      </c>
      <c r="G2352" t="inlineStr">
        <is>
          <t>Unclassified</t>
        </is>
      </c>
      <c r="H2352" t="inlineStr">
        <is>
          <t>23 GASONET/C&amp;P- PURCHASE OF THE PE BALL VALVES (TWO PURGE SYSTEM) FOR RAJASTHAN, HIMACHAL PRADESH AND UTTRAKHAND (EAST &amp; WEST ) GA Tender No. : GSL/PE-BALL VALVE /2025-26/07 Tender Document GCC SOR SOR Additional Replies to Bidders' Queries 05.12.2025 at 13:00</t>
        </is>
      </c>
      <c r="K2352" t="inlineStr">
        <is>
          <t>Not found</t>
        </is>
      </c>
      <c r="L2352" t="inlineStr">
        <is>
          <t>Unknown</t>
        </is>
      </c>
      <c r="T2352" t="inlineStr">
        <is>
          <t>https://www.gasonet.in/files/23-GCC-Works.pdf</t>
        </is>
      </c>
      <c r="U2352" t="inlineStr">
        <is>
          <t>No</t>
        </is>
      </c>
      <c r="V2352" t="inlineStr">
        <is>
          <t>Bot tarafindan tespit edildi; date=2026-07-01; type=pdf; score=135; Bot tespit/zenginlestirme (2026-07-01); meta:score=35;priority=Low;source_type=html_table;closing_date=;equipment=Unclassified;reasons=document source,tender reference signal</t>
        </is>
      </c>
    </row>
    <row r="2353">
      <c r="A2353" t="inlineStr">
        <is>
          <t>T-2157</t>
        </is>
      </c>
      <c r="B2353" t="inlineStr">
        <is>
          <t>Gasonet Services</t>
        </is>
      </c>
      <c r="C2353" t="inlineStr">
        <is>
          <t>Gasonet Services</t>
        </is>
      </c>
      <c r="D2353" t="inlineStr">
        <is>
          <t>Tender No. : GSL/PE-BALL</t>
        </is>
      </c>
      <c r="E2353" t="inlineStr">
        <is>
          <t>2025-26/07</t>
        </is>
      </c>
      <c r="F2353" t="inlineStr">
        <is>
          <t>New Lead</t>
        </is>
      </c>
      <c r="G2353" t="inlineStr">
        <is>
          <t>Unclassified</t>
        </is>
      </c>
      <c r="H2353" t="inlineStr">
        <is>
          <t>23 GASONET/C&amp;P- PURCHASE OF THE PE BALL VALVES (TWO PURGE SYSTEM) FOR RAJASTHAN, HIMACHAL PRADESH AND UTTRAKHAND (EAST &amp; WEST ) GA Tender No. : GSL/PE-BALL VALVE /2025-26/07 Tender Document GCC SOR SOR Additional Replies to Bidders' Queries 05.12.2025 at 13:00</t>
        </is>
      </c>
      <c r="K2353" t="inlineStr">
        <is>
          <t>Not found</t>
        </is>
      </c>
      <c r="L2353" t="inlineStr">
        <is>
          <t>Unknown</t>
        </is>
      </c>
      <c r="T2353" t="inlineStr">
        <is>
          <t>https://www.gasonet.in/files/23-SOR.pdf</t>
        </is>
      </c>
      <c r="U2353" t="inlineStr">
        <is>
          <t>No</t>
        </is>
      </c>
      <c r="V2353" t="inlineStr">
        <is>
          <t>Bot tarafindan tespit edildi; date=2026-07-01; type=pdf; score=135; Bot tespit/zenginlestirme (2026-07-01); meta:score=35;priority=Low;source_type=html_table;closing_date=;equipment=Unclassified;reasons=document source,tender reference signal</t>
        </is>
      </c>
    </row>
    <row r="2354">
      <c r="A2354" t="inlineStr">
        <is>
          <t>T-2158</t>
        </is>
      </c>
      <c r="B2354" t="inlineStr">
        <is>
          <t>Gasonet Services</t>
        </is>
      </c>
      <c r="C2354" t="inlineStr">
        <is>
          <t>Gasonet Services</t>
        </is>
      </c>
      <c r="D2354" t="inlineStr">
        <is>
          <t>Tender No. : GSL/PE-BALL</t>
        </is>
      </c>
      <c r="E2354" t="inlineStr">
        <is>
          <t>2025-26/07</t>
        </is>
      </c>
      <c r="F2354" t="inlineStr">
        <is>
          <t>New Lead</t>
        </is>
      </c>
      <c r="G2354" t="inlineStr">
        <is>
          <t>Unclassified</t>
        </is>
      </c>
      <c r="H2354" t="inlineStr">
        <is>
          <t>23 GASONET/C&amp;P- PURCHASE OF THE PE BALL VALVES (TWO PURGE SYSTEM) FOR RAJASTHAN, HIMACHAL PRADESH AND UTTRAKHAND (EAST &amp; WEST ) GA Tender No. : GSL/PE-BALL VALVE /2025-26/07 Tender Document GCC SOR SOR Additional Replies to Bidders' Queries 05.12.2025 at 13:00</t>
        </is>
      </c>
      <c r="K2354" t="inlineStr">
        <is>
          <t>Not found</t>
        </is>
      </c>
      <c r="L2354" t="inlineStr">
        <is>
          <t>Unknown</t>
        </is>
      </c>
      <c r="T2354" t="inlineStr">
        <is>
          <t>https://www.gasonet.in/files/23-SOR.xlsx</t>
        </is>
      </c>
      <c r="U2354" t="inlineStr">
        <is>
          <t>No</t>
        </is>
      </c>
      <c r="V2354" t="inlineStr">
        <is>
          <t>Bot tarafindan tespit edildi; date=2026-07-01; type=excel; score=135; Bot tespit/zenginlestirme (2026-07-01); meta:score=35;priority=Low;source_type=html_table;closing_date=;equipment=Unclassified;reasons=document source,tender reference signal</t>
        </is>
      </c>
    </row>
    <row r="2355">
      <c r="A2355" t="inlineStr">
        <is>
          <t>T-2159</t>
        </is>
      </c>
      <c r="B2355" t="inlineStr">
        <is>
          <t>Gasonet Services</t>
        </is>
      </c>
      <c r="C2355" t="inlineStr">
        <is>
          <t>Gasonet Services</t>
        </is>
      </c>
      <c r="D2355" t="inlineStr">
        <is>
          <t>Tender No. : GSL/PE-FITTING</t>
        </is>
      </c>
      <c r="E2355" t="inlineStr">
        <is>
          <t>2025-26/08</t>
        </is>
      </c>
      <c r="F2355" t="inlineStr">
        <is>
          <t>New Lead</t>
        </is>
      </c>
      <c r="G2355" t="inlineStr">
        <is>
          <t>Unclassified</t>
        </is>
      </c>
      <c r="H2355" t="inlineStr">
        <is>
          <t>24 GASONET/C&amp;P- PROCUREMENT OF PE FITTINGS FOR RAJASTHAN, HIMACHAL PRADESH AND UTTRAKHAND (EAST &amp; WEST ) GA. Tender No. : GSL/PE-FITTING /2025-26/08 Tender Document SOR HP GA SOR UK-W GA SOR UK-E GA SOR RJ GA Addendum-1 12.01.2026 up to 13:00 Hrs 12.01.2026 at</t>
        </is>
      </c>
      <c r="K2355" t="inlineStr">
        <is>
          <t>Not found</t>
        </is>
      </c>
      <c r="L2355" t="inlineStr">
        <is>
          <t>Unknown</t>
        </is>
      </c>
      <c r="T2355" t="inlineStr">
        <is>
          <t>https://www.gasonet.in/files/SOR_HP GA.xlsx</t>
        </is>
      </c>
      <c r="U2355" t="inlineStr">
        <is>
          <t>No</t>
        </is>
      </c>
      <c r="V2355" t="inlineStr">
        <is>
          <t>Bot tarafindan tespit edildi; date=2026-07-01; type=excel; score=135; Bot tespit/zenginlestirme (2026-07-01); meta:score=35;priority=Low;source_type=html_table;closing_date=;equipment=Unclassified;reasons=document source,tender reference signal</t>
        </is>
      </c>
    </row>
    <row r="2356">
      <c r="A2356" t="inlineStr">
        <is>
          <t>T-2160</t>
        </is>
      </c>
      <c r="B2356" t="inlineStr">
        <is>
          <t>Gasonet Services</t>
        </is>
      </c>
      <c r="C2356" t="inlineStr">
        <is>
          <t>Gasonet Services</t>
        </is>
      </c>
      <c r="D2356" t="inlineStr">
        <is>
          <t>Tender No. : GSL/PE-FITTING</t>
        </is>
      </c>
      <c r="E2356" t="inlineStr">
        <is>
          <t>2025-26/08</t>
        </is>
      </c>
      <c r="F2356" t="inlineStr">
        <is>
          <t>New Lead</t>
        </is>
      </c>
      <c r="G2356" t="inlineStr">
        <is>
          <t>Unclassified</t>
        </is>
      </c>
      <c r="H2356" t="inlineStr">
        <is>
          <t>24 GASONET/C&amp;P- PROCUREMENT OF PE FITTINGS FOR RAJASTHAN, HIMACHAL PRADESH AND UTTRAKHAND (EAST &amp; WEST ) GA. Tender No. : GSL/PE-FITTING /2025-26/08 Tender Document SOR HP GA SOR UK-W GA SOR UK-E GA SOR RJ GA Addendum-1 12.01.2026 up to 13:00 Hrs 12.01.2026 at</t>
        </is>
      </c>
      <c r="K2356" t="inlineStr">
        <is>
          <t>Not found</t>
        </is>
      </c>
      <c r="L2356" t="inlineStr">
        <is>
          <t>Unknown</t>
        </is>
      </c>
      <c r="T2356" t="inlineStr">
        <is>
          <t>https://www.gasonet.in/files/SOR_UK-W GA.xlsx</t>
        </is>
      </c>
      <c r="U2356" t="inlineStr">
        <is>
          <t>No</t>
        </is>
      </c>
      <c r="V2356" t="inlineStr">
        <is>
          <t>Bot tarafindan tespit edildi; date=2026-07-01; type=excel; score=135; Bot tespit/zenginlestirme (2026-07-01); meta:score=35;priority=Low;source_type=html_table;closing_date=;equipment=Unclassified;reasons=document source,tender reference signal</t>
        </is>
      </c>
    </row>
    <row r="2357">
      <c r="A2357" t="inlineStr">
        <is>
          <t>T-2161</t>
        </is>
      </c>
      <c r="B2357" t="inlineStr">
        <is>
          <t>Gasonet Services</t>
        </is>
      </c>
      <c r="C2357" t="inlineStr">
        <is>
          <t>Gasonet Services</t>
        </is>
      </c>
      <c r="D2357" t="inlineStr">
        <is>
          <t>Tender No. : GSL/PE-FITTING</t>
        </is>
      </c>
      <c r="E2357" t="inlineStr">
        <is>
          <t>2025-26/08</t>
        </is>
      </c>
      <c r="F2357" t="inlineStr">
        <is>
          <t>New Lead</t>
        </is>
      </c>
      <c r="G2357" t="inlineStr">
        <is>
          <t>Unclassified</t>
        </is>
      </c>
      <c r="H2357" t="inlineStr">
        <is>
          <t>24 GASONET/C&amp;P- PROCUREMENT OF PE FITTINGS FOR RAJASTHAN, HIMACHAL PRADESH AND UTTRAKHAND (EAST &amp; WEST ) GA. Tender No. : GSL/PE-FITTING /2025-26/08 Tender Document SOR HP GA SOR UK-W GA SOR UK-E GA SOR RJ GA Addendum-1 12.01.2026 up to 13:00 Hrs 12.01.2026 at</t>
        </is>
      </c>
      <c r="K2357" t="inlineStr">
        <is>
          <t>Not found</t>
        </is>
      </c>
      <c r="L2357" t="inlineStr">
        <is>
          <t>Unknown</t>
        </is>
      </c>
      <c r="T2357" t="inlineStr">
        <is>
          <t>https://www.gasonet.in/files/SOR_UK-E GA.xlsx</t>
        </is>
      </c>
      <c r="U2357" t="inlineStr">
        <is>
          <t>No</t>
        </is>
      </c>
      <c r="V2357" t="inlineStr">
        <is>
          <t>Bot tarafindan tespit edildi; date=2026-07-01; type=excel; score=135; Bot tespit/zenginlestirme (2026-07-01); meta:score=35;priority=Low;source_type=html_table;closing_date=;equipment=Unclassified;reasons=document source,tender reference signal</t>
        </is>
      </c>
    </row>
    <row r="2358">
      <c r="A2358" t="inlineStr">
        <is>
          <t>T-2162</t>
        </is>
      </c>
      <c r="B2358" t="inlineStr">
        <is>
          <t>Gasonet Services</t>
        </is>
      </c>
      <c r="C2358" t="inlineStr">
        <is>
          <t>Gasonet Services</t>
        </is>
      </c>
      <c r="D2358" t="inlineStr">
        <is>
          <t>Tender No. : GSL/PE-FITTING</t>
        </is>
      </c>
      <c r="E2358" t="inlineStr">
        <is>
          <t>2025-26/08</t>
        </is>
      </c>
      <c r="F2358" t="inlineStr">
        <is>
          <t>New Lead</t>
        </is>
      </c>
      <c r="G2358" t="inlineStr">
        <is>
          <t>Unclassified</t>
        </is>
      </c>
      <c r="H2358" t="inlineStr">
        <is>
          <t>24 GASONET/C&amp;P- PROCUREMENT OF PE FITTINGS FOR RAJASTHAN, HIMACHAL PRADESH AND UTTRAKHAND (EAST &amp; WEST ) GA. Tender No. : GSL/PE-FITTING /2025-26/08 Tender Document SOR HP GA SOR UK-W GA SOR UK-E GA SOR RJ GA Addendum-1 12.01.2026 up to 13:00 Hrs 12.01.2026 at</t>
        </is>
      </c>
      <c r="K2358" t="inlineStr">
        <is>
          <t>Not found</t>
        </is>
      </c>
      <c r="L2358" t="inlineStr">
        <is>
          <t>Unknown</t>
        </is>
      </c>
      <c r="T2358" t="inlineStr">
        <is>
          <t>https://www.gasonet.in/files/SOR_RJ GA.xlsx</t>
        </is>
      </c>
      <c r="U2358" t="inlineStr">
        <is>
          <t>No</t>
        </is>
      </c>
      <c r="V2358" t="inlineStr">
        <is>
          <t>Bot tarafindan tespit edildi; date=2026-07-01; type=excel; score=135; Bot tespit/zenginlestirme (2026-07-01); meta:score=35;priority=Low;source_type=html_table;closing_date=;equipment=Unclassified;reasons=document source,tender reference signal</t>
        </is>
      </c>
    </row>
    <row r="2359">
      <c r="A2359" t="inlineStr">
        <is>
          <t>T-2163</t>
        </is>
      </c>
      <c r="B2359" t="inlineStr">
        <is>
          <t>Gasonet Services</t>
        </is>
      </c>
      <c r="C2359" t="inlineStr">
        <is>
          <t>Gasonet Services</t>
        </is>
      </c>
      <c r="D2359" t="inlineStr">
        <is>
          <t>Tender No. : GSL/PE-FITTING</t>
        </is>
      </c>
      <c r="E2359" t="inlineStr">
        <is>
          <t>2025-26/08</t>
        </is>
      </c>
      <c r="F2359" t="inlineStr">
        <is>
          <t>New Lead</t>
        </is>
      </c>
      <c r="G2359" t="inlineStr">
        <is>
          <t>Unclassified</t>
        </is>
      </c>
      <c r="H2359" t="inlineStr">
        <is>
          <t>24 GASONET/C&amp;P- PROCUREMENT OF PE FITTINGS FOR RAJASTHAN, HIMACHAL PRADESH AND UTTRAKHAND (EAST &amp; WEST ) GA. Tender No. : GSL/PE-FITTING /2025-26/08 Tender Document SOR HP GA SOR UK-W GA SOR UK-E GA SOR RJ GA Addendum-1 12.01.2026 up to 13:00 Hrs 12.01.2026 at</t>
        </is>
      </c>
      <c r="K2359" t="inlineStr">
        <is>
          <t>Not found</t>
        </is>
      </c>
      <c r="L2359" t="inlineStr">
        <is>
          <t>Unknown</t>
        </is>
      </c>
      <c r="T2359" t="inlineStr">
        <is>
          <t>https://www.gasonet.in/files/24-ADDENDUM-1_PE-FITTING_2025-26_08_DTD-30-12_2025.pdf</t>
        </is>
      </c>
      <c r="U2359" t="inlineStr">
        <is>
          <t>No</t>
        </is>
      </c>
      <c r="V2359" t="inlineStr">
        <is>
          <t>Bot tarafindan tespit edildi; date=2026-07-01; type=pdf; score=135; Bot tespit/zenginlestirme (2026-07-01); meta:score=35;priority=Low;source_type=html_table;closing_date=;equipment=Unclassified;reasons=document source,tender reference signal</t>
        </is>
      </c>
    </row>
    <row r="2360">
      <c r="A2360" t="inlineStr">
        <is>
          <t>T-2164</t>
        </is>
      </c>
      <c r="B2360" t="inlineStr">
        <is>
          <t>Gasonet Services</t>
        </is>
      </c>
      <c r="C2360" t="inlineStr">
        <is>
          <t>Gasonet Services</t>
        </is>
      </c>
      <c r="D2360" t="inlineStr">
        <is>
          <t>files/Technical</t>
        </is>
      </c>
      <c r="E2360" t="inlineStr">
        <is>
          <t>14/12/2023</t>
        </is>
      </c>
      <c r="F2360" t="inlineStr">
        <is>
          <t>New Lead</t>
        </is>
      </c>
      <c r="G2360" t="inlineStr">
        <is>
          <t>Unclassified</t>
        </is>
      </c>
      <c r="H2360" t="inlineStr">
        <is>
          <t>9 Procurement of API 5L 3LPE Coated CS Line Pipe Technical Volume II of II_GSLREPL012STPL Commercial Volume I of II_GSLREPL012STPL SOR_GSLREPL012STPL Corrigendum-01_GSLREPL018STPL Commercial Volume I of II_GSLREPL012STPL SOR_GSLREPL012STPL Corrigendum#02_GSLRE</t>
        </is>
      </c>
      <c r="K2360" t="inlineStr">
        <is>
          <t>Not found</t>
        </is>
      </c>
      <c r="L2360" t="inlineStr">
        <is>
          <t>Unknown</t>
        </is>
      </c>
      <c r="T2360" t="inlineStr">
        <is>
          <t>https://www.gasonet.in/files/Technical Volume II of II_GSLREPL012STPL.pdf</t>
        </is>
      </c>
      <c r="U2360" t="inlineStr">
        <is>
          <t>No</t>
        </is>
      </c>
      <c r="V2360" t="inlineStr">
        <is>
          <t>Bot tarafindan tespit edildi; date=2026-07-01; type=pdf; score=125; Bot tespit/zenginlestirme (2026-07-01); meta:score=20;priority=Low;source_type=html_table;closing_date=;equipment=Unclassified;reasons=document source</t>
        </is>
      </c>
    </row>
    <row r="2361">
      <c r="A2361" t="inlineStr">
        <is>
          <t>T-2165</t>
        </is>
      </c>
      <c r="B2361" t="inlineStr">
        <is>
          <t>Gasonet Services</t>
        </is>
      </c>
      <c r="C2361" t="inlineStr">
        <is>
          <t>Gasonet Services</t>
        </is>
      </c>
      <c r="D2361" t="inlineStr">
        <is>
          <t>files/Commercial</t>
        </is>
      </c>
      <c r="E2361" t="inlineStr">
        <is>
          <t>14/12/2023</t>
        </is>
      </c>
      <c r="F2361" t="inlineStr">
        <is>
          <t>New Lead</t>
        </is>
      </c>
      <c r="G2361" t="inlineStr">
        <is>
          <t>Unclassified</t>
        </is>
      </c>
      <c r="H2361" t="inlineStr">
        <is>
          <t>9 Procurement of API 5L 3LPE Coated CS Line Pipe Technical Volume II of II_GSLREPL012STPL Commercial Volume I of II_GSLREPL012STPL SOR_GSLREPL012STPL Corrigendum-01_GSLREPL018STPL Commercial Volume I of II_GSLREPL012STPL SOR_GSLREPL012STPL Corrigendum#02_GSLRE</t>
        </is>
      </c>
      <c r="K2361" t="inlineStr">
        <is>
          <t>Not found</t>
        </is>
      </c>
      <c r="L2361" t="inlineStr">
        <is>
          <t>Unknown</t>
        </is>
      </c>
      <c r="T2361" t="inlineStr">
        <is>
          <t>https://www.gasonet.in/files/Commercial Volume I of II_GSLREPL012STPL.pdf</t>
        </is>
      </c>
      <c r="U2361" t="inlineStr">
        <is>
          <t>No</t>
        </is>
      </c>
      <c r="V2361" t="inlineStr">
        <is>
          <t>Bot tarafindan tespit edildi; date=2026-07-01; type=pdf; score=125; Bot tespit/zenginlestirme (2026-07-01); meta:score=20;priority=Low;source_type=html_table;closing_date=;equipment=Unclassified;reasons=document source</t>
        </is>
      </c>
    </row>
    <row r="2362">
      <c r="A2362" t="inlineStr">
        <is>
          <t>T-2166</t>
        </is>
      </c>
      <c r="B2362" t="inlineStr">
        <is>
          <t>Gasonet Services</t>
        </is>
      </c>
      <c r="C2362" t="inlineStr">
        <is>
          <t>Gasonet Services</t>
        </is>
      </c>
      <c r="D2362" t="inlineStr">
        <is>
          <t>files/SOR_GSLREPL012STPL.xlsx</t>
        </is>
      </c>
      <c r="E2362" t="inlineStr">
        <is>
          <t>14/12/2023</t>
        </is>
      </c>
      <c r="F2362" t="inlineStr">
        <is>
          <t>New Lead</t>
        </is>
      </c>
      <c r="G2362" t="inlineStr">
        <is>
          <t>Unclassified</t>
        </is>
      </c>
      <c r="H2362" t="inlineStr">
        <is>
          <t>9 Procurement of API 5L 3LPE Coated CS Line Pipe Technical Volume II of II_GSLREPL012STPL Commercial Volume I of II_GSLREPL012STPL SOR_GSLREPL012STPL Corrigendum-01_GSLREPL018STPL Commercial Volume I of II_GSLREPL012STPL SOR_GSLREPL012STPL Corrigendum#02_GSLRE</t>
        </is>
      </c>
      <c r="K2362" t="inlineStr">
        <is>
          <t>Not found</t>
        </is>
      </c>
      <c r="L2362" t="inlineStr">
        <is>
          <t>Unknown</t>
        </is>
      </c>
      <c r="T2362" t="inlineStr">
        <is>
          <t>https://www.gasonet.in/files/SOR_GSLREPL012STPL.xlsx</t>
        </is>
      </c>
      <c r="U2362" t="inlineStr">
        <is>
          <t>No</t>
        </is>
      </c>
      <c r="V2362" t="inlineStr">
        <is>
          <t>Bot tarafindan tespit edildi; date=2026-07-01; type=excel; score=125; Bot tespit/zenginlestirme (2026-07-01); meta:score=20;priority=Low;source_type=html_table;closing_date=;equipment=Unclassified;reasons=document source</t>
        </is>
      </c>
    </row>
    <row r="2363">
      <c r="A2363" t="inlineStr">
        <is>
          <t>T-2167</t>
        </is>
      </c>
      <c r="B2363" t="inlineStr">
        <is>
          <t>Gasonet Services</t>
        </is>
      </c>
      <c r="C2363" t="inlineStr">
        <is>
          <t>Gasonet Services</t>
        </is>
      </c>
      <c r="D2363" t="inlineStr">
        <is>
          <t>files/RPBQ_30.12.2023.pdf</t>
        </is>
      </c>
      <c r="E2363" t="inlineStr">
        <is>
          <t>14/12/2023</t>
        </is>
      </c>
      <c r="F2363" t="inlineStr">
        <is>
          <t>New Lead</t>
        </is>
      </c>
      <c r="G2363" t="inlineStr">
        <is>
          <t>Unclassified</t>
        </is>
      </c>
      <c r="H2363" t="inlineStr">
        <is>
          <t>9 Procurement of API 5L 3LPE Coated CS Line Pipe Technical Volume II of II_GSLREPL012STPL Commercial Volume I of II_GSLREPL012STPL SOR_GSLREPL012STPL Corrigendum-01_GSLREPL018STPL Commercial Volume I of II_GSLREPL012STPL SOR_GSLREPL012STPL Corrigendum#02_GSLRE</t>
        </is>
      </c>
      <c r="K2363" t="inlineStr">
        <is>
          <t>Not found</t>
        </is>
      </c>
      <c r="L2363" t="inlineStr">
        <is>
          <t>Unknown</t>
        </is>
      </c>
      <c r="T2363" t="inlineStr">
        <is>
          <t>https://www.gasonet.in/files/RPBQ_30.12.2023.pdf</t>
        </is>
      </c>
      <c r="U2363" t="inlineStr">
        <is>
          <t>No</t>
        </is>
      </c>
      <c r="V2363" t="inlineStr">
        <is>
          <t>Bot tarafindan tespit edildi; date=2026-07-01; type=pdf; score=125; Bot tespit/zenginlestirme (2026-07-01); meta:score=20;priority=Low;source_type=html_table;closing_date=;equipment=Unclassified;reasons=document source</t>
        </is>
      </c>
    </row>
    <row r="2364">
      <c r="A2364" t="inlineStr">
        <is>
          <t>T-2168</t>
        </is>
      </c>
      <c r="B2364" t="inlineStr">
        <is>
          <t>Gasonet Services</t>
        </is>
      </c>
      <c r="C2364" t="inlineStr">
        <is>
          <t>Gasonet Services</t>
        </is>
      </c>
      <c r="D2364" t="inlineStr">
        <is>
          <t>Tender No. : GSL/C</t>
        </is>
      </c>
      <c r="F2364" t="inlineStr">
        <is>
          <t>New Lead</t>
        </is>
      </c>
      <c r="G2364" t="inlineStr">
        <is>
          <t>Unclassified</t>
        </is>
      </c>
      <c r="H2364" t="inlineStr">
        <is>
          <t>21 Procurement Of Ball And Globe Valve For Bikaner And Churu Location Tender No. : GSL/C&amp;P/VALVES/BD202508P003 Tender Document QAP EMD CPBG Technical Document GCC Replies to Bidders Queries 21.08.2025 at 16:00 Hrs 21.08.2025 at 17:00 hrs.</t>
        </is>
      </c>
      <c r="K2364" t="inlineStr">
        <is>
          <t>Not found</t>
        </is>
      </c>
      <c r="L2364" t="inlineStr">
        <is>
          <t>Unknown</t>
        </is>
      </c>
      <c r="T2364" t="inlineStr">
        <is>
          <t>https://www.gasonet.in/files/QAP-Ball Valve.pdf</t>
        </is>
      </c>
      <c r="U2364" t="inlineStr">
        <is>
          <t>No</t>
        </is>
      </c>
      <c r="V2364" t="inlineStr">
        <is>
          <t>Bot tarafindan tespit edildi; date=2026-07-01; type=pdf; score=125; Bot tespit/zenginlestirme (2026-07-01); meta:score=35;priority=Low;source_type=html_table;closing_date=;equipment=Unclassified;reasons=document source,tender reference signal</t>
        </is>
      </c>
    </row>
    <row r="2365">
      <c r="A2365" t="inlineStr">
        <is>
          <t>T-2169</t>
        </is>
      </c>
      <c r="B2365" t="inlineStr">
        <is>
          <t>Gasonet Services</t>
        </is>
      </c>
      <c r="C2365" t="inlineStr">
        <is>
          <t>Gasonet Services</t>
        </is>
      </c>
      <c r="D2365" t="inlineStr">
        <is>
          <t>Tender No. : GSL/C</t>
        </is>
      </c>
      <c r="F2365" t="inlineStr">
        <is>
          <t>New Lead</t>
        </is>
      </c>
      <c r="G2365" t="inlineStr">
        <is>
          <t>Unclassified</t>
        </is>
      </c>
      <c r="H2365" t="inlineStr">
        <is>
          <t>21 Procurement Of Ball And Globe Valve For Bikaner And Churu Location Tender No. : GSL/C&amp;P/VALVES/BD202508P003 Tender Document QAP EMD CPBG Technical Document GCC Replies to Bidders Queries 21.08.2025 at 16:00 Hrs 21.08.2025 at 17:00 hrs.</t>
        </is>
      </c>
      <c r="K2365" t="inlineStr">
        <is>
          <t>Not found</t>
        </is>
      </c>
      <c r="L2365" t="inlineStr">
        <is>
          <t>Unknown</t>
        </is>
      </c>
      <c r="T2365" t="inlineStr">
        <is>
          <t>https://www.gasonet.in/files/EMD-Format.pdf</t>
        </is>
      </c>
      <c r="U2365" t="inlineStr">
        <is>
          <t>No</t>
        </is>
      </c>
      <c r="V2365" t="inlineStr">
        <is>
          <t>Bot tarafindan tespit edildi; date=2026-07-01; type=pdf; score=125; Bot tespit/zenginlestirme (2026-07-01); meta:score=35;priority=Low;source_type=html_table;closing_date=;equipment=Unclassified;reasons=document source,tender reference signal</t>
        </is>
      </c>
    </row>
    <row r="2366">
      <c r="A2366" t="inlineStr">
        <is>
          <t>T-2170</t>
        </is>
      </c>
      <c r="B2366" t="inlineStr">
        <is>
          <t>Gasonet Services</t>
        </is>
      </c>
      <c r="C2366" t="inlineStr">
        <is>
          <t>Gasonet Services</t>
        </is>
      </c>
      <c r="D2366" t="inlineStr">
        <is>
          <t>Tender No. : GSL/C</t>
        </is>
      </c>
      <c r="F2366" t="inlineStr">
        <is>
          <t>New Lead</t>
        </is>
      </c>
      <c r="G2366" t="inlineStr">
        <is>
          <t>Unclassified</t>
        </is>
      </c>
      <c r="H2366" t="inlineStr">
        <is>
          <t>21 Procurement Of Ball And Globe Valve For Bikaner And Churu Location Tender No. : GSL/C&amp;P/VALVES/BD202508P003 Tender Document QAP EMD CPBG Technical Document GCC Replies to Bidders Queries 21.08.2025 at 16:00 Hrs 21.08.2025 at 17:00 hrs.</t>
        </is>
      </c>
      <c r="K2366" t="inlineStr">
        <is>
          <t>Not found</t>
        </is>
      </c>
      <c r="L2366" t="inlineStr">
        <is>
          <t>Unknown</t>
        </is>
      </c>
      <c r="T2366" t="inlineStr">
        <is>
          <t>https://www.gasonet.in/files/CPBG- Format.pdf</t>
        </is>
      </c>
      <c r="U2366" t="inlineStr">
        <is>
          <t>No</t>
        </is>
      </c>
      <c r="V2366" t="inlineStr">
        <is>
          <t>Bot tarafindan tespit edildi; date=2026-07-01; type=pdf; score=125; Bot tespit/zenginlestirme (2026-07-01); meta:score=35;priority=Low;source_type=html_table;closing_date=;equipment=Unclassified;reasons=document source,tender reference signal</t>
        </is>
      </c>
    </row>
    <row r="2367">
      <c r="A2367" t="inlineStr">
        <is>
          <t>T-2171</t>
        </is>
      </c>
      <c r="B2367" t="inlineStr">
        <is>
          <t>Gasonet Services</t>
        </is>
      </c>
      <c r="C2367" t="inlineStr">
        <is>
          <t>Gasonet Services</t>
        </is>
      </c>
      <c r="D2367" t="inlineStr">
        <is>
          <t>Tender No. : GSL/C</t>
        </is>
      </c>
      <c r="F2367" t="inlineStr">
        <is>
          <t>New Lead</t>
        </is>
      </c>
      <c r="G2367" t="inlineStr">
        <is>
          <t>Unclassified</t>
        </is>
      </c>
      <c r="H2367" t="inlineStr">
        <is>
          <t>21 Procurement Of Ball And Globe Valve For Bikaner And Churu Location Tender No. : GSL/C&amp;P/VALVES/BD202508P003 Tender Document QAP EMD CPBG Technical Document GCC Replies to Bidders Queries 21.08.2025 at 16:00 Hrs 21.08.2025 at 17:00 hrs.</t>
        </is>
      </c>
      <c r="K2367" t="inlineStr">
        <is>
          <t>Not found</t>
        </is>
      </c>
      <c r="L2367" t="inlineStr">
        <is>
          <t>Unknown</t>
        </is>
      </c>
      <c r="T2367" t="inlineStr">
        <is>
          <t>https://www.gasonet.in/files/TechnicalDocument-BallValveGlobeValve.pdf</t>
        </is>
      </c>
      <c r="U2367" t="inlineStr">
        <is>
          <t>No</t>
        </is>
      </c>
      <c r="V2367" t="inlineStr">
        <is>
          <t>Bot tarafindan tespit edildi; date=2026-07-01; type=pdf; score=125; Bot tespit/zenginlestirme (2026-07-01); meta:score=35;priority=Low;source_type=html_table;closing_date=;equipment=Unclassified;reasons=document source,tender reference signal</t>
        </is>
      </c>
    </row>
    <row r="2368">
      <c r="A2368" t="inlineStr">
        <is>
          <t>T-2172</t>
        </is>
      </c>
      <c r="B2368" t="inlineStr">
        <is>
          <t>Gasonet Services</t>
        </is>
      </c>
      <c r="C2368" t="inlineStr">
        <is>
          <t>Gasonet Services</t>
        </is>
      </c>
      <c r="D2368" t="inlineStr">
        <is>
          <t>Tender No. : GSL/C</t>
        </is>
      </c>
      <c r="F2368" t="inlineStr">
        <is>
          <t>New Lead</t>
        </is>
      </c>
      <c r="G2368" t="inlineStr">
        <is>
          <t>Unclassified</t>
        </is>
      </c>
      <c r="H2368" t="inlineStr">
        <is>
          <t>21 Procurement Of Ball And Globe Valve For Bikaner And Churu Location Tender No. : GSL/C&amp;P/VALVES/BD202508P003 Tender Document QAP EMD CPBG Technical Document GCC Replies to Bidders Queries 21.08.2025 at 16:00 Hrs 21.08.2025 at 17:00 hrs.</t>
        </is>
      </c>
      <c r="K2368" t="inlineStr">
        <is>
          <t>Not found</t>
        </is>
      </c>
      <c r="L2368" t="inlineStr">
        <is>
          <t>Unknown</t>
        </is>
      </c>
      <c r="T2368" t="inlineStr">
        <is>
          <t>https://www.gasonet.in/files/21-GCC.pdf</t>
        </is>
      </c>
      <c r="U2368" t="inlineStr">
        <is>
          <t>No</t>
        </is>
      </c>
      <c r="V2368" t="inlineStr">
        <is>
          <t>Bot tarafindan tespit edildi; date=2026-07-01; type=pdf; score=125; Bot tespit/zenginlestirme (2026-07-01); meta:score=35;priority=Low;source_type=html_table;closing_date=;equipment=Unclassified;reasons=document source,tender reference signal</t>
        </is>
      </c>
    </row>
    <row r="2369">
      <c r="A2369" t="inlineStr">
        <is>
          <t>T-2173</t>
        </is>
      </c>
      <c r="B2369" t="inlineStr">
        <is>
          <t>Gasonet Services</t>
        </is>
      </c>
      <c r="C2369" t="inlineStr">
        <is>
          <t>Gasonet Services</t>
        </is>
      </c>
      <c r="D2369" t="inlineStr">
        <is>
          <t>Tender No. : GSL/RJ/ODORIZER/2025-26/004</t>
        </is>
      </c>
      <c r="F2369" t="inlineStr">
        <is>
          <t>New Lead</t>
        </is>
      </c>
      <c r="G2369" t="inlineStr">
        <is>
          <t>Unclassified</t>
        </is>
      </c>
      <c r="H2369" t="inlineStr">
        <is>
          <t>22 GASONET/C&amp;P- PURCHASE OF ODORIZER UNIT FOR RJ GA Tender No. : GSL/RJ/ODORIZER/2025-26/004 Tender Document QAP GCC Revised SOR Replies to Bidders Queries 26.08.2025 at 12:00 Hrs 08.09.2025 at 16:00 Hrs 08.09.2025 at 17:00 Hrs</t>
        </is>
      </c>
      <c r="K2369" t="inlineStr">
        <is>
          <t>Not found</t>
        </is>
      </c>
      <c r="L2369" t="inlineStr">
        <is>
          <t>Unknown</t>
        </is>
      </c>
      <c r="T2369" t="inlineStr">
        <is>
          <t>https://www.gasonet.in/files/22-QAP.pdf</t>
        </is>
      </c>
      <c r="U2369" t="inlineStr">
        <is>
          <t>No</t>
        </is>
      </c>
      <c r="V2369" t="inlineStr">
        <is>
          <t>Bot tarafindan tespit edildi; date=2026-07-01; type=pdf; score=125; Bot tespit/zenginlestirme (2026-07-01); meta:score=35;priority=Low;source_type=html_table;closing_date=;equipment=Unclassified;reasons=document source,tender reference signal</t>
        </is>
      </c>
    </row>
    <row r="2370">
      <c r="A2370" t="inlineStr">
        <is>
          <t>T-2174</t>
        </is>
      </c>
      <c r="B2370" t="inlineStr">
        <is>
          <t>Gasonet Services</t>
        </is>
      </c>
      <c r="C2370" t="inlineStr">
        <is>
          <t>Gasonet Services</t>
        </is>
      </c>
      <c r="D2370" t="inlineStr">
        <is>
          <t>Tender No. : GSL/RJ/ODORIZER/2025-26/004</t>
        </is>
      </c>
      <c r="F2370" t="inlineStr">
        <is>
          <t>New Lead</t>
        </is>
      </c>
      <c r="G2370" t="inlineStr">
        <is>
          <t>Unclassified</t>
        </is>
      </c>
      <c r="H2370" t="inlineStr">
        <is>
          <t>22 GASONET/C&amp;P- PURCHASE OF ODORIZER UNIT FOR RJ GA Tender No. : GSL/RJ/ODORIZER/2025-26/004 Tender Document QAP GCC Revised SOR Replies to Bidders Queries 26.08.2025 at 12:00 Hrs 08.09.2025 at 16:00 Hrs 08.09.2025 at 17:00 Hrs</t>
        </is>
      </c>
      <c r="K2370" t="inlineStr">
        <is>
          <t>Not found</t>
        </is>
      </c>
      <c r="L2370" t="inlineStr">
        <is>
          <t>Unknown</t>
        </is>
      </c>
      <c r="T2370" t="inlineStr">
        <is>
          <t>https://www.gasonet.in/files/22-GCC.pdf</t>
        </is>
      </c>
      <c r="U2370" t="inlineStr">
        <is>
          <t>No</t>
        </is>
      </c>
      <c r="V2370" t="inlineStr">
        <is>
          <t>Bot tarafindan tespit edildi; date=2026-07-01; type=pdf; score=125; Bot tespit/zenginlestirme (2026-07-01); meta:score=35;priority=Low;source_type=html_table;closing_date=;equipment=Unclassified;reasons=document source,tender reference signal</t>
        </is>
      </c>
    </row>
    <row r="2371">
      <c r="A2371" t="inlineStr">
        <is>
          <t>T-2175</t>
        </is>
      </c>
      <c r="B2371" t="inlineStr">
        <is>
          <t>Gasonet Services</t>
        </is>
      </c>
      <c r="C2371" t="inlineStr">
        <is>
          <t>Gasonet Services</t>
        </is>
      </c>
      <c r="D2371" t="inlineStr">
        <is>
          <t>Tender No. : GSL/RJ/ODORIZER/2025-26/004</t>
        </is>
      </c>
      <c r="F2371" t="inlineStr">
        <is>
          <t>New Lead</t>
        </is>
      </c>
      <c r="G2371" t="inlineStr">
        <is>
          <t>Unclassified</t>
        </is>
      </c>
      <c r="H2371" t="inlineStr">
        <is>
          <t>22 GASONET/C&amp;P- PURCHASE OF ODORIZER UNIT FOR RJ GA Tender No. : GSL/RJ/ODORIZER/2025-26/004 Tender Document QAP GCC Revised SOR Replies to Bidders Queries 26.08.2025 at 12:00 Hrs 08.09.2025 at 16:00 Hrs 08.09.2025 at 17:00 Hrs</t>
        </is>
      </c>
      <c r="K2371" t="inlineStr">
        <is>
          <t>Not found</t>
        </is>
      </c>
      <c r="L2371" t="inlineStr">
        <is>
          <t>Unknown</t>
        </is>
      </c>
      <c r="T2371" t="inlineStr">
        <is>
          <t>https://www.gasonet.in/files/22-Revised-SOR.pdf</t>
        </is>
      </c>
      <c r="U2371" t="inlineStr">
        <is>
          <t>No</t>
        </is>
      </c>
      <c r="V2371" t="inlineStr">
        <is>
          <t>Bot tarafindan tespit edildi; date=2026-07-01; type=pdf; score=125; Bot tespit/zenginlestirme (2026-07-01); meta:score=35;priority=Low;source_type=html_table;closing_date=;equipment=Unclassified;reasons=document source,tender reference signal</t>
        </is>
      </c>
    </row>
    <row r="2372">
      <c r="A2372" t="inlineStr">
        <is>
          <t>T-2176</t>
        </is>
      </c>
      <c r="B2372" t="inlineStr">
        <is>
          <t>Gasonet Services</t>
        </is>
      </c>
      <c r="C2372" t="inlineStr">
        <is>
          <t>Gasonet Services</t>
        </is>
      </c>
      <c r="D2372" t="inlineStr">
        <is>
          <t>Tender No. : GSL/CIVIL</t>
        </is>
      </c>
      <c r="F2372" t="inlineStr">
        <is>
          <t>New Lead</t>
        </is>
      </c>
      <c r="G2372" t="inlineStr">
        <is>
          <t>Unclassified</t>
        </is>
      </c>
      <c r="H2372" t="inlineStr">
        <is>
          <t>25 GASONET/C&amp;P- TENDER FOR CIVIL CONSTRUCTION WORKS FOR UK-E, UK-W AND HP GA Tender No. : GSL/CIVIL CONSTRUCTION /2025-26/010 Bidders are required to submit a filled SOR, a duly signed and stamped PDF copy with a password-protected file, along with an Excel fi</t>
        </is>
      </c>
      <c r="K2372" t="inlineStr">
        <is>
          <t>Not found</t>
        </is>
      </c>
      <c r="L2372" t="inlineStr">
        <is>
          <t>Unknown</t>
        </is>
      </c>
      <c r="T2372" t="inlineStr">
        <is>
          <t>https://www.gasonet.in/files/25-02. GCC_SEP.pdf</t>
        </is>
      </c>
      <c r="U2372" t="inlineStr">
        <is>
          <t>No</t>
        </is>
      </c>
      <c r="V2372" t="inlineStr">
        <is>
          <t>Bot tarafindan tespit edildi; date=2026-07-01; type=pdf; score=125; Bot tespit/zenginlestirme (2026-07-01); meta:score=;priority=Low;source_type=html_table;closing_date=;equipment=Unclassified;reasons=document source,tender reference signal,access/action page</t>
        </is>
      </c>
    </row>
    <row r="2373">
      <c r="A2373" t="inlineStr">
        <is>
          <t>T-2177</t>
        </is>
      </c>
      <c r="B2373" t="inlineStr">
        <is>
          <t>Gasonet Services</t>
        </is>
      </c>
      <c r="C2373" t="inlineStr">
        <is>
          <t>Gasonet Services</t>
        </is>
      </c>
      <c r="D2373" t="inlineStr">
        <is>
          <t>Tender No. : GSL/CIVIL</t>
        </is>
      </c>
      <c r="F2373" t="inlineStr">
        <is>
          <t>New Lead</t>
        </is>
      </c>
      <c r="G2373" t="inlineStr">
        <is>
          <t>Unclassified</t>
        </is>
      </c>
      <c r="H2373" t="inlineStr">
        <is>
          <t>25 GASONET/C&amp;P- TENDER FOR CIVIL CONSTRUCTION WORKS FOR UK-E, UK-W AND HP GA Tender No. : GSL/CIVIL CONSTRUCTION /2025-26/010 Bidders are required to submit a filled SOR, a duly signed and stamped PDF copy with a password-protected file, along with an Excel fi</t>
        </is>
      </c>
      <c r="K2373" t="inlineStr">
        <is>
          <t>Not found</t>
        </is>
      </c>
      <c r="L2373" t="inlineStr">
        <is>
          <t>Unknown</t>
        </is>
      </c>
      <c r="T2373" t="inlineStr">
        <is>
          <t>https://www.gasonet.in/files/25-SOR Nepali Farm Group A.xlsx</t>
        </is>
      </c>
      <c r="U2373" t="inlineStr">
        <is>
          <t>No</t>
        </is>
      </c>
      <c r="V2373" t="inlineStr">
        <is>
          <t>Bot tarafindan tespit edildi; date=2026-07-01; type=excel; score=125; Bot tespit/zenginlestirme (2026-07-01); meta:score=;priority=Low;source_type=html_table;closing_date=;equipment=Unclassified;reasons=document source,tender reference signal,access/action page</t>
        </is>
      </c>
    </row>
    <row r="2374">
      <c r="A2374" t="inlineStr">
        <is>
          <t>T-2178</t>
        </is>
      </c>
      <c r="B2374" t="inlineStr">
        <is>
          <t>Gasonet Services</t>
        </is>
      </c>
      <c r="C2374" t="inlineStr">
        <is>
          <t>Gasonet Services</t>
        </is>
      </c>
      <c r="D2374" t="inlineStr">
        <is>
          <t>Tender No. : GSL/CIVIL</t>
        </is>
      </c>
      <c r="F2374" t="inlineStr">
        <is>
          <t>New Lead</t>
        </is>
      </c>
      <c r="G2374" t="inlineStr">
        <is>
          <t>Unclassified</t>
        </is>
      </c>
      <c r="H2374" t="inlineStr">
        <is>
          <t>25 GASONET/C&amp;P- TENDER FOR CIVIL CONSTRUCTION WORKS FOR UK-E, UK-W AND HP GA Tender No. : GSL/CIVIL CONSTRUCTION /2025-26/010 Bidders are required to submit a filled SOR, a duly signed and stamped PDF copy with a password-protected file, along with an Excel fi</t>
        </is>
      </c>
      <c r="K2374" t="inlineStr">
        <is>
          <t>Not found</t>
        </is>
      </c>
      <c r="L2374" t="inlineStr">
        <is>
          <t>Unknown</t>
        </is>
      </c>
      <c r="T2374" t="inlineStr">
        <is>
          <t>https://www.gasonet.in/files/25-SOR-Rudrapur Group B.xlsx</t>
        </is>
      </c>
      <c r="U2374" t="inlineStr">
        <is>
          <t>No</t>
        </is>
      </c>
      <c r="V2374" t="inlineStr">
        <is>
          <t>Bot tarafindan tespit edildi; date=2026-07-01; type=excel; score=125; Bot tespit/zenginlestirme (2026-07-01); meta:score=;priority=Low;source_type=html_table;closing_date=;equipment=Unclassified;reasons=document source,tender reference signal,access/action page</t>
        </is>
      </c>
    </row>
    <row r="2375">
      <c r="A2375" t="inlineStr">
        <is>
          <t>T-2179</t>
        </is>
      </c>
      <c r="B2375" t="inlineStr">
        <is>
          <t>Avantika Gas</t>
        </is>
      </c>
      <c r="C2375" t="inlineStr">
        <is>
          <t>Avantika Gas</t>
        </is>
      </c>
      <c r="D2375" t="inlineStr">
        <is>
          <t>Policy</t>
        </is>
      </c>
      <c r="F2375" t="inlineStr">
        <is>
          <t>New Lead</t>
        </is>
      </c>
      <c r="G2375" t="inlineStr">
        <is>
          <t>RMS</t>
        </is>
      </c>
      <c r="H2375" t="inlineStr">
        <is>
          <t>Businesses PNG – Domestic PNG in Madhya Pradesh New Enquiry Direct Marketing Agents Availability Bill Payment Terms and Conditions Tariff Card Talk to Us Quick Synopsis – Aavantika Gas Limited(Agent Policy) – 2023 PNG – Industrial Availability Retail Selling P</t>
        </is>
      </c>
      <c r="K2375" t="inlineStr">
        <is>
          <t>Not found</t>
        </is>
      </c>
      <c r="L2375" t="inlineStr">
        <is>
          <t>Unknown</t>
        </is>
      </c>
      <c r="T2375" t="inlineStr">
        <is>
          <t>https://www.aglonline.net/businesses/</t>
        </is>
      </c>
      <c r="U2375" t="inlineStr">
        <is>
          <t>No</t>
        </is>
      </c>
      <c r="V2375" t="inlineStr">
        <is>
          <t>Bot tarafindan tespit edildi; date=2026-07-01; type=html; score=180</t>
        </is>
      </c>
    </row>
    <row r="2376">
      <c r="A2376" t="inlineStr">
        <is>
          <t>T-2180</t>
        </is>
      </c>
      <c r="B2376" t="inlineStr">
        <is>
          <t>Avantika Gas</t>
        </is>
      </c>
      <c r="C2376" t="inlineStr">
        <is>
          <t>Avantika Gas</t>
        </is>
      </c>
      <c r="D2376" t="inlineStr">
        <is>
          <t>Policy</t>
        </is>
      </c>
      <c r="F2376" t="inlineStr">
        <is>
          <t>New Lead</t>
        </is>
      </c>
      <c r="G2376" t="inlineStr">
        <is>
          <t>RMS</t>
        </is>
      </c>
      <c r="H2376" t="inlineStr">
        <is>
          <t>PNG – Domestic PNG in Madhya Pradesh New Enquiry Direct Marketing Agents Availability Bill Payment Terms and Conditions Tariff Card Talk to Us Quick Synopsis – Aavantika Gas Limited(Agent Policy) – 2023</t>
        </is>
      </c>
      <c r="K2376" t="inlineStr">
        <is>
          <t>Not found</t>
        </is>
      </c>
      <c r="L2376" t="inlineStr">
        <is>
          <t>Unknown</t>
        </is>
      </c>
      <c r="T2376" t="inlineStr">
        <is>
          <t>https://www.aglonline.net/businesses/png-domestic/</t>
        </is>
      </c>
      <c r="U2376" t="inlineStr">
        <is>
          <t>No</t>
        </is>
      </c>
      <c r="V2376" t="inlineStr">
        <is>
          <t>Bot tarafindan tespit edildi; date=2026-07-01; type=html; score=180</t>
        </is>
      </c>
    </row>
    <row r="2377">
      <c r="A2377" t="inlineStr">
        <is>
          <t>T-2181</t>
        </is>
      </c>
      <c r="B2377" t="inlineStr">
        <is>
          <t>SAP Ariba Discovery</t>
        </is>
      </c>
      <c r="C2377" t="inlineStr">
        <is>
          <t>SAP Ariba Discovery</t>
        </is>
      </c>
      <c r="D2377" t="inlineStr">
        <is>
          <t>com/agreements-sap-business-network-privacy-statement</t>
        </is>
      </c>
      <c r="F2377" t="inlineStr">
        <is>
          <t>New Lead</t>
        </is>
      </c>
      <c r="G2377" t="inlineStr">
        <is>
          <t>RMS</t>
        </is>
      </c>
      <c r="H2377" t="inlineStr">
        <is>
          <t>© 2022 SAP SE or an SAP affiliated company. All Rights Reserved. SAP Business Network Privacy Statement Security Disclosure Terms of Use</t>
        </is>
      </c>
      <c r="K2377" t="inlineStr">
        <is>
          <t>Not found</t>
        </is>
      </c>
      <c r="L2377" t="inlineStr">
        <is>
          <t>Unknown</t>
        </is>
      </c>
      <c r="T2377" t="inlineStr">
        <is>
          <t>https://www.sap.com/agreements-sap-business-network-privacy-statement</t>
        </is>
      </c>
      <c r="U2377" t="inlineStr">
        <is>
          <t>No</t>
        </is>
      </c>
      <c r="V2377" t="inlineStr">
        <is>
          <t>Bot tarafindan tespit edildi; date=2026-07-01; type=html; score=160</t>
        </is>
      </c>
    </row>
    <row r="2378">
      <c r="A2378" t="inlineStr">
        <is>
          <t>T-2182</t>
        </is>
      </c>
      <c r="B2378" t="inlineStr">
        <is>
          <t>SAP Ariba Discovery</t>
        </is>
      </c>
      <c r="C2378" t="inlineStr">
        <is>
          <t>SAP Ariba Discovery</t>
        </is>
      </c>
      <c r="D2378" t="inlineStr">
        <is>
          <t>com/about/trust-center/agreements/ariba.html</t>
        </is>
      </c>
      <c r="F2378" t="inlineStr">
        <is>
          <t>New Lead</t>
        </is>
      </c>
      <c r="G2378" t="inlineStr">
        <is>
          <t>RMS</t>
        </is>
      </c>
      <c r="H2378" t="inlineStr">
        <is>
          <t>© 2022 SAP SE or an SAP affiliated company. All Rights Reserved. SAP Business Network Privacy Statement Security Disclosure Terms of Use</t>
        </is>
      </c>
      <c r="K2378" t="inlineStr">
        <is>
          <t>Not found</t>
        </is>
      </c>
      <c r="L2378" t="inlineStr">
        <is>
          <t>Unknown</t>
        </is>
      </c>
      <c r="T2378" t="inlineStr">
        <is>
          <t>https://www.sap.com/about/trust-center/agreements/ariba.html?sort=title_asc&amp;search=ariba-security-disclosure&amp;tab=archived&amp;tag=year%3A2006&amp;tag=language%3Aenglish&amp;pdf-asset=9c68b456-307e-0010-bca6-c68f7e60039b&amp;page=1</t>
        </is>
      </c>
      <c r="U2378" t="inlineStr">
        <is>
          <t>No</t>
        </is>
      </c>
      <c r="V2378" t="inlineStr">
        <is>
          <t>Bot tarafindan tespit edildi; date=2026-07-01; type=html; score=160</t>
        </is>
      </c>
    </row>
    <row r="2379">
      <c r="A2379" t="inlineStr">
        <is>
          <t>T-2183</t>
        </is>
      </c>
      <c r="B2379" t="inlineStr">
        <is>
          <t>GAIL India</t>
        </is>
      </c>
      <c r="C2379" t="inlineStr">
        <is>
          <t>GAIL India</t>
        </is>
      </c>
      <c r="F2379" t="inlineStr">
        <is>
          <t>New Lead</t>
        </is>
      </c>
      <c r="G2379" t="inlineStr">
        <is>
          <t>Unclassified</t>
        </is>
      </c>
      <c r="H2379" t="inlineStr">
        <is>
          <t>DETAILS OF PRE-TENDER CONFERENCE Authentication of BEC Documents ADDENDUM TO INSTRUCTIONS TO BIDDERS (INSTRUCTIONS FOR PARTICIPATION IN E-TENDER)</t>
        </is>
      </c>
      <c r="K2379" t="inlineStr">
        <is>
          <t>Not found</t>
        </is>
      </c>
      <c r="L2379" t="inlineStr">
        <is>
          <t>Unknown</t>
        </is>
      </c>
      <c r="T2379" t="inlineStr">
        <is>
          <t>https://gailtenders.in/Gailtenders/Write up.pdf</t>
        </is>
      </c>
      <c r="U2379" t="inlineStr">
        <is>
          <t>No</t>
        </is>
      </c>
      <c r="V2379" t="inlineStr">
        <is>
          <t>Bot tespit/zenginlestirme (2026-07-01); meta:score=20;priority=Low;source_type=html_table;closing_date=;equipment=Unclassified;reasons=document source</t>
        </is>
      </c>
    </row>
    <row r="2380">
      <c r="A2380" t="inlineStr">
        <is>
          <t>T-2184</t>
        </is>
      </c>
      <c r="B2380" t="inlineStr">
        <is>
          <t>GAIL India</t>
        </is>
      </c>
      <c r="C2380" t="inlineStr">
        <is>
          <t>GAIL India</t>
        </is>
      </c>
      <c r="F2380" t="inlineStr">
        <is>
          <t>New Lead</t>
        </is>
      </c>
      <c r="G2380" t="inlineStr">
        <is>
          <t>Unclassified</t>
        </is>
      </c>
      <c r="H2380" t="inlineStr">
        <is>
          <t>DETAILS OF PRE-TENDER CONFERENCE Authentication of BEC Documents ADDENDUM TO INSTRUCTIONS TO BIDDERS (INSTRUCTIONS FOR PARTICIPATION IN E-TENDER)</t>
        </is>
      </c>
      <c r="K2380" t="inlineStr">
        <is>
          <t>Not found</t>
        </is>
      </c>
      <c r="L2380" t="inlineStr">
        <is>
          <t>Unknown</t>
        </is>
      </c>
      <c r="T2380" t="inlineStr">
        <is>
          <t>https://gailtenders.in/Gailtenders/AddendumtoITBeTender.pdf</t>
        </is>
      </c>
      <c r="U2380" t="inlineStr">
        <is>
          <t>No</t>
        </is>
      </c>
      <c r="V2380" t="inlineStr">
        <is>
          <t>Bot tespit/zenginlestirme (2026-07-01); meta:score=20;priority=Low;source_type=html_table;closing_date=;equipment=Unclassified;reasons=document source</t>
        </is>
      </c>
    </row>
    <row r="2381">
      <c r="A2381" t="inlineStr">
        <is>
          <t>T-2185</t>
        </is>
      </c>
      <c r="B2381" t="inlineStr">
        <is>
          <t>GAIL India</t>
        </is>
      </c>
      <c r="C2381" t="inlineStr">
        <is>
          <t>GAIL India</t>
        </is>
      </c>
      <c r="D2381" t="inlineStr">
        <is>
          <t>tifications</t>
        </is>
      </c>
      <c r="F2381" t="inlineStr">
        <is>
          <t>Docs Found</t>
        </is>
      </c>
      <c r="G2381" t="inlineStr">
        <is>
          <t>Unclassified</t>
        </is>
      </c>
      <c r="H2381" t="inlineStr">
        <is>
          <t>WELCOME ! TO GAIL TENDER WEBSITE Tender Statistics Tender(s): 112 Corrigendum(s): 17 Click here to Login for uploading Tenders / Corrigendum (Only For GAIL Users) Annual Procurement Plan Todays Statistics Tender(s): 4 Corrigendum(s): 1 DETAILS OF PRE-TENDER CONFERENCE Authentication of BEC Documents ADDENDUM TO INSTRUCTIONS TO BIDDERS (INSTRUCTIONS FOR PARTICIPATION IN E-TENDER) ACTIVE TENDERS Tenders which are currently active and for which the last date is near future. You can choose from the tenders whose last date is due Today Next Week Next Fortnight All Active Tenders TENDERS BY CLASSIFICATIONS Tender notifications by the Tender Category Purchase Service Contract Empanelment Sell/Dispose Auction Consultancy Work contract EOI (Expression of Interest) TENDER SEARCH Location Category Tender notifications for which corrigendum has been issued</t>
        </is>
      </c>
      <c r="K2381" t="inlineStr">
        <is>
          <t>Not found</t>
        </is>
      </c>
      <c r="L2381" t="inlineStr">
        <is>
          <t>Unknown</t>
        </is>
      </c>
      <c r="T2381" t="inlineStr">
        <is>
          <t>https://gailtenders.in/Gailtenders/pdf/APP2425002_19062024.pdf</t>
        </is>
      </c>
      <c r="U2381" t="inlineStr">
        <is>
          <t>No</t>
        </is>
      </c>
      <c r="V2381" t="inlineStr">
        <is>
          <t>Bot tespit/zenginlestirme (2026-07-01); meta:score=10;priority=Low;source_type=html_table;closing_date=;equipment=Unclassified;reasons=document source,tender reference signal,closing date signal,access/action page</t>
        </is>
      </c>
    </row>
    <row r="2382">
      <c r="A2382" t="inlineStr">
        <is>
          <t>T-2186</t>
        </is>
      </c>
      <c r="B2382" t="inlineStr">
        <is>
          <t>GAIL India</t>
        </is>
      </c>
      <c r="C2382" t="inlineStr">
        <is>
          <t>GAIL India</t>
        </is>
      </c>
      <c r="D2382" t="inlineStr">
        <is>
          <t>tifications</t>
        </is>
      </c>
      <c r="F2382" t="inlineStr">
        <is>
          <t>Awarded / Result</t>
        </is>
      </c>
      <c r="G2382" t="inlineStr">
        <is>
          <t>Unclassified</t>
        </is>
      </c>
      <c r="H2382" t="inlineStr">
        <is>
          <t>WELCOME ! TO GAIL TENDER WEBSITE Tender Statistics Tender(s): 112 Corrigendum(s): 17 Click here to Login for uploading Tenders / Corrigendum (Only For GAIL Users) Annual Procurement Plan Todays Statistics Tender(s): 4 Corrigendum(s): 1 DETAILS OF PRE-TENDER CONFERENCE Authentication of BEC Documents ADDENDUM TO INSTRUCTIONS TO BIDDERS (INSTRUCTIONS FOR PARTICIPATION IN E-TENDER) ACTIVE TENDERS Tenders which are currently active and for which the last date is near future. You can choose from the tenders whose last date is due Today Next Week Next Fortnight All Active Tenders TENDERS BY CLASSIFICATIONS Tender notifications by the Tender Category Purchase Service Contract Empanelment Sell/Dispose Auction Consultancy Work contract EOI (Expression of Interest) TENDER SEARCH Location Category Tender notifications for which corrigendum has been issued</t>
        </is>
      </c>
      <c r="K2382" t="inlineStr">
        <is>
          <t>Not found</t>
        </is>
      </c>
      <c r="L2382" t="inlineStr">
        <is>
          <t>Unknown</t>
        </is>
      </c>
      <c r="T2382" t="inlineStr">
        <is>
          <t>https://gailtenders.in/Gailtenders/admin/index.asp</t>
        </is>
      </c>
      <c r="U2382" t="inlineStr">
        <is>
          <t>HTML</t>
        </is>
      </c>
      <c r="V2382" t="inlineStr">
        <is>
          <t>Bot tespit/zenginlestirme (2026-07-01); meta:score=;priority=Low;source_type=html_table;closing_date=;equipment=Unclassified;reasons=tender reference signal,closing date signal,access/action page</t>
        </is>
      </c>
    </row>
    <row r="2383">
      <c r="A2383" t="inlineStr">
        <is>
          <t>T-2187</t>
        </is>
      </c>
      <c r="B2383" t="inlineStr">
        <is>
          <t>Adani Total Gas (ATGL)</t>
        </is>
      </c>
      <c r="C2383" t="inlineStr">
        <is>
          <t>Adani Total Gas (ATGL)</t>
        </is>
      </c>
      <c r="F2383" t="inlineStr">
        <is>
          <t>New Lead</t>
        </is>
      </c>
      <c r="G2383" t="inlineStr">
        <is>
          <t>Unclassified</t>
        </is>
      </c>
      <c r="H2383" t="inlineStr">
        <is>
          <t>RFP for OE and PMC View</t>
        </is>
      </c>
      <c r="K2383" t="inlineStr">
        <is>
          <t>Not found</t>
        </is>
      </c>
      <c r="L2383" t="inlineStr">
        <is>
          <t>Unknown</t>
        </is>
      </c>
      <c r="T2383" t="inlineStr">
        <is>
          <t>https://www.adanigas.com/-/media/Project/AdaniGas/Commercials/combinepdf.pdf?q=1</t>
        </is>
      </c>
      <c r="U2383" t="inlineStr">
        <is>
          <t>No</t>
        </is>
      </c>
      <c r="V2383" t="inlineStr">
        <is>
          <t>Bot tespit/zenginlestirme (2026-07-01); meta:score=35;priority=Low;source_type=html_table;closing_date=;equipment=Unclassified;reasons=document source,tender reference signal</t>
        </is>
      </c>
    </row>
    <row r="2384">
      <c r="A2384" t="inlineStr">
        <is>
          <t>T-2188</t>
        </is>
      </c>
      <c r="B2384" t="inlineStr">
        <is>
          <t>Torrent Gas</t>
        </is>
      </c>
      <c r="C2384" t="inlineStr">
        <is>
          <t>Torrent Gas</t>
        </is>
      </c>
      <c r="F2384" t="inlineStr">
        <is>
          <t>New Lead</t>
        </is>
      </c>
      <c r="G2384" t="inlineStr">
        <is>
          <t>Gas-related / review</t>
        </is>
      </c>
      <c r="H2384" t="inlineStr">
        <is>
          <t>Vendor Registration TDS Certificate Vendor Registration The Torrent Group is a leading business conglomerate with a legacy of excellence. With revenues of approximately ₹45,000 crore and a market capitalization of ₹1,98,000 crore (USD 23 billion), the Group has a significant presence in pharmaceutical, power, and city gas distribution (CGD) sectors. Torrent Power is a prominent player in India’s energy sector, with expertise in generation, transmission, and distribution. It operates a capacity of 4,881 MWp, including 786.5 MW from renewable sources, and distributes over 31 billion units annually across 12 cities, serving 4.21 million customers. Torrent Gas, the Group's CGD arm, is authorized to develop City gas infrastructure across 34 districts in 7 states and 1 Union Territory. It operates 500+ CNG stations and provides over 2,00,000 domestic PNG connections and 1300+ Industrial &amp; Commercial PNG connections. Become Our Partner At Torrent Gas Limited, we believe in building strong and</t>
        </is>
      </c>
      <c r="K2384" t="inlineStr">
        <is>
          <t>Not found</t>
        </is>
      </c>
      <c r="L2384" t="inlineStr">
        <is>
          <t>Unknown</t>
        </is>
      </c>
      <c r="T2384" t="inlineStr">
        <is>
          <t>https://www.torrentgas.com/Users/images/cms_img/Vendor Evaluation cum Registration Form.xlsx</t>
        </is>
      </c>
      <c r="U2384" t="inlineStr">
        <is>
          <t>No</t>
        </is>
      </c>
      <c r="V2384" t="inlineStr">
        <is>
          <t>Bot tespit/zenginlestirme (2026-07-01); meta:score=35;priority=Low;source_type=html_table;closing_date=;equipment=Gas-related / review;reasons=equipment:Gas-related / review,document source,quantity signal,tender reference signal,access/action page</t>
        </is>
      </c>
    </row>
    <row r="2385">
      <c r="A2385" t="inlineStr">
        <is>
          <t>T-2189</t>
        </is>
      </c>
      <c r="B2385" t="inlineStr">
        <is>
          <t>Torrent Gas</t>
        </is>
      </c>
      <c r="C2385" t="inlineStr">
        <is>
          <t>Torrent Gas</t>
        </is>
      </c>
      <c r="F2385" t="inlineStr">
        <is>
          <t>New Lead</t>
        </is>
      </c>
      <c r="G2385" t="inlineStr">
        <is>
          <t>Gas-related / review</t>
        </is>
      </c>
      <c r="H2385" t="inlineStr">
        <is>
          <t>Vendor Registration TDS Certificate Vendor Registration The Torrent Group is a leading business conglomerate with a legacy of excellence. With revenues of approximately ₹45,000 crore and a market capitalization of ₹1,98,000 crore (USD 23 billion), the Group has a significant presence in pharmaceutical, power, and city gas distribution (CGD) sectors. Torrent Power is a prominent player in India’s energy sector, with expertise in generation, transmission, and distribution. It operates a capacity of 4,881 MWp, including 786.5 MW from renewable sources, and distributes over 31 billion units annually across 12 cities, serving 4.21 million customers. Torrent Gas, the Group's CGD arm, is authorized to develop City gas infrastructure across 34 districts in 7 states and 1 Union Territory. It operates 500+ CNG stations and provides over 2,00,000 domestic PNG connections and 1300+ Industrial &amp; Commercial PNG connections. Become Our Partner At Torrent Gas Limited, we believe in building strong and</t>
        </is>
      </c>
      <c r="K2385" t="inlineStr">
        <is>
          <t>Not found</t>
        </is>
      </c>
      <c r="L2385" t="inlineStr">
        <is>
          <t>Unknown</t>
        </is>
      </c>
      <c r="T2385" t="inlineStr">
        <is>
          <t>https://www.torrentgas.com/Users/images/cms_img/Supplier code of Conduct.pdf</t>
        </is>
      </c>
      <c r="U2385" t="inlineStr">
        <is>
          <t>No</t>
        </is>
      </c>
      <c r="V2385" t="inlineStr">
        <is>
          <t>Bot tespit/zenginlestirme (2026-07-01); meta:score=35;priority=Low;source_type=html_table;closing_date=;equipment=Gas-related / review;reasons=equipment:Gas-related / review,document source,quantity signal,tender reference signal,access/action page</t>
        </is>
      </c>
    </row>
    <row r="2386">
      <c r="A2386" t="inlineStr">
        <is>
          <t>T-2190</t>
        </is>
      </c>
      <c r="B2386" t="inlineStr">
        <is>
          <t>Gasonet Services</t>
        </is>
      </c>
      <c r="C2386" t="inlineStr">
        <is>
          <t>Gasonet Services</t>
        </is>
      </c>
      <c r="D2386" t="inlineStr">
        <is>
          <t>GSL/REPL/011/LNG</t>
        </is>
      </c>
      <c r="E2386" t="inlineStr">
        <is>
          <t>29/05/2023</t>
        </is>
      </c>
      <c r="F2386" t="inlineStr">
        <is>
          <t>New Lead</t>
        </is>
      </c>
      <c r="G2386" t="inlineStr">
        <is>
          <t>Unclassified</t>
        </is>
      </c>
      <c r="H2386" t="inlineStr">
        <is>
          <t>7 Design, Supply, Installation, Testing, Commissioning, and 5 Years of Comprehensive Operation &amp; Maintenance of LNG Storage &amp; Regasification Station along with all necessary auxiliary units at Bikaner &amp; Churu GA Technical Volume II of II Commercial Volume I of II SOR-LNG Corrigendum-01 Corrigendum-02 Corrigendum-03 08.06.2023 @15:00 hrs 12.07.2023 @15:00 hrs 27.06.2023 @15:00 hrs 27.06.2023 @15:30 hrs 12.07.2023 @15:00 hrs</t>
        </is>
      </c>
      <c r="I2386" t="inlineStr">
        <is>
          <t>2</t>
        </is>
      </c>
      <c r="J2386" t="inlineStr">
        <is>
          <t>Nos</t>
        </is>
      </c>
      <c r="K2386" t="inlineStr">
        <is>
          <t>Not found</t>
        </is>
      </c>
      <c r="L2386" t="inlineStr">
        <is>
          <t>Unknown</t>
        </is>
      </c>
      <c r="T2386" t="inlineStr">
        <is>
          <t>https://www.gasonet.in/files/Technical Volume II of II (1).pdf</t>
        </is>
      </c>
      <c r="U2386" t="inlineStr">
        <is>
          <t>No</t>
        </is>
      </c>
      <c r="V2386" t="inlineStr">
        <is>
          <t>Bot tespit/zenginlestirme (2026-07-01); meta:score=55;priority=Medium;source_type=html_table;closing_date=;equipment=Unclassified;reasons=document source,quantity signal,tender reference signal</t>
        </is>
      </c>
    </row>
    <row r="2387">
      <c r="A2387" t="inlineStr">
        <is>
          <t>T-2191</t>
        </is>
      </c>
      <c r="B2387" t="inlineStr">
        <is>
          <t>Gasonet Services</t>
        </is>
      </c>
      <c r="C2387" t="inlineStr">
        <is>
          <t>Gasonet Services</t>
        </is>
      </c>
      <c r="D2387" t="inlineStr">
        <is>
          <t>GSL/REPL/011/LNG</t>
        </is>
      </c>
      <c r="E2387" t="inlineStr">
        <is>
          <t>27/05/2023</t>
        </is>
      </c>
      <c r="F2387" t="inlineStr">
        <is>
          <t>New Lead</t>
        </is>
      </c>
      <c r="G2387" t="inlineStr">
        <is>
          <t>Unclassified</t>
        </is>
      </c>
      <c r="H2387" t="inlineStr">
        <is>
          <t>7 Design, Supply, Installation, Testing, Commissioning, and 5 Years of Comprehensive Operation &amp; Maintenance of LNG Storage &amp; Regasification Station along with all necessary auxiliary units at Bikaner &amp; Churu GA Technical Volume II of II Commercial Volume I of II SOR-LNG Corrigendum-01 Corrigendum-02 Corrigendum-03 08.06.2023 @15:00 hrs 12.07.2023 @15:00 hrs 27.06.2023 @15:00 hrs 27.06.2023 @15:30 hrs 12.07.2023 @15:00 hrs</t>
        </is>
      </c>
      <c r="K2387" t="inlineStr">
        <is>
          <t>through another tender. 4.3 OPERATION AND COMPREHENSIVE MAINTENANCE PORTION 4.3.1</t>
        </is>
      </c>
      <c r="L2387" t="inlineStr">
        <is>
          <t>Unknown</t>
        </is>
      </c>
      <c r="M2387" t="n">
        <v>1200000</v>
      </c>
      <c r="T2387" t="inlineStr">
        <is>
          <t>https://www.gasonet.in/files/Commercial Volume I of II (1).pdf</t>
        </is>
      </c>
      <c r="U2387" t="inlineStr">
        <is>
          <t>No</t>
        </is>
      </c>
      <c r="V2387" t="inlineStr">
        <is>
          <t>Bot tespit/zenginlestirme (2026-07-01); meta:score=55;priority=Medium;source_type=html_table;closing_date=;equipment=Unclassified;reasons=document source,quantity signal,tender reference signal</t>
        </is>
      </c>
    </row>
    <row r="2388">
      <c r="A2388" t="inlineStr">
        <is>
          <t>T-2192</t>
        </is>
      </c>
      <c r="B2388" t="inlineStr">
        <is>
          <t>Gasonet Services</t>
        </is>
      </c>
      <c r="C2388" t="inlineStr">
        <is>
          <t>Gasonet Services</t>
        </is>
      </c>
      <c r="F2388" t="inlineStr">
        <is>
          <t>New Lead</t>
        </is>
      </c>
      <c r="G2388" t="inlineStr">
        <is>
          <t>Unclassified</t>
        </is>
      </c>
      <c r="H2388" t="inlineStr">
        <is>
          <t>7 Design, Supply, Installation, Testing, Commissioning, and 5 Years of Comprehensive Operation &amp; Maintenance of LNG Storage &amp; Regasification Station along with all necessary auxiliary units at Bikaner &amp; Churu GA Technical Volume II of II Commercial Volume I of II SOR-LNG Corrigendum-01 Corrigendum-02 Corrigendum-03 08.06.2023 @15:00 hrs 12.07.2023 @15:00 hrs 27.06.2023 @15:00 hrs 27.06.2023 @15:30 hrs 12.07.2023 @15:00 hrs</t>
        </is>
      </c>
      <c r="K2388" t="inlineStr">
        <is>
          <t>Not found</t>
        </is>
      </c>
      <c r="L2388" t="inlineStr">
        <is>
          <t>Unknown</t>
        </is>
      </c>
      <c r="T2388" t="inlineStr">
        <is>
          <t>https://www.gasonet.in/files/SOR-LNG.xlsx</t>
        </is>
      </c>
      <c r="U2388" t="inlineStr">
        <is>
          <t>No</t>
        </is>
      </c>
      <c r="V2388" t="inlineStr">
        <is>
          <t>Bot tespit/zenginlestirme (2026-07-01); meta:score=55;priority=Medium;source_type=html_table;closing_date=;equipment=Unclassified;reasons=document source,quantity signal,tender reference signal</t>
        </is>
      </c>
    </row>
    <row r="2389">
      <c r="A2389" t="inlineStr">
        <is>
          <t>T-2193</t>
        </is>
      </c>
      <c r="B2389" t="inlineStr">
        <is>
          <t>Gasonet Services</t>
        </is>
      </c>
      <c r="C2389" t="inlineStr">
        <is>
          <t>Gasonet Services</t>
        </is>
      </c>
      <c r="F2389" t="inlineStr">
        <is>
          <t>New Lead</t>
        </is>
      </c>
      <c r="G2389" t="inlineStr">
        <is>
          <t>Unclassified</t>
        </is>
      </c>
      <c r="H2389" t="inlineStr">
        <is>
          <t>15 Purchase of De-compression Unit. GCC Tender- DCU Not Applicable 26.02.2024 at 14:00 Hrs 26.02.2024 at 1700 Hrs.</t>
        </is>
      </c>
      <c r="K2389" t="inlineStr">
        <is>
          <t>Not found</t>
        </is>
      </c>
      <c r="L2389" t="inlineStr">
        <is>
          <t>Unknown</t>
        </is>
      </c>
      <c r="T2389" t="inlineStr">
        <is>
          <t>https://www.gasonet.in/files/GCC (2).pdf</t>
        </is>
      </c>
      <c r="U2389" t="inlineStr">
        <is>
          <t>No</t>
        </is>
      </c>
      <c r="V2389" t="inlineStr">
        <is>
          <t>Bot tespit/zenginlestirme (2026-07-01); meta:score=35;priority=Low;source_type=html_table;closing_date=;equipment=Unclassified;reasons=document source,tender reference signal</t>
        </is>
      </c>
    </row>
    <row r="2390">
      <c r="A2390" t="inlineStr">
        <is>
          <t>T-2194</t>
        </is>
      </c>
      <c r="B2390" t="inlineStr">
        <is>
          <t>Gasonet Services</t>
        </is>
      </c>
      <c r="C2390" t="inlineStr">
        <is>
          <t>Gasonet Services</t>
        </is>
      </c>
      <c r="F2390" t="inlineStr">
        <is>
          <t>New Lead</t>
        </is>
      </c>
      <c r="G2390" t="inlineStr">
        <is>
          <t>Unclassified</t>
        </is>
      </c>
      <c r="H2390" t="inlineStr">
        <is>
          <t>6 Procurement of API 5L 3 LPE Coated CS Line Pipe Technical volume -II Steel Pipe Commercial Volume -I Steel Pipes SOR Corrigendum-01 Corrigendum-02 Corrigendum-03 23.01.2023 @ 11:30 hrs 07.02.2023 @ 15:00 hrs 07.02.2023 @ 15:30 hrs</t>
        </is>
      </c>
      <c r="K2390" t="inlineStr">
        <is>
          <t>Not found</t>
        </is>
      </c>
      <c r="L2390" t="inlineStr">
        <is>
          <t>Unknown</t>
        </is>
      </c>
      <c r="T2390" t="inlineStr">
        <is>
          <t>https://www.gasonet.in/files/Technical volume -II Steel Pipe.pdf</t>
        </is>
      </c>
      <c r="U2390" t="inlineStr">
        <is>
          <t>No</t>
        </is>
      </c>
      <c r="V2390" t="inlineStr">
        <is>
          <t>Bot tespit/zenginlestirme (2026-07-01); meta:score=20;priority=Low;source_type=html_table;closing_date=;equipment=Unclassified;reasons=document source</t>
        </is>
      </c>
    </row>
    <row r="2391">
      <c r="A2391" t="inlineStr">
        <is>
          <t>T-2195</t>
        </is>
      </c>
      <c r="B2391" t="inlineStr">
        <is>
          <t>Gasonet Services</t>
        </is>
      </c>
      <c r="C2391" t="inlineStr">
        <is>
          <t>Gasonet Services</t>
        </is>
      </c>
      <c r="F2391" t="inlineStr">
        <is>
          <t>New Lead</t>
        </is>
      </c>
      <c r="G2391" t="inlineStr">
        <is>
          <t>Unclassified</t>
        </is>
      </c>
      <c r="H2391" t="inlineStr">
        <is>
          <t>6 Procurement of API 5L 3 LPE Coated CS Line Pipe Technical volume -II Steel Pipe Commercial Volume -I Steel Pipes SOR Corrigendum-01 Corrigendum-02 Corrigendum-03 23.01.2023 @ 11:30 hrs 07.02.2023 @ 15:00 hrs 07.02.2023 @ 15:30 hrs</t>
        </is>
      </c>
      <c r="K2391" t="inlineStr">
        <is>
          <t>Not found</t>
        </is>
      </c>
      <c r="L2391" t="inlineStr">
        <is>
          <t>Unknown</t>
        </is>
      </c>
      <c r="T2391" t="inlineStr">
        <is>
          <t>https://www.gasonet.in/files/Commercial Volume -I Steel Pipes.pdf</t>
        </is>
      </c>
      <c r="U2391" t="inlineStr">
        <is>
          <t>No</t>
        </is>
      </c>
      <c r="V2391" t="inlineStr">
        <is>
          <t>Bot tespit/zenginlestirme (2026-07-01); meta:score=20;priority=Low;source_type=html_table;closing_date=;equipment=Unclassified;reasons=document source</t>
        </is>
      </c>
    </row>
    <row r="2392">
      <c r="A2392" t="inlineStr">
        <is>
          <t>T-2196</t>
        </is>
      </c>
      <c r="B2392" t="inlineStr">
        <is>
          <t>Gasonet Services</t>
        </is>
      </c>
      <c r="C2392" t="inlineStr">
        <is>
          <t>Gasonet Services</t>
        </is>
      </c>
      <c r="F2392" t="inlineStr">
        <is>
          <t>New Lead</t>
        </is>
      </c>
      <c r="G2392" t="inlineStr">
        <is>
          <t>Unclassified</t>
        </is>
      </c>
      <c r="H2392" t="inlineStr">
        <is>
          <t>6 Procurement of API 5L 3 LPE Coated CS Line Pipe Technical volume -II Steel Pipe Commercial Volume -I Steel Pipes SOR Corrigendum-01 Corrigendum-02 Corrigendum-03 23.01.2023 @ 11:30 hrs 07.02.2023 @ 15:00 hrs 07.02.2023 @ 15:30 hrs</t>
        </is>
      </c>
      <c r="K2392" t="inlineStr">
        <is>
          <t>Not found</t>
        </is>
      </c>
      <c r="L2392" t="inlineStr">
        <is>
          <t>Unknown</t>
        </is>
      </c>
      <c r="T2392" t="inlineStr">
        <is>
          <t>https://www.gasonet.in/files/SOR.xlsx</t>
        </is>
      </c>
      <c r="U2392" t="inlineStr">
        <is>
          <t>No</t>
        </is>
      </c>
      <c r="V2392" t="inlineStr">
        <is>
          <t>Bot tespit/zenginlestirme (2026-07-01); meta:score=20;priority=Low;source_type=html_table;closing_date=;equipment=Unclassified;reasons=document source</t>
        </is>
      </c>
    </row>
    <row r="2393">
      <c r="A2393" t="inlineStr">
        <is>
          <t>T-2197</t>
        </is>
      </c>
      <c r="B2393" t="inlineStr">
        <is>
          <t>Gasonet Services</t>
        </is>
      </c>
      <c r="C2393" t="inlineStr">
        <is>
          <t>Gasonet Services</t>
        </is>
      </c>
      <c r="F2393" t="inlineStr">
        <is>
          <t>New Lead</t>
        </is>
      </c>
      <c r="G2393" t="inlineStr">
        <is>
          <t>Irrelevant / non-target</t>
        </is>
      </c>
      <c r="H2393" t="inlineStr">
        <is>
          <t>11 Procurement of MDPE Pipe at Churu, Mandi, Rishikesh and Champwat GA. Commercial Volume I of II_GSPL_PE 08.02.2024 Corrigendum 1_BD202401P004 - CIVIL WORK.pdf SOR_GSPL_PE_005_08.02.2024 SOR_GSPL_PE_005_Rev-01 Corrigendum-16.02.2023 RPBQ_16.02.2024 14th February 2024 at 15:00 HRS 22nd February 2024 till 15:00 HRS 22nd February 2024 till 17:00 HRS</t>
        </is>
      </c>
      <c r="K2393" t="inlineStr">
        <is>
          <t>Not found</t>
        </is>
      </c>
      <c r="L2393" t="inlineStr">
        <is>
          <t>Unknown</t>
        </is>
      </c>
      <c r="T2393" t="inlineStr">
        <is>
          <t>https://www.gasonet.in/files/Commercial Volume I of II_GSPL_PE 08.02.2024 (1).pdf</t>
        </is>
      </c>
      <c r="U2393" t="inlineStr">
        <is>
          <t>No</t>
        </is>
      </c>
      <c r="V2393" t="inlineStr">
        <is>
          <t>Bot tespit/zenginlestirme (2026-07-01); meta:score=;priority=Low;source_type=html_table;closing_date=;equipment=Irrelevant / non-target;reasons=irrelevant_equipment,document source</t>
        </is>
      </c>
    </row>
    <row r="2394">
      <c r="A2394" t="inlineStr">
        <is>
          <t>T-2198</t>
        </is>
      </c>
      <c r="B2394" t="inlineStr">
        <is>
          <t>Gasonet Services</t>
        </is>
      </c>
      <c r="C2394" t="inlineStr">
        <is>
          <t>Gasonet Services</t>
        </is>
      </c>
      <c r="F2394" t="inlineStr">
        <is>
          <t>New Lead</t>
        </is>
      </c>
      <c r="G2394" t="inlineStr">
        <is>
          <t>Irrelevant / non-target</t>
        </is>
      </c>
      <c r="H2394" t="inlineStr">
        <is>
          <t>11 Procurement of MDPE Pipe at Churu, Mandi, Rishikesh and Champwat GA. Commercial Volume I of II_GSPL_PE 08.02.2024 Corrigendum 1_BD202401P004 - CIVIL WORK.pdf SOR_GSPL_PE_005_08.02.2024 SOR_GSPL_PE_005_Rev-01 Corrigendum-16.02.2023 RPBQ_16.02.2024 14th February 2024 at 15:00 HRS 22nd February 2024 till 15:00 HRS 22nd February 2024 till 17:00 HRS</t>
        </is>
      </c>
      <c r="K2394" t="inlineStr">
        <is>
          <t>Not found</t>
        </is>
      </c>
      <c r="L2394" t="inlineStr">
        <is>
          <t>Unknown</t>
        </is>
      </c>
      <c r="T2394" t="inlineStr">
        <is>
          <t>https://www.gasonet.in/files/SOR_GSPL_PE_005_08.02.2024 .xlsx</t>
        </is>
      </c>
      <c r="U2394" t="inlineStr">
        <is>
          <t>No</t>
        </is>
      </c>
      <c r="V2394" t="inlineStr">
        <is>
          <t>Bot tespit/zenginlestirme (2026-07-01); meta:score=;priority=Low;source_type=html_table;closing_date=;equipment=Irrelevant / non-target;reasons=irrelevant_equipment,document source</t>
        </is>
      </c>
    </row>
    <row r="2395">
      <c r="A2395" t="inlineStr">
        <is>
          <t>T-2199</t>
        </is>
      </c>
      <c r="B2395" t="inlineStr">
        <is>
          <t>Gasonet Services</t>
        </is>
      </c>
      <c r="C2395" t="inlineStr">
        <is>
          <t>Gasonet Services</t>
        </is>
      </c>
      <c r="F2395" t="inlineStr">
        <is>
          <t>New Lead</t>
        </is>
      </c>
      <c r="G2395" t="inlineStr">
        <is>
          <t>Irrelevant / non-target</t>
        </is>
      </c>
      <c r="H2395" t="inlineStr">
        <is>
          <t>11 Procurement of MDPE Pipe at Churu, Mandi, Rishikesh and Champwat GA. Commercial Volume I of II_GSPL_PE 08.02.2024 Corrigendum 1_BD202401P004 - CIVIL WORK.pdf SOR_GSPL_PE_005_08.02.2024 SOR_GSPL_PE_005_Rev-01 Corrigendum-16.02.2023 RPBQ_16.02.2024 14th February 2024 at 15:00 HRS 22nd February 2024 till 15:00 HRS 22nd February 2024 till 17:00 HRS</t>
        </is>
      </c>
      <c r="K2395" t="inlineStr">
        <is>
          <t>Not found</t>
        </is>
      </c>
      <c r="L2395" t="inlineStr">
        <is>
          <t>Unknown</t>
        </is>
      </c>
      <c r="T2395" t="inlineStr">
        <is>
          <t>https://www.gasonet.in/files/SOR_GSPL_PE_005_Rev-01.xlsx</t>
        </is>
      </c>
      <c r="U2395" t="inlineStr">
        <is>
          <t>No</t>
        </is>
      </c>
      <c r="V2395" t="inlineStr">
        <is>
          <t>Bot tespit/zenginlestirme (2026-07-01); meta:score=;priority=Low;source_type=html_table;closing_date=;equipment=Irrelevant / non-target;reasons=irrelevant_equipment,document source</t>
        </is>
      </c>
    </row>
    <row r="2396">
      <c r="A2396" t="inlineStr">
        <is>
          <t>T-2200</t>
        </is>
      </c>
      <c r="B2396" t="inlineStr">
        <is>
          <t>Gasonet Services</t>
        </is>
      </c>
      <c r="C2396" t="inlineStr">
        <is>
          <t>Gasonet Services</t>
        </is>
      </c>
      <c r="F2396" t="inlineStr">
        <is>
          <t>New Lead</t>
        </is>
      </c>
      <c r="G2396" t="inlineStr">
        <is>
          <t>Irrelevant / non-target</t>
        </is>
      </c>
      <c r="H2396" t="inlineStr">
        <is>
          <t>11 Procurement of MDPE Pipe at Churu, Mandi, Rishikesh and Champwat GA. Commercial Volume I of II_GSPL_PE 08.02.2024 Corrigendum 1_BD202401P004 - CIVIL WORK.pdf SOR_GSPL_PE_005_08.02.2024 SOR_GSPL_PE_005_Rev-01 Corrigendum-16.02.2023 RPBQ_16.02.2024 14th February 2024 at 15:00 HRS 22nd February 2024 till 15:00 HRS 22nd February 2024 till 17:00 HRS</t>
        </is>
      </c>
      <c r="K2396" t="inlineStr">
        <is>
          <t>Not found</t>
        </is>
      </c>
      <c r="L2396" t="inlineStr">
        <is>
          <t>Unknown</t>
        </is>
      </c>
      <c r="T2396" t="inlineStr">
        <is>
          <t>https://www.gasonet.in/files/RPBQ_16.02.2024. -11pdf.pdf</t>
        </is>
      </c>
      <c r="U2396" t="inlineStr">
        <is>
          <t>No</t>
        </is>
      </c>
      <c r="V2396" t="inlineStr">
        <is>
          <t>Bot tespit/zenginlestirme (2026-07-01); meta:score=;priority=Low;source_type=html_table;closing_date=;equipment=Irrelevant / non-target;reasons=irrelevant_equipment,document source</t>
        </is>
      </c>
    </row>
    <row r="2397">
      <c r="A2397" t="inlineStr">
        <is>
          <t>T-2201</t>
        </is>
      </c>
      <c r="B2397" t="inlineStr">
        <is>
          <t>Gasonet Services</t>
        </is>
      </c>
      <c r="C2397" t="inlineStr">
        <is>
          <t>Gasonet Services</t>
        </is>
      </c>
      <c r="D2397" t="inlineStr">
        <is>
          <t>GSL/CIVIL</t>
        </is>
      </c>
      <c r="F2397" t="inlineStr">
        <is>
          <t>Docs Found</t>
        </is>
      </c>
      <c r="G2397" t="inlineStr">
        <is>
          <t>Unclassified</t>
        </is>
      </c>
      <c r="H2397" t="inlineStr">
        <is>
          <t>25 GASONET/C&amp;P- TENDER FOR CIVIL CONSTRUCTION WORKS FOR UK-E, UK-W AND HP GA Tender No. : GSL/CIVIL CONSTRUCTION /2025-26/010 Bidders are required to submit a filled SOR, a duly signed and stamped PDF copy with a password-protected file, along with an Excel file. Tender Document GCC SOR Nepali Farm Group A SOR Rudrapur Group B SOR LNG Dehar Group C SOR Lohaghat Group D 06.02.2026 at 11:30 Hrs 13.02.2026 upto 15:00 Hrs 13.02.2026 at 16:00 Hrs</t>
        </is>
      </c>
      <c r="K2397" t="inlineStr">
        <is>
          <t>Not found</t>
        </is>
      </c>
      <c r="L2397" t="inlineStr">
        <is>
          <t>Unknown</t>
        </is>
      </c>
      <c r="T2397" t="inlineStr">
        <is>
          <t>https://www.gasonet.in/files/25-SOR-LNG Dehar Group C.xlsx</t>
        </is>
      </c>
      <c r="U2397" t="inlineStr">
        <is>
          <t>No</t>
        </is>
      </c>
      <c r="V2397" t="inlineStr">
        <is>
          <t>Bot tespit/zenginlestirme (2026-07-01); meta:score=;priority=Low;source_type=html_table;closing_date=;equipment=Unclassified;reasons=document source,tender reference signal,access/action page</t>
        </is>
      </c>
    </row>
    <row r="2398">
      <c r="A2398" t="inlineStr">
        <is>
          <t>T-2202</t>
        </is>
      </c>
      <c r="B2398" t="inlineStr">
        <is>
          <t>Gasonet Services</t>
        </is>
      </c>
      <c r="C2398" t="inlineStr">
        <is>
          <t>Gasonet Services</t>
        </is>
      </c>
      <c r="D2398" t="inlineStr">
        <is>
          <t>GSL/CIVIL</t>
        </is>
      </c>
      <c r="F2398" t="inlineStr">
        <is>
          <t>Docs Found</t>
        </is>
      </c>
      <c r="G2398" t="inlineStr">
        <is>
          <t>Unclassified</t>
        </is>
      </c>
      <c r="H2398" t="inlineStr">
        <is>
          <t>25 GASONET/C&amp;P- TENDER FOR CIVIL CONSTRUCTION WORKS FOR UK-E, UK-W AND HP GA Tender No. : GSL/CIVIL CONSTRUCTION /2025-26/010 Bidders are required to submit a filled SOR, a duly signed and stamped PDF copy with a password-protected file, along with an Excel file. Tender Document GCC SOR Nepali Farm Group A SOR Rudrapur Group B SOR LNG Dehar Group C SOR Lohaghat Group D 06.02.2026 at 11:30 Hrs 13.02.2026 upto 15:00 Hrs 13.02.2026 at 16:00 Hrs</t>
        </is>
      </c>
      <c r="K2398" t="inlineStr">
        <is>
          <t>Not found</t>
        </is>
      </c>
      <c r="L2398" t="inlineStr">
        <is>
          <t>Unknown</t>
        </is>
      </c>
      <c r="T2398" t="inlineStr">
        <is>
          <t>https://www.gasonet.in/files/25-SOR-Lohaghat Group D.xlsx</t>
        </is>
      </c>
      <c r="U2398" t="inlineStr">
        <is>
          <t>No</t>
        </is>
      </c>
      <c r="V2398" t="inlineStr">
        <is>
          <t>Bot tespit/zenginlestirme (2026-07-01); meta:score=;priority=Low;source_type=html_table;closing_date=;equipment=Unclassified;reasons=document source,tender reference signal,access/action page</t>
        </is>
      </c>
    </row>
    <row r="2399">
      <c r="A2399" t="inlineStr">
        <is>
          <t>T-2203</t>
        </is>
      </c>
      <c r="B2399" t="inlineStr">
        <is>
          <t>Gasonet Services</t>
        </is>
      </c>
      <c r="C2399" t="inlineStr">
        <is>
          <t>Gasonet Services</t>
        </is>
      </c>
      <c r="D2399" t="inlineStr">
        <is>
          <t>GASONET/C</t>
        </is>
      </c>
      <c r="F2399" t="inlineStr">
        <is>
          <t>Docs Found</t>
        </is>
      </c>
      <c r="G2399" t="inlineStr">
        <is>
          <t>Unclassified</t>
        </is>
      </c>
      <c r="H2399" t="inlineStr">
        <is>
          <t>28 HIRING SERVICES OF VEHICLE FOR RAJASTHAN GA Tender No. : GASONET/C&amp;P/VEHICLE/RJ/2025-26/015 Bidders are required to submit a filled SOR, a duly signed and stamped PDF copy with a password-protected file, along with an Excel file. Tender Document SOW GCC SOR 06.04.2026 upto 15:00 Hrs 06.04.2026 at 16:00 Hrs</t>
        </is>
      </c>
      <c r="K2399" t="inlineStr">
        <is>
          <t>Not found</t>
        </is>
      </c>
      <c r="L2399" t="inlineStr">
        <is>
          <t>Unknown</t>
        </is>
      </c>
      <c r="T2399" t="inlineStr">
        <is>
          <t>https://www.gasonet.in/files/28-SOW.pdf</t>
        </is>
      </c>
      <c r="U2399" t="inlineStr">
        <is>
          <t>No</t>
        </is>
      </c>
      <c r="V2399" t="inlineStr">
        <is>
          <t>Bot tespit/zenginlestirme (2026-07-01); meta:score=;priority=Low;source_type=html_table;closing_date=;equipment=Unclassified;reasons=document source,tender reference signal,access/action page</t>
        </is>
      </c>
    </row>
    <row r="2400">
      <c r="A2400" t="inlineStr">
        <is>
          <t>T-2204</t>
        </is>
      </c>
      <c r="B2400" t="inlineStr">
        <is>
          <t>Gasonet Services</t>
        </is>
      </c>
      <c r="C2400" t="inlineStr">
        <is>
          <t>Gasonet Services</t>
        </is>
      </c>
      <c r="D2400" t="inlineStr">
        <is>
          <t>GASONET/C</t>
        </is>
      </c>
      <c r="F2400" t="inlineStr">
        <is>
          <t>Docs Found</t>
        </is>
      </c>
      <c r="G2400" t="inlineStr">
        <is>
          <t>Unclassified</t>
        </is>
      </c>
      <c r="H2400" t="inlineStr">
        <is>
          <t>28 HIRING SERVICES OF VEHICLE FOR RAJASTHAN GA Tender No. : GASONET/C&amp;P/VEHICLE/RJ/2025-26/015 Bidders are required to submit a filled SOR, a duly signed and stamped PDF copy with a password-protected file, along with an Excel file. Tender Document SOW GCC SOR 06.04.2026 upto 15:00 Hrs 06.04.2026 at 16:00 Hrs</t>
        </is>
      </c>
      <c r="K2400" t="inlineStr">
        <is>
          <t>Not found</t>
        </is>
      </c>
      <c r="L2400" t="inlineStr">
        <is>
          <t>Unknown</t>
        </is>
      </c>
      <c r="T2400" t="inlineStr">
        <is>
          <t>https://www.gasonet.in/files/28-GCC.pdf</t>
        </is>
      </c>
      <c r="U2400" t="inlineStr">
        <is>
          <t>No</t>
        </is>
      </c>
      <c r="V2400" t="inlineStr">
        <is>
          <t>Bot tespit/zenginlestirme (2026-07-01); meta:score=;priority=Low;source_type=html_table;closing_date=;equipment=Unclassified;reasons=document source,tender reference signal,access/action page</t>
        </is>
      </c>
    </row>
    <row r="2401">
      <c r="A2401" t="inlineStr">
        <is>
          <t>T-2205</t>
        </is>
      </c>
      <c r="B2401" t="inlineStr">
        <is>
          <t>Gasonet Services</t>
        </is>
      </c>
      <c r="C2401" t="inlineStr">
        <is>
          <t>Gasonet Services</t>
        </is>
      </c>
      <c r="D2401" t="inlineStr">
        <is>
          <t>GASONET/C</t>
        </is>
      </c>
      <c r="F2401" t="inlineStr">
        <is>
          <t>Docs Found</t>
        </is>
      </c>
      <c r="G2401" t="inlineStr">
        <is>
          <t>Unclassified</t>
        </is>
      </c>
      <c r="H2401" t="inlineStr">
        <is>
          <t>28 HIRING SERVICES OF VEHICLE FOR RAJASTHAN GA Tender No. : GASONET/C&amp;P/VEHICLE/RJ/2025-26/015 Bidders are required to submit a filled SOR, a duly signed and stamped PDF copy with a password-protected file, along with an Excel file. Tender Document SOW GCC SOR 06.04.2026 upto 15:00 Hrs 06.04.2026 at 16:00 Hrs</t>
        </is>
      </c>
      <c r="K2401" t="inlineStr">
        <is>
          <t>Not found</t>
        </is>
      </c>
      <c r="L2401" t="inlineStr">
        <is>
          <t>Unknown</t>
        </is>
      </c>
      <c r="T2401" t="inlineStr">
        <is>
          <t>https://www.gasonet.in/files/28-SOR _VEHICLE.xlsx</t>
        </is>
      </c>
      <c r="U2401" t="inlineStr">
        <is>
          <t>No</t>
        </is>
      </c>
      <c r="V2401" t="inlineStr">
        <is>
          <t>Bot tespit/zenginlestirme (2026-07-01); meta:score=;priority=Low;source_type=html_table;closing_date=;equipment=Unclassified;reasons=document source,tender reference signal,access/action page</t>
        </is>
      </c>
    </row>
    <row r="2402">
      <c r="A2402" t="inlineStr">
        <is>
          <t>T-2206</t>
        </is>
      </c>
      <c r="B2402" t="inlineStr">
        <is>
          <t>Avantika Gas</t>
        </is>
      </c>
      <c r="C2402" t="inlineStr">
        <is>
          <t>Avantika Gas</t>
        </is>
      </c>
      <c r="D2402" t="inlineStr">
        <is>
          <t>iatives</t>
        </is>
      </c>
      <c r="F2402" t="inlineStr">
        <is>
          <t>Docs Found</t>
        </is>
      </c>
      <c r="G2402" t="inlineStr">
        <is>
          <t>Irrelevant / non-target</t>
        </is>
      </c>
      <c r="H2402" t="inlineStr">
        <is>
          <t>CSR CSR Policies CSR Initiatives Overview vision &amp; objective CSR Projects FY-2021-22 FY 2022-23 FY 2023-24</t>
        </is>
      </c>
      <c r="K2402" t="inlineStr">
        <is>
          <t>Not found</t>
        </is>
      </c>
      <c r="L2402" t="inlineStr">
        <is>
          <t>Unknown</t>
        </is>
      </c>
      <c r="T2402" t="inlineStr">
        <is>
          <t>https://www.aglonline.net/csr/</t>
        </is>
      </c>
      <c r="U2402" t="inlineStr">
        <is>
          <t>HTML</t>
        </is>
      </c>
      <c r="V2402" t="inlineStr">
        <is>
          <t>Bot tespit/zenginlestirme (2026-07-01); meta:score=;priority=Low;source_type=html_table;closing_date=;equipment=Irrelevant / non-target;reasons=irrelevant_equipment,tender reference signal,website noise</t>
        </is>
      </c>
    </row>
    <row r="2403">
      <c r="A2403" t="inlineStr">
        <is>
          <t>T-2207</t>
        </is>
      </c>
      <c r="B2403" t="inlineStr">
        <is>
          <t>Vadodara Gas Limited</t>
        </is>
      </c>
      <c r="C2403" t="inlineStr">
        <is>
          <t>Vadodara Gas Limited</t>
        </is>
      </c>
      <c r="D2403" t="inlineStr">
        <is>
          <t>iatives</t>
        </is>
      </c>
      <c r="F2403" t="inlineStr">
        <is>
          <t>Docs Found</t>
        </is>
      </c>
      <c r="G2403" t="inlineStr">
        <is>
          <t>Irrelevant / non-target</t>
        </is>
      </c>
      <c r="H2403" t="inlineStr">
        <is>
          <t>CSR CSR Policy Our CSR Initiatives</t>
        </is>
      </c>
      <c r="K2403" t="inlineStr">
        <is>
          <t>Not found</t>
        </is>
      </c>
      <c r="L2403" t="inlineStr">
        <is>
          <t>Unknown</t>
        </is>
      </c>
      <c r="T2403" t="inlineStr">
        <is>
          <t>https://www.vgl.co.in/csr/</t>
        </is>
      </c>
      <c r="U2403" t="inlineStr">
        <is>
          <t>HTML</t>
        </is>
      </c>
      <c r="V2403" t="inlineStr">
        <is>
          <t>Bot tespit/zenginlestirme (2026-07-01); meta:score=;priority=Low;source_type=html_table;closing_date=;equipment=Irrelevant / non-target;reasons=irrelevant_equipment,tender reference signal,website noise</t>
        </is>
      </c>
    </row>
    <row r="2404">
      <c r="A2404" t="inlineStr">
        <is>
          <t>T-2208</t>
        </is>
      </c>
      <c r="B2404" t="inlineStr">
        <is>
          <t>Vadodara Gas Limited</t>
        </is>
      </c>
      <c r="C2404" t="inlineStr">
        <is>
          <t>Vadodara Gas Limited</t>
        </is>
      </c>
      <c r="D2404" t="inlineStr">
        <is>
          <t>iatives</t>
        </is>
      </c>
      <c r="F2404" t="inlineStr">
        <is>
          <t>Docs Found</t>
        </is>
      </c>
      <c r="G2404" t="inlineStr">
        <is>
          <t>Irrelevant / non-target</t>
        </is>
      </c>
      <c r="H2404" t="inlineStr">
        <is>
          <t>CSR Policy Our CSR Initiatives</t>
        </is>
      </c>
      <c r="K2404" t="inlineStr">
        <is>
          <t>Not found</t>
        </is>
      </c>
      <c r="L2404" t="inlineStr">
        <is>
          <t>Unknown</t>
        </is>
      </c>
      <c r="T2404" t="inlineStr">
        <is>
          <t>https://www.vgl.co.in/csr/csr-policy/</t>
        </is>
      </c>
      <c r="U2404" t="inlineStr">
        <is>
          <t>HTML</t>
        </is>
      </c>
      <c r="V2404" t="inlineStr">
        <is>
          <t>Bot tespit/zenginlestirme (2026-07-01); meta:score=;priority=Low;source_type=html_table;closing_date=;equipment=Irrelevant / non-target;reasons=irrelevant_equipment,tender reference signal,website noise</t>
        </is>
      </c>
    </row>
    <row r="2405">
      <c r="A2405" t="inlineStr">
        <is>
          <t>T-2209</t>
        </is>
      </c>
      <c r="B2405" t="inlineStr">
        <is>
          <t>Reliance BP Mobility / Jio-bp gas related</t>
        </is>
      </c>
      <c r="C2405" t="inlineStr">
        <is>
          <t>Reliance BP Mobility / Jio-bp gas related</t>
        </is>
      </c>
      <c r="D2405" t="inlineStr">
        <is>
          <t>iative</t>
        </is>
      </c>
      <c r="F2405" t="inlineStr">
        <is>
          <t>Docs Found</t>
        </is>
      </c>
      <c r="G2405" t="inlineStr">
        <is>
          <t>Unclassified</t>
        </is>
      </c>
      <c r="H2405" t="inlineStr">
        <is>
          <t>Jio-bp aims to set up robust battery swapping infrastructure compatible with B2B and B2C segments for all e-2, e-3, and e-4 wheelers. As part of Jio-bp pulse, this initiative complements our extensive EV charging stations and fast charging units. Know More</t>
        </is>
      </c>
      <c r="K2405" t="inlineStr">
        <is>
          <t>Not found</t>
        </is>
      </c>
      <c r="L2405" t="inlineStr">
        <is>
          <t>Unknown</t>
        </is>
      </c>
      <c r="T2405" t="inlineStr">
        <is>
          <t>https://www.jiobp.com/products-and-services/EV-charging#swap</t>
        </is>
      </c>
      <c r="U2405" t="inlineStr">
        <is>
          <t>HTML</t>
        </is>
      </c>
      <c r="V2405" t="inlineStr">
        <is>
          <t>Bot tespit/zenginlestirme (2026-07-01); meta:score=35;priority=Low;source_type=html_table;closing_date=;equipment=Unclassified;reasons=quantity signal,tender reference signal</t>
        </is>
      </c>
    </row>
    <row r="2406">
      <c r="A2406" t="inlineStr">
        <is>
          <t>T-2210</t>
        </is>
      </c>
      <c r="B2406" t="inlineStr">
        <is>
          <t>Reliance BP Mobility / Jio-bp gas related</t>
        </is>
      </c>
      <c r="C2406" t="inlineStr">
        <is>
          <t>Reliance BP Mobility / Jio-bp gas related</t>
        </is>
      </c>
      <c r="D2406" t="inlineStr">
        <is>
          <t>rogen</t>
        </is>
      </c>
      <c r="F2406" t="inlineStr">
        <is>
          <t>Docs Found</t>
        </is>
      </c>
      <c r="G2406" t="inlineStr">
        <is>
          <t>Gas-related / review</t>
        </is>
      </c>
      <c r="H2406" t="inlineStr">
        <is>
          <t>Fuel Stations, EV Charging &amp; CNG by Jio-bp — Across India Jio-bp is India's leading energy company — a joint venture between Reliance Industries and bp (British Petroleum). With 2,000+ mobility stations across India, we bring you premium additivised fuel, fast EV charging, CNG filling, nitrogen tyre inflation, doorstep diesel delivery, and Wild Bean Cafe — all under one roof. Additivised Fuel Power your drive with additivised fuel specially formulated with ACTIVE technology. It actively cleans critical engine parts and optimizes the average cost of diesel and petrol consumption over time. Fuel Retail Instantly find an open fuel pump near me or a 24-hour petrol pump near me through our fuel station locator. Our stations provide comprehensive fuel station services, including professional oil change services. Jio-bp pulse India's growing network of EV charging stations. Use our smart EV charging solutions to find a high-speed charging unit or a best EV charging station near you for a seam</t>
        </is>
      </c>
      <c r="K2406" t="inlineStr">
        <is>
          <t>Not found</t>
        </is>
      </c>
      <c r="L2406" t="inlineStr">
        <is>
          <t>Unknown</t>
        </is>
      </c>
      <c r="T2406" t="inlineStr">
        <is>
          <t>https://www.jiobp.com/products-and-services/fuels-at-jio-bp</t>
        </is>
      </c>
      <c r="U2406" t="inlineStr">
        <is>
          <t>HTML</t>
        </is>
      </c>
      <c r="V2406" t="inlineStr">
        <is>
          <t>Bot tespit/zenginlestirme (2026-07-01); meta:score=30;priority=Low;source_type=html_table;closing_date=;equipment=Gas-related / review;reasons=equipment:Gas-related / review,tender reference signal</t>
        </is>
      </c>
    </row>
    <row r="2407">
      <c r="A2407" t="inlineStr">
        <is>
          <t>T-2211</t>
        </is>
      </c>
      <c r="B2407" t="inlineStr">
        <is>
          <t>Reliance BP Mobility / Jio-bp gas related</t>
        </is>
      </c>
      <c r="C2407" t="inlineStr">
        <is>
          <t>Reliance BP Mobility / Jio-bp gas related</t>
        </is>
      </c>
      <c r="D2407" t="inlineStr">
        <is>
          <t>rogen</t>
        </is>
      </c>
      <c r="F2407" t="inlineStr">
        <is>
          <t>Docs Found</t>
        </is>
      </c>
      <c r="G2407" t="inlineStr">
        <is>
          <t>Gas-related / review</t>
        </is>
      </c>
      <c r="H2407" t="inlineStr">
        <is>
          <t>Fuel Stations, EV Charging &amp; CNG by Jio-bp — Across India Jio-bp is India's leading energy company — a joint venture between Reliance Industries and bp (British Petroleum). With 2,000+ mobility stations across India, we bring you premium additivised fuel, fast EV charging, CNG filling, nitrogen tyre inflation, doorstep diesel delivery, and Wild Bean Cafe — all under one roof. Additivised Fuel Power your drive with additivised fuel specially formulated with ACTIVE technology. It actively cleans critical engine parts and optimizes the average cost of diesel and petrol consumption over time. Fuel Retail Instantly find an open fuel pump near me or a 24-hour petrol pump near me through our fuel station locator. Our stations provide comprehensive fuel station services, including professional oil change services. Jio-bp pulse India's growing network of EV charging stations. Use our smart EV charging solutions to find a high-speed charging unit or a best EV charging station near you for a seam</t>
        </is>
      </c>
      <c r="K2407" t="inlineStr">
        <is>
          <t>Not found</t>
        </is>
      </c>
      <c r="L2407" t="inlineStr">
        <is>
          <t>Unknown</t>
        </is>
      </c>
      <c r="T2407" t="inlineStr">
        <is>
          <t>https://www.jiobp.com/locate-fuel-station</t>
        </is>
      </c>
      <c r="U2407" t="inlineStr">
        <is>
          <t>HTML</t>
        </is>
      </c>
      <c r="V2407" t="inlineStr">
        <is>
          <t>Bot tespit/zenginlestirme (2026-07-01); meta:score=30;priority=Low;source_type=html_table;closing_date=;equipment=Gas-related / review;reasons=equipment:Gas-related / review,tender reference signal</t>
        </is>
      </c>
    </row>
    <row r="2408">
      <c r="A2408" t="inlineStr">
        <is>
          <t>T-2212</t>
        </is>
      </c>
      <c r="B2408" t="inlineStr">
        <is>
          <t>Reliance BP Mobility / Jio-bp gas related</t>
        </is>
      </c>
      <c r="C2408" t="inlineStr">
        <is>
          <t>Reliance BP Mobility / Jio-bp gas related</t>
        </is>
      </c>
      <c r="D2408" t="inlineStr">
        <is>
          <t>rogen</t>
        </is>
      </c>
      <c r="F2408" t="inlineStr">
        <is>
          <t>Docs Found</t>
        </is>
      </c>
      <c r="G2408" t="inlineStr">
        <is>
          <t>Gas-related / review</t>
        </is>
      </c>
      <c r="H2408" t="inlineStr">
        <is>
          <t>Fuel Stations, EV Charging &amp; CNG by Jio-bp — Across India Jio-bp is India's leading energy company — a joint venture between Reliance Industries and bp (British Petroleum). With 2,000+ mobility stations across India, we bring you premium additivised fuel, fast EV charging, CNG filling, nitrogen tyre inflation, doorstep diesel delivery, and Wild Bean Cafe — all under one roof. Additivised Fuel Power your drive with additivised fuel specially formulated with ACTIVE technology. It actively cleans critical engine parts and optimizes the average cost of diesel and petrol consumption over time. Fuel Retail Instantly find an open fuel pump near me or a 24-hour petrol pump near me through our fuel station locator. Our stations provide comprehensive fuel station services, including professional oil change services. Jio-bp pulse India's growing network of EV charging stations. Use our smart EV charging solutions to find a high-speed charging unit or a best EV charging station near you for a seam</t>
        </is>
      </c>
      <c r="K2408" t="inlineStr">
        <is>
          <t>Not found</t>
        </is>
      </c>
      <c r="L2408" t="inlineStr">
        <is>
          <t>Unknown</t>
        </is>
      </c>
      <c r="T2408" t="inlineStr">
        <is>
          <t>https://www.jiobp.com/products-and-services/rewardMeter-Program</t>
        </is>
      </c>
      <c r="U2408" t="inlineStr">
        <is>
          <t>HTML</t>
        </is>
      </c>
      <c r="V2408" t="inlineStr">
        <is>
          <t>Bot tespit/zenginlestirme (2026-07-01); meta:score=30;priority=Low;source_type=html_table;closing_date=;equipment=Gas-related / review;reasons=equipment:Gas-related / review,tender reference signal</t>
        </is>
      </c>
    </row>
    <row r="2409">
      <c r="A2409" t="inlineStr">
        <is>
          <t>T-2213</t>
        </is>
      </c>
      <c r="B2409" t="inlineStr">
        <is>
          <t>Reliance BP Mobility / Jio-bp gas related</t>
        </is>
      </c>
      <c r="C2409" t="inlineStr">
        <is>
          <t>Reliance BP Mobility / Jio-bp gas related</t>
        </is>
      </c>
      <c r="D2409" t="inlineStr">
        <is>
          <t>rogen</t>
        </is>
      </c>
      <c r="F2409" t="inlineStr">
        <is>
          <t>Docs Found</t>
        </is>
      </c>
      <c r="G2409" t="inlineStr">
        <is>
          <t>Gas-related / review</t>
        </is>
      </c>
      <c r="H2409" t="inlineStr">
        <is>
          <t>Fuel Stations, EV Charging &amp; CNG by Jio-bp — Across India Jio-bp is India's leading energy company — a joint venture between Reliance Industries and bp (British Petroleum). With 2,000+ mobility stations across India, we bring you premium additivised fuel, fast EV charging, CNG filling, nitrogen tyre inflation, doorstep diesel delivery, and Wild Bean Cafe — all under one roof. Additivised Fuel Power your drive with additivised fuel specially formulated with ACTIVE technology. It actively cleans critical engine parts and optimizes the average cost of diesel and petrol consumption over time. Fuel Retail Instantly find an open fuel pump near me or a 24-hour petrol pump near me through our fuel station locator. Our stations provide comprehensive fuel station services, including professional oil change services. Jio-bp pulse India's growing network of EV charging stations. Use our smart EV charging solutions to find a high-speed charging unit or a best EV charging station near you for a seam</t>
        </is>
      </c>
      <c r="K2409" t="inlineStr">
        <is>
          <t>Not found</t>
        </is>
      </c>
      <c r="L2409" t="inlineStr">
        <is>
          <t>Unknown</t>
        </is>
      </c>
      <c r="T2409" t="inlineStr">
        <is>
          <t>https://www.jiobp.com/products-and-services/wild-bean-cafe</t>
        </is>
      </c>
      <c r="U2409" t="inlineStr">
        <is>
          <t>HTML</t>
        </is>
      </c>
      <c r="V2409" t="inlineStr">
        <is>
          <t>Bot tespit/zenginlestirme (2026-07-01); meta:score=30;priority=Low;source_type=html_table;closing_date=;equipment=Gas-related / review;reasons=equipment:Gas-related / review,tender reference signal</t>
        </is>
      </c>
    </row>
    <row r="2410">
      <c r="A2410" t="inlineStr">
        <is>
          <t>T-2214</t>
        </is>
      </c>
      <c r="B2410" t="inlineStr">
        <is>
          <t>Reliance BP Mobility / Jio-bp gas related</t>
        </is>
      </c>
      <c r="C2410" t="inlineStr">
        <is>
          <t>Reliance BP Mobility / Jio-bp gas related</t>
        </is>
      </c>
      <c r="D2410" t="inlineStr">
        <is>
          <t>rogen</t>
        </is>
      </c>
      <c r="F2410" t="inlineStr">
        <is>
          <t>Docs Found</t>
        </is>
      </c>
      <c r="G2410" t="inlineStr">
        <is>
          <t>Gas-related / review</t>
        </is>
      </c>
      <c r="H2410" t="inlineStr">
        <is>
          <t>Fuel Stations, EV Charging &amp; CNG by Jio-bp — Across India Jio-bp is India's leading energy company — a joint venture between Reliance Industries and bp (British Petroleum). With 2,000+ mobility stations across India, we bring you premium additivised fuel, fast EV charging, CNG filling, nitrogen tyre inflation, doorstep diesel delivery, and Wild Bean Cafe — all under one roof. Additivised Fuel Power your drive with additivised fuel specially formulated with ACTIVE technology. It actively cleans critical engine parts and optimizes the average cost of diesel and petrol consumption over time. Fuel Retail Instantly find an open fuel pump near me or a 24-hour petrol pump near me through our fuel station locator. Our stations provide comprehensive fuel station services, including professional oil change services. Jio-bp pulse India's growing network of EV charging stations. Use our smart EV charging solutions to find a high-speed charging unit or a best EV charging station near you for a seam</t>
        </is>
      </c>
      <c r="K2410" t="inlineStr">
        <is>
          <t>Not found</t>
        </is>
      </c>
      <c r="L2410" t="inlineStr">
        <is>
          <t>Unknown</t>
        </is>
      </c>
      <c r="T2410" t="inlineStr">
        <is>
          <t>https://www.jiobp.com/products-and-services/castrol</t>
        </is>
      </c>
      <c r="U2410" t="inlineStr">
        <is>
          <t>HTML</t>
        </is>
      </c>
      <c r="V2410" t="inlineStr">
        <is>
          <t>Bot tespit/zenginlestirme (2026-07-01); meta:score=30;priority=Low;source_type=html_table;closing_date=;equipment=Gas-related / review;reasons=equipment:Gas-related / review,tender reference signal</t>
        </is>
      </c>
    </row>
    <row r="2411">
      <c r="A2411" t="inlineStr">
        <is>
          <t>T-2215</t>
        </is>
      </c>
      <c r="B2411" t="inlineStr">
        <is>
          <t>Reliance BP Mobility / Jio-bp gas related</t>
        </is>
      </c>
      <c r="C2411" t="inlineStr">
        <is>
          <t>Reliance BP Mobility / Jio-bp gas related</t>
        </is>
      </c>
      <c r="D2411" t="inlineStr">
        <is>
          <t>rogen</t>
        </is>
      </c>
      <c r="F2411" t="inlineStr">
        <is>
          <t>Docs Found</t>
        </is>
      </c>
      <c r="G2411" t="inlineStr">
        <is>
          <t>Gas-related / review</t>
        </is>
      </c>
      <c r="H2411" t="inlineStr">
        <is>
          <t>Fuel Stations, EV Charging &amp; CNG by Jio-bp — Across India Jio-bp is India's leading energy company — a joint venture between Reliance Industries and bp (British Petroleum). With 2,000+ mobility stations across India, we bring you premium additivised fuel, fast EV charging, CNG filling, nitrogen tyre inflation, doorstep diesel delivery, and Wild Bean Cafe — all under one roof. Additivised Fuel Power your drive with additivised fuel specially formulated with ACTIVE technology. It actively cleans critical engine parts and optimizes the average cost of diesel and petrol consumption over time. Fuel Retail Instantly find an open fuel pump near me or a 24-hour petrol pump near me through our fuel station locator. Our stations provide comprehensive fuel station services, including professional oil change services. Jio-bp pulse India's growing network of EV charging stations. Use our smart EV charging solutions to find a high-speed charging unit or a best EV charging station near you for a seam</t>
        </is>
      </c>
      <c r="K2411" t="inlineStr">
        <is>
          <t>Not found</t>
        </is>
      </c>
      <c r="L2411" t="inlineStr">
        <is>
          <t>Unknown</t>
        </is>
      </c>
      <c r="T2411" t="inlineStr">
        <is>
          <t>https://www.jiobp.com/products-and-services/trans-connect</t>
        </is>
      </c>
      <c r="U2411" t="inlineStr">
        <is>
          <t>HTML</t>
        </is>
      </c>
      <c r="V2411" t="inlineStr">
        <is>
          <t>Bot tespit/zenginlestirme (2026-07-01); meta:score=30;priority=Low;source_type=html_table;closing_date=;equipment=Gas-related / review;reasons=equipment:Gas-related / review,tender reference signal</t>
        </is>
      </c>
    </row>
    <row r="2412">
      <c r="A2412" t="inlineStr">
        <is>
          <t>T-2216</t>
        </is>
      </c>
      <c r="B2412" t="inlineStr">
        <is>
          <t>Reliance BP Mobility / Jio-bp gas related</t>
        </is>
      </c>
      <c r="C2412" t="inlineStr">
        <is>
          <t>Reliance BP Mobility / Jio-bp gas related</t>
        </is>
      </c>
      <c r="D2412" t="inlineStr">
        <is>
          <t>rogen</t>
        </is>
      </c>
      <c r="F2412" t="inlineStr">
        <is>
          <t>Docs Found</t>
        </is>
      </c>
      <c r="G2412" t="inlineStr">
        <is>
          <t>Gas-related / review</t>
        </is>
      </c>
      <c r="H2412" t="inlineStr">
        <is>
          <t>Fuel Stations, EV Charging &amp; CNG by Jio-bp — Across India Jio-bp is India's leading energy company — a joint venture between Reliance Industries and bp (British Petroleum). With 2,000+ mobility stations across India, we bring you premium additivised fuel, fast EV charging, CNG filling, nitrogen tyre inflation, doorstep diesel delivery, and Wild Bean Cafe — all under one roof. Additivised Fuel Power your drive with additivised fuel specially formulated with ACTIVE technology. It actively cleans critical engine parts and optimizes the average cost of diesel and petrol consumption over time. Fuel Retail Instantly find an open fuel pump near me or a 24-hour petrol pump near me through our fuel station locator. Our stations provide comprehensive fuel station services, including professional oil change services. Jio-bp pulse India's growing network of EV charging stations. Use our smart EV charging solutions to find a high-speed charging unit or a best EV charging station near you for a seam</t>
        </is>
      </c>
      <c r="K2412" t="inlineStr">
        <is>
          <t>Not found</t>
        </is>
      </c>
      <c r="L2412" t="inlineStr">
        <is>
          <t>Unknown</t>
        </is>
      </c>
      <c r="T2412" t="inlineStr">
        <is>
          <t>https://www.jiobp.com/products-and-services/fuel4u</t>
        </is>
      </c>
      <c r="U2412" t="inlineStr">
        <is>
          <t>HTML</t>
        </is>
      </c>
      <c r="V2412" t="inlineStr">
        <is>
          <t>Bot tespit/zenginlestirme (2026-07-01); meta:score=30;priority=Low;source_type=html_table;closing_date=;equipment=Gas-related / review;reasons=equipment:Gas-related / review,tender reference signal</t>
        </is>
      </c>
    </row>
    <row r="2413">
      <c r="A2413" t="inlineStr">
        <is>
          <t>T-2217</t>
        </is>
      </c>
      <c r="B2413" t="inlineStr">
        <is>
          <t>Reliance BP Mobility / Jio-bp gas related</t>
        </is>
      </c>
      <c r="C2413" t="inlineStr">
        <is>
          <t>Reliance BP Mobility / Jio-bp gas related</t>
        </is>
      </c>
      <c r="D2413" t="inlineStr">
        <is>
          <t>rogen</t>
        </is>
      </c>
      <c r="F2413" t="inlineStr">
        <is>
          <t>Docs Found</t>
        </is>
      </c>
      <c r="G2413" t="inlineStr">
        <is>
          <t>Gas-related / review</t>
        </is>
      </c>
      <c r="H2413" t="inlineStr">
        <is>
          <t>Fuel Stations, EV Charging &amp; CNG by Jio-bp — Across India Jio-bp is India's leading energy company — a joint venture between Reliance Industries and bp (British Petroleum). With 2,000+ mobility stations across India, we bring you premium additivised fuel, fast EV charging, CNG filling, nitrogen tyre inflation, doorstep diesel delivery, and Wild Bean Cafe — all under one roof. Additivised Fuel Power your drive with additivised fuel specially formulated with ACTIVE technology. It actively cleans critical engine parts and optimizes the average cost of diesel and petrol consumption over time. Fuel Retail Instantly find an open fuel pump near me or a 24-hour petrol pump near me through our fuel station locator. Our stations provide comprehensive fuel station services, including professional oil change services. Jio-bp pulse India's growing network of EV charging stations. Use our smart EV charging solutions to find a high-speed charging unit or a best EV charging station near you for a seam</t>
        </is>
      </c>
      <c r="K2413" t="inlineStr">
        <is>
          <t>Not found</t>
        </is>
      </c>
      <c r="L2413" t="inlineStr">
        <is>
          <t>Unknown</t>
        </is>
      </c>
      <c r="T2413" t="inlineStr">
        <is>
          <t>https://www.jiobp.com/disclaimer</t>
        </is>
      </c>
      <c r="U2413" t="inlineStr">
        <is>
          <t>HTML</t>
        </is>
      </c>
      <c r="V2413" t="inlineStr">
        <is>
          <t>Bot tespit/zenginlestirme (2026-07-01); meta:score=30;priority=Low;source_type=html_table;closing_date=;equipment=Gas-related / review;reasons=equipment:Gas-related / review,tender reference signal</t>
        </is>
      </c>
    </row>
    <row r="2414">
      <c r="A2414" t="inlineStr">
        <is>
          <t>T-2218</t>
        </is>
      </c>
      <c r="B2414" t="inlineStr">
        <is>
          <t>CPPP / eProcure</t>
        </is>
      </c>
      <c r="C2414" t="inlineStr">
        <is>
          <t>CPPP / eProcure</t>
        </is>
      </c>
      <c r="D2414" t="inlineStr">
        <is>
          <t>4/2026-27T/ship</t>
        </is>
      </c>
      <c r="F2414" t="inlineStr">
        <is>
          <t>Docs Found</t>
        </is>
      </c>
      <c r="G2414" t="inlineStr">
        <is>
          <t>Unclassified</t>
        </is>
      </c>
      <c r="H2414" t="inlineStr">
        <is>
          <t>5. Bid Auto Extn Corrigendum NIT-4/2026-27T/ship 11-Jul-2026 03:30 PM 13-Jul-2026 03:30 PM</t>
        </is>
      </c>
      <c r="K2414" t="inlineStr">
        <is>
          <t>Not found</t>
        </is>
      </c>
      <c r="L2414" t="inlineStr">
        <is>
          <t>Unknown</t>
        </is>
      </c>
      <c r="T2414" t="inlineStr">
        <is>
          <t>https://www.etenders.gov.in/eprocure/app?component=%24DirectLink_0&amp;page=Home&amp;service=direct&amp;session=T&amp;sp=SGS84MMK8iO9W3%2FM7DfuRJg%3D%3D</t>
        </is>
      </c>
      <c r="U2414" t="inlineStr">
        <is>
          <t>HTML</t>
        </is>
      </c>
      <c r="V2414" t="inlineStr">
        <is>
          <t>Bot tespit/zenginlestirme (2026-07-01); meta:score=15;priority=Low;source_type=html_table;closing_date=;equipment=Unclassified;reasons=tender reference signal</t>
        </is>
      </c>
    </row>
    <row r="2415">
      <c r="A2415" t="inlineStr">
        <is>
          <t>T-2219</t>
        </is>
      </c>
      <c r="B2415" t="inlineStr">
        <is>
          <t>CPPP / eProcure</t>
        </is>
      </c>
      <c r="C2415" t="inlineStr">
        <is>
          <t>CPPP / eProcure</t>
        </is>
      </c>
      <c r="D2415" t="inlineStr">
        <is>
          <t>319/RO-PATNA/NHAI/2026-27</t>
        </is>
      </c>
      <c r="F2415" t="inlineStr">
        <is>
          <t>Docs Found</t>
        </is>
      </c>
      <c r="G2415" t="inlineStr">
        <is>
          <t>Unclassified</t>
        </is>
      </c>
      <c r="H2415" t="inlineStr">
        <is>
          <t>8. Corrigendum 3 NIT No- 319/RO-PATNA/NHAI/2026-27 09-Jul-2026 12:00 PM 10-Jul-2026 12:30 PM</t>
        </is>
      </c>
      <c r="K2415" t="inlineStr">
        <is>
          <t>Not found</t>
        </is>
      </c>
      <c r="L2415" t="inlineStr">
        <is>
          <t>Unknown</t>
        </is>
      </c>
      <c r="T2415" t="inlineStr">
        <is>
          <t>https://www.etenders.gov.in/eprocure/app?component=%24DirectLink_0&amp;page=Home&amp;service=direct&amp;session=T&amp;sp=SaCb8vZjn4pIi1MEpxhBuEQ%3D%3D</t>
        </is>
      </c>
      <c r="U2415" t="inlineStr">
        <is>
          <t>HTML</t>
        </is>
      </c>
      <c r="V2415" t="inlineStr">
        <is>
          <t>Bot tespit/zenginlestirme (2026-07-01); meta:score=15;priority=Low;source_type=html_table;closing_date=;equipment=Unclassified;reasons=tender reference signal</t>
        </is>
      </c>
    </row>
    <row r="2416">
      <c r="A2416" t="inlineStr">
        <is>
          <t>T-2220</t>
        </is>
      </c>
      <c r="B2416" t="inlineStr">
        <is>
          <t>CPPP / eProcure</t>
        </is>
      </c>
      <c r="C2416" t="inlineStr">
        <is>
          <t>CPPP / eProcure</t>
        </is>
      </c>
      <c r="D2416" t="inlineStr">
        <is>
          <t>PY/8437/047/2026/VACUUMPUMP</t>
        </is>
      </c>
      <c r="F2416" t="inlineStr">
        <is>
          <t>Docs Found</t>
        </is>
      </c>
      <c r="G2416" t="inlineStr">
        <is>
          <t>Unclassified</t>
        </is>
      </c>
      <c r="H2416" t="inlineStr">
        <is>
          <t>1. Vacuum Pump and accessories for COLTRIMS Experimental Setup PY/8437/047/2026/VACUUMPUMP 22-Jul-2026 03:00 PM 23-Jul-2026 03:00 PM</t>
        </is>
      </c>
      <c r="K2416" t="inlineStr">
        <is>
          <t>Not found</t>
        </is>
      </c>
      <c r="L2416" t="inlineStr">
        <is>
          <t>Unknown</t>
        </is>
      </c>
      <c r="T2416" t="inlineStr">
        <is>
          <t>https://www.etenders.gov.in/eprocure/app?component=%24DirectLink&amp;page=Home&amp;service=direct&amp;session=T&amp;sp=S3kXrXpueiKQ%2Fw%2F%2BmnTxFIg%3D%3D</t>
        </is>
      </c>
      <c r="U2416" t="inlineStr">
        <is>
          <t>HTML</t>
        </is>
      </c>
      <c r="V2416" t="inlineStr">
        <is>
          <t>Bot tespit/zenginlestirme (2026-07-01); meta:score=;priority=Low;source_type=html_table;closing_date=;equipment=Unclassified;reasons=</t>
        </is>
      </c>
    </row>
    <row r="2417">
      <c r="A2417" t="inlineStr">
        <is>
          <t>T-2221</t>
        </is>
      </c>
      <c r="B2417" t="inlineStr">
        <is>
          <t>CPPP / eProcure</t>
        </is>
      </c>
      <c r="C2417" t="inlineStr">
        <is>
          <t>CPPP / eProcure</t>
        </is>
      </c>
      <c r="D2417" t="inlineStr">
        <is>
          <t>ILP/AD2/ADF110/26-27/TE-0767</t>
        </is>
      </c>
      <c r="F2417" t="inlineStr">
        <is>
          <t>Docs Found</t>
        </is>
      </c>
      <c r="G2417" t="inlineStr">
        <is>
          <t>Unclassified</t>
        </is>
      </c>
      <c r="H2417" t="inlineStr">
        <is>
          <t>6. SUPPLY OF CASTINGS ILP/AD2/ADF110/26-27/TE-0767 07-Jul-2026 03:00 PM 08-Jul-2026 03:00 PM</t>
        </is>
      </c>
      <c r="K2417" t="inlineStr">
        <is>
          <t>Not found</t>
        </is>
      </c>
      <c r="L2417" t="inlineStr">
        <is>
          <t>Unknown</t>
        </is>
      </c>
      <c r="T2417" t="inlineStr">
        <is>
          <t>https://www.etenders.gov.in/eprocure/app?component=%24DirectLink&amp;page=Home&amp;service=direct&amp;session=T&amp;sp=S6AAKevZnfDleXbWQoLPycQ%3D%3D</t>
        </is>
      </c>
      <c r="U2417" t="inlineStr">
        <is>
          <t>HTML</t>
        </is>
      </c>
      <c r="V2417" t="inlineStr">
        <is>
          <t>Bot tespit/zenginlestirme (2026-07-01); meta:score=;priority=Low;source_type=html_table;closing_date=;equipment=Unclassified;reasons=</t>
        </is>
      </c>
    </row>
    <row r="2418">
      <c r="A2418" t="inlineStr">
        <is>
          <t>T-2222</t>
        </is>
      </c>
      <c r="B2418" t="inlineStr">
        <is>
          <t>CPPP / eProcure</t>
        </is>
      </c>
      <c r="C2418" t="inlineStr">
        <is>
          <t>CPPP / eProcure</t>
        </is>
      </c>
      <c r="D2418" t="inlineStr">
        <is>
          <t>IPRCL/BBS/T/SECL/SCSK/260</t>
        </is>
      </c>
      <c r="F2418" t="inlineStr">
        <is>
          <t>Awarded / Result</t>
        </is>
      </c>
      <c r="G2418" t="inlineStr">
        <is>
          <t>Unclassified</t>
        </is>
      </c>
      <c r="H2418" t="inlineStr">
        <is>
          <t>8. Construction of one loading platform at Surakachhar siding on the opposite side of the existing platform with minor modification of track for facilitating loading of opencast mines of Korba Area IPRCL/BBS/T/SECL/SCSK/260 22-Jul-2026 11:00 AM 23-Jul-2026 11:30 AM</t>
        </is>
      </c>
      <c r="K2418" t="inlineStr">
        <is>
          <t>Not found</t>
        </is>
      </c>
      <c r="L2418" t="inlineStr">
        <is>
          <t>Unknown</t>
        </is>
      </c>
      <c r="T2418" t="inlineStr">
        <is>
          <t>https://www.etenders.gov.in/eprocure/app?component=%24DirectLink&amp;page=Home&amp;service=direct&amp;session=T&amp;sp=SXkcXLkTOhyGCBuAN5JTxVg%3D%3D</t>
        </is>
      </c>
      <c r="U2418" t="inlineStr">
        <is>
          <t>HTML</t>
        </is>
      </c>
      <c r="V2418" t="inlineStr">
        <is>
          <t>Bot tespit/zenginlestirme (2026-07-01); meta:score=;priority=Low;source_type=html_table;closing_date=;equipment=Unclassified;reasons=</t>
        </is>
      </c>
    </row>
    <row r="2419">
      <c r="A2419" t="inlineStr">
        <is>
          <t>T-2223</t>
        </is>
      </c>
      <c r="B2419" t="inlineStr">
        <is>
          <t>CPPP / eProcure</t>
        </is>
      </c>
      <c r="C2419" t="inlineStr">
        <is>
          <t>CPPP / eProcure</t>
        </is>
      </c>
      <c r="D2419" t="inlineStr">
        <is>
          <t>ILP/SC2/ADP139/51/TE-0750</t>
        </is>
      </c>
      <c r="F2419" t="inlineStr">
        <is>
          <t>Docs Found</t>
        </is>
      </c>
      <c r="G2419" t="inlineStr">
        <is>
          <t>Unclassified</t>
        </is>
      </c>
      <c r="H2419" t="inlineStr">
        <is>
          <t>9. SUPPLY OF O RING ILP/SC2/ADP139/51/TE-0750 06-Jul-2026 04:00 PM 07-Jul-2026 04:00 PM</t>
        </is>
      </c>
      <c r="K2419" t="inlineStr">
        <is>
          <t>Not found</t>
        </is>
      </c>
      <c r="L2419" t="inlineStr">
        <is>
          <t>Unknown</t>
        </is>
      </c>
      <c r="T2419" t="inlineStr">
        <is>
          <t>https://www.etenders.gov.in/eprocure/app?component=%24DirectLink&amp;page=Home&amp;service=direct&amp;session=T&amp;sp=S1S4l0nN3nnM58lnxHgBTUw%3D%3D</t>
        </is>
      </c>
      <c r="U2419" t="inlineStr">
        <is>
          <t>HTML</t>
        </is>
      </c>
      <c r="V2419" t="inlineStr">
        <is>
          <t>Bot tespit/zenginlestirme (2026-07-01); meta:score=;priority=Low;source_type=html_table;closing_date=;equipment=Unclassified;reasons=</t>
        </is>
      </c>
    </row>
    <row r="2420">
      <c r="A2420" t="inlineStr">
        <is>
          <t>T-2224</t>
        </is>
      </c>
      <c r="B2420" t="inlineStr">
        <is>
          <t>CPPP / eProcure</t>
        </is>
      </c>
      <c r="C2420" t="inlineStr">
        <is>
          <t>CPPP / eProcure</t>
        </is>
      </c>
      <c r="D2420" t="inlineStr">
        <is>
          <t>NHAI/RO/MUM/Dhule/AE/2026/14</t>
        </is>
      </c>
      <c r="F2420" t="inlineStr">
        <is>
          <t>Docs Found</t>
        </is>
      </c>
      <c r="G2420" t="inlineStr">
        <is>
          <t>Unclassified</t>
        </is>
      </c>
      <c r="H2420" t="inlineStr">
        <is>
          <t>3. Corrigendum NHAI/RO/MUM/Dhule/AE/2026/14 09-Jul-2026 03:00 PM 10-Jul-2026 04:00 PM</t>
        </is>
      </c>
      <c r="K2420" t="inlineStr">
        <is>
          <t>Not found</t>
        </is>
      </c>
      <c r="L2420" t="inlineStr">
        <is>
          <t>Unknown</t>
        </is>
      </c>
      <c r="T2420" t="inlineStr">
        <is>
          <t>https://www.etenders.gov.in/eprocure/app?component=%24DirectLink_0&amp;page=Home&amp;service=direct&amp;session=T&amp;sp=SxQC2sP%2BQd9V%2B4GBIiVdNsQ%3D%3D</t>
        </is>
      </c>
      <c r="U2420" t="inlineStr">
        <is>
          <t>HTML</t>
        </is>
      </c>
      <c r="V2420" t="inlineStr">
        <is>
          <t>Bot tespit/zenginlestirme (2026-07-01); meta:score=;priority=Low;source_type=html_table;closing_date=;equipment=Unclassified;reasons=</t>
        </is>
      </c>
    </row>
    <row r="2421">
      <c r="A2421" t="inlineStr">
        <is>
          <t>T-2225</t>
        </is>
      </c>
      <c r="B2421" t="inlineStr">
        <is>
          <t>CPPP / eProcure</t>
        </is>
      </c>
      <c r="C2421" t="inlineStr">
        <is>
          <t>CPPP / eProcure</t>
        </is>
      </c>
      <c r="D2421" t="inlineStr">
        <is>
          <t>AAI/PAT/comml/IBS/2026</t>
        </is>
      </c>
      <c r="F2421" t="inlineStr">
        <is>
          <t>Docs Found</t>
        </is>
      </c>
      <c r="G2421" t="inlineStr">
        <is>
          <t>Unclassified</t>
        </is>
      </c>
      <c r="H2421" t="inlineStr">
        <is>
          <t>4. Bid Auto Extn Corrigendum AAI/PAT/comml/IBS/2026 08-Jul-2026 04:00 PM 09-Jul-2026 04:00 PM</t>
        </is>
      </c>
      <c r="K2421" t="inlineStr">
        <is>
          <t>Not found</t>
        </is>
      </c>
      <c r="L2421" t="inlineStr">
        <is>
          <t>Unknown</t>
        </is>
      </c>
      <c r="T2421" t="inlineStr">
        <is>
          <t>https://www.etenders.gov.in/eprocure/app?component=%24DirectLink_0&amp;page=Home&amp;service=direct&amp;session=T&amp;sp=ScAPF7bJ2xfOf5udxP9sLBA%3D%3D</t>
        </is>
      </c>
      <c r="U2421" t="inlineStr">
        <is>
          <t>HTML</t>
        </is>
      </c>
      <c r="V2421" t="inlineStr">
        <is>
          <t>Bot tespit/zenginlestirme (2026-07-01); meta:score=;priority=Low;source_type=html_table;closing_date=;equipment=Unclassified;reasons=</t>
        </is>
      </c>
    </row>
    <row r="2422">
      <c r="A2422" t="inlineStr">
        <is>
          <t>T-2226</t>
        </is>
      </c>
      <c r="B2422" t="inlineStr">
        <is>
          <t>CPPP / eProcure</t>
        </is>
      </c>
      <c r="C2422" t="inlineStr">
        <is>
          <t>CPPP / eProcure</t>
        </is>
      </c>
      <c r="D2422" t="inlineStr">
        <is>
          <t>CHIAL/COMML/MEC/2026-27</t>
        </is>
      </c>
      <c r="F2422" t="inlineStr">
        <is>
          <t>Docs Found</t>
        </is>
      </c>
      <c r="G2422" t="inlineStr">
        <is>
          <t>Unclassified</t>
        </is>
      </c>
      <c r="H2422" t="inlineStr">
        <is>
          <t>6. Bid Auto Extn Corrigendum CHIAL/COMML/MEC/2026-27 08-Jul-2026 04:00 PM 09-Jul-2026 04:00 PM</t>
        </is>
      </c>
      <c r="K2422" t="inlineStr">
        <is>
          <t>Not found</t>
        </is>
      </c>
      <c r="L2422" t="inlineStr">
        <is>
          <t>Unknown</t>
        </is>
      </c>
      <c r="T2422" t="inlineStr">
        <is>
          <t>https://www.etenders.gov.in/eprocure/app?component=%24DirectLink_0&amp;page=Home&amp;service=direct&amp;session=T&amp;sp=SJX6JY1zY9N3fpG7c5UkrFA%3D%3D</t>
        </is>
      </c>
      <c r="U2422" t="inlineStr">
        <is>
          <t>HTML</t>
        </is>
      </c>
      <c r="V2422" t="inlineStr">
        <is>
          <t>Bot tespit/zenginlestirme (2026-07-01); meta:score=;priority=Low;source_type=html_table;closing_date=;equipment=Unclassified;reasons=</t>
        </is>
      </c>
    </row>
    <row r="2423">
      <c r="A2423" t="inlineStr">
        <is>
          <t>T-2227</t>
        </is>
      </c>
      <c r="B2423" t="inlineStr">
        <is>
          <t>CPPP / eProcure</t>
        </is>
      </c>
      <c r="C2423" t="inlineStr">
        <is>
          <t>CPPP / eProcure</t>
        </is>
      </c>
      <c r="D2423" t="inlineStr">
        <is>
          <t>HVF/TE/13025/CEO/2026-27/16</t>
        </is>
      </c>
      <c r="E2423" t="inlineStr">
        <is>
          <t>2026-27/16</t>
        </is>
      </c>
      <c r="F2423" t="inlineStr">
        <is>
          <t>Docs Found</t>
        </is>
      </c>
      <c r="G2423" t="inlineStr">
        <is>
          <t>Unclassified</t>
        </is>
      </c>
      <c r="H2423" t="inlineStr">
        <is>
          <t>9. Bid Auto Extn Corrigendum HVF/TE/13025/CEO/2026-27/16 08-Jul-2026 02:00 PM 09-Jul-2026 10:00 AM</t>
        </is>
      </c>
      <c r="K2423" t="inlineStr">
        <is>
          <t>Not found</t>
        </is>
      </c>
      <c r="L2423" t="inlineStr">
        <is>
          <t>Unknown</t>
        </is>
      </c>
      <c r="T2423" t="inlineStr">
        <is>
          <t>https://www.etenders.gov.in/eprocure/app?component=%24DirectLink_0&amp;page=Home&amp;service=direct&amp;session=T&amp;sp=Sa2ifZDql6eG0MaHXFM0ajg%3D%3D</t>
        </is>
      </c>
      <c r="U2423" t="inlineStr">
        <is>
          <t>HTML</t>
        </is>
      </c>
      <c r="V2423" t="inlineStr">
        <is>
          <t>Bot tespit/zenginlestirme (2026-07-01); meta:score=;priority=Low;source_type=html_table;closing_date=;equipment=Unclassified;reasons=</t>
        </is>
      </c>
    </row>
    <row r="2424">
      <c r="A2424" t="inlineStr">
        <is>
          <t>T-2228</t>
        </is>
      </c>
      <c r="B2424" t="inlineStr">
        <is>
          <t>Bharat Petroleum (BPCL CGD)</t>
        </is>
      </c>
      <c r="C2424" t="inlineStr">
        <is>
          <t>Bharat Petroleum (BPCL CGD)</t>
        </is>
      </c>
      <c r="D2424" t="inlineStr">
        <is>
          <t>ation</t>
        </is>
      </c>
      <c r="F2424" t="inlineStr">
        <is>
          <t>Docs Found</t>
        </is>
      </c>
      <c r="G2424" t="inlineStr">
        <is>
          <t>Unclassified</t>
        </is>
      </c>
      <c r="H2424" t="inlineStr">
        <is>
          <t>Promotion of Health and Sanitation</t>
        </is>
      </c>
      <c r="K2424" t="inlineStr">
        <is>
          <t>Not found</t>
        </is>
      </c>
      <c r="L2424" t="inlineStr">
        <is>
          <t>Unknown</t>
        </is>
      </c>
      <c r="T2424" t="inlineStr">
        <is>
          <t>https://www.bharatpetroleum.in/Bharat-Petroleum-For/Refineries/Bina-Refinery/Promotion-of-Health-and-Sanitation.aspx</t>
        </is>
      </c>
      <c r="U2424" t="inlineStr">
        <is>
          <t>HTML</t>
        </is>
      </c>
      <c r="V2424" t="inlineStr">
        <is>
          <t>Bot tespit/zenginlestirme (2026-07-01); meta:score=15;priority=Low;source_type=html_link;closing_date=;equipment=Unclassified;reasons=tender reference signal</t>
        </is>
      </c>
    </row>
    <row r="2425">
      <c r="A2425" t="inlineStr">
        <is>
          <t>T-2229</t>
        </is>
      </c>
      <c r="B2425" t="inlineStr">
        <is>
          <t>Bharat Petroleum (BPCL CGD)</t>
        </is>
      </c>
      <c r="C2425" t="inlineStr">
        <is>
          <t>Bharat Petroleum (BPCL CGD)</t>
        </is>
      </c>
      <c r="D2425" t="inlineStr">
        <is>
          <t>ation</t>
        </is>
      </c>
      <c r="F2425" t="inlineStr">
        <is>
          <t>Docs Found</t>
        </is>
      </c>
      <c r="G2425" t="inlineStr">
        <is>
          <t>Irrelevant / non-target</t>
        </is>
      </c>
      <c r="H2425" t="inlineStr">
        <is>
          <t>Refineries Mumbai Refinery(MR) Performance Process and Technology Our Products Sustainability Future Plans and Projects Awards Health and Safety Corporate Responsibility Kochi Refinery Overview History Performance Refining Capacity Future Plans Technology Projects Energy Conservation Process Innovation Environment Ambient Air Quality Report IREP Awards and Recognition Health and Safety CSR Your Corner KR Bina Refinery Products Health Safety and Environment Awards and Accolades CSR Contact Details Promotion of Sports and Culture Promotion of Education and Skill Development Rural Development and Environment Sustainability Promotion of Health and Sanitation</t>
        </is>
      </c>
      <c r="K2425" t="inlineStr">
        <is>
          <t>Not found</t>
        </is>
      </c>
      <c r="L2425" t="inlineStr">
        <is>
          <t>Unknown</t>
        </is>
      </c>
      <c r="T2425" t="inlineStr">
        <is>
          <t>https://www.bharatpetroleum.in/Bharat-Petroleum-For/Refineries.aspx</t>
        </is>
      </c>
      <c r="U2425" t="inlineStr">
        <is>
          <t>HTML</t>
        </is>
      </c>
      <c r="V2425" t="inlineStr">
        <is>
          <t>Bot tespit/zenginlestirme (2026-07-01); meta:score=;priority=Low;source_type=html_table;closing_date=;equipment=Irrelevant / non-target;reasons=irrelevant_equipment,tender reference signal,website noise</t>
        </is>
      </c>
    </row>
    <row r="2426">
      <c r="A2426" t="inlineStr">
        <is>
          <t>T-2230</t>
        </is>
      </c>
      <c r="B2426" t="inlineStr">
        <is>
          <t>Bharat Petroleum (BPCL CGD)</t>
        </is>
      </c>
      <c r="C2426" t="inlineStr">
        <is>
          <t>Bharat Petroleum (BPCL CGD)</t>
        </is>
      </c>
      <c r="D2426" t="inlineStr">
        <is>
          <t>ation</t>
        </is>
      </c>
      <c r="F2426" t="inlineStr">
        <is>
          <t>Docs Found</t>
        </is>
      </c>
      <c r="G2426" t="inlineStr">
        <is>
          <t>Irrelevant / non-target</t>
        </is>
      </c>
      <c r="H2426" t="inlineStr">
        <is>
          <t>Bina Refinery Products Health Safety and Environment Awards and Accolades CSR Contact Details Promotion of Sports and Culture Promotion of Education and Skill Development Rural Development and Environment Sustainability Promotion of Health and Sanitation</t>
        </is>
      </c>
      <c r="K2426" t="inlineStr">
        <is>
          <t>Not found</t>
        </is>
      </c>
      <c r="L2426" t="inlineStr">
        <is>
          <t>Unknown</t>
        </is>
      </c>
      <c r="T2426" t="inlineStr">
        <is>
          <t>https://www.bharatpetroleum.in/Bharat-Petroleum-For/Refineries/Bina-Refinery.aspx</t>
        </is>
      </c>
      <c r="U2426" t="inlineStr">
        <is>
          <t>HTML</t>
        </is>
      </c>
      <c r="V2426" t="inlineStr">
        <is>
          <t>Bot tespit/zenginlestirme (2026-07-01); meta:score=;priority=Low;source_type=html_table;closing_date=;equipment=Irrelevant / non-target;reasons=irrelevant_equipment,tender reference signal,website noise</t>
        </is>
      </c>
    </row>
    <row r="2427">
      <c r="A2427" t="inlineStr">
        <is>
          <t>T-2231</t>
        </is>
      </c>
      <c r="B2427" t="inlineStr">
        <is>
          <t>Bharat Petroleum (BPCL CGD)</t>
        </is>
      </c>
      <c r="C2427" t="inlineStr">
        <is>
          <t>Bharat Petroleum (BPCL CGD)</t>
        </is>
      </c>
      <c r="D2427" t="inlineStr">
        <is>
          <t>ation</t>
        </is>
      </c>
      <c r="F2427" t="inlineStr">
        <is>
          <t>Docs Found</t>
        </is>
      </c>
      <c r="G2427" t="inlineStr">
        <is>
          <t>Irrelevant / non-target</t>
        </is>
      </c>
      <c r="H2427" t="inlineStr">
        <is>
          <t>CSR Thrust Areas Education Environment Sustainability Health and Sanitation Skill Development Community Development</t>
        </is>
      </c>
      <c r="K2427" t="inlineStr">
        <is>
          <t>Not found</t>
        </is>
      </c>
      <c r="L2427" t="inlineStr">
        <is>
          <t>Unknown</t>
        </is>
      </c>
      <c r="T2427" t="inlineStr">
        <is>
          <t>https://www.bharatpetroleum.in/social-responsibility/csr-thrust-areas.aspx</t>
        </is>
      </c>
      <c r="U2427" t="inlineStr">
        <is>
          <t>HTML</t>
        </is>
      </c>
      <c r="V2427" t="inlineStr">
        <is>
          <t>Bot tespit/zenginlestirme (2026-07-01); meta:score=;priority=Low;source_type=html_table;closing_date=;equipment=Irrelevant / non-target;reasons=irrelevant_equipment,tender reference signal,website noise</t>
        </is>
      </c>
    </row>
    <row r="2428">
      <c r="A2428" t="inlineStr">
        <is>
          <t>T-2232</t>
        </is>
      </c>
      <c r="B2428" t="inlineStr">
        <is>
          <t>Bharat Petroleum (BPCL CGD)</t>
        </is>
      </c>
      <c r="C2428" t="inlineStr">
        <is>
          <t>Bharat Petroleum (BPCL CGD)</t>
        </is>
      </c>
      <c r="D2428" t="inlineStr">
        <is>
          <t>ation</t>
        </is>
      </c>
      <c r="F2428" t="inlineStr">
        <is>
          <t>Docs Found</t>
        </is>
      </c>
      <c r="G2428" t="inlineStr">
        <is>
          <t>Irrelevant / non-target</t>
        </is>
      </c>
      <c r="H2428" t="inlineStr">
        <is>
          <t>Health and Sanitation</t>
        </is>
      </c>
      <c r="K2428" t="inlineStr">
        <is>
          <t>Not found</t>
        </is>
      </c>
      <c r="L2428" t="inlineStr">
        <is>
          <t>Unknown</t>
        </is>
      </c>
      <c r="T2428" t="inlineStr">
        <is>
          <t>https://www.bharatpetroleum.in/CSR/CSR-Thrust-Areas/Health-and-Sanitation.aspx</t>
        </is>
      </c>
      <c r="U2428" t="inlineStr">
        <is>
          <t>HTML</t>
        </is>
      </c>
      <c r="V2428" t="inlineStr">
        <is>
          <t>Bot tespit/zenginlestirme (2026-07-01); meta:score=;priority=Low;source_type=html_link;closing_date=;equipment=Irrelevant / non-target;reasons=irrelevant_equipment,tender reference signal,website noise</t>
        </is>
      </c>
    </row>
    <row r="2429">
      <c r="A2429" t="inlineStr">
        <is>
          <t>T-2233</t>
        </is>
      </c>
      <c r="B2429" t="inlineStr">
        <is>
          <t>CPPP / eProcure</t>
        </is>
      </c>
      <c r="C2429" t="inlineStr">
        <is>
          <t>CPPP / eProcure</t>
        </is>
      </c>
      <c r="D2429" t="inlineStr">
        <is>
          <t>HLL/HR/Tender-HRMS/2026-05</t>
        </is>
      </c>
      <c r="F2429" t="inlineStr">
        <is>
          <t>Docs Found</t>
        </is>
      </c>
      <c r="G2429" t="inlineStr">
        <is>
          <t>Regulating station</t>
        </is>
      </c>
      <c r="H2429" t="inlineStr">
        <is>
          <t>1. Date Amendment 3 HLL/HR/Tender-HRMS/2026-05 11-Jul-2026 03:00 PM 13-Jul-2026 03:30 PM</t>
        </is>
      </c>
      <c r="K2429" t="inlineStr">
        <is>
          <t>Not found</t>
        </is>
      </c>
      <c r="L2429" t="inlineStr">
        <is>
          <t>Unknown</t>
        </is>
      </c>
      <c r="T2429" t="inlineStr">
        <is>
          <t>https://www.etenders.gov.in/eprocure/app?component=%24DirectLink_0&amp;page=Home&amp;service=direct&amp;session=T&amp;sp=SAlkSZ0md7Nf%2BjYt7Y8%2Fl1w%3D%3D</t>
        </is>
      </c>
      <c r="U2429" t="inlineStr">
        <is>
          <t>HTML</t>
        </is>
      </c>
      <c r="V2429" t="inlineStr">
        <is>
          <t>Bot tespit/zenginlestirme (2026-07-01); meta:score=60;priority=Medium;source_type=html_table;closing_date=;equipment=Regulating station;reasons=equipment:Regulating station,station/skid keyword</t>
        </is>
      </c>
    </row>
    <row r="2430">
      <c r="A2430" t="inlineStr">
        <is>
          <t>T-2234</t>
        </is>
      </c>
      <c r="B2430" t="inlineStr">
        <is>
          <t>CPPP / eProcure</t>
        </is>
      </c>
      <c r="C2430" t="inlineStr">
        <is>
          <t>CPPP / eProcure</t>
        </is>
      </c>
      <c r="D2430" t="inlineStr">
        <is>
          <t>EOI/0400/0389/2026/07-1</t>
        </is>
      </c>
      <c r="E2430" t="inlineStr">
        <is>
          <t>2026/07-1</t>
        </is>
      </c>
      <c r="F2430" t="inlineStr">
        <is>
          <t>Docs Found</t>
        </is>
      </c>
      <c r="G2430" t="inlineStr">
        <is>
          <t>Unclassified</t>
        </is>
      </c>
      <c r="H2430" t="inlineStr">
        <is>
          <t>4. Global Expression of Interest (EoI) for Selection of Technology Partners for Joint R AND D / Co-Production / System Integration for Business Development in Indian and Overseas Markets C-2(b)/EOI/0400/0389/2026/07-1 15-Jul-2026 02:30 PM 15-Jul-2026 03:00 PM</t>
        </is>
      </c>
      <c r="K2430" t="inlineStr">
        <is>
          <t>Not found</t>
        </is>
      </c>
      <c r="L2430" t="inlineStr">
        <is>
          <t>Unknown</t>
        </is>
      </c>
      <c r="T2430" t="inlineStr">
        <is>
          <t>https://www.etenders.gov.in/eprocure/app?component=%24DirectLink&amp;page=Home&amp;service=direct&amp;session=T&amp;sp=S%2BLbYNLuM6vdhhUNE0Daybw%3D%3D</t>
        </is>
      </c>
      <c r="U2430" t="inlineStr">
        <is>
          <t>HTML</t>
        </is>
      </c>
      <c r="V2430" t="inlineStr">
        <is>
          <t>Bot tespit/zenginlestirme (2026-07-01); meta:score=15;priority=Low;source_type=html_table;closing_date=;equipment=Unclassified;reasons=tender reference signal</t>
        </is>
      </c>
    </row>
    <row r="2431">
      <c r="A2431" t="inlineStr">
        <is>
          <t>T-2235</t>
        </is>
      </c>
      <c r="B2431" t="inlineStr">
        <is>
          <t>CPPP / eProcure</t>
        </is>
      </c>
      <c r="C2431" t="inlineStr">
        <is>
          <t>CPPP / eProcure</t>
        </is>
      </c>
      <c r="D2431" t="inlineStr">
        <is>
          <t>HLL/PSD/RBD/2026-27/TENDER/33</t>
        </is>
      </c>
      <c r="F2431" t="inlineStr">
        <is>
          <t>Docs Found</t>
        </is>
      </c>
      <c r="G2431" t="inlineStr">
        <is>
          <t>Unclassified</t>
        </is>
      </c>
      <c r="H2431" t="inlineStr">
        <is>
          <t>1. HLL/PSD/RBD/2026-27/TENDER/33 HLL/PSD/RBD/2026-27/TENDER/33 08-Jul-2026 03:00 PM 09-Jul-2026 03:00 PM</t>
        </is>
      </c>
      <c r="K2431" t="inlineStr">
        <is>
          <t>Not found</t>
        </is>
      </c>
      <c r="L2431" t="inlineStr">
        <is>
          <t>Unknown</t>
        </is>
      </c>
      <c r="T2431" t="inlineStr">
        <is>
          <t>https://www.etenders.gov.in/eprocure/app?component=%24DirectLink&amp;page=Home&amp;service=direct&amp;session=T&amp;sp=SXKl9xLCxH0DD6sNklN1ddg%3D%3D</t>
        </is>
      </c>
      <c r="U2431" t="inlineStr">
        <is>
          <t>HTML</t>
        </is>
      </c>
      <c r="V2431" t="inlineStr">
        <is>
          <t>Bot tespit/zenginlestirme (2026-07-01); meta:score=;priority=Low;source_type=html_table;closing_date=;equipment=Unclassified;reasons=</t>
        </is>
      </c>
    </row>
    <row r="2432">
      <c r="A2432" t="inlineStr">
        <is>
          <t>T-2236</t>
        </is>
      </c>
      <c r="B2432" t="inlineStr">
        <is>
          <t>CPPP / eProcure</t>
        </is>
      </c>
      <c r="C2432" t="inlineStr">
        <is>
          <t>CPPP / eProcure</t>
        </is>
      </c>
      <c r="D2432" t="inlineStr">
        <is>
          <t>OSD/ASW/1034/2026</t>
        </is>
      </c>
      <c r="E2432" t="inlineStr">
        <is>
          <t>01-07-2026</t>
        </is>
      </c>
      <c r="F2432" t="inlineStr">
        <is>
          <t>Docs Found</t>
        </is>
      </c>
      <c r="G2432" t="inlineStr">
        <is>
          <t>Unclassified</t>
        </is>
      </c>
      <c r="H2432" t="inlineStr">
        <is>
          <t>2. SB-OSD/ASW/1034/2026 Dtd 01-07-2026 SB-OSD/ASW/1034/2026 Dtd 01-07-2026 07-Jul-2026 03:00 PM 08-Jul-2026 03:30 PM</t>
        </is>
      </c>
      <c r="K2432" t="inlineStr">
        <is>
          <t>Not found</t>
        </is>
      </c>
      <c r="L2432" t="inlineStr">
        <is>
          <t>Unknown</t>
        </is>
      </c>
      <c r="T2432" t="inlineStr">
        <is>
          <t>https://www.etenders.gov.in/eprocure/app?component=%24DirectLink&amp;page=Home&amp;service=direct&amp;session=T&amp;sp=SXmTrsnI7TmXzOWibg4E5Cw%3D%3D</t>
        </is>
      </c>
      <c r="U2432" t="inlineStr">
        <is>
          <t>HTML</t>
        </is>
      </c>
      <c r="V2432" t="inlineStr">
        <is>
          <t>Bot tespit/zenginlestirme (2026-07-01); meta:score=;priority=Low;source_type=html_table;closing_date=;equipment=Unclassified;reasons=</t>
        </is>
      </c>
    </row>
    <row r="2433">
      <c r="A2433" t="inlineStr">
        <is>
          <t>T-2237</t>
        </is>
      </c>
      <c r="B2433" t="inlineStr">
        <is>
          <t>CPPP / eProcure</t>
        </is>
      </c>
      <c r="C2433" t="inlineStr">
        <is>
          <t>CPPP / eProcure</t>
        </is>
      </c>
      <c r="D2433" t="inlineStr">
        <is>
          <t>NHAI/RO-CHD/2026-2027/LUD/09</t>
        </is>
      </c>
      <c r="F2433" t="inlineStr">
        <is>
          <t>Docs Found</t>
        </is>
      </c>
      <c r="G2433" t="inlineStr">
        <is>
          <t>Unclassified</t>
        </is>
      </c>
      <c r="H2433" t="inlineStr">
        <is>
          <t>7. Supervision Consultant Services during Operation and Maintenance of four lanes with paved shoulders of Moga-Tallewal section of NH-71 (New NH-703) from km 77.950 to km 116.600 in the state of Punjab. NHAI/RO-CHD/2026-2027/LUD/09 29-Jul-2026 11:00 AM 30-Jul-2026 11:30 AM</t>
        </is>
      </c>
      <c r="K2433" t="inlineStr">
        <is>
          <t>Not found</t>
        </is>
      </c>
      <c r="L2433" t="inlineStr">
        <is>
          <t>Unknown</t>
        </is>
      </c>
      <c r="T2433" t="inlineStr">
        <is>
          <t>https://www.etenders.gov.in/eprocure/app?component=%24DirectLink&amp;page=Home&amp;service=direct&amp;session=T&amp;sp=S7c%2FP7nf1wyXnDag1keuJfg%3D%3D</t>
        </is>
      </c>
      <c r="U2433" t="inlineStr">
        <is>
          <t>HTML</t>
        </is>
      </c>
      <c r="V2433" t="inlineStr">
        <is>
          <t>Bot tespit/zenginlestirme (2026-07-01); meta:score=;priority=Low;source_type=html_table;closing_date=;equipment=Unclassified;reasons=</t>
        </is>
      </c>
    </row>
    <row r="2434">
      <c r="A2434" t="inlineStr">
        <is>
          <t>T-2238</t>
        </is>
      </c>
      <c r="B2434" t="inlineStr">
        <is>
          <t>CPPP / eProcure</t>
        </is>
      </c>
      <c r="C2434" t="inlineStr">
        <is>
          <t>CPPP / eProcure</t>
        </is>
      </c>
      <c r="D2434" t="inlineStr">
        <is>
          <t>NHAI/13013/547/CO/26-27/EQ</t>
        </is>
      </c>
      <c r="F2434" t="inlineStr">
        <is>
          <t>Docs Found</t>
        </is>
      </c>
      <c r="G2434" t="inlineStr">
        <is>
          <t>Unclassified</t>
        </is>
      </c>
      <c r="H2434" t="inlineStr">
        <is>
          <t>9. Engagement of user fee agency through EQ at Sundra FP at Km 41.850 Gunjangarh FP at Km 114.730 and Khuiyala FP of NH-70 in Rajasthan NHAI/13013/547/CO/26-27/EQ/ Sundra Gunjangarh n Khuiyala FP 08-Jul-2026 11:00 AM 09-Jul-2026 11:30 AM</t>
        </is>
      </c>
      <c r="K2434" t="inlineStr">
        <is>
          <t>Not found</t>
        </is>
      </c>
      <c r="L2434" t="inlineStr">
        <is>
          <t>Unknown</t>
        </is>
      </c>
      <c r="T2434" t="inlineStr">
        <is>
          <t>https://www.etenders.gov.in/eprocure/app?component=%24DirectLink&amp;page=Home&amp;service=direct&amp;session=T&amp;sp=SD0C%2FtWtxywnP0U47a1d%2F2g%3D%3D</t>
        </is>
      </c>
      <c r="U2434" t="inlineStr">
        <is>
          <t>HTML</t>
        </is>
      </c>
      <c r="V2434" t="inlineStr">
        <is>
          <t>Bot tespit/zenginlestirme (2026-07-01); meta:score=;priority=Low;source_type=html_table;closing_date=;equipment=Unclassified;reasons=</t>
        </is>
      </c>
    </row>
    <row r="2435">
      <c r="A2435" t="inlineStr">
        <is>
          <t>T-2239</t>
        </is>
      </c>
      <c r="B2435" t="inlineStr">
        <is>
          <t>CPPP / eProcure</t>
        </is>
      </c>
      <c r="C2435" t="inlineStr">
        <is>
          <t>CPPP / eProcure</t>
        </is>
      </c>
      <c r="D2435" t="inlineStr">
        <is>
          <t>GM/AFK/EO/PRC/30/2026-27</t>
        </is>
      </c>
      <c r="F2435" t="inlineStr">
        <is>
          <t>Docs Found</t>
        </is>
      </c>
      <c r="G2435" t="inlineStr">
        <is>
          <t>Unclassified</t>
        </is>
      </c>
      <c r="H2435" t="inlineStr">
        <is>
          <t>3. Bid Auto Extn Corrigendum GM/AFK/EO/PRC/30/2026-27 04-Jul-2026 05:00 PM 07-Jul-2026 09:00 AM</t>
        </is>
      </c>
      <c r="K2435" t="inlineStr">
        <is>
          <t>Not found</t>
        </is>
      </c>
      <c r="L2435" t="inlineStr">
        <is>
          <t>Unknown</t>
        </is>
      </c>
      <c r="T2435" t="inlineStr">
        <is>
          <t>https://www.etenders.gov.in/eprocure/app?component=%24DirectLink_0&amp;page=Home&amp;service=direct&amp;session=T&amp;sp=SXZZFOnOQXz%2FSEc%2BRKQ8d5g%3D%3D</t>
        </is>
      </c>
      <c r="U2435" t="inlineStr">
        <is>
          <t>HTML</t>
        </is>
      </c>
      <c r="V2435" t="inlineStr">
        <is>
          <t>Bot tespit/zenginlestirme (2026-07-01); meta:score=;priority=Low;source_type=html_table;closing_date=;equipment=Unclassified;reasons=</t>
        </is>
      </c>
    </row>
    <row r="2436">
      <c r="A2436" t="inlineStr">
        <is>
          <t>T-2240</t>
        </is>
      </c>
      <c r="B2436" t="inlineStr">
        <is>
          <t>CPPP / eProcure</t>
        </is>
      </c>
      <c r="C2436" t="inlineStr">
        <is>
          <t>CPPP / eProcure</t>
        </is>
      </c>
      <c r="D2436" t="inlineStr">
        <is>
          <t>ESD/L-488/2026</t>
        </is>
      </c>
      <c r="F2436" t="inlineStr">
        <is>
          <t>Docs Found</t>
        </is>
      </c>
      <c r="G2436" t="inlineStr">
        <is>
          <t>Unclassified</t>
        </is>
      </c>
      <c r="H2436" t="inlineStr">
        <is>
          <t>4. Bid Auto Extn Corrigendum ESD/L-488/2026 08-Jul-2026 05:00 PM 10-Jul-2026 11:00 AM</t>
        </is>
      </c>
      <c r="K2436" t="inlineStr">
        <is>
          <t>Not found</t>
        </is>
      </c>
      <c r="L2436" t="inlineStr">
        <is>
          <t>Unknown</t>
        </is>
      </c>
      <c r="T2436" t="inlineStr">
        <is>
          <t>https://www.etenders.gov.in/eprocure/app?component=%24DirectLink_0&amp;page=Home&amp;service=direct&amp;session=T&amp;sp=SWM5pyzJWiRBZqX8YsFBc%2Fg%3D%3D</t>
        </is>
      </c>
      <c r="U2436" t="inlineStr">
        <is>
          <t>HTML</t>
        </is>
      </c>
      <c r="V2436" t="inlineStr">
        <is>
          <t>Bot tespit/zenginlestirme (2026-07-01); meta:score=;priority=Low;source_type=html_table;closing_date=;equipment=Unclassified;reasons=</t>
        </is>
      </c>
    </row>
    <row r="2437">
      <c r="A2437" t="inlineStr">
        <is>
          <t>T-2241</t>
        </is>
      </c>
      <c r="B2437" t="inlineStr">
        <is>
          <t>CPPP / eProcure</t>
        </is>
      </c>
      <c r="C2437" t="inlineStr">
        <is>
          <t>CPPP / eProcure</t>
        </is>
      </c>
      <c r="D2437" t="inlineStr">
        <is>
          <t>JPL/CnM/LT/2627/1200008330</t>
        </is>
      </c>
      <c r="F2437" t="inlineStr">
        <is>
          <t>Docs Found</t>
        </is>
      </c>
      <c r="G2437" t="inlineStr">
        <is>
          <t>Unclassified</t>
        </is>
      </c>
      <c r="H2437" t="inlineStr">
        <is>
          <t>5. Bid Auto Extn Corrigendum JPL/CnM/LT/2627/1200008330 06-Jul-2026 05:00 PM 07-Jul-2026 10:30 AM</t>
        </is>
      </c>
      <c r="K2437" t="inlineStr">
        <is>
          <t>Not found</t>
        </is>
      </c>
      <c r="L2437" t="inlineStr">
        <is>
          <t>Unknown</t>
        </is>
      </c>
      <c r="T2437" t="inlineStr">
        <is>
          <t>https://www.etenders.gov.in/eprocure/app?component=%24DirectLink_0&amp;page=Home&amp;service=direct&amp;session=T&amp;sp=SKsFMJ1TY3EZw28kkteeEaw%3D%3D</t>
        </is>
      </c>
      <c r="U2437" t="inlineStr">
        <is>
          <t>HTML</t>
        </is>
      </c>
      <c r="V2437" t="inlineStr">
        <is>
          <t>Bot tespit/zenginlestirme (2026-07-01); meta:score=;priority=Low;source_type=html_table;closing_date=;equipment=Unclassified;reasons=</t>
        </is>
      </c>
    </row>
    <row r="2438">
      <c r="A2438" t="inlineStr">
        <is>
          <t>T-2242</t>
        </is>
      </c>
      <c r="B2438" t="inlineStr">
        <is>
          <t>CPPP / eProcure</t>
        </is>
      </c>
      <c r="C2438" t="inlineStr">
        <is>
          <t>CPPP / eProcure</t>
        </is>
      </c>
      <c r="D2438" t="inlineStr">
        <is>
          <t>AAI/ASR/COMML/SP/2026/16</t>
        </is>
      </c>
      <c r="F2438" t="inlineStr">
        <is>
          <t>Docs Found</t>
        </is>
      </c>
      <c r="G2438" t="inlineStr">
        <is>
          <t>Unclassified</t>
        </is>
      </c>
      <c r="H2438" t="inlineStr">
        <is>
          <t>6. Bid Auto Extn Corrigendum AAI/ASR/COMML/SP/2026/16 08-Jul-2026 05:00 PM 09-Jul-2026 05:00 PM</t>
        </is>
      </c>
      <c r="K2438" t="inlineStr">
        <is>
          <t>Not found</t>
        </is>
      </c>
      <c r="L2438" t="inlineStr">
        <is>
          <t>Unknown</t>
        </is>
      </c>
      <c r="T2438" t="inlineStr">
        <is>
          <t>https://www.etenders.gov.in/eprocure/app?component=%24DirectLink_0&amp;page=Home&amp;service=direct&amp;session=T&amp;sp=SOZAQlLbnN2kIFRMl086LMg%3D%3D</t>
        </is>
      </c>
      <c r="U2438" t="inlineStr">
        <is>
          <t>HTML</t>
        </is>
      </c>
      <c r="V2438" t="inlineStr">
        <is>
          <t>Bot tespit/zenginlestirme (2026-07-01); meta:score=;priority=Low;source_type=html_table;closing_date=;equipment=Unclassified;reasons=</t>
        </is>
      </c>
    </row>
    <row r="2439">
      <c r="A2439" t="inlineStr">
        <is>
          <t>T-2243</t>
        </is>
      </c>
      <c r="B2439" t="inlineStr">
        <is>
          <t>GAIL India</t>
        </is>
      </c>
      <c r="C2439" t="inlineStr">
        <is>
          <t>GAIL India</t>
        </is>
      </c>
      <c r="F2439" t="inlineStr">
        <is>
          <t>New Lead</t>
        </is>
      </c>
      <c r="G2439" t="inlineStr">
        <is>
          <t>Unclassified</t>
        </is>
      </c>
      <c r="H2439"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39" t="inlineStr">
        <is>
          <t>Not found</t>
        </is>
      </c>
      <c r="L2439" t="inlineStr">
        <is>
          <t>Unknown</t>
        </is>
      </c>
      <c r="T2439" t="inlineStr">
        <is>
          <t>https://gailtenders.in/Gailtenders/general_url.asp?val=1&amp;inb=1</t>
        </is>
      </c>
      <c r="U2439" t="inlineStr">
        <is>
          <t>HTML</t>
        </is>
      </c>
      <c r="V2439" t="inlineStr">
        <is>
          <t>Bot tespit/zenginlestirme (2026-07-01); meta:score=35;priority=Low;source_type=html_table;closing_date=;equipment=Unclassified;reasons=award/result signal</t>
        </is>
      </c>
    </row>
    <row r="2440">
      <c r="A2440" t="inlineStr">
        <is>
          <t>T-2244</t>
        </is>
      </c>
      <c r="B2440" t="inlineStr">
        <is>
          <t>GAIL India</t>
        </is>
      </c>
      <c r="C2440" t="inlineStr">
        <is>
          <t>GAIL India</t>
        </is>
      </c>
      <c r="F2440" t="inlineStr">
        <is>
          <t>New Lead</t>
        </is>
      </c>
      <c r="G2440" t="inlineStr">
        <is>
          <t>Unclassified</t>
        </is>
      </c>
      <c r="H2440"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40" t="inlineStr">
        <is>
          <t>Not found</t>
        </is>
      </c>
      <c r="L2440" t="inlineStr">
        <is>
          <t>Unknown</t>
        </is>
      </c>
      <c r="T2440" t="inlineStr">
        <is>
          <t>https://gailtenders.in/Gailtenders/general_url.asp?val=2&amp;inb=1</t>
        </is>
      </c>
      <c r="U2440" t="inlineStr">
        <is>
          <t>HTML</t>
        </is>
      </c>
      <c r="V2440" t="inlineStr">
        <is>
          <t>Bot tespit/zenginlestirme (2026-07-01); meta:score=35;priority=Low;source_type=html_table;closing_date=;equipment=Unclassified;reasons=award/result signal</t>
        </is>
      </c>
    </row>
    <row r="2441">
      <c r="A2441" t="inlineStr">
        <is>
          <t>T-2245</t>
        </is>
      </c>
      <c r="B2441" t="inlineStr">
        <is>
          <t>GAIL India</t>
        </is>
      </c>
      <c r="C2441" t="inlineStr">
        <is>
          <t>GAIL India</t>
        </is>
      </c>
      <c r="F2441" t="inlineStr">
        <is>
          <t>New Lead</t>
        </is>
      </c>
      <c r="G2441" t="inlineStr">
        <is>
          <t>Unclassified</t>
        </is>
      </c>
      <c r="H2441"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41" t="inlineStr">
        <is>
          <t>Not found</t>
        </is>
      </c>
      <c r="L2441" t="inlineStr">
        <is>
          <t>Unknown</t>
        </is>
      </c>
      <c r="T2441" t="inlineStr">
        <is>
          <t>https://gailtenders.in/Gailtenders/general_url.asp?val=3&amp;inb=1</t>
        </is>
      </c>
      <c r="U2441" t="inlineStr">
        <is>
          <t>HTML</t>
        </is>
      </c>
      <c r="V2441" t="inlineStr">
        <is>
          <t>Bot tespit/zenginlestirme (2026-07-01); meta:score=35;priority=Low;source_type=html_table;closing_date=;equipment=Unclassified;reasons=award/result signal</t>
        </is>
      </c>
    </row>
    <row r="2442">
      <c r="A2442" t="inlineStr">
        <is>
          <t>T-2246</t>
        </is>
      </c>
      <c r="B2442" t="inlineStr">
        <is>
          <t>GAIL India</t>
        </is>
      </c>
      <c r="C2442" t="inlineStr">
        <is>
          <t>GAIL India</t>
        </is>
      </c>
      <c r="F2442" t="inlineStr">
        <is>
          <t>New Lead</t>
        </is>
      </c>
      <c r="G2442" t="inlineStr">
        <is>
          <t>Unclassified</t>
        </is>
      </c>
      <c r="H2442"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42" t="inlineStr">
        <is>
          <t>Not found</t>
        </is>
      </c>
      <c r="L2442" t="inlineStr">
        <is>
          <t>Unknown</t>
        </is>
      </c>
      <c r="T2442" t="inlineStr">
        <is>
          <t>https://gailtenders.in/Gailtenders/general_url.asp?val=4&amp;inb=1</t>
        </is>
      </c>
      <c r="U2442" t="inlineStr">
        <is>
          <t>HTML</t>
        </is>
      </c>
      <c r="V2442" t="inlineStr">
        <is>
          <t>Bot tespit/zenginlestirme (2026-07-01); meta:score=35;priority=Low;source_type=html_table;closing_date=;equipment=Unclassified;reasons=award/result signal</t>
        </is>
      </c>
    </row>
    <row r="2443">
      <c r="A2443" t="inlineStr">
        <is>
          <t>T-2247</t>
        </is>
      </c>
      <c r="B2443" t="inlineStr">
        <is>
          <t>GAIL India</t>
        </is>
      </c>
      <c r="C2443" t="inlineStr">
        <is>
          <t>GAIL India</t>
        </is>
      </c>
      <c r="F2443" t="inlineStr">
        <is>
          <t>New Lead</t>
        </is>
      </c>
      <c r="G2443" t="inlineStr">
        <is>
          <t>Unclassified</t>
        </is>
      </c>
      <c r="H2443"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43" t="inlineStr">
        <is>
          <t>Not found</t>
        </is>
      </c>
      <c r="L2443" t="inlineStr">
        <is>
          <t>Unknown</t>
        </is>
      </c>
      <c r="T2443" t="inlineStr">
        <is>
          <t>https://gailtenders.in/Gailtenders/general_url.asp?val=5&amp;inb=1</t>
        </is>
      </c>
      <c r="U2443" t="inlineStr">
        <is>
          <t>HTML</t>
        </is>
      </c>
      <c r="V2443" t="inlineStr">
        <is>
          <t>Bot tespit/zenginlestirme (2026-07-01); meta:score=35;priority=Low;source_type=html_table;closing_date=;equipment=Unclassified;reasons=award/result signal</t>
        </is>
      </c>
    </row>
    <row r="2444">
      <c r="A2444" t="inlineStr">
        <is>
          <t>T-2248</t>
        </is>
      </c>
      <c r="B2444" t="inlineStr">
        <is>
          <t>GAIL India</t>
        </is>
      </c>
      <c r="C2444" t="inlineStr">
        <is>
          <t>GAIL India</t>
        </is>
      </c>
      <c r="F2444" t="inlineStr">
        <is>
          <t>New Lead</t>
        </is>
      </c>
      <c r="G2444" t="inlineStr">
        <is>
          <t>Unclassified</t>
        </is>
      </c>
      <c r="H2444"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44" t="inlineStr">
        <is>
          <t>Not found</t>
        </is>
      </c>
      <c r="L2444" t="inlineStr">
        <is>
          <t>Unknown</t>
        </is>
      </c>
      <c r="T2444" t="inlineStr">
        <is>
          <t>https://gailtenders.in/Gailtenders/general_url.asp?val=6&amp;inb=1</t>
        </is>
      </c>
      <c r="U2444" t="inlineStr">
        <is>
          <t>HTML</t>
        </is>
      </c>
      <c r="V2444" t="inlineStr">
        <is>
          <t>Bot tespit/zenginlestirme (2026-07-01); meta:score=35;priority=Low;source_type=html_table;closing_date=;equipment=Unclassified;reasons=award/result signal</t>
        </is>
      </c>
    </row>
    <row r="2445">
      <c r="A2445" t="inlineStr">
        <is>
          <t>T-2249</t>
        </is>
      </c>
      <c r="B2445" t="inlineStr">
        <is>
          <t>GAIL India</t>
        </is>
      </c>
      <c r="C2445" t="inlineStr">
        <is>
          <t>GAIL India</t>
        </is>
      </c>
      <c r="F2445" t="inlineStr">
        <is>
          <t>New Lead</t>
        </is>
      </c>
      <c r="G2445" t="inlineStr">
        <is>
          <t>Unclassified</t>
        </is>
      </c>
      <c r="H2445"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45" t="inlineStr">
        <is>
          <t>Not found</t>
        </is>
      </c>
      <c r="L2445" t="inlineStr">
        <is>
          <t>Unknown</t>
        </is>
      </c>
      <c r="T2445" t="inlineStr">
        <is>
          <t>https://gailtenders.in/Gailtenders/general_url.asp?val=7&amp;inb=1</t>
        </is>
      </c>
      <c r="U2445" t="inlineStr">
        <is>
          <t>HTML</t>
        </is>
      </c>
      <c r="V2445" t="inlineStr">
        <is>
          <t>Bot tespit/zenginlestirme (2026-07-01); meta:score=35;priority=Low;source_type=html_table;closing_date=;equipment=Unclassified;reasons=award/result signal</t>
        </is>
      </c>
    </row>
    <row r="2446">
      <c r="A2446" t="inlineStr">
        <is>
          <t>T-2250</t>
        </is>
      </c>
      <c r="B2446" t="inlineStr">
        <is>
          <t>GAIL India</t>
        </is>
      </c>
      <c r="C2446" t="inlineStr">
        <is>
          <t>GAIL India</t>
        </is>
      </c>
      <c r="F2446" t="inlineStr">
        <is>
          <t>New Lead</t>
        </is>
      </c>
      <c r="G2446" t="inlineStr">
        <is>
          <t>Unclassified</t>
        </is>
      </c>
      <c r="H2446"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46" t="inlineStr">
        <is>
          <t>Not found</t>
        </is>
      </c>
      <c r="L2446" t="inlineStr">
        <is>
          <t>Unknown</t>
        </is>
      </c>
      <c r="T2446" t="inlineStr">
        <is>
          <t>https://gailtenders.in/Gailtenders/general_url.asp?val=8&amp;inb=1</t>
        </is>
      </c>
      <c r="U2446" t="inlineStr">
        <is>
          <t>HTML</t>
        </is>
      </c>
      <c r="V2446" t="inlineStr">
        <is>
          <t>Bot tespit/zenginlestirme (2026-07-01); meta:score=35;priority=Low;source_type=html_table;closing_date=;equipment=Unclassified;reasons=award/result signal</t>
        </is>
      </c>
    </row>
    <row r="2447">
      <c r="A2447" t="inlineStr">
        <is>
          <t>T-2251</t>
        </is>
      </c>
      <c r="B2447" t="inlineStr">
        <is>
          <t>GAIL India</t>
        </is>
      </c>
      <c r="C2447" t="inlineStr">
        <is>
          <t>GAIL India</t>
        </is>
      </c>
      <c r="F2447" t="inlineStr">
        <is>
          <t>New Lead</t>
        </is>
      </c>
      <c r="G2447" t="inlineStr">
        <is>
          <t>Unclassified</t>
        </is>
      </c>
      <c r="H2447"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47" t="inlineStr">
        <is>
          <t>Not found</t>
        </is>
      </c>
      <c r="L2447" t="inlineStr">
        <is>
          <t>Unknown</t>
        </is>
      </c>
      <c r="T2447" t="inlineStr">
        <is>
          <t>https://gailtenders.in/Gailtenders/general_url.asp?val=9&amp;inb=1</t>
        </is>
      </c>
      <c r="U2447" t="inlineStr">
        <is>
          <t>HTML</t>
        </is>
      </c>
      <c r="V2447" t="inlineStr">
        <is>
          <t>Bot tespit/zenginlestirme (2026-07-01); meta:score=35;priority=Low;source_type=html_table;closing_date=;equipment=Unclassified;reasons=award/result signal</t>
        </is>
      </c>
    </row>
    <row r="2448">
      <c r="A2448" t="inlineStr">
        <is>
          <t>T-2252</t>
        </is>
      </c>
      <c r="B2448" t="inlineStr">
        <is>
          <t>GAIL India</t>
        </is>
      </c>
      <c r="C2448" t="inlineStr">
        <is>
          <t>GAIL India</t>
        </is>
      </c>
      <c r="F2448" t="inlineStr">
        <is>
          <t>New Lead</t>
        </is>
      </c>
      <c r="G2448" t="inlineStr">
        <is>
          <t>Unclassified</t>
        </is>
      </c>
      <c r="H2448"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48" t="inlineStr">
        <is>
          <t>Not found</t>
        </is>
      </c>
      <c r="L2448" t="inlineStr">
        <is>
          <t>Unknown</t>
        </is>
      </c>
      <c r="T2448" t="inlineStr">
        <is>
          <t>https://gailtenders.in/Gailtenders/general_url.asp?val=10&amp;inb=1</t>
        </is>
      </c>
      <c r="U2448" t="inlineStr">
        <is>
          <t>HTML</t>
        </is>
      </c>
      <c r="V2448" t="inlineStr">
        <is>
          <t>Bot tespit/zenginlestirme (2026-07-01); meta:score=35;priority=Low;source_type=html_table;closing_date=;equipment=Unclassified;reasons=award/result signal</t>
        </is>
      </c>
    </row>
    <row r="2449">
      <c r="A2449" t="inlineStr">
        <is>
          <t>T-2253</t>
        </is>
      </c>
      <c r="B2449" t="inlineStr">
        <is>
          <t>GAIL India</t>
        </is>
      </c>
      <c r="C2449" t="inlineStr">
        <is>
          <t>GAIL India</t>
        </is>
      </c>
      <c r="F2449" t="inlineStr">
        <is>
          <t>New Lead</t>
        </is>
      </c>
      <c r="G2449" t="inlineStr">
        <is>
          <t>Unclassified</t>
        </is>
      </c>
      <c r="H2449"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49" t="inlineStr">
        <is>
          <t>Not found</t>
        </is>
      </c>
      <c r="L2449" t="inlineStr">
        <is>
          <t>Unknown</t>
        </is>
      </c>
      <c r="T2449" t="inlineStr">
        <is>
          <t>https://gailtenders.in/Gailtenders/general_url.asp?val=12&amp;inb=1</t>
        </is>
      </c>
      <c r="U2449" t="inlineStr">
        <is>
          <t>HTML</t>
        </is>
      </c>
      <c r="V2449" t="inlineStr">
        <is>
          <t>Bot tespit/zenginlestirme (2026-07-01); meta:score=35;priority=Low;source_type=html_table;closing_date=;equipment=Unclassified;reasons=award/result signal</t>
        </is>
      </c>
    </row>
    <row r="2450">
      <c r="A2450" t="inlineStr">
        <is>
          <t>T-2254</t>
        </is>
      </c>
      <c r="B2450" t="inlineStr">
        <is>
          <t>GAIL India</t>
        </is>
      </c>
      <c r="C2450" t="inlineStr">
        <is>
          <t>GAIL India</t>
        </is>
      </c>
      <c r="F2450" t="inlineStr">
        <is>
          <t>New Lead</t>
        </is>
      </c>
      <c r="G2450" t="inlineStr">
        <is>
          <t>Unclassified</t>
        </is>
      </c>
      <c r="H2450"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50" t="inlineStr">
        <is>
          <t>Not found</t>
        </is>
      </c>
      <c r="L2450" t="inlineStr">
        <is>
          <t>Unknown</t>
        </is>
      </c>
      <c r="T2450" t="inlineStr">
        <is>
          <t>https://gailtenders.in/Gailtenders/general_url.asp?val=11&amp;inb=1</t>
        </is>
      </c>
      <c r="U2450" t="inlineStr">
        <is>
          <t>HTML</t>
        </is>
      </c>
      <c r="V2450" t="inlineStr">
        <is>
          <t>Bot tespit/zenginlestirme (2026-07-01); meta:score=35;priority=Low;source_type=html_table;closing_date=;equipment=Unclassified;reasons=award/result signal</t>
        </is>
      </c>
    </row>
    <row r="2451">
      <c r="A2451" t="inlineStr">
        <is>
          <t>T-2255</t>
        </is>
      </c>
      <c r="B2451" t="inlineStr">
        <is>
          <t>GAIL India</t>
        </is>
      </c>
      <c r="C2451" t="inlineStr">
        <is>
          <t>GAIL India</t>
        </is>
      </c>
      <c r="F2451" t="inlineStr">
        <is>
          <t>New Lead</t>
        </is>
      </c>
      <c r="G2451" t="inlineStr">
        <is>
          <t>Unclassified</t>
        </is>
      </c>
      <c r="H2451"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51" t="inlineStr">
        <is>
          <t>Not found</t>
        </is>
      </c>
      <c r="L2451" t="inlineStr">
        <is>
          <t>Unknown</t>
        </is>
      </c>
      <c r="T2451" t="inlineStr">
        <is>
          <t>https://gailtenders.in/Gailtenders/location_wise_report.asp</t>
        </is>
      </c>
      <c r="U2451" t="inlineStr">
        <is>
          <t>HTML</t>
        </is>
      </c>
      <c r="V2451" t="inlineStr">
        <is>
          <t>Bot tespit/zenginlestirme (2026-07-01); meta:score=35;priority=Low;source_type=html_table;closing_date=;equipment=Unclassified;reasons=award/result signal</t>
        </is>
      </c>
    </row>
    <row r="2452">
      <c r="A2452" t="inlineStr">
        <is>
          <t>T-2256</t>
        </is>
      </c>
      <c r="B2452" t="inlineStr">
        <is>
          <t>GAIL India</t>
        </is>
      </c>
      <c r="C2452" t="inlineStr">
        <is>
          <t>GAIL India</t>
        </is>
      </c>
      <c r="F2452" t="inlineStr">
        <is>
          <t>New Lead</t>
        </is>
      </c>
      <c r="G2452" t="inlineStr">
        <is>
          <t>Unclassified</t>
        </is>
      </c>
      <c r="H2452"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52" t="inlineStr">
        <is>
          <t>Not found</t>
        </is>
      </c>
      <c r="L2452" t="inlineStr">
        <is>
          <t>Unknown</t>
        </is>
      </c>
      <c r="T2452" t="inlineStr">
        <is>
          <t>https://gailtenders.in/Gailtenders/category_wise_report.asp</t>
        </is>
      </c>
      <c r="U2452" t="inlineStr">
        <is>
          <t>HTML</t>
        </is>
      </c>
      <c r="V2452" t="inlineStr">
        <is>
          <t>Bot tespit/zenginlestirme (2026-07-01); meta:score=35;priority=Low;source_type=html_table;closing_date=;equipment=Unclassified;reasons=award/result signal</t>
        </is>
      </c>
    </row>
    <row r="2453">
      <c r="A2453" t="inlineStr">
        <is>
          <t>T-2257</t>
        </is>
      </c>
      <c r="B2453" t="inlineStr">
        <is>
          <t>GAIL India</t>
        </is>
      </c>
      <c r="C2453" t="inlineStr">
        <is>
          <t>GAIL India</t>
        </is>
      </c>
      <c r="F2453" t="inlineStr">
        <is>
          <t>New Lead</t>
        </is>
      </c>
      <c r="G2453" t="inlineStr">
        <is>
          <t>Unclassified</t>
        </is>
      </c>
      <c r="H2453"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53" t="inlineStr">
        <is>
          <t>Not found</t>
        </is>
      </c>
      <c r="L2453" t="inlineStr">
        <is>
          <t>Unknown</t>
        </is>
      </c>
      <c r="T2453" t="inlineStr">
        <is>
          <t>https://gailtenders.in/Gailtenders/general_url.asp?val=4&amp;inb=2</t>
        </is>
      </c>
      <c r="U2453" t="inlineStr">
        <is>
          <t>HTML</t>
        </is>
      </c>
      <c r="V2453" t="inlineStr">
        <is>
          <t>Bot tespit/zenginlestirme (2026-07-01); meta:score=35;priority=Low;source_type=html_table;closing_date=;equipment=Unclassified;reasons=award/result signal</t>
        </is>
      </c>
    </row>
    <row r="2454">
      <c r="A2454" t="inlineStr">
        <is>
          <t>T-2258</t>
        </is>
      </c>
      <c r="B2454" t="inlineStr">
        <is>
          <t>GAIL India</t>
        </is>
      </c>
      <c r="C2454" t="inlineStr">
        <is>
          <t>GAIL India</t>
        </is>
      </c>
      <c r="F2454" t="inlineStr">
        <is>
          <t>Awarded / Result</t>
        </is>
      </c>
      <c r="G2454" t="inlineStr">
        <is>
          <t>Unclassified</t>
        </is>
      </c>
      <c r="H2454" t="inlineStr">
        <is>
          <t>ACTIVE TENDERS Today Next Week Next Fornight All Active Tenders TENDERS SEARCH Classification Purchase Empanelment Auction Work Contract Service Contract Sell / Dispose Consultancy Expression of Interest By Location By Category CORRIGENDUM TENDER AWARDED Wednesday, July 1, 2026 E-Tenders</t>
        </is>
      </c>
      <c r="K2454" t="inlineStr">
        <is>
          <t>Not found</t>
        </is>
      </c>
      <c r="L2454" t="inlineStr">
        <is>
          <t>Unknown</t>
        </is>
      </c>
      <c r="T2454" t="inlineStr">
        <is>
          <t>https://gailtenders.in/Gailtenders/admin/AOC_param.asp</t>
        </is>
      </c>
      <c r="U2454" t="inlineStr">
        <is>
          <t>HTML</t>
        </is>
      </c>
      <c r="V2454" t="inlineStr">
        <is>
          <t>Bot tespit/zenginlestirme (2026-07-01); meta:score=35;priority=Low;source_type=html_table;closing_date=;equipment=Unclassified;reasons=award/result signal</t>
        </is>
      </c>
    </row>
    <row r="2455">
      <c r="A2455" t="inlineStr">
        <is>
          <t>T-2259</t>
        </is>
      </c>
      <c r="B2455" t="inlineStr">
        <is>
          <t>GAIL India</t>
        </is>
      </c>
      <c r="C2455" t="inlineStr">
        <is>
          <t>GAIL India</t>
        </is>
      </c>
      <c r="F2455" t="inlineStr">
        <is>
          <t>New Lead</t>
        </is>
      </c>
      <c r="G2455" t="inlineStr">
        <is>
          <t>Unclassified</t>
        </is>
      </c>
      <c r="H2455" t="inlineStr">
        <is>
          <t>Wednesday, July 1, 2026 E-Tenders</t>
        </is>
      </c>
      <c r="K2455" t="inlineStr">
        <is>
          <t>Not found</t>
        </is>
      </c>
      <c r="L2455" t="inlineStr">
        <is>
          <t>Unknown</t>
        </is>
      </c>
      <c r="T2455" t="inlineStr">
        <is>
          <t>https://gailtenders.in/Gailtenders/Home.asp</t>
        </is>
      </c>
      <c r="U2455" t="inlineStr">
        <is>
          <t>HTML</t>
        </is>
      </c>
      <c r="V2455" t="inlineStr">
        <is>
          <t>Bot tespit/zenginlestirme (2026-07-01); meta:score=;priority=Low;source_type=html_table;closing_date=;equipment=Unclassified;reasons=</t>
        </is>
      </c>
    </row>
    <row r="2456">
      <c r="A2456" t="inlineStr">
        <is>
          <t>T-2260</t>
        </is>
      </c>
      <c r="B2456" t="inlineStr">
        <is>
          <t>GAIL India</t>
        </is>
      </c>
      <c r="C2456" t="inlineStr">
        <is>
          <t>GAIL India</t>
        </is>
      </c>
      <c r="F2456" t="inlineStr">
        <is>
          <t>New Lead</t>
        </is>
      </c>
      <c r="G2456" t="inlineStr">
        <is>
          <t>Unclassified</t>
        </is>
      </c>
      <c r="H2456" t="inlineStr">
        <is>
          <t>Wednesday, July 1, 2026 E-Tenders</t>
        </is>
      </c>
      <c r="K2456" t="inlineStr">
        <is>
          <t>Not found</t>
        </is>
      </c>
      <c r="L2456" t="inlineStr">
        <is>
          <t>Unknown</t>
        </is>
      </c>
      <c r="T2456" t="inlineStr">
        <is>
          <t>https://gailtenders.in/Gailtenders/tenderarchives_old.asp</t>
        </is>
      </c>
      <c r="U2456" t="inlineStr">
        <is>
          <t>HTML</t>
        </is>
      </c>
      <c r="V2456" t="inlineStr">
        <is>
          <t>Bot tespit/zenginlestirme (2026-07-01); meta:score=;priority=Low;source_type=html_table;closing_date=;equipment=Unclassified;reasons=</t>
        </is>
      </c>
    </row>
    <row r="2457">
      <c r="A2457" t="inlineStr">
        <is>
          <t>T-2261</t>
        </is>
      </c>
      <c r="B2457" t="inlineStr">
        <is>
          <t>GAIL India</t>
        </is>
      </c>
      <c r="C2457" t="inlineStr">
        <is>
          <t>GAIL India</t>
        </is>
      </c>
      <c r="F2457" t="inlineStr">
        <is>
          <t>New Lead</t>
        </is>
      </c>
      <c r="G2457" t="inlineStr">
        <is>
          <t>Unclassified</t>
        </is>
      </c>
      <c r="H2457" t="inlineStr">
        <is>
          <t>DETAILS OF PRE-TENDER CONFERENCE Authentication of BEC Documents ADDENDUM TO INSTRUCTIONS TO BIDDERS (INSTRUCTIONS FOR PARTICIPATION IN E-TENDER)</t>
        </is>
      </c>
      <c r="K2457" t="inlineStr">
        <is>
          <t>Not found</t>
        </is>
      </c>
      <c r="L2457" t="inlineStr">
        <is>
          <t>Unknown</t>
        </is>
      </c>
      <c r="T2457" t="inlineStr">
        <is>
          <t>https://gailtenders.in/Gailtenders/new2.asp</t>
        </is>
      </c>
      <c r="U2457" t="inlineStr">
        <is>
          <t>HTML</t>
        </is>
      </c>
      <c r="V2457" t="inlineStr">
        <is>
          <t>Bot tespit/zenginlestirme (2026-07-01); meta:score=;priority=Low;source_type=html_table;closing_date=;equipment=Unclassified;reasons=</t>
        </is>
      </c>
    </row>
    <row r="2458">
      <c r="A2458" t="inlineStr">
        <is>
          <t>T-2262</t>
        </is>
      </c>
      <c r="B2458" t="inlineStr">
        <is>
          <t>GAIL India</t>
        </is>
      </c>
      <c r="C2458" t="inlineStr">
        <is>
          <t>GAIL India</t>
        </is>
      </c>
      <c r="F2458" t="inlineStr">
        <is>
          <t>New Lead</t>
        </is>
      </c>
      <c r="G2458" t="inlineStr">
        <is>
          <t>Unclassified</t>
        </is>
      </c>
      <c r="H2458" t="inlineStr">
        <is>
          <t>General Conditions of Contracts (GCCs) | Corporate Website | Corporate Intranet | Corporate Email | Archived PTC</t>
        </is>
      </c>
      <c r="K2458" t="inlineStr">
        <is>
          <t>Not found</t>
        </is>
      </c>
      <c r="L2458" t="inlineStr">
        <is>
          <t>Unknown</t>
        </is>
      </c>
      <c r="T2458" t="inlineStr">
        <is>
          <t>https://gailtenders.in/Gailtenders/gccs.asp</t>
        </is>
      </c>
      <c r="U2458" t="inlineStr">
        <is>
          <t>HTML</t>
        </is>
      </c>
      <c r="V2458" t="inlineStr">
        <is>
          <t>Bot tespit/zenginlestirme (2026-07-01); meta:score=;priority=Low;source_type=html_table;closing_date=;equipment=Unclassified;reasons=</t>
        </is>
      </c>
    </row>
    <row r="2459">
      <c r="A2459" t="inlineStr">
        <is>
          <t>T-2263</t>
        </is>
      </c>
      <c r="B2459" t="inlineStr">
        <is>
          <t>GAIL India</t>
        </is>
      </c>
      <c r="C2459" t="inlineStr">
        <is>
          <t>GAIL India</t>
        </is>
      </c>
      <c r="F2459" t="inlineStr">
        <is>
          <t>New Lead</t>
        </is>
      </c>
      <c r="G2459" t="inlineStr">
        <is>
          <t>Unclassified</t>
        </is>
      </c>
      <c r="H2459" t="inlineStr">
        <is>
          <t>General Conditions of Contracts (GCCs) | Corporate Website | Corporate Intranet | Corporate Email | Archived PTC</t>
        </is>
      </c>
      <c r="K2459" t="inlineStr">
        <is>
          <t>Not found</t>
        </is>
      </c>
      <c r="L2459" t="inlineStr">
        <is>
          <t>Unknown</t>
        </is>
      </c>
      <c r="T2459" t="inlineStr">
        <is>
          <t>http://www.gailonline.com</t>
        </is>
      </c>
      <c r="U2459" t="inlineStr">
        <is>
          <t>HTML</t>
        </is>
      </c>
      <c r="V2459" t="inlineStr">
        <is>
          <t>Bot tespit/zenginlestirme (2026-07-01); meta:score=;priority=Low;source_type=html_table;closing_date=;equipment=Unclassified;reasons=</t>
        </is>
      </c>
    </row>
    <row r="2460">
      <c r="A2460" t="inlineStr">
        <is>
          <t>T-2264</t>
        </is>
      </c>
      <c r="B2460" t="inlineStr">
        <is>
          <t>GAIL India</t>
        </is>
      </c>
      <c r="C2460" t="inlineStr">
        <is>
          <t>GAIL India</t>
        </is>
      </c>
      <c r="F2460" t="inlineStr">
        <is>
          <t>New Lead</t>
        </is>
      </c>
      <c r="G2460" t="inlineStr">
        <is>
          <t>Unclassified</t>
        </is>
      </c>
      <c r="H2460" t="inlineStr">
        <is>
          <t>General Conditions of Contracts (GCCs) | Corporate Website | Corporate Intranet | Corporate Email | Archived PTC</t>
        </is>
      </c>
      <c r="K2460" t="inlineStr">
        <is>
          <t>Not found</t>
        </is>
      </c>
      <c r="L2460" t="inlineStr">
        <is>
          <t>Unknown</t>
        </is>
      </c>
      <c r="T2460" t="inlineStr">
        <is>
          <t>https://mygail.gail.co.in</t>
        </is>
      </c>
      <c r="U2460" t="inlineStr">
        <is>
          <t>HTML</t>
        </is>
      </c>
      <c r="V2460" t="inlineStr">
        <is>
          <t>Bot tespit/zenginlestirme (2026-07-01); meta:score=;priority=Low;source_type=html_table;closing_date=;equipment=Unclassified;reasons=</t>
        </is>
      </c>
    </row>
    <row r="2461">
      <c r="A2461" t="inlineStr">
        <is>
          <t>T-2265</t>
        </is>
      </c>
      <c r="B2461" t="inlineStr">
        <is>
          <t>GAIL India</t>
        </is>
      </c>
      <c r="C2461" t="inlineStr">
        <is>
          <t>GAIL India</t>
        </is>
      </c>
      <c r="F2461" t="inlineStr">
        <is>
          <t>New Lead</t>
        </is>
      </c>
      <c r="G2461" t="inlineStr">
        <is>
          <t>Unclassified</t>
        </is>
      </c>
      <c r="H2461" t="inlineStr">
        <is>
          <t>General Conditions of Contracts (GCCs) | Corporate Website | Corporate Intranet | Corporate Email | Archived PTC</t>
        </is>
      </c>
      <c r="K2461" t="inlineStr">
        <is>
          <t>Not found</t>
        </is>
      </c>
      <c r="L2461" t="inlineStr">
        <is>
          <t>Unknown</t>
        </is>
      </c>
      <c r="T2461" t="inlineStr">
        <is>
          <t>https://mail.gail.co.in/</t>
        </is>
      </c>
      <c r="U2461" t="inlineStr">
        <is>
          <t>HTML</t>
        </is>
      </c>
      <c r="V2461" t="inlineStr">
        <is>
          <t>Bot tespit/zenginlestirme (2026-07-01); meta:score=;priority=Low;source_type=html_table;closing_date=;equipment=Unclassified;reasons=</t>
        </is>
      </c>
    </row>
    <row r="2462">
      <c r="A2462" t="inlineStr">
        <is>
          <t>T-2266</t>
        </is>
      </c>
      <c r="B2462" t="inlineStr">
        <is>
          <t>GAIL India</t>
        </is>
      </c>
      <c r="C2462" t="inlineStr">
        <is>
          <t>GAIL India</t>
        </is>
      </c>
      <c r="F2462" t="inlineStr">
        <is>
          <t>New Lead</t>
        </is>
      </c>
      <c r="G2462" t="inlineStr">
        <is>
          <t>Unclassified</t>
        </is>
      </c>
      <c r="H2462" t="inlineStr">
        <is>
          <t>General Conditions of Contracts (GCCs) | Corporate Website | Corporate Intranet | Corporate Email | Archived PTC</t>
        </is>
      </c>
      <c r="K2462" t="inlineStr">
        <is>
          <t>Not found</t>
        </is>
      </c>
      <c r="L2462" t="inlineStr">
        <is>
          <t>Unknown</t>
        </is>
      </c>
      <c r="T2462" t="inlineStr">
        <is>
          <t>https://gailtenders.in/Gailtenders/ptc_arch.asp</t>
        </is>
      </c>
      <c r="U2462" t="inlineStr">
        <is>
          <t>HTML</t>
        </is>
      </c>
      <c r="V2462" t="inlineStr">
        <is>
          <t>Bot tespit/zenginlestirme (2026-07-01); meta:score=;priority=Low;source_type=html_table;closing_date=;equipment=Unclassified;reasons=</t>
        </is>
      </c>
    </row>
    <row r="2463">
      <c r="A2463" t="inlineStr">
        <is>
          <t>T-2267</t>
        </is>
      </c>
      <c r="B2463" t="inlineStr">
        <is>
          <t>GAIL India</t>
        </is>
      </c>
      <c r="C2463" t="inlineStr">
        <is>
          <t>GAIL India</t>
        </is>
      </c>
      <c r="F2463" t="inlineStr">
        <is>
          <t>New Lead</t>
        </is>
      </c>
      <c r="G2463" t="inlineStr">
        <is>
          <t>Unclassified</t>
        </is>
      </c>
      <c r="H2463" t="inlineStr">
        <is>
          <t>Reverse Auction Training Videos Vendor Invoice Management System</t>
        </is>
      </c>
      <c r="K2463" t="inlineStr">
        <is>
          <t>Not found</t>
        </is>
      </c>
      <c r="L2463" t="inlineStr">
        <is>
          <t>Unknown</t>
        </is>
      </c>
      <c r="T2463" t="inlineStr">
        <is>
          <t>https://gailtenders.in/Gailtenders/video_training.asp</t>
        </is>
      </c>
      <c r="U2463" t="inlineStr">
        <is>
          <t>HTML</t>
        </is>
      </c>
      <c r="V2463" t="inlineStr">
        <is>
          <t>Bot tespit/zenginlestirme (2026-07-01); meta:score=;priority=Low;source_type=html_table;closing_date=;equipment=Unclassified;reasons=</t>
        </is>
      </c>
    </row>
    <row r="2464">
      <c r="A2464" t="inlineStr">
        <is>
          <t>T-2268</t>
        </is>
      </c>
      <c r="B2464" t="inlineStr">
        <is>
          <t>Bharat Petroleum (BPCL CGD)</t>
        </is>
      </c>
      <c r="C2464" t="inlineStr">
        <is>
          <t>Bharat Petroleum (BPCL CGD)</t>
        </is>
      </c>
      <c r="F2464" t="inlineStr">
        <is>
          <t>New Lead</t>
        </is>
      </c>
      <c r="G2464" t="inlineStr">
        <is>
          <t>Unclassified</t>
        </is>
      </c>
      <c r="H2464" t="inlineStr">
        <is>
          <t>Tenders View Tenders View Tenders Awarded GeM Tenders View Project Completion Details</t>
        </is>
      </c>
      <c r="K2464" t="inlineStr">
        <is>
          <t>Not found</t>
        </is>
      </c>
      <c r="L2464" t="inlineStr">
        <is>
          <t>Unknown</t>
        </is>
      </c>
      <c r="T2464" t="inlineStr">
        <is>
          <t>https://www.bharatpetroleum.in/tenders/tenders.aspx</t>
        </is>
      </c>
      <c r="U2464" t="inlineStr">
        <is>
          <t>HTML</t>
        </is>
      </c>
      <c r="V2464" t="inlineStr">
        <is>
          <t>Bot tespit/zenginlestirme (2026-07-01); meta:score=35;priority=Low;source_type=html_table;closing_date=;equipment=Unclassified;reasons=award/result signal</t>
        </is>
      </c>
    </row>
    <row r="2465">
      <c r="A2465" t="inlineStr">
        <is>
          <t>T-2269</t>
        </is>
      </c>
      <c r="B2465" t="inlineStr">
        <is>
          <t>Bharat Petroleum (BPCL CGD)</t>
        </is>
      </c>
      <c r="C2465" t="inlineStr">
        <is>
          <t>Bharat Petroleum (BPCL CGD)</t>
        </is>
      </c>
      <c r="F2465" t="inlineStr">
        <is>
          <t>Awarded / Result</t>
        </is>
      </c>
      <c r="G2465" t="inlineStr">
        <is>
          <t>Unclassified</t>
        </is>
      </c>
      <c r="H2465" t="inlineStr">
        <is>
          <t>View Tenders Awarded</t>
        </is>
      </c>
      <c r="K2465" t="inlineStr">
        <is>
          <t>Not found</t>
        </is>
      </c>
      <c r="L2465" t="inlineStr">
        <is>
          <t>Unknown</t>
        </is>
      </c>
      <c r="T2465" t="inlineStr">
        <is>
          <t>https://www.bharatpetroleum.in/tenders/view-tenders-awarded.aspx</t>
        </is>
      </c>
      <c r="U2465" t="inlineStr">
        <is>
          <t>HTML</t>
        </is>
      </c>
      <c r="V2465" t="inlineStr">
        <is>
          <t>Bot tespit/zenginlestirme (2026-07-01); meta:score=35;priority=Low;source_type=html_link;closing_date=;equipment=Unclassified;reasons=award/result signal</t>
        </is>
      </c>
    </row>
    <row r="2466">
      <c r="A2466" t="inlineStr">
        <is>
          <t>T-2270</t>
        </is>
      </c>
      <c r="B2466" t="inlineStr">
        <is>
          <t>Bharat Petroleum (BPCL CGD)</t>
        </is>
      </c>
      <c r="C2466" t="inlineStr">
        <is>
          <t>Bharat Petroleum (BPCL CGD)</t>
        </is>
      </c>
      <c r="F2466" t="inlineStr">
        <is>
          <t>New Lead</t>
        </is>
      </c>
      <c r="G2466" t="inlineStr">
        <is>
          <t>Gas-related / review</t>
        </is>
      </c>
      <c r="H2466" t="inlineStr">
        <is>
          <t>MoPNG eSEVA</t>
        </is>
      </c>
      <c r="K2466" t="inlineStr">
        <is>
          <t>Not found</t>
        </is>
      </c>
      <c r="L2466" t="inlineStr">
        <is>
          <t>Unknown</t>
        </is>
      </c>
      <c r="T2466" t="inlineStr">
        <is>
          <t>https://bharatpetroleum.in/mopng-eseva.aspx</t>
        </is>
      </c>
      <c r="U2466" t="inlineStr">
        <is>
          <t>HTML</t>
        </is>
      </c>
      <c r="V2466" t="inlineStr">
        <is>
          <t>Bot tespit/zenginlestirme (2026-07-01); meta:score=15;priority=Low;source_type=html_link;closing_date=;equipment=Gas-related / review;reasons=equipment:Gas-related / review</t>
        </is>
      </c>
    </row>
    <row r="2467">
      <c r="A2467" t="inlineStr">
        <is>
          <t>T-2271</t>
        </is>
      </c>
      <c r="B2467" t="inlineStr">
        <is>
          <t>Bharat Petroleum (BPCL CGD)</t>
        </is>
      </c>
      <c r="C2467" t="inlineStr">
        <is>
          <t>Bharat Petroleum (BPCL CGD)</t>
        </is>
      </c>
      <c r="F2467" t="inlineStr">
        <is>
          <t>New Lead</t>
        </is>
      </c>
      <c r="G2467" t="inlineStr">
        <is>
          <t>Gas-related / review</t>
        </is>
      </c>
      <c r="H2467" t="inlineStr">
        <is>
          <t>Bharatgas Our Journey Domestic Commercial Bharat Metal Cutting Gas Bharatgas Mini My Bharatgas Become A Distributor</t>
        </is>
      </c>
      <c r="K2467" t="inlineStr">
        <is>
          <t>Not found</t>
        </is>
      </c>
      <c r="L2467" t="inlineStr">
        <is>
          <t>Unknown</t>
        </is>
      </c>
      <c r="T2467" t="inlineStr">
        <is>
          <t>https://www.bharatpetroleum.in/Bharat-Petroleum-For/Our-Businesses/Bharatgas.aspx</t>
        </is>
      </c>
      <c r="U2467" t="inlineStr">
        <is>
          <t>HTML</t>
        </is>
      </c>
      <c r="V2467" t="inlineStr">
        <is>
          <t>Bot tespit/zenginlestirme (2026-07-01); meta:score=15;priority=Low;source_type=html_table;closing_date=;equipment=Gas-related / review;reasons=equipment:Gas-related / review</t>
        </is>
      </c>
    </row>
    <row r="2468">
      <c r="A2468" t="inlineStr">
        <is>
          <t>T-2272</t>
        </is>
      </c>
      <c r="B2468" t="inlineStr">
        <is>
          <t>Bharat Petroleum (BPCL CGD)</t>
        </is>
      </c>
      <c r="C2468" t="inlineStr">
        <is>
          <t>Bharat Petroleum (BPCL CGD)</t>
        </is>
      </c>
      <c r="F2468" t="inlineStr">
        <is>
          <t>New Lead</t>
        </is>
      </c>
      <c r="G2468" t="inlineStr">
        <is>
          <t>Gas-related / review</t>
        </is>
      </c>
      <c r="H2468" t="inlineStr">
        <is>
          <t>Bharat Metal Cutting Gas</t>
        </is>
      </c>
      <c r="K2468" t="inlineStr">
        <is>
          <t>Not found</t>
        </is>
      </c>
      <c r="L2468" t="inlineStr">
        <is>
          <t>Unknown</t>
        </is>
      </c>
      <c r="T2468" t="inlineStr">
        <is>
          <t>https://www.bharatpetroleum.in/Bharat-Petroleum-For/Our-Businesses/Bharatgas/Bharat-Metal-Cutting-Gas.aspx</t>
        </is>
      </c>
      <c r="U2468" t="inlineStr">
        <is>
          <t>HTML</t>
        </is>
      </c>
      <c r="V2468" t="inlineStr">
        <is>
          <t>Bot tespit/zenginlestirme (2026-07-01); meta:score=15;priority=Low;source_type=html_link;closing_date=;equipment=Gas-related / review;reasons=equipment:Gas-related / review</t>
        </is>
      </c>
    </row>
    <row r="2469">
      <c r="A2469" t="inlineStr">
        <is>
          <t>T-2273</t>
        </is>
      </c>
      <c r="B2469" t="inlineStr">
        <is>
          <t>Bharat Petroleum (BPCL CGD)</t>
        </is>
      </c>
      <c r="C2469" t="inlineStr">
        <is>
          <t>Bharat Petroleum (BPCL CGD)</t>
        </is>
      </c>
      <c r="F2469" t="inlineStr">
        <is>
          <t>New Lead</t>
        </is>
      </c>
      <c r="G2469" t="inlineStr">
        <is>
          <t>Gas-related / review</t>
        </is>
      </c>
      <c r="H2469" t="inlineStr">
        <is>
          <t>Gas Natural Gas Liquefied Natural Gas Compressed Natural Gas BPCLs Gas Portfolio City Gas Distribution Natural Gas for your Industry Joint Ventures Gas at BPCL Empanelment of LNG supplier Notices and Advisory from PNGRB ​Help Document for Domestic Piped Natural Gas</t>
        </is>
      </c>
      <c r="K2469" t="inlineStr">
        <is>
          <t>Not found</t>
        </is>
      </c>
      <c r="L2469" t="inlineStr">
        <is>
          <t>Unknown</t>
        </is>
      </c>
      <c r="T2469" t="inlineStr">
        <is>
          <t>https://www.bharatpetroleum.in/Bharat-Petroleum-For/Our-Businesses/Gas.aspx</t>
        </is>
      </c>
      <c r="U2469" t="inlineStr">
        <is>
          <t>HTML</t>
        </is>
      </c>
      <c r="V2469" t="inlineStr">
        <is>
          <t>Bot tespit/zenginlestirme (2026-07-01); meta:score=15;priority=Low;source_type=html_table;closing_date=;equipment=Gas-related / review;reasons=equipment:Gas-related / review</t>
        </is>
      </c>
    </row>
    <row r="2470">
      <c r="A2470" t="inlineStr">
        <is>
          <t>T-2274</t>
        </is>
      </c>
      <c r="B2470" t="inlineStr">
        <is>
          <t>Bharat Petroleum (BPCL CGD)</t>
        </is>
      </c>
      <c r="C2470" t="inlineStr">
        <is>
          <t>Bharat Petroleum (BPCL CGD)</t>
        </is>
      </c>
      <c r="F2470" t="inlineStr">
        <is>
          <t>New Lead</t>
        </is>
      </c>
      <c r="G2470" t="inlineStr">
        <is>
          <t>Gas-related / review</t>
        </is>
      </c>
      <c r="H2470" t="inlineStr">
        <is>
          <t>Natural Gas</t>
        </is>
      </c>
      <c r="K2470" t="inlineStr">
        <is>
          <t>Not found</t>
        </is>
      </c>
      <c r="L2470" t="inlineStr">
        <is>
          <t>Unknown</t>
        </is>
      </c>
      <c r="T2470" t="inlineStr">
        <is>
          <t>https://www.bharatpetroleum.in/Bharat-Petroleum-For/Our-Businesses/Gas/Natural-Gas.aspx</t>
        </is>
      </c>
      <c r="U2470" t="inlineStr">
        <is>
          <t>HTML</t>
        </is>
      </c>
      <c r="V2470" t="inlineStr">
        <is>
          <t>Bot tespit/zenginlestirme (2026-07-01); meta:score=15;priority=Low;source_type=html_link;closing_date=;equipment=Gas-related / review;reasons=equipment:Gas-related / review</t>
        </is>
      </c>
    </row>
    <row r="2471">
      <c r="A2471" t="inlineStr">
        <is>
          <t>T-2275</t>
        </is>
      </c>
      <c r="B2471" t="inlineStr">
        <is>
          <t>Bharat Petroleum (BPCL CGD)</t>
        </is>
      </c>
      <c r="C2471" t="inlineStr">
        <is>
          <t>Bharat Petroleum (BPCL CGD)</t>
        </is>
      </c>
      <c r="F2471" t="inlineStr">
        <is>
          <t>New Lead</t>
        </is>
      </c>
      <c r="G2471" t="inlineStr">
        <is>
          <t>Gas-related / review</t>
        </is>
      </c>
      <c r="H2471" t="inlineStr">
        <is>
          <t>Liquefied Natural Gas</t>
        </is>
      </c>
      <c r="K2471" t="inlineStr">
        <is>
          <t>Not found</t>
        </is>
      </c>
      <c r="L2471" t="inlineStr">
        <is>
          <t>Unknown</t>
        </is>
      </c>
      <c r="T2471" t="inlineStr">
        <is>
          <t>https://www.bharatpetroleum.in/Bharat-Petroleum-For/Our-Businesses/Gas/Liquefied-Natural-Gas.aspx</t>
        </is>
      </c>
      <c r="U2471" t="inlineStr">
        <is>
          <t>HTML</t>
        </is>
      </c>
      <c r="V2471" t="inlineStr">
        <is>
          <t>Bot tespit/zenginlestirme (2026-07-01); meta:score=15;priority=Low;source_type=html_link;closing_date=;equipment=Gas-related / review;reasons=equipment:Gas-related / review</t>
        </is>
      </c>
    </row>
    <row r="2472">
      <c r="A2472" t="inlineStr">
        <is>
          <t>T-2276</t>
        </is>
      </c>
      <c r="B2472" t="inlineStr">
        <is>
          <t>Bharat Petroleum (BPCL CGD)</t>
        </is>
      </c>
      <c r="C2472" t="inlineStr">
        <is>
          <t>Bharat Petroleum (BPCL CGD)</t>
        </is>
      </c>
      <c r="F2472" t="inlineStr">
        <is>
          <t>New Lead</t>
        </is>
      </c>
      <c r="G2472" t="inlineStr">
        <is>
          <t>Gas-related / review</t>
        </is>
      </c>
      <c r="H2472" t="inlineStr">
        <is>
          <t>Compressed Natural Gas</t>
        </is>
      </c>
      <c r="K2472" t="inlineStr">
        <is>
          <t>Not found</t>
        </is>
      </c>
      <c r="L2472" t="inlineStr">
        <is>
          <t>Unknown</t>
        </is>
      </c>
      <c r="T2472" t="inlineStr">
        <is>
          <t>https://www.bharatpetroleum.in/Bharat-Petroleum-For/Our-Businesses/Gas/Compressed-Natural-Gas.aspx</t>
        </is>
      </c>
      <c r="U2472" t="inlineStr">
        <is>
          <t>HTML</t>
        </is>
      </c>
      <c r="V2472" t="inlineStr">
        <is>
          <t>Bot tespit/zenginlestirme (2026-07-01); meta:score=15;priority=Low;source_type=html_link;closing_date=;equipment=Gas-related / review;reasons=equipment:Gas-related / review</t>
        </is>
      </c>
    </row>
    <row r="2473">
      <c r="A2473" t="inlineStr">
        <is>
          <t>T-2277</t>
        </is>
      </c>
      <c r="B2473" t="inlineStr">
        <is>
          <t>Bharat Petroleum (BPCL CGD)</t>
        </is>
      </c>
      <c r="C2473" t="inlineStr">
        <is>
          <t>Bharat Petroleum (BPCL CGD)</t>
        </is>
      </c>
      <c r="F2473" t="inlineStr">
        <is>
          <t>New Lead</t>
        </is>
      </c>
      <c r="G2473" t="inlineStr">
        <is>
          <t>Gas-related / review</t>
        </is>
      </c>
      <c r="H2473" t="inlineStr">
        <is>
          <t>BPCLs Gas Portfolio</t>
        </is>
      </c>
      <c r="K2473" t="inlineStr">
        <is>
          <t>Not found</t>
        </is>
      </c>
      <c r="L2473" t="inlineStr">
        <is>
          <t>Unknown</t>
        </is>
      </c>
      <c r="T2473" t="inlineStr">
        <is>
          <t>https://www.bharatpetroleum.in/Our-Businesses/Gas/BPCLs-Gas-Portfolio.aspx</t>
        </is>
      </c>
      <c r="U2473" t="inlineStr">
        <is>
          <t>HTML</t>
        </is>
      </c>
      <c r="V2473" t="inlineStr">
        <is>
          <t>Bot tespit/zenginlestirme (2026-07-01); meta:score=15;priority=Low;source_type=html_link;closing_date=;equipment=Gas-related / review;reasons=equipment:Gas-related / review</t>
        </is>
      </c>
    </row>
    <row r="2474">
      <c r="A2474" t="inlineStr">
        <is>
          <t>T-2278</t>
        </is>
      </c>
      <c r="B2474" t="inlineStr">
        <is>
          <t>Bharat Petroleum (BPCL CGD)</t>
        </is>
      </c>
      <c r="C2474" t="inlineStr">
        <is>
          <t>Bharat Petroleum (BPCL CGD)</t>
        </is>
      </c>
      <c r="F2474" t="inlineStr">
        <is>
          <t>New Lead</t>
        </is>
      </c>
      <c r="G2474" t="inlineStr">
        <is>
          <t>Gas-related / review</t>
        </is>
      </c>
      <c r="H2474" t="inlineStr">
        <is>
          <t>City Gas Distribution</t>
        </is>
      </c>
      <c r="K2474" t="inlineStr">
        <is>
          <t>Not found</t>
        </is>
      </c>
      <c r="L2474" t="inlineStr">
        <is>
          <t>Unknown</t>
        </is>
      </c>
      <c r="T2474" t="inlineStr">
        <is>
          <t>https://www.bharatpetroleum.in/Bharat-Petroleum-For/Our-Businesses/Gas/City-Gas-Distribution.aspx</t>
        </is>
      </c>
      <c r="U2474" t="inlineStr">
        <is>
          <t>HTML</t>
        </is>
      </c>
      <c r="V2474" t="inlineStr">
        <is>
          <t>Bot tespit/zenginlestirme (2026-07-01); meta:score=15;priority=Low;source_type=html_link;closing_date=;equipment=Gas-related / review;reasons=equipment:Gas-related / review</t>
        </is>
      </c>
    </row>
    <row r="2475">
      <c r="A2475" t="inlineStr">
        <is>
          <t>T-2279</t>
        </is>
      </c>
      <c r="B2475" t="inlineStr">
        <is>
          <t>Bharat Petroleum (BPCL CGD)</t>
        </is>
      </c>
      <c r="C2475" t="inlineStr">
        <is>
          <t>Bharat Petroleum (BPCL CGD)</t>
        </is>
      </c>
      <c r="F2475" t="inlineStr">
        <is>
          <t>New Lead</t>
        </is>
      </c>
      <c r="G2475" t="inlineStr">
        <is>
          <t>Gas-related / review</t>
        </is>
      </c>
      <c r="H2475" t="inlineStr">
        <is>
          <t>Natural Gas for your Industry</t>
        </is>
      </c>
      <c r="K2475" t="inlineStr">
        <is>
          <t>Not found</t>
        </is>
      </c>
      <c r="L2475" t="inlineStr">
        <is>
          <t>Unknown</t>
        </is>
      </c>
      <c r="T2475" t="inlineStr">
        <is>
          <t>https://www.bharatpetroleum.in/Bharat-Petroleum-For/Our-Businesses/Gas/Natural-Gas-for-your-Industry.aspx</t>
        </is>
      </c>
      <c r="U2475" t="inlineStr">
        <is>
          <t>HTML</t>
        </is>
      </c>
      <c r="V2475" t="inlineStr">
        <is>
          <t>Bot tespit/zenginlestirme (2026-07-01); meta:score=15;priority=Low;source_type=html_link;closing_date=;equipment=Gas-related / review;reasons=equipment:Gas-related / review</t>
        </is>
      </c>
    </row>
    <row r="2476">
      <c r="A2476" t="inlineStr">
        <is>
          <t>T-2280</t>
        </is>
      </c>
      <c r="B2476" t="inlineStr">
        <is>
          <t>Bharat Petroleum (BPCL CGD)</t>
        </is>
      </c>
      <c r="C2476" t="inlineStr">
        <is>
          <t>Bharat Petroleum (BPCL CGD)</t>
        </is>
      </c>
      <c r="F2476" t="inlineStr">
        <is>
          <t>New Lead</t>
        </is>
      </c>
      <c r="G2476" t="inlineStr">
        <is>
          <t>Gas-related / review</t>
        </is>
      </c>
      <c r="H2476" t="inlineStr">
        <is>
          <t>Joint Ventures</t>
        </is>
      </c>
      <c r="K2476" t="inlineStr">
        <is>
          <t>Not found</t>
        </is>
      </c>
      <c r="L2476" t="inlineStr">
        <is>
          <t>Unknown</t>
        </is>
      </c>
      <c r="T2476" t="inlineStr">
        <is>
          <t>https://www.bharatpetroleum.in/Bharat-Petroleum-For/Our-Businesses/Gas/Joint-Ventures.aspx</t>
        </is>
      </c>
      <c r="U2476" t="inlineStr">
        <is>
          <t>HTML</t>
        </is>
      </c>
      <c r="V2476" t="inlineStr">
        <is>
          <t>Bot tespit/zenginlestirme (2026-07-01); meta:score=15;priority=Low;source_type=html_link;closing_date=;equipment=Gas-related / review;reasons=equipment:Gas-related / review</t>
        </is>
      </c>
    </row>
    <row r="2477">
      <c r="A2477" t="inlineStr">
        <is>
          <t>T-2281</t>
        </is>
      </c>
      <c r="B2477" t="inlineStr">
        <is>
          <t>Bharat Petroleum (BPCL CGD)</t>
        </is>
      </c>
      <c r="C2477" t="inlineStr">
        <is>
          <t>Bharat Petroleum (BPCL CGD)</t>
        </is>
      </c>
      <c r="F2477" t="inlineStr">
        <is>
          <t>New Lead</t>
        </is>
      </c>
      <c r="G2477" t="inlineStr">
        <is>
          <t>Gas-related / review</t>
        </is>
      </c>
      <c r="H2477" t="inlineStr">
        <is>
          <t>Gas at BPCL</t>
        </is>
      </c>
      <c r="K2477" t="inlineStr">
        <is>
          <t>Not found</t>
        </is>
      </c>
      <c r="L2477" t="inlineStr">
        <is>
          <t>Unknown</t>
        </is>
      </c>
      <c r="T2477" t="inlineStr">
        <is>
          <t>https://www.bharatpetroleum.in/Bharat-Petroleum-For/Our-Businesses/Gas/Gas-at-BPCL.aspx</t>
        </is>
      </c>
      <c r="U2477" t="inlineStr">
        <is>
          <t>HTML</t>
        </is>
      </c>
      <c r="V2477" t="inlineStr">
        <is>
          <t>Bot tespit/zenginlestirme (2026-07-01); meta:score=15;priority=Low;source_type=html_link;closing_date=;equipment=Gas-related / review;reasons=equipment:Gas-related / review</t>
        </is>
      </c>
    </row>
    <row r="2478">
      <c r="A2478" t="inlineStr">
        <is>
          <t>T-2282</t>
        </is>
      </c>
      <c r="B2478" t="inlineStr">
        <is>
          <t>Bharat Petroleum (BPCL CGD)</t>
        </is>
      </c>
      <c r="C2478" t="inlineStr">
        <is>
          <t>Bharat Petroleum (BPCL CGD)</t>
        </is>
      </c>
      <c r="F2478" t="inlineStr">
        <is>
          <t>New Lead</t>
        </is>
      </c>
      <c r="G2478" t="inlineStr">
        <is>
          <t>Gas-related / review</t>
        </is>
      </c>
      <c r="H2478" t="inlineStr">
        <is>
          <t>Empanelment of LNG supplier</t>
        </is>
      </c>
      <c r="K2478" t="inlineStr">
        <is>
          <t>Not found</t>
        </is>
      </c>
      <c r="L2478" t="inlineStr">
        <is>
          <t>Unknown</t>
        </is>
      </c>
      <c r="T2478" t="inlineStr">
        <is>
          <t>https://www.bharatpetroleum.in/Bharat-Petroleum-For/Our-Businesses/Gas/Empanelment-of-LNG-supplier.aspx</t>
        </is>
      </c>
      <c r="U2478" t="inlineStr">
        <is>
          <t>HTML</t>
        </is>
      </c>
      <c r="V2478" t="inlineStr">
        <is>
          <t>Bot tespit/zenginlestirme (2026-07-01); meta:score=15;priority=Low;source_type=html_link;closing_date=;equipment=Gas-related / review;reasons=equipment:Gas-related / review</t>
        </is>
      </c>
    </row>
    <row r="2479">
      <c r="A2479" t="inlineStr">
        <is>
          <t>T-2283</t>
        </is>
      </c>
      <c r="B2479" t="inlineStr">
        <is>
          <t>Bharat Petroleum (BPCL CGD)</t>
        </is>
      </c>
      <c r="C2479" t="inlineStr">
        <is>
          <t>Bharat Petroleum (BPCL CGD)</t>
        </is>
      </c>
      <c r="F2479" t="inlineStr">
        <is>
          <t>New Lead</t>
        </is>
      </c>
      <c r="G2479" t="inlineStr">
        <is>
          <t>Gas-related / review</t>
        </is>
      </c>
      <c r="H2479" t="inlineStr">
        <is>
          <t>Notices and Advisory from PNGRB</t>
        </is>
      </c>
      <c r="K2479" t="inlineStr">
        <is>
          <t>Not found</t>
        </is>
      </c>
      <c r="L2479" t="inlineStr">
        <is>
          <t>Unknown</t>
        </is>
      </c>
      <c r="T2479" t="inlineStr">
        <is>
          <t>https://www.bharatpetroleum.in/Our-Businesses/Gas/Notices-and-Advisory-from-PNGRB.aspx</t>
        </is>
      </c>
      <c r="U2479" t="inlineStr">
        <is>
          <t>HTML</t>
        </is>
      </c>
      <c r="V2479" t="inlineStr">
        <is>
          <t>Bot tespit/zenginlestirme (2026-07-01); meta:score=15;priority=Low;source_type=html_link;closing_date=;equipment=Gas-related / review;reasons=equipment:Gas-related / review</t>
        </is>
      </c>
    </row>
    <row r="2480">
      <c r="A2480" t="inlineStr">
        <is>
          <t>T-2284</t>
        </is>
      </c>
      <c r="B2480" t="inlineStr">
        <is>
          <t>Bharat Petroleum (BPCL CGD)</t>
        </is>
      </c>
      <c r="C2480" t="inlineStr">
        <is>
          <t>Bharat Petroleum (BPCL CGD)</t>
        </is>
      </c>
      <c r="F2480" t="inlineStr">
        <is>
          <t>New Lead</t>
        </is>
      </c>
      <c r="G2480" t="inlineStr">
        <is>
          <t>Gas-related / review</t>
        </is>
      </c>
      <c r="H2480" t="inlineStr">
        <is>
          <t>​Help Document for Domestic Piped Natural Gas</t>
        </is>
      </c>
      <c r="K2480" t="inlineStr">
        <is>
          <t>Not found</t>
        </is>
      </c>
      <c r="L2480" t="inlineStr">
        <is>
          <t>Unknown</t>
        </is>
      </c>
      <c r="T2480" t="inlineStr">
        <is>
          <t>https://www.bharatpetroleum.in/Our-Businesses/Gas/Domestic-Piped-Natural-Gas.aspx</t>
        </is>
      </c>
      <c r="U2480" t="inlineStr">
        <is>
          <t>HTML</t>
        </is>
      </c>
      <c r="V2480" t="inlineStr">
        <is>
          <t>Bot tespit/zenginlestirme (2026-07-01); meta:score=15;priority=Low;source_type=html_link;closing_date=;equipment=Gas-related / review;reasons=equipment:Gas-related / review</t>
        </is>
      </c>
    </row>
    <row r="2481">
      <c r="A2481" t="inlineStr">
        <is>
          <t>T-2285</t>
        </is>
      </c>
      <c r="B2481" t="inlineStr">
        <is>
          <t>Bharat Petroleum (BPCL CGD)</t>
        </is>
      </c>
      <c r="C2481" t="inlineStr">
        <is>
          <t>Bharat Petroleum (BPCL CGD)</t>
        </is>
      </c>
      <c r="F2481" t="inlineStr">
        <is>
          <t>Awarded / Result</t>
        </is>
      </c>
      <c r="G2481" t="inlineStr">
        <is>
          <t>Unclassified</t>
        </is>
      </c>
      <c r="H2481" t="inlineStr">
        <is>
          <t>Awards and Recognition</t>
        </is>
      </c>
      <c r="K2481" t="inlineStr">
        <is>
          <t>Not found</t>
        </is>
      </c>
      <c r="L2481" t="inlineStr">
        <is>
          <t>Unknown</t>
        </is>
      </c>
      <c r="T2481" t="inlineStr">
        <is>
          <t>https://www.bharatpetroleum.in/Bharat-Petroleum-For/Refineries/Kochi-Refinery/Awards-and-Recognition.aspx</t>
        </is>
      </c>
      <c r="U2481" t="inlineStr">
        <is>
          <t>HTML</t>
        </is>
      </c>
      <c r="V2481" t="inlineStr">
        <is>
          <t>Bot tespit/zenginlestirme (2026-07-01); meta:score=15;priority=Low;source_type=html_link;closing_date=;equipment=Unclassified;reasons=tender reference signal</t>
        </is>
      </c>
    </row>
    <row r="2482">
      <c r="A2482" t="inlineStr">
        <is>
          <t>T-2286</t>
        </is>
      </c>
      <c r="B2482" t="inlineStr">
        <is>
          <t>Bharat Petroleum (BPCL CGD)</t>
        </is>
      </c>
      <c r="C2482" t="inlineStr">
        <is>
          <t>Bharat Petroleum (BPCL CGD)</t>
        </is>
      </c>
      <c r="F2482" t="inlineStr">
        <is>
          <t>Awarded / Result</t>
        </is>
      </c>
      <c r="G2482" t="inlineStr">
        <is>
          <t>Unclassified</t>
        </is>
      </c>
      <c r="H2482" t="inlineStr">
        <is>
          <t>Awards and Recognitions</t>
        </is>
      </c>
      <c r="K2482" t="inlineStr">
        <is>
          <t>Not found</t>
        </is>
      </c>
      <c r="L2482" t="inlineStr">
        <is>
          <t>Unknown</t>
        </is>
      </c>
      <c r="T2482" t="inlineStr">
        <is>
          <t>https://www.bharatpetroleum.in/Sustainability/Awards-and-Recognitions.aspx</t>
        </is>
      </c>
      <c r="U2482" t="inlineStr">
        <is>
          <t>HTML</t>
        </is>
      </c>
      <c r="V2482" t="inlineStr">
        <is>
          <t>Bot tespit/zenginlestirme (2026-07-01); meta:score=15;priority=Low;source_type=html_link;closing_date=;equipment=Unclassified;reasons=tender reference signal</t>
        </is>
      </c>
    </row>
    <row r="2483">
      <c r="A2483" t="inlineStr">
        <is>
          <t>T-2287</t>
        </is>
      </c>
      <c r="B2483" t="inlineStr">
        <is>
          <t>Bharat Petroleum (BPCL CGD)</t>
        </is>
      </c>
      <c r="C2483" t="inlineStr">
        <is>
          <t>Bharat Petroleum (BPCL CGD)</t>
        </is>
      </c>
      <c r="F2483" t="inlineStr">
        <is>
          <t>New Lead</t>
        </is>
      </c>
      <c r="G2483" t="inlineStr">
        <is>
          <t>Gas-related / review</t>
        </is>
      </c>
      <c r="H2483" t="inlineStr">
        <is>
          <t>Gas</t>
        </is>
      </c>
      <c r="K2483" t="inlineStr">
        <is>
          <t>Not found</t>
        </is>
      </c>
      <c r="L2483" t="inlineStr">
        <is>
          <t>Unknown</t>
        </is>
      </c>
      <c r="T2483" t="inlineStr">
        <is>
          <t>https://bharatpetroleum.in/our-businesses/gas.aspx</t>
        </is>
      </c>
      <c r="U2483" t="inlineStr">
        <is>
          <t>HTML</t>
        </is>
      </c>
      <c r="V2483" t="inlineStr">
        <is>
          <t>Bot tespit/zenginlestirme (2026-07-01); meta:score=15;priority=Low;source_type=html_link;closing_date=;equipment=Gas-related / review;reasons=equipment:Gas-related / review</t>
        </is>
      </c>
    </row>
    <row r="2484">
      <c r="A2484" t="inlineStr">
        <is>
          <t>T-2288</t>
        </is>
      </c>
      <c r="B2484" t="inlineStr">
        <is>
          <t>Bharat Petroleum (BPCL CGD)</t>
        </is>
      </c>
      <c r="C2484" t="inlineStr">
        <is>
          <t>Bharat Petroleum (BPCL CGD)</t>
        </is>
      </c>
      <c r="F2484" t="inlineStr">
        <is>
          <t>New Lead</t>
        </is>
      </c>
      <c r="G2484" t="inlineStr">
        <is>
          <t>Unclassified</t>
        </is>
      </c>
      <c r="H2484" t="inlineStr">
        <is>
          <t>Screen Reader</t>
        </is>
      </c>
      <c r="K2484" t="inlineStr">
        <is>
          <t>Not found</t>
        </is>
      </c>
      <c r="L2484" t="inlineStr">
        <is>
          <t>Unknown</t>
        </is>
      </c>
      <c r="T2484" t="inlineStr">
        <is>
          <t>https://bharatpetroleum.in/screen-reader-access.aspx</t>
        </is>
      </c>
      <c r="U2484" t="inlineStr">
        <is>
          <t>HTML</t>
        </is>
      </c>
      <c r="V2484" t="inlineStr">
        <is>
          <t>Bot tespit/zenginlestirme (2026-07-01); meta:score=;priority=Low;source_type=html_link;closing_date=;equipment=Unclassified;reasons=</t>
        </is>
      </c>
    </row>
    <row r="2485">
      <c r="A2485" t="inlineStr">
        <is>
          <t>T-2289</t>
        </is>
      </c>
      <c r="B2485" t="inlineStr">
        <is>
          <t>Bharat Petroleum (BPCL CGD)</t>
        </is>
      </c>
      <c r="C2485" t="inlineStr">
        <is>
          <t>Bharat Petroleum (BPCL CGD)</t>
        </is>
      </c>
      <c r="F2485" t="inlineStr">
        <is>
          <t>New Lead</t>
        </is>
      </c>
      <c r="G2485" t="inlineStr">
        <is>
          <t>Unclassified</t>
        </is>
      </c>
      <c r="H2485" t="inlineStr">
        <is>
          <t>BPCL GROUP</t>
        </is>
      </c>
      <c r="K2485" t="inlineStr">
        <is>
          <t>Not found</t>
        </is>
      </c>
      <c r="L2485" t="inlineStr">
        <is>
          <t>Unknown</t>
        </is>
      </c>
      <c r="T2485" t="inlineStr">
        <is>
          <t>https://bharatpetroleum.in/Our-Businesses/bpcl-group.aspx</t>
        </is>
      </c>
      <c r="U2485" t="inlineStr">
        <is>
          <t>HTML</t>
        </is>
      </c>
      <c r="V2485" t="inlineStr">
        <is>
          <t>Bot tespit/zenginlestirme (2026-07-01); meta:score=;priority=Low;source_type=html_link;closing_date=;equipment=Unclassified;reasons=</t>
        </is>
      </c>
    </row>
    <row r="2486">
      <c r="A2486" t="inlineStr">
        <is>
          <t>T-2290</t>
        </is>
      </c>
      <c r="B2486" t="inlineStr">
        <is>
          <t>Bharat Petroleum (BPCL CGD)</t>
        </is>
      </c>
      <c r="C2486" t="inlineStr">
        <is>
          <t>Bharat Petroleum (BPCL CGD)</t>
        </is>
      </c>
      <c r="F2486" t="inlineStr">
        <is>
          <t>New Lead</t>
        </is>
      </c>
      <c r="G2486" t="inlineStr">
        <is>
          <t>Unclassified</t>
        </is>
      </c>
      <c r="H2486" t="inlineStr">
        <is>
          <t>ebharatgas.com</t>
        </is>
      </c>
      <c r="K2486" t="inlineStr">
        <is>
          <t>Not found</t>
        </is>
      </c>
      <c r="L2486" t="inlineStr">
        <is>
          <t>Unknown</t>
        </is>
      </c>
      <c r="T2486" t="inlineStr">
        <is>
          <t>http://ebharatgas.com</t>
        </is>
      </c>
      <c r="U2486" t="inlineStr">
        <is>
          <t>HTML</t>
        </is>
      </c>
      <c r="V2486" t="inlineStr">
        <is>
          <t>Bot tespit/zenginlestirme (2026-07-01); meta:score=;priority=Low;source_type=html_link;closing_date=;equipment=Unclassified;reasons=</t>
        </is>
      </c>
    </row>
    <row r="2487">
      <c r="A2487" t="inlineStr">
        <is>
          <t>T-2291</t>
        </is>
      </c>
      <c r="B2487" t="inlineStr">
        <is>
          <t>Bharat Petroleum (BPCL CGD)</t>
        </is>
      </c>
      <c r="C2487" t="inlineStr">
        <is>
          <t>Bharat Petroleum (BPCL CGD)</t>
        </is>
      </c>
      <c r="F2487" t="inlineStr">
        <is>
          <t>New Lead</t>
        </is>
      </c>
      <c r="G2487" t="inlineStr">
        <is>
          <t>Unclassified</t>
        </is>
      </c>
      <c r="H2487" t="inlineStr">
        <is>
          <t>https://econnect.bpcl.in</t>
        </is>
      </c>
      <c r="K2487" t="inlineStr">
        <is>
          <t>Not found</t>
        </is>
      </c>
      <c r="L2487" t="inlineStr">
        <is>
          <t>Unknown</t>
        </is>
      </c>
      <c r="T2487" t="inlineStr">
        <is>
          <t>https://econnect.bpcl.in/</t>
        </is>
      </c>
      <c r="U2487" t="inlineStr">
        <is>
          <t>HTML</t>
        </is>
      </c>
      <c r="V2487" t="inlineStr">
        <is>
          <t>Bot tespit/zenginlestirme (2026-07-01); meta:score=;priority=Low;source_type=html_link;closing_date=;equipment=Unclassified;reasons=</t>
        </is>
      </c>
    </row>
    <row r="2488">
      <c r="A2488" t="inlineStr">
        <is>
          <t>T-2292</t>
        </is>
      </c>
      <c r="B2488" t="inlineStr">
        <is>
          <t>Bharat Petroleum (BPCL CGD)</t>
        </is>
      </c>
      <c r="C2488" t="inlineStr">
        <is>
          <t>Bharat Petroleum (BPCL CGD)</t>
        </is>
      </c>
      <c r="F2488" t="inlineStr">
        <is>
          <t>New Lead</t>
        </is>
      </c>
      <c r="G2488" t="inlineStr">
        <is>
          <t>Unclassified</t>
        </is>
      </c>
      <c r="H2488" t="inlineStr">
        <is>
          <t>mysmartfleet.com</t>
        </is>
      </c>
      <c r="K2488" t="inlineStr">
        <is>
          <t>Not found</t>
        </is>
      </c>
      <c r="L2488" t="inlineStr">
        <is>
          <t>Unknown</t>
        </is>
      </c>
      <c r="T2488" t="inlineStr">
        <is>
          <t>http://mysmartfleet.com</t>
        </is>
      </c>
      <c r="U2488" t="inlineStr">
        <is>
          <t>HTML</t>
        </is>
      </c>
      <c r="V2488" t="inlineStr">
        <is>
          <t>Bot tespit/zenginlestirme (2026-07-01); meta:score=;priority=Low;source_type=html_link;closing_date=;equipment=Unclassified;reasons=</t>
        </is>
      </c>
    </row>
    <row r="2489">
      <c r="A2489" t="inlineStr">
        <is>
          <t>T-2293</t>
        </is>
      </c>
      <c r="B2489" t="inlineStr">
        <is>
          <t>Bharat Petroleum (BPCL CGD)</t>
        </is>
      </c>
      <c r="C2489" t="inlineStr">
        <is>
          <t>Bharat Petroleum (BPCL CGD)</t>
        </is>
      </c>
      <c r="F2489" t="inlineStr">
        <is>
          <t>New Lead</t>
        </is>
      </c>
      <c r="G2489" t="inlineStr">
        <is>
          <t>Unclassified</t>
        </is>
      </c>
      <c r="H2489" t="inlineStr">
        <is>
          <t>petrobonus.com</t>
        </is>
      </c>
      <c r="K2489" t="inlineStr">
        <is>
          <t>Not found</t>
        </is>
      </c>
      <c r="L2489" t="inlineStr">
        <is>
          <t>Unknown</t>
        </is>
      </c>
      <c r="T2489" t="inlineStr">
        <is>
          <t>http://petrobonus.com/</t>
        </is>
      </c>
      <c r="U2489" t="inlineStr">
        <is>
          <t>HTML</t>
        </is>
      </c>
      <c r="V2489" t="inlineStr">
        <is>
          <t>Bot tespit/zenginlestirme (2026-07-01); meta:score=;priority=Low;source_type=html_link;closing_date=;equipment=Unclassified;reasons=</t>
        </is>
      </c>
    </row>
    <row r="2490">
      <c r="A2490" t="inlineStr">
        <is>
          <t>T-2294</t>
        </is>
      </c>
      <c r="B2490" t="inlineStr">
        <is>
          <t>Bharat Petroleum (BPCL CGD)</t>
        </is>
      </c>
      <c r="C2490" t="inlineStr">
        <is>
          <t>Bharat Petroleum (BPCL CGD)</t>
        </is>
      </c>
      <c r="F2490" t="inlineStr">
        <is>
          <t>New Lead</t>
        </is>
      </c>
      <c r="G2490" t="inlineStr">
        <is>
          <t>Unclassified</t>
        </is>
      </c>
      <c r="H2490" t="inlineStr">
        <is>
          <t>BPCL Startups</t>
        </is>
      </c>
      <c r="K2490" t="inlineStr">
        <is>
          <t>Not found</t>
        </is>
      </c>
      <c r="L2490" t="inlineStr">
        <is>
          <t>Unknown</t>
        </is>
      </c>
      <c r="T2490" t="inlineStr">
        <is>
          <t>https://startup.bpcl.in/</t>
        </is>
      </c>
      <c r="U2490" t="inlineStr">
        <is>
          <t>HTML</t>
        </is>
      </c>
      <c r="V2490" t="inlineStr">
        <is>
          <t>Bot tespit/zenginlestirme (2026-07-01); meta:score=;priority=Low;source_type=html_link;closing_date=;equipment=Unclassified;reasons=</t>
        </is>
      </c>
    </row>
    <row r="2491">
      <c r="A2491" t="inlineStr">
        <is>
          <t>T-2295</t>
        </is>
      </c>
      <c r="B2491" t="inlineStr">
        <is>
          <t>Bharat Petroleum (BPCL CGD)</t>
        </is>
      </c>
      <c r="C2491" t="inlineStr">
        <is>
          <t>Bharat Petroleum (BPCL CGD)</t>
        </is>
      </c>
      <c r="F2491" t="inlineStr">
        <is>
          <t>New Lead</t>
        </is>
      </c>
      <c r="G2491" t="inlineStr">
        <is>
          <t>Unclassified</t>
        </is>
      </c>
      <c r="H2491" t="inlineStr">
        <is>
          <t>bharatpetroresources.in</t>
        </is>
      </c>
      <c r="K2491" t="inlineStr">
        <is>
          <t>Not found</t>
        </is>
      </c>
      <c r="L2491" t="inlineStr">
        <is>
          <t>Unknown</t>
        </is>
      </c>
      <c r="T2491" t="inlineStr">
        <is>
          <t>https://bharatpetroresources.in/</t>
        </is>
      </c>
      <c r="U2491" t="inlineStr">
        <is>
          <t>HTML</t>
        </is>
      </c>
      <c r="V2491" t="inlineStr">
        <is>
          <t>Bot tespit/zenginlestirme (2026-07-01); meta:score=;priority=Low;source_type=html_link;closing_date=;equipment=Unclassified;reasons=</t>
        </is>
      </c>
    </row>
    <row r="2492">
      <c r="A2492" t="inlineStr">
        <is>
          <t>T-2296</t>
        </is>
      </c>
      <c r="B2492" t="inlineStr">
        <is>
          <t>Bharat Petroleum (BPCL CGD)</t>
        </is>
      </c>
      <c r="C2492" t="inlineStr">
        <is>
          <t>Bharat Petroleum (BPCL CGD)</t>
        </is>
      </c>
      <c r="F2492" t="inlineStr">
        <is>
          <t>New Lead</t>
        </is>
      </c>
      <c r="G2492" t="inlineStr">
        <is>
          <t>Unclassified</t>
        </is>
      </c>
      <c r="H2492" t="inlineStr">
        <is>
          <t>Customer Care</t>
        </is>
      </c>
      <c r="K2492" t="inlineStr">
        <is>
          <t>Not found</t>
        </is>
      </c>
      <c r="L2492" t="inlineStr">
        <is>
          <t>Unknown</t>
        </is>
      </c>
      <c r="T2492" t="inlineStr">
        <is>
          <t>https://bharatpetroleum.in/customer-care.aspx</t>
        </is>
      </c>
      <c r="U2492" t="inlineStr">
        <is>
          <t>HTML</t>
        </is>
      </c>
      <c r="V2492" t="inlineStr">
        <is>
          <t>Bot tespit/zenginlestirme (2026-07-01); meta:score=;priority=Low;source_type=html_link;closing_date=;equipment=Unclassified;reasons=</t>
        </is>
      </c>
    </row>
    <row r="2493">
      <c r="A2493" t="inlineStr">
        <is>
          <t>T-2297</t>
        </is>
      </c>
      <c r="B2493" t="inlineStr">
        <is>
          <t>Bharat Petroleum (BPCL CGD)</t>
        </is>
      </c>
      <c r="C2493" t="inlineStr">
        <is>
          <t>Bharat Petroleum (BPCL CGD)</t>
        </is>
      </c>
      <c r="F2493" t="inlineStr">
        <is>
          <t>New Lead</t>
        </is>
      </c>
      <c r="G2493" t="inlineStr">
        <is>
          <t>Unclassified</t>
        </is>
      </c>
      <c r="H2493" t="inlineStr">
        <is>
          <t>SmartLine</t>
        </is>
      </c>
      <c r="K2493" t="inlineStr">
        <is>
          <t>Not found</t>
        </is>
      </c>
      <c r="L2493" t="inlineStr">
        <is>
          <t>Unknown</t>
        </is>
      </c>
      <c r="T2493" t="inlineStr">
        <is>
          <t>https://bharatpetroleum.in/smartline.aspx</t>
        </is>
      </c>
      <c r="U2493" t="inlineStr">
        <is>
          <t>HTML</t>
        </is>
      </c>
      <c r="V2493" t="inlineStr">
        <is>
          <t>Bot tespit/zenginlestirme (2026-07-01); meta:score=;priority=Low;source_type=html_link;closing_date=;equipment=Unclassified;reasons=</t>
        </is>
      </c>
    </row>
    <row r="2494">
      <c r="A2494" t="inlineStr">
        <is>
          <t>T-2298</t>
        </is>
      </c>
      <c r="B2494" t="inlineStr">
        <is>
          <t>Bharat Petroleum (BPCL CGD)</t>
        </is>
      </c>
      <c r="C2494" t="inlineStr">
        <is>
          <t>Bharat Petroleum (BPCL CGD)</t>
        </is>
      </c>
      <c r="F2494" t="inlineStr">
        <is>
          <t>New Lead</t>
        </is>
      </c>
      <c r="G2494" t="inlineStr">
        <is>
          <t>Unclassified</t>
        </is>
      </c>
      <c r="H2494" t="inlineStr">
        <is>
          <t>Locate Us</t>
        </is>
      </c>
      <c r="K2494" t="inlineStr">
        <is>
          <t>Not found</t>
        </is>
      </c>
      <c r="L2494" t="inlineStr">
        <is>
          <t>Unknown</t>
        </is>
      </c>
      <c r="T2494" t="inlineStr">
        <is>
          <t>https://www.mysmartfleet.com/en-us/SitePages/LocateUs.aspx</t>
        </is>
      </c>
      <c r="U2494" t="inlineStr">
        <is>
          <t>HTML</t>
        </is>
      </c>
      <c r="V2494" t="inlineStr">
        <is>
          <t>Bot tespit/zenginlestirme (2026-07-01); meta:score=;priority=Low;source_type=html_link;closing_date=;equipment=Unclassified;reasons=</t>
        </is>
      </c>
    </row>
    <row r="2495">
      <c r="A2495" t="inlineStr">
        <is>
          <t>T-2299</t>
        </is>
      </c>
      <c r="B2495" t="inlineStr">
        <is>
          <t>Bharat Petroleum (BPCL CGD)</t>
        </is>
      </c>
      <c r="C2495" t="inlineStr">
        <is>
          <t>Bharat Petroleum (BPCL CGD)</t>
        </is>
      </c>
      <c r="F2495" t="inlineStr">
        <is>
          <t>New Lead</t>
        </is>
      </c>
      <c r="G2495" t="inlineStr">
        <is>
          <t>Unclassified</t>
        </is>
      </c>
      <c r="H2495" t="inlineStr">
        <is>
          <t>https://www.instagram.com/bpclimited/</t>
        </is>
      </c>
      <c r="K2495" t="inlineStr">
        <is>
          <t>Not found</t>
        </is>
      </c>
      <c r="L2495" t="inlineStr">
        <is>
          <t>Unknown</t>
        </is>
      </c>
      <c r="T2495" t="inlineStr">
        <is>
          <t>https://www.instagram.com/bpclimited/</t>
        </is>
      </c>
      <c r="U2495" t="inlineStr">
        <is>
          <t>HTML</t>
        </is>
      </c>
      <c r="V2495" t="inlineStr">
        <is>
          <t>Bot tespit/zenginlestirme (2026-07-01); meta:score=;priority=Low;source_type=html_link;closing_date=;equipment=Unclassified;reasons=</t>
        </is>
      </c>
    </row>
    <row r="2496">
      <c r="A2496" t="inlineStr">
        <is>
          <t>T-2300</t>
        </is>
      </c>
      <c r="B2496" t="inlineStr">
        <is>
          <t>Bharat Petroleum (BPCL CGD)</t>
        </is>
      </c>
      <c r="C2496" t="inlineStr">
        <is>
          <t>Bharat Petroleum (BPCL CGD)</t>
        </is>
      </c>
      <c r="F2496" t="inlineStr">
        <is>
          <t>New Lead</t>
        </is>
      </c>
      <c r="G2496" t="inlineStr">
        <is>
          <t>Unclassified</t>
        </is>
      </c>
      <c r="H2496" t="inlineStr">
        <is>
          <t>tel:1906</t>
        </is>
      </c>
      <c r="K2496" t="inlineStr">
        <is>
          <t>Not found</t>
        </is>
      </c>
      <c r="L2496" t="inlineStr">
        <is>
          <t>Unknown</t>
        </is>
      </c>
      <c r="T2496" t="inlineStr">
        <is>
          <t>tel:1906</t>
        </is>
      </c>
      <c r="U2496" t="inlineStr">
        <is>
          <t>HTML</t>
        </is>
      </c>
      <c r="V2496" t="inlineStr">
        <is>
          <t>Bot tespit/zenginlestirme (2026-07-01); meta:score=;priority=Low;source_type=html_link;closing_date=;equipment=Unclassified;reasons=</t>
        </is>
      </c>
    </row>
    <row r="2497">
      <c r="A2497" t="inlineStr">
        <is>
          <t>T-2301</t>
        </is>
      </c>
      <c r="B2497" t="inlineStr">
        <is>
          <t>Bharat Petroleum (BPCL CGD)</t>
        </is>
      </c>
      <c r="C2497" t="inlineStr">
        <is>
          <t>Bharat Petroleum (BPCL CGD)</t>
        </is>
      </c>
      <c r="F2497" t="inlineStr">
        <is>
          <t>New Lead</t>
        </is>
      </c>
      <c r="G2497" t="inlineStr">
        <is>
          <t>Unclassified</t>
        </is>
      </c>
      <c r="H2497" t="inlineStr">
        <is>
          <t>Home</t>
        </is>
      </c>
      <c r="K2497" t="inlineStr">
        <is>
          <t>Not found</t>
        </is>
      </c>
      <c r="L2497" t="inlineStr">
        <is>
          <t>Unknown</t>
        </is>
      </c>
      <c r="T2497" t="inlineStr">
        <is>
          <t>https://www.bharatpetroleum.in/</t>
        </is>
      </c>
      <c r="U2497" t="inlineStr">
        <is>
          <t>HTML</t>
        </is>
      </c>
      <c r="V2497" t="inlineStr">
        <is>
          <t>Bot tespit/zenginlestirme (2026-07-01); meta:score=;priority=Low;source_type=html_link;closing_date=;equipment=Unclassified;reasons=</t>
        </is>
      </c>
    </row>
    <row r="2498">
      <c r="A2498" t="inlineStr">
        <is>
          <t>T-2302</t>
        </is>
      </c>
      <c r="B2498" t="inlineStr">
        <is>
          <t>Bharat Petroleum (BPCL CGD)</t>
        </is>
      </c>
      <c r="C2498" t="inlineStr">
        <is>
          <t>Bharat Petroleum (BPCL CGD)</t>
        </is>
      </c>
      <c r="F2498" t="inlineStr">
        <is>
          <t>New Lead</t>
        </is>
      </c>
      <c r="G2498" t="inlineStr">
        <is>
          <t>Unclassified</t>
        </is>
      </c>
      <c r="H2498" t="inlineStr">
        <is>
          <t>About BPCL Our Journey Board of Directors Vision and Values Awards and Accolades Our Policies Audit BPCL Infoline Ministry Updates Journals Video Gallery Media Kit Organisational Chart</t>
        </is>
      </c>
      <c r="K2498" t="inlineStr">
        <is>
          <t>Not found</t>
        </is>
      </c>
      <c r="L2498" t="inlineStr">
        <is>
          <t>Unknown</t>
        </is>
      </c>
      <c r="T2498" t="inlineStr">
        <is>
          <t>https://www.bharatpetroleum.in/about-bpcl/our-journey.aspx</t>
        </is>
      </c>
      <c r="U2498" t="inlineStr">
        <is>
          <t>HTML</t>
        </is>
      </c>
      <c r="V2498" t="inlineStr">
        <is>
          <t>Bot tespit/zenginlestirme (2026-07-01); meta:score=;priority=Low;source_type=html_table;closing_date=;equipment=Unclassified;reasons=</t>
        </is>
      </c>
    </row>
    <row r="2499">
      <c r="A2499" t="inlineStr">
        <is>
          <t>T-2303</t>
        </is>
      </c>
      <c r="B2499" t="inlineStr">
        <is>
          <t>Bharat Petroleum (BPCL CGD)</t>
        </is>
      </c>
      <c r="C2499" t="inlineStr">
        <is>
          <t>Bharat Petroleum (BPCL CGD)</t>
        </is>
      </c>
      <c r="F2499" t="inlineStr">
        <is>
          <t>New Lead</t>
        </is>
      </c>
      <c r="G2499" t="inlineStr">
        <is>
          <t>Unclassified</t>
        </is>
      </c>
      <c r="H2499" t="inlineStr">
        <is>
          <t>Board of Directors</t>
        </is>
      </c>
      <c r="K2499" t="inlineStr">
        <is>
          <t>Not found</t>
        </is>
      </c>
      <c r="L2499" t="inlineStr">
        <is>
          <t>Unknown</t>
        </is>
      </c>
      <c r="T2499" t="inlineStr">
        <is>
          <t>https://www.bharatpetroleum.in/about-bpcl/board-of-directors.aspx</t>
        </is>
      </c>
      <c r="U2499" t="inlineStr">
        <is>
          <t>HTML</t>
        </is>
      </c>
      <c r="V2499" t="inlineStr">
        <is>
          <t>Bot tespit/zenginlestirme (2026-07-01); meta:score=;priority=Low;source_type=html_link;closing_date=;equipment=Unclassified;reasons=</t>
        </is>
      </c>
    </row>
    <row r="2500">
      <c r="A2500" t="inlineStr">
        <is>
          <t>T-2304</t>
        </is>
      </c>
      <c r="B2500" t="inlineStr">
        <is>
          <t>Bharat Petroleum (BPCL CGD)</t>
        </is>
      </c>
      <c r="C2500" t="inlineStr">
        <is>
          <t>Bharat Petroleum (BPCL CGD)</t>
        </is>
      </c>
      <c r="F2500" t="inlineStr">
        <is>
          <t>New Lead</t>
        </is>
      </c>
      <c r="G2500" t="inlineStr">
        <is>
          <t>Unclassified</t>
        </is>
      </c>
      <c r="H2500" t="inlineStr">
        <is>
          <t>Vision and Values</t>
        </is>
      </c>
      <c r="K2500" t="inlineStr">
        <is>
          <t>Not found</t>
        </is>
      </c>
      <c r="L2500" t="inlineStr">
        <is>
          <t>Unknown</t>
        </is>
      </c>
      <c r="T2500" t="inlineStr">
        <is>
          <t>https://www.bharatpetroleum.in/about-bpcl/vision-and-values.aspx</t>
        </is>
      </c>
      <c r="U2500" t="inlineStr">
        <is>
          <t>HTML</t>
        </is>
      </c>
      <c r="V2500" t="inlineStr">
        <is>
          <t>Bot tespit/zenginlestirme (2026-07-01); meta:score=;priority=Low;source_type=html_link;closing_date=;equipment=Unclassified;reasons=</t>
        </is>
      </c>
    </row>
    <row r="2501">
      <c r="A2501" t="inlineStr">
        <is>
          <t>T-2305</t>
        </is>
      </c>
      <c r="B2501" t="inlineStr">
        <is>
          <t>Bharat Petroleum (BPCL CGD)</t>
        </is>
      </c>
      <c r="C2501" t="inlineStr">
        <is>
          <t>Bharat Petroleum (BPCL CGD)</t>
        </is>
      </c>
      <c r="F2501" t="inlineStr">
        <is>
          <t>Awarded / Result</t>
        </is>
      </c>
      <c r="G2501" t="inlineStr">
        <is>
          <t>Unclassified</t>
        </is>
      </c>
      <c r="H2501" t="inlineStr">
        <is>
          <t>Awards and Accolades</t>
        </is>
      </c>
      <c r="K2501" t="inlineStr">
        <is>
          <t>Not found</t>
        </is>
      </c>
      <c r="L2501" t="inlineStr">
        <is>
          <t>Unknown</t>
        </is>
      </c>
      <c r="T2501" t="inlineStr">
        <is>
          <t>https://www.bharatpetroleum.in/about-bpcl/awards-and-accolades.aspx</t>
        </is>
      </c>
      <c r="U2501" t="inlineStr">
        <is>
          <t>HTML</t>
        </is>
      </c>
      <c r="V2501" t="inlineStr">
        <is>
          <t>Bot tespit/zenginlestirme (2026-07-01); meta:score=;priority=Low;source_type=html_link;closing_date=;equipment=Unclassified;reasons=</t>
        </is>
      </c>
    </row>
    <row r="2502">
      <c r="A2502" t="inlineStr">
        <is>
          <t>T-2306</t>
        </is>
      </c>
      <c r="B2502" t="inlineStr">
        <is>
          <t>Bharat Petroleum (BPCL CGD)</t>
        </is>
      </c>
      <c r="C2502" t="inlineStr">
        <is>
          <t>Bharat Petroleum (BPCL CGD)</t>
        </is>
      </c>
      <c r="F2502" t="inlineStr">
        <is>
          <t>New Lead</t>
        </is>
      </c>
      <c r="G2502" t="inlineStr">
        <is>
          <t>Unclassified</t>
        </is>
      </c>
      <c r="H2502" t="inlineStr">
        <is>
          <t>Our Policies</t>
        </is>
      </c>
      <c r="K2502" t="inlineStr">
        <is>
          <t>Not found</t>
        </is>
      </c>
      <c r="L2502" t="inlineStr">
        <is>
          <t>Unknown</t>
        </is>
      </c>
      <c r="T2502" t="inlineStr">
        <is>
          <t>https://www.bharatpetroleum.in/about-bpcl/our-policies.aspx</t>
        </is>
      </c>
      <c r="U2502" t="inlineStr">
        <is>
          <t>HTML</t>
        </is>
      </c>
      <c r="V2502" t="inlineStr">
        <is>
          <t>Bot tespit/zenginlestirme (2026-07-01); meta:score=;priority=Low;source_type=html_link;closing_date=;equipment=Unclassified;reasons=</t>
        </is>
      </c>
    </row>
    <row r="2503">
      <c r="A2503" t="inlineStr">
        <is>
          <t>T-2307</t>
        </is>
      </c>
      <c r="B2503" t="inlineStr">
        <is>
          <t>Bharat Petroleum (BPCL CGD)</t>
        </is>
      </c>
      <c r="C2503" t="inlineStr">
        <is>
          <t>Bharat Petroleum (BPCL CGD)</t>
        </is>
      </c>
      <c r="F2503" t="inlineStr">
        <is>
          <t>New Lead</t>
        </is>
      </c>
      <c r="G2503" t="inlineStr">
        <is>
          <t>Unclassified</t>
        </is>
      </c>
      <c r="H2503" t="inlineStr">
        <is>
          <t>Audit</t>
        </is>
      </c>
      <c r="K2503" t="inlineStr">
        <is>
          <t>Not found</t>
        </is>
      </c>
      <c r="L2503" t="inlineStr">
        <is>
          <t>Unknown</t>
        </is>
      </c>
      <c r="T2503" t="inlineStr">
        <is>
          <t>https://www.bharatpetroleum.in/about-bpcl/audit.aspx</t>
        </is>
      </c>
      <c r="U2503" t="inlineStr">
        <is>
          <t>HTML</t>
        </is>
      </c>
      <c r="V2503" t="inlineStr">
        <is>
          <t>Bot tespit/zenginlestirme (2026-07-01); meta:score=;priority=Low;source_type=html_link;closing_date=;equipment=Unclassified;reasons=</t>
        </is>
      </c>
    </row>
    <row r="2504">
      <c r="A2504" t="inlineStr">
        <is>
          <t>T-2308</t>
        </is>
      </c>
      <c r="B2504" t="inlineStr">
        <is>
          <t>Bharat Petroleum (BPCL CGD)</t>
        </is>
      </c>
      <c r="C2504" t="inlineStr">
        <is>
          <t>Bharat Petroleum (BPCL CGD)</t>
        </is>
      </c>
      <c r="F2504" t="inlineStr">
        <is>
          <t>New Lead</t>
        </is>
      </c>
      <c r="G2504" t="inlineStr">
        <is>
          <t>Unclassified</t>
        </is>
      </c>
      <c r="H2504" t="inlineStr">
        <is>
          <t>BPCL Infoline</t>
        </is>
      </c>
      <c r="K2504" t="inlineStr">
        <is>
          <t>Not found</t>
        </is>
      </c>
      <c r="L2504" t="inlineStr">
        <is>
          <t>Unknown</t>
        </is>
      </c>
      <c r="T2504" t="inlineStr">
        <is>
          <t>https://www.bharatpetroleum.in/bpcl-infoline-all.aspx</t>
        </is>
      </c>
      <c r="U2504" t="inlineStr">
        <is>
          <t>HTML</t>
        </is>
      </c>
      <c r="V2504" t="inlineStr">
        <is>
          <t>Bot tespit/zenginlestirme (2026-07-01); meta:score=;priority=Low;source_type=html_link;closing_date=;equipment=Unclassified;reasons=</t>
        </is>
      </c>
    </row>
    <row r="2505">
      <c r="A2505" t="inlineStr">
        <is>
          <t>T-2309</t>
        </is>
      </c>
      <c r="B2505" t="inlineStr">
        <is>
          <t>Bharat Petroleum (BPCL CGD)</t>
        </is>
      </c>
      <c r="C2505" t="inlineStr">
        <is>
          <t>Bharat Petroleum (BPCL CGD)</t>
        </is>
      </c>
      <c r="F2505" t="inlineStr">
        <is>
          <t>New Lead</t>
        </is>
      </c>
      <c r="G2505" t="inlineStr">
        <is>
          <t>Unclassified</t>
        </is>
      </c>
      <c r="H2505" t="inlineStr">
        <is>
          <t>Ministry Updates</t>
        </is>
      </c>
      <c r="K2505" t="inlineStr">
        <is>
          <t>Not found</t>
        </is>
      </c>
      <c r="L2505" t="inlineStr">
        <is>
          <t>Unknown</t>
        </is>
      </c>
      <c r="T2505" t="inlineStr">
        <is>
          <t>https://www.bharatpetroleum.in/About-BPCL/Ministry-Updates.aspx</t>
        </is>
      </c>
      <c r="U2505" t="inlineStr">
        <is>
          <t>HTML</t>
        </is>
      </c>
      <c r="V2505" t="inlineStr">
        <is>
          <t>Bot tespit/zenginlestirme (2026-07-01); meta:score=;priority=Low;source_type=html_link;closing_date=;equipment=Unclassified;reasons=</t>
        </is>
      </c>
    </row>
    <row r="2506">
      <c r="A2506" t="inlineStr">
        <is>
          <t>T-2310</t>
        </is>
      </c>
      <c r="B2506" t="inlineStr">
        <is>
          <t>Bharat Petroleum (BPCL CGD)</t>
        </is>
      </c>
      <c r="C2506" t="inlineStr">
        <is>
          <t>Bharat Petroleum (BPCL CGD)</t>
        </is>
      </c>
      <c r="F2506" t="inlineStr">
        <is>
          <t>New Lead</t>
        </is>
      </c>
      <c r="G2506" t="inlineStr">
        <is>
          <t>Unclassified</t>
        </is>
      </c>
      <c r="H2506" t="inlineStr">
        <is>
          <t>Journals</t>
        </is>
      </c>
      <c r="K2506" t="inlineStr">
        <is>
          <t>Not found</t>
        </is>
      </c>
      <c r="L2506" t="inlineStr">
        <is>
          <t>Unknown</t>
        </is>
      </c>
      <c r="T2506" t="inlineStr">
        <is>
          <t>https://www.bharatpetroleum.in/BPCL-Journals-All.aspx</t>
        </is>
      </c>
      <c r="U2506" t="inlineStr">
        <is>
          <t>HTML</t>
        </is>
      </c>
      <c r="V2506" t="inlineStr">
        <is>
          <t>Bot tespit/zenginlestirme (2026-07-01); meta:score=;priority=Low;source_type=html_link;closing_date=;equipment=Unclassified;reasons=</t>
        </is>
      </c>
    </row>
    <row r="2507">
      <c r="A2507" t="inlineStr">
        <is>
          <t>T-2311</t>
        </is>
      </c>
      <c r="B2507" t="inlineStr">
        <is>
          <t>Bharat Petroleum (BPCL CGD)</t>
        </is>
      </c>
      <c r="C2507" t="inlineStr">
        <is>
          <t>Bharat Petroleum (BPCL CGD)</t>
        </is>
      </c>
      <c r="F2507" t="inlineStr">
        <is>
          <t>New Lead</t>
        </is>
      </c>
      <c r="G2507" t="inlineStr">
        <is>
          <t>Unclassified</t>
        </is>
      </c>
      <c r="H2507" t="inlineStr">
        <is>
          <t>Video Gallery</t>
        </is>
      </c>
      <c r="K2507" t="inlineStr">
        <is>
          <t>Not found</t>
        </is>
      </c>
      <c r="L2507" t="inlineStr">
        <is>
          <t>Unknown</t>
        </is>
      </c>
      <c r="T2507" t="inlineStr">
        <is>
          <t>https://www.bharatpetroleum.in/about-bpcl/video-gallery.aspx</t>
        </is>
      </c>
      <c r="U2507" t="inlineStr">
        <is>
          <t>HTML</t>
        </is>
      </c>
      <c r="V2507" t="inlineStr">
        <is>
          <t>Bot tespit/zenginlestirme (2026-07-01); meta:score=;priority=Low;source_type=html_link;closing_date=;equipment=Unclassified;reasons=</t>
        </is>
      </c>
    </row>
    <row r="2508">
      <c r="A2508" t="inlineStr">
        <is>
          <t>T-2312</t>
        </is>
      </c>
      <c r="B2508" t="inlineStr">
        <is>
          <t>Bharat Petroleum (BPCL CGD)</t>
        </is>
      </c>
      <c r="C2508" t="inlineStr">
        <is>
          <t>Bharat Petroleum (BPCL CGD)</t>
        </is>
      </c>
      <c r="F2508" t="inlineStr">
        <is>
          <t>New Lead</t>
        </is>
      </c>
      <c r="G2508" t="inlineStr">
        <is>
          <t>Unclassified</t>
        </is>
      </c>
      <c r="H2508" t="inlineStr">
        <is>
          <t>Media Kit</t>
        </is>
      </c>
      <c r="K2508" t="inlineStr">
        <is>
          <t>Not found</t>
        </is>
      </c>
      <c r="L2508" t="inlineStr">
        <is>
          <t>Unknown</t>
        </is>
      </c>
      <c r="T2508" t="inlineStr">
        <is>
          <t>https://www.bharatpetroleum.in/About-BPCL/Media-Kit.aspx</t>
        </is>
      </c>
      <c r="U2508" t="inlineStr">
        <is>
          <t>HTML</t>
        </is>
      </c>
      <c r="V2508" t="inlineStr">
        <is>
          <t>Bot tespit/zenginlestirme (2026-07-01); meta:score=;priority=Low;source_type=html_link;closing_date=;equipment=Unclassified;reasons=</t>
        </is>
      </c>
    </row>
    <row r="2509">
      <c r="A2509" t="inlineStr">
        <is>
          <t>T-2313</t>
        </is>
      </c>
      <c r="B2509" t="inlineStr">
        <is>
          <t>Bharat Petroleum (BPCL CGD)</t>
        </is>
      </c>
      <c r="C2509" t="inlineStr">
        <is>
          <t>Bharat Petroleum (BPCL CGD)</t>
        </is>
      </c>
      <c r="F2509" t="inlineStr">
        <is>
          <t>New Lead</t>
        </is>
      </c>
      <c r="G2509" t="inlineStr">
        <is>
          <t>Unclassified</t>
        </is>
      </c>
      <c r="H2509" t="inlineStr">
        <is>
          <t>Organisational Chart</t>
        </is>
      </c>
      <c r="K2509" t="inlineStr">
        <is>
          <t>Not found</t>
        </is>
      </c>
      <c r="L2509" t="inlineStr">
        <is>
          <t>Unknown</t>
        </is>
      </c>
      <c r="T2509" t="inlineStr">
        <is>
          <t>https://www.bharatpetroleum.in/About-BPCL/Organisational-Chart.aspx</t>
        </is>
      </c>
      <c r="U2509" t="inlineStr">
        <is>
          <t>HTML</t>
        </is>
      </c>
      <c r="V2509" t="inlineStr">
        <is>
          <t>Bot tespit/zenginlestirme (2026-07-01); meta:score=;priority=Low;source_type=html_link;closing_date=;equipment=Unclassified;reasons=</t>
        </is>
      </c>
    </row>
    <row r="2510">
      <c r="A2510" t="inlineStr">
        <is>
          <t>T-2314</t>
        </is>
      </c>
      <c r="B2510" t="inlineStr">
        <is>
          <t>Bharat Petroleum (BPCL CGD)</t>
        </is>
      </c>
      <c r="C2510" t="inlineStr">
        <is>
          <t>Bharat Petroleum (BPCL CGD)</t>
        </is>
      </c>
      <c r="F2510" t="inlineStr">
        <is>
          <t>New Lead</t>
        </is>
      </c>
      <c r="G2510" t="inlineStr">
        <is>
          <t>Irrelevant / non-target</t>
        </is>
      </c>
      <c r="H2510" t="inlineStr">
        <is>
          <t>Our Businesses Fuels and Services Pure For Sure SmartFleet Speed Fuels Speed 97 UFill PetroCard BPCL SBI Card SmartDrive Door to Door Delivery Beyond Fuels MAK Quik Ghar Biofuels Petro Prices Retail Outlet List Marketing Discipline Guidelines BeCafe eDrive Bharatgas Our Journey Domestic Commercial Bharat Metal Cutting Gas Bharatgas Mini My Bharatgas Become A Distributor MAK Lubricants About MAK Lubricants Automobile Lubricants Industrial Lubricants R and D Centre MAK QOC Centre Infrastructure MAK Connect Partner with MAK Proficiency Testing Joint Ventures MAK Lubricant Solutions MAK SERVE Aviation Services About Aviation Products Services Joint Ventures Gas Natural Gas Liquefied Natural Gas Compressed Natural Gas BPCLs Gas Portfolio City Gas Distribution Natural Gas for your Industry Joint Ventures Gas at BPCL Empanelment of LNG supplier Notices and Advisory from PNGRB ​Help Document for Domestic Piped Natural Gas Industrial and Commercial Industrial Fuel LPG Bitumens Solvent White-Oil</t>
        </is>
      </c>
      <c r="K2510" t="inlineStr">
        <is>
          <t>Not found</t>
        </is>
      </c>
      <c r="L2510" t="inlineStr">
        <is>
          <t>Unknown</t>
        </is>
      </c>
      <c r="T2510" t="inlineStr">
        <is>
          <t>https://www.bharatpetroleum.in/Bharat-Petroleum-For/Our-Businesses.aspx</t>
        </is>
      </c>
      <c r="U2510" t="inlineStr">
        <is>
          <t>HTML</t>
        </is>
      </c>
      <c r="V2510" t="inlineStr">
        <is>
          <t>Bot tespit/zenginlestirme (2026-07-01); meta:score=;priority=Low;source_type=html_table;closing_date=;equipment=Irrelevant / non-target;reasons=irrelevant_equipment</t>
        </is>
      </c>
    </row>
    <row r="2511">
      <c r="A2511" t="inlineStr">
        <is>
          <t>T-2315</t>
        </is>
      </c>
      <c r="B2511" t="inlineStr">
        <is>
          <t>Bharat Petroleum (BPCL CGD)</t>
        </is>
      </c>
      <c r="C2511" t="inlineStr">
        <is>
          <t>Bharat Petroleum (BPCL CGD)</t>
        </is>
      </c>
      <c r="F2511" t="inlineStr">
        <is>
          <t>New Lead</t>
        </is>
      </c>
      <c r="G2511" t="inlineStr">
        <is>
          <t>Unclassified</t>
        </is>
      </c>
      <c r="H2511" t="inlineStr">
        <is>
          <t>Fuels and Services Pure For Sure SmartFleet Speed Fuels Speed 97 UFill PetroCard BPCL SBI Card SmartDrive Door to Door Delivery Beyond Fuels MAK Quik Ghar Biofuels Petro Prices Retail Outlet List Marketing Discipline Guidelines BeCafe eDrive</t>
        </is>
      </c>
      <c r="K2511" t="inlineStr">
        <is>
          <t>Not found</t>
        </is>
      </c>
      <c r="L2511" t="inlineStr">
        <is>
          <t>Unknown</t>
        </is>
      </c>
      <c r="T2511" t="inlineStr">
        <is>
          <t>https://www.bharatpetroleum.in/Bharat-Petroleum-For/Our-Businesses/Fuels-and-Services.aspx</t>
        </is>
      </c>
      <c r="U2511" t="inlineStr">
        <is>
          <t>HTML</t>
        </is>
      </c>
      <c r="V2511" t="inlineStr">
        <is>
          <t>Bot tespit/zenginlestirme (2026-07-01); meta:score=;priority=Low;source_type=html_table;closing_date=;equipment=Unclassified;reasons=</t>
        </is>
      </c>
    </row>
    <row r="2512">
      <c r="A2512" t="inlineStr">
        <is>
          <t>T-2316</t>
        </is>
      </c>
      <c r="B2512" t="inlineStr">
        <is>
          <t>Bharat Petroleum (BPCL CGD)</t>
        </is>
      </c>
      <c r="C2512" t="inlineStr">
        <is>
          <t>Bharat Petroleum (BPCL CGD)</t>
        </is>
      </c>
      <c r="F2512" t="inlineStr">
        <is>
          <t>New Lead</t>
        </is>
      </c>
      <c r="G2512" t="inlineStr">
        <is>
          <t>Unclassified</t>
        </is>
      </c>
      <c r="H2512" t="inlineStr">
        <is>
          <t>Pure For Sure</t>
        </is>
      </c>
      <c r="K2512" t="inlineStr">
        <is>
          <t>Not found</t>
        </is>
      </c>
      <c r="L2512" t="inlineStr">
        <is>
          <t>Unknown</t>
        </is>
      </c>
      <c r="T2512" t="inlineStr">
        <is>
          <t>https://www.bharatpetroleum.in/Bharat-Petroleum-For/Our-Businesses/Fuels-and-Services/Pure-For-Sure.aspx</t>
        </is>
      </c>
      <c r="U2512" t="inlineStr">
        <is>
          <t>HTML</t>
        </is>
      </c>
      <c r="V2512" t="inlineStr">
        <is>
          <t>Bot tespit/zenginlestirme (2026-07-01); meta:score=;priority=Low;source_type=html_link;closing_date=;equipment=Unclassified;reasons=</t>
        </is>
      </c>
    </row>
    <row r="2513">
      <c r="A2513" t="inlineStr">
        <is>
          <t>T-2317</t>
        </is>
      </c>
      <c r="B2513" t="inlineStr">
        <is>
          <t>Bharat Petroleum (BPCL CGD)</t>
        </is>
      </c>
      <c r="C2513" t="inlineStr">
        <is>
          <t>Bharat Petroleum (BPCL CGD)</t>
        </is>
      </c>
      <c r="F2513" t="inlineStr">
        <is>
          <t>New Lead</t>
        </is>
      </c>
      <c r="G2513" t="inlineStr">
        <is>
          <t>Unclassified</t>
        </is>
      </c>
      <c r="H2513" t="inlineStr">
        <is>
          <t>SmartFleet</t>
        </is>
      </c>
      <c r="K2513" t="inlineStr">
        <is>
          <t>Not found</t>
        </is>
      </c>
      <c r="L2513" t="inlineStr">
        <is>
          <t>Unknown</t>
        </is>
      </c>
      <c r="T2513" t="inlineStr">
        <is>
          <t>https://mysmartfleet.com/</t>
        </is>
      </c>
      <c r="U2513" t="inlineStr">
        <is>
          <t>HTML</t>
        </is>
      </c>
      <c r="V2513" t="inlineStr">
        <is>
          <t>Bot tespit/zenginlestirme (2026-07-01); meta:score=;priority=Low;source_type=html_link;closing_date=;equipment=Unclassified;reasons=</t>
        </is>
      </c>
    </row>
    <row r="2514">
      <c r="A2514" t="inlineStr">
        <is>
          <t>T-2318</t>
        </is>
      </c>
      <c r="B2514" t="inlineStr">
        <is>
          <t>Bharat Petroleum (BPCL CGD)</t>
        </is>
      </c>
      <c r="C2514" t="inlineStr">
        <is>
          <t>Bharat Petroleum (BPCL CGD)</t>
        </is>
      </c>
      <c r="F2514" t="inlineStr">
        <is>
          <t>New Lead</t>
        </is>
      </c>
      <c r="G2514" t="inlineStr">
        <is>
          <t>Unclassified</t>
        </is>
      </c>
      <c r="H2514" t="inlineStr">
        <is>
          <t>Speed Fuels</t>
        </is>
      </c>
      <c r="K2514" t="inlineStr">
        <is>
          <t>Not found</t>
        </is>
      </c>
      <c r="L2514" t="inlineStr">
        <is>
          <t>Unknown</t>
        </is>
      </c>
      <c r="T2514" t="inlineStr">
        <is>
          <t>https://www.bharatpetroleum.in/Bharat-Petroleum-For/Our-Businesses/Fuels-and-Services/Speed-Fuels.aspx</t>
        </is>
      </c>
      <c r="U2514" t="inlineStr">
        <is>
          <t>HTML</t>
        </is>
      </c>
      <c r="V2514" t="inlineStr">
        <is>
          <t>Bot tespit/zenginlestirme (2026-07-01); meta:score=;priority=Low;source_type=html_link;closing_date=;equipment=Unclassified;reasons=</t>
        </is>
      </c>
    </row>
    <row r="2515">
      <c r="A2515" t="inlineStr">
        <is>
          <t>T-2319</t>
        </is>
      </c>
      <c r="B2515" t="inlineStr">
        <is>
          <t>Bharat Petroleum (BPCL CGD)</t>
        </is>
      </c>
      <c r="C2515" t="inlineStr">
        <is>
          <t>Bharat Petroleum (BPCL CGD)</t>
        </is>
      </c>
      <c r="F2515" t="inlineStr">
        <is>
          <t>New Lead</t>
        </is>
      </c>
      <c r="G2515" t="inlineStr">
        <is>
          <t>Unclassified</t>
        </is>
      </c>
      <c r="H2515" t="inlineStr">
        <is>
          <t>Speed 97</t>
        </is>
      </c>
      <c r="K2515" t="inlineStr">
        <is>
          <t>Not found</t>
        </is>
      </c>
      <c r="L2515" t="inlineStr">
        <is>
          <t>Unknown</t>
        </is>
      </c>
      <c r="T2515" t="inlineStr">
        <is>
          <t>https://www.bharatpetroleum.in/Bharat-Petroleum-For/Our-Businesses/Fuels-and-Services/Speed-97.aspx</t>
        </is>
      </c>
      <c r="U2515" t="inlineStr">
        <is>
          <t>HTML</t>
        </is>
      </c>
      <c r="V2515" t="inlineStr">
        <is>
          <t>Bot tespit/zenginlestirme (2026-07-01); meta:score=;priority=Low;source_type=html_link;closing_date=;equipment=Unclassified;reasons=</t>
        </is>
      </c>
    </row>
    <row r="2516">
      <c r="A2516" t="inlineStr">
        <is>
          <t>T-2320</t>
        </is>
      </c>
      <c r="B2516" t="inlineStr">
        <is>
          <t>Bharat Petroleum (BPCL CGD)</t>
        </is>
      </c>
      <c r="C2516" t="inlineStr">
        <is>
          <t>Bharat Petroleum (BPCL CGD)</t>
        </is>
      </c>
      <c r="F2516" t="inlineStr">
        <is>
          <t>New Lead</t>
        </is>
      </c>
      <c r="G2516" t="inlineStr">
        <is>
          <t>Unclassified</t>
        </is>
      </c>
      <c r="H2516" t="inlineStr">
        <is>
          <t>UFill</t>
        </is>
      </c>
      <c r="K2516" t="inlineStr">
        <is>
          <t>Not found</t>
        </is>
      </c>
      <c r="L2516" t="inlineStr">
        <is>
          <t>Unknown</t>
        </is>
      </c>
      <c r="T2516" t="inlineStr">
        <is>
          <t>https://www.bharatpetroleum.in/Bharat-Petroleum-For/Our-Businesses/Fuels-and-Services/UFill.aspx</t>
        </is>
      </c>
      <c r="U2516" t="inlineStr">
        <is>
          <t>HTML</t>
        </is>
      </c>
      <c r="V2516" t="inlineStr">
        <is>
          <t>Bot tespit/zenginlestirme (2026-07-01); meta:score=;priority=Low;source_type=html_link;closing_date=;equipment=Unclassified;reasons=</t>
        </is>
      </c>
    </row>
    <row r="2517">
      <c r="A2517" t="inlineStr">
        <is>
          <t>T-2321</t>
        </is>
      </c>
      <c r="B2517" t="inlineStr">
        <is>
          <t>Bharat Petroleum (BPCL CGD)</t>
        </is>
      </c>
      <c r="C2517" t="inlineStr">
        <is>
          <t>Bharat Petroleum (BPCL CGD)</t>
        </is>
      </c>
      <c r="F2517" t="inlineStr">
        <is>
          <t>New Lead</t>
        </is>
      </c>
      <c r="G2517" t="inlineStr">
        <is>
          <t>Unclassified</t>
        </is>
      </c>
      <c r="H2517" t="inlineStr">
        <is>
          <t>PetroCard</t>
        </is>
      </c>
      <c r="K2517" t="inlineStr">
        <is>
          <t>Not found</t>
        </is>
      </c>
      <c r="L2517" t="inlineStr">
        <is>
          <t>Unknown</t>
        </is>
      </c>
      <c r="T2517" t="inlineStr">
        <is>
          <t>https://www.bharatpetroleum.in/Bharat-Petroleum-For/Our-Businesses/Fuels-and-Services/PetroCard.aspx</t>
        </is>
      </c>
      <c r="U2517" t="inlineStr">
        <is>
          <t>HTML</t>
        </is>
      </c>
      <c r="V2517" t="inlineStr">
        <is>
          <t>Bot tespit/zenginlestirme (2026-07-01); meta:score=;priority=Low;source_type=html_link;closing_date=;equipment=Unclassified;reasons=</t>
        </is>
      </c>
    </row>
    <row r="2518">
      <c r="A2518" t="inlineStr">
        <is>
          <t>T-2322</t>
        </is>
      </c>
      <c r="B2518" t="inlineStr">
        <is>
          <t>Bharat Petroleum (BPCL CGD)</t>
        </is>
      </c>
      <c r="C2518" t="inlineStr">
        <is>
          <t>Bharat Petroleum (BPCL CGD)</t>
        </is>
      </c>
      <c r="F2518" t="inlineStr">
        <is>
          <t>New Lead</t>
        </is>
      </c>
      <c r="G2518" t="inlineStr">
        <is>
          <t>Unclassified</t>
        </is>
      </c>
      <c r="H2518" t="inlineStr">
        <is>
          <t>BPCL SBI Card</t>
        </is>
      </c>
      <c r="K2518" t="inlineStr">
        <is>
          <t>Not found</t>
        </is>
      </c>
      <c r="L2518" t="inlineStr">
        <is>
          <t>Unknown</t>
        </is>
      </c>
      <c r="T2518" t="inlineStr">
        <is>
          <t>https://www.bharatpetroleum.in/Bharat-Petroleum-For/Our-Businesses/Fuels-and-Services/BPCL-SBI-Card.aspx</t>
        </is>
      </c>
      <c r="U2518" t="inlineStr">
        <is>
          <t>HTML</t>
        </is>
      </c>
      <c r="V2518" t="inlineStr">
        <is>
          <t>Bot tespit/zenginlestirme (2026-07-01); meta:score=;priority=Low;source_type=html_link;closing_date=;equipment=Unclassified;reasons=</t>
        </is>
      </c>
    </row>
    <row r="2519">
      <c r="A2519" t="inlineStr">
        <is>
          <t>T-2323</t>
        </is>
      </c>
      <c r="B2519" t="inlineStr">
        <is>
          <t>Bharat Petroleum (BPCL CGD)</t>
        </is>
      </c>
      <c r="C2519" t="inlineStr">
        <is>
          <t>Bharat Petroleum (BPCL CGD)</t>
        </is>
      </c>
      <c r="F2519" t="inlineStr">
        <is>
          <t>New Lead</t>
        </is>
      </c>
      <c r="G2519" t="inlineStr">
        <is>
          <t>Unclassified</t>
        </is>
      </c>
      <c r="H2519" t="inlineStr">
        <is>
          <t>SmartDrive</t>
        </is>
      </c>
      <c r="K2519" t="inlineStr">
        <is>
          <t>Not found</t>
        </is>
      </c>
      <c r="L2519" t="inlineStr">
        <is>
          <t>Unknown</t>
        </is>
      </c>
      <c r="T2519" t="inlineStr">
        <is>
          <t>https://www.bharatpetroleum.in/Bharat-Petroleum-For/Our-Businesses/Fuels-and-Services/SmartDrive.aspx</t>
        </is>
      </c>
      <c r="U2519" t="inlineStr">
        <is>
          <t>HTML</t>
        </is>
      </c>
      <c r="V2519" t="inlineStr">
        <is>
          <t>Bot tespit/zenginlestirme (2026-07-01); meta:score=;priority=Low;source_type=html_link;closing_date=;equipment=Unclassified;reasons=</t>
        </is>
      </c>
    </row>
    <row r="2520">
      <c r="A2520" t="inlineStr">
        <is>
          <t>T-2324</t>
        </is>
      </c>
      <c r="B2520" t="inlineStr">
        <is>
          <t>Bharat Petroleum (BPCL CGD)</t>
        </is>
      </c>
      <c r="C2520" t="inlineStr">
        <is>
          <t>Bharat Petroleum (BPCL CGD)</t>
        </is>
      </c>
      <c r="F2520" t="inlineStr">
        <is>
          <t>New Lead</t>
        </is>
      </c>
      <c r="G2520" t="inlineStr">
        <is>
          <t>Unclassified</t>
        </is>
      </c>
      <c r="H2520" t="inlineStr">
        <is>
          <t>Door to Door Delivery</t>
        </is>
      </c>
      <c r="K2520" t="inlineStr">
        <is>
          <t>Not found</t>
        </is>
      </c>
      <c r="L2520" t="inlineStr">
        <is>
          <t>Unknown</t>
        </is>
      </c>
      <c r="T2520" t="inlineStr">
        <is>
          <t>https://www.bharatpetroleum.in/Bharat-Petroleum-For/Our-Businesses/Fuels-and-Services/Door-to-Door-Delivery.aspx</t>
        </is>
      </c>
      <c r="U2520" t="inlineStr">
        <is>
          <t>HTML</t>
        </is>
      </c>
      <c r="V2520" t="inlineStr">
        <is>
          <t>Bot tespit/zenginlestirme (2026-07-01); meta:score=;priority=Low;source_type=html_link;closing_date=;equipment=Unclassified;reasons=</t>
        </is>
      </c>
    </row>
    <row r="2521">
      <c r="A2521" t="inlineStr">
        <is>
          <t>T-2325</t>
        </is>
      </c>
      <c r="B2521" t="inlineStr">
        <is>
          <t>Bharat Petroleum (BPCL CGD)</t>
        </is>
      </c>
      <c r="C2521" t="inlineStr">
        <is>
          <t>Bharat Petroleum (BPCL CGD)</t>
        </is>
      </c>
      <c r="F2521" t="inlineStr">
        <is>
          <t>New Lead</t>
        </is>
      </c>
      <c r="G2521" t="inlineStr">
        <is>
          <t>Unclassified</t>
        </is>
      </c>
      <c r="H2521" t="inlineStr">
        <is>
          <t>Beyond Fuels</t>
        </is>
      </c>
      <c r="K2521" t="inlineStr">
        <is>
          <t>Not found</t>
        </is>
      </c>
      <c r="L2521" t="inlineStr">
        <is>
          <t>Unknown</t>
        </is>
      </c>
      <c r="T2521" t="inlineStr">
        <is>
          <t>https://www.bharatpetroleum.in/Bharat-Petroleum-For/Our-Businesses/Fuels-and-Services/BeyondFuels.aspx</t>
        </is>
      </c>
      <c r="U2521" t="inlineStr">
        <is>
          <t>HTML</t>
        </is>
      </c>
      <c r="V2521" t="inlineStr">
        <is>
          <t>Bot tespit/zenginlestirme (2026-07-01); meta:score=;priority=Low;source_type=html_link;closing_date=;equipment=Unclassified;reasons=</t>
        </is>
      </c>
    </row>
    <row r="2522">
      <c r="A2522" t="inlineStr">
        <is>
          <t>T-2326</t>
        </is>
      </c>
      <c r="B2522" t="inlineStr">
        <is>
          <t>Bharat Petroleum (BPCL CGD)</t>
        </is>
      </c>
      <c r="C2522" t="inlineStr">
        <is>
          <t>Bharat Petroleum (BPCL CGD)</t>
        </is>
      </c>
      <c r="F2522" t="inlineStr">
        <is>
          <t>New Lead</t>
        </is>
      </c>
      <c r="G2522" t="inlineStr">
        <is>
          <t>Unclassified</t>
        </is>
      </c>
      <c r="H2522" t="inlineStr">
        <is>
          <t>MAK Quik</t>
        </is>
      </c>
      <c r="K2522" t="inlineStr">
        <is>
          <t>Not found</t>
        </is>
      </c>
      <c r="L2522" t="inlineStr">
        <is>
          <t>Unknown</t>
        </is>
      </c>
      <c r="T2522" t="inlineStr">
        <is>
          <t>https://www.bharatpetroleum.in/Bharat-Petroleum-For/Our-Businesses/Fuels-and-Services/MAK-Quik.aspx</t>
        </is>
      </c>
      <c r="U2522" t="inlineStr">
        <is>
          <t>HTML</t>
        </is>
      </c>
      <c r="V2522" t="inlineStr">
        <is>
          <t>Bot tespit/zenginlestirme (2026-07-01); meta:score=;priority=Low;source_type=html_link;closing_date=;equipment=Unclassified;reasons=</t>
        </is>
      </c>
    </row>
    <row r="2523">
      <c r="A2523" t="inlineStr">
        <is>
          <t>T-2327</t>
        </is>
      </c>
      <c r="B2523" t="inlineStr">
        <is>
          <t>Bharat Petroleum (BPCL CGD)</t>
        </is>
      </c>
      <c r="C2523" t="inlineStr">
        <is>
          <t>Bharat Petroleum (BPCL CGD)</t>
        </is>
      </c>
      <c r="F2523" t="inlineStr">
        <is>
          <t>New Lead</t>
        </is>
      </c>
      <c r="G2523" t="inlineStr">
        <is>
          <t>Unclassified</t>
        </is>
      </c>
      <c r="H2523" t="inlineStr">
        <is>
          <t>Ghar</t>
        </is>
      </c>
      <c r="K2523" t="inlineStr">
        <is>
          <t>Not found</t>
        </is>
      </c>
      <c r="L2523" t="inlineStr">
        <is>
          <t>Unknown</t>
        </is>
      </c>
      <c r="T2523" t="inlineStr">
        <is>
          <t>https://www.bharatpetroleum.in/Bharat-Petroleum-For/Our-Businesses/Fuels-and-Services/Ghar.aspx</t>
        </is>
      </c>
      <c r="U2523" t="inlineStr">
        <is>
          <t>HTML</t>
        </is>
      </c>
      <c r="V2523" t="inlineStr">
        <is>
          <t>Bot tespit/zenginlestirme (2026-07-01); meta:score=;priority=Low;source_type=html_link;closing_date=;equipment=Unclassified;reasons=</t>
        </is>
      </c>
    </row>
    <row r="2524">
      <c r="A2524" t="inlineStr">
        <is>
          <t>T-2328</t>
        </is>
      </c>
      <c r="B2524" t="inlineStr">
        <is>
          <t>Bharat Petroleum (BPCL CGD)</t>
        </is>
      </c>
      <c r="C2524" t="inlineStr">
        <is>
          <t>Bharat Petroleum (BPCL CGD)</t>
        </is>
      </c>
      <c r="F2524" t="inlineStr">
        <is>
          <t>New Lead</t>
        </is>
      </c>
      <c r="G2524" t="inlineStr">
        <is>
          <t>Unclassified</t>
        </is>
      </c>
      <c r="H2524" t="inlineStr">
        <is>
          <t>Biofuels</t>
        </is>
      </c>
      <c r="K2524" t="inlineStr">
        <is>
          <t>Not found</t>
        </is>
      </c>
      <c r="L2524" t="inlineStr">
        <is>
          <t>Unknown</t>
        </is>
      </c>
      <c r="T2524" t="inlineStr">
        <is>
          <t>https://www.bharatpetroleum.in/Bharat-Petroleum-For/Our-Businesses/Fuels-and-Services/Biofuels.aspx</t>
        </is>
      </c>
      <c r="U2524" t="inlineStr">
        <is>
          <t>HTML</t>
        </is>
      </c>
      <c r="V2524" t="inlineStr">
        <is>
          <t>Bot tespit/zenginlestirme (2026-07-01); meta:score=;priority=Low;source_type=html_link;closing_date=;equipment=Unclassified;reasons=</t>
        </is>
      </c>
    </row>
    <row r="2525">
      <c r="A2525" t="inlineStr">
        <is>
          <t>T-2329</t>
        </is>
      </c>
      <c r="B2525" t="inlineStr">
        <is>
          <t>Bharat Petroleum (BPCL CGD)</t>
        </is>
      </c>
      <c r="C2525" t="inlineStr">
        <is>
          <t>Bharat Petroleum (BPCL CGD)</t>
        </is>
      </c>
      <c r="F2525" t="inlineStr">
        <is>
          <t>New Lead</t>
        </is>
      </c>
      <c r="G2525" t="inlineStr">
        <is>
          <t>Unclassified</t>
        </is>
      </c>
      <c r="H2525" t="inlineStr">
        <is>
          <t>Petro Prices</t>
        </is>
      </c>
      <c r="K2525" t="inlineStr">
        <is>
          <t>Not found</t>
        </is>
      </c>
      <c r="L2525" t="inlineStr">
        <is>
          <t>Unknown</t>
        </is>
      </c>
      <c r="T2525" t="inlineStr">
        <is>
          <t>https://www.bharatpetroleum.in/Bharat-Petroleum-For/Our-Businesses/Fuels-and-Services/Petro-Prices.aspx</t>
        </is>
      </c>
      <c r="U2525" t="inlineStr">
        <is>
          <t>HTML</t>
        </is>
      </c>
      <c r="V2525" t="inlineStr">
        <is>
          <t>Bot tespit/zenginlestirme (2026-07-01); meta:score=;priority=Low;source_type=html_link;closing_date=;equipment=Unclassified;reasons=</t>
        </is>
      </c>
    </row>
    <row r="2526">
      <c r="A2526" t="inlineStr">
        <is>
          <t>T-2330</t>
        </is>
      </c>
      <c r="B2526" t="inlineStr">
        <is>
          <t>Bharat Petroleum (BPCL CGD)</t>
        </is>
      </c>
      <c r="C2526" t="inlineStr">
        <is>
          <t>Bharat Petroleum (BPCL CGD)</t>
        </is>
      </c>
      <c r="F2526" t="inlineStr">
        <is>
          <t>New Lead</t>
        </is>
      </c>
      <c r="G2526" t="inlineStr">
        <is>
          <t>Unclassified</t>
        </is>
      </c>
      <c r="H2526" t="inlineStr">
        <is>
          <t>Retail Outlet List</t>
        </is>
      </c>
      <c r="K2526" t="inlineStr">
        <is>
          <t>Not found</t>
        </is>
      </c>
      <c r="L2526" t="inlineStr">
        <is>
          <t>Unknown</t>
        </is>
      </c>
      <c r="T2526" t="inlineStr">
        <is>
          <t>https://www.bharatpetroleum.in/Bharat-Petroleum-For/Our-Businesses/Fuels-and-Services/Retail-Outlet-List.aspx</t>
        </is>
      </c>
      <c r="U2526" t="inlineStr">
        <is>
          <t>HTML</t>
        </is>
      </c>
      <c r="V2526" t="inlineStr">
        <is>
          <t>Bot tespit/zenginlestirme (2026-07-01); meta:score=;priority=Low;source_type=html_link;closing_date=;equipment=Unclassified;reasons=</t>
        </is>
      </c>
    </row>
    <row r="2527">
      <c r="A2527" t="inlineStr">
        <is>
          <t>T-2331</t>
        </is>
      </c>
      <c r="B2527" t="inlineStr">
        <is>
          <t>Bharat Petroleum (BPCL CGD)</t>
        </is>
      </c>
      <c r="C2527" t="inlineStr">
        <is>
          <t>Bharat Petroleum (BPCL CGD)</t>
        </is>
      </c>
      <c r="F2527" t="inlineStr">
        <is>
          <t>New Lead</t>
        </is>
      </c>
      <c r="G2527" t="inlineStr">
        <is>
          <t>Unclassified</t>
        </is>
      </c>
      <c r="H2527" t="inlineStr">
        <is>
          <t>Marketing Discipline Guidelines</t>
        </is>
      </c>
      <c r="K2527" t="inlineStr">
        <is>
          <t>Not found</t>
        </is>
      </c>
      <c r="L2527" t="inlineStr">
        <is>
          <t>Unknown</t>
        </is>
      </c>
      <c r="T2527" t="inlineStr">
        <is>
          <t>https://www.bharatpetroleum.in/Bharat-Petroleum-For/Our-Businesses/Fuels-and-Services/Marketing-Discipline-Guidelines.aspx</t>
        </is>
      </c>
      <c r="U2527" t="inlineStr">
        <is>
          <t>HTML</t>
        </is>
      </c>
      <c r="V2527" t="inlineStr">
        <is>
          <t>Bot tespit/zenginlestirme (2026-07-01); meta:score=;priority=Low;source_type=html_link;closing_date=;equipment=Unclassified;reasons=</t>
        </is>
      </c>
    </row>
    <row r="2528">
      <c r="A2528" t="inlineStr">
        <is>
          <t>T-2332</t>
        </is>
      </c>
      <c r="B2528" t="inlineStr">
        <is>
          <t>Bharat Petroleum (BPCL CGD)</t>
        </is>
      </c>
      <c r="C2528" t="inlineStr">
        <is>
          <t>Bharat Petroleum (BPCL CGD)</t>
        </is>
      </c>
      <c r="F2528" t="inlineStr">
        <is>
          <t>New Lead</t>
        </is>
      </c>
      <c r="G2528" t="inlineStr">
        <is>
          <t>Unclassified</t>
        </is>
      </c>
      <c r="H2528" t="inlineStr">
        <is>
          <t>BeCafe</t>
        </is>
      </c>
      <c r="K2528" t="inlineStr">
        <is>
          <t>Not found</t>
        </is>
      </c>
      <c r="L2528" t="inlineStr">
        <is>
          <t>Unknown</t>
        </is>
      </c>
      <c r="T2528" t="inlineStr">
        <is>
          <t>https://www.bharatpetroleum.in/our-businesses/fuels-and-services/becafe.aspx</t>
        </is>
      </c>
      <c r="U2528" t="inlineStr">
        <is>
          <t>HTML</t>
        </is>
      </c>
      <c r="V2528" t="inlineStr">
        <is>
          <t>Bot tespit/zenginlestirme (2026-07-01); meta:score=;priority=Low;source_type=html_link;closing_date=;equipment=Unclassified;reasons=</t>
        </is>
      </c>
    </row>
    <row r="2529">
      <c r="A2529" t="inlineStr">
        <is>
          <t>T-2333</t>
        </is>
      </c>
      <c r="B2529" t="inlineStr">
        <is>
          <t>Bharat Petroleum (BPCL CGD)</t>
        </is>
      </c>
      <c r="C2529" t="inlineStr">
        <is>
          <t>Bharat Petroleum (BPCL CGD)</t>
        </is>
      </c>
      <c r="F2529" t="inlineStr">
        <is>
          <t>New Lead</t>
        </is>
      </c>
      <c r="G2529" t="inlineStr">
        <is>
          <t>Unclassified</t>
        </is>
      </c>
      <c r="H2529" t="inlineStr">
        <is>
          <t>eDrive</t>
        </is>
      </c>
      <c r="K2529" t="inlineStr">
        <is>
          <t>Not found</t>
        </is>
      </c>
      <c r="L2529" t="inlineStr">
        <is>
          <t>Unknown</t>
        </is>
      </c>
      <c r="T2529" t="inlineStr">
        <is>
          <t>https://www.bharatpetroleum.in/our-businesses/fuels-and-services/edrive.aspx</t>
        </is>
      </c>
      <c r="U2529" t="inlineStr">
        <is>
          <t>HTML</t>
        </is>
      </c>
      <c r="V2529" t="inlineStr">
        <is>
          <t>Bot tespit/zenginlestirme (2026-07-01); meta:score=;priority=Low;source_type=html_link;closing_date=;equipment=Unclassified;reasons=</t>
        </is>
      </c>
    </row>
    <row r="2530">
      <c r="A2530" t="inlineStr">
        <is>
          <t>T-2334</t>
        </is>
      </c>
      <c r="B2530" t="inlineStr">
        <is>
          <t>Bharat Petroleum (BPCL CGD)</t>
        </is>
      </c>
      <c r="C2530" t="inlineStr">
        <is>
          <t>Bharat Petroleum (BPCL CGD)</t>
        </is>
      </c>
      <c r="F2530" t="inlineStr">
        <is>
          <t>New Lead</t>
        </is>
      </c>
      <c r="G2530" t="inlineStr">
        <is>
          <t>Unclassified</t>
        </is>
      </c>
      <c r="H2530" t="inlineStr">
        <is>
          <t>Our Journey</t>
        </is>
      </c>
      <c r="K2530" t="inlineStr">
        <is>
          <t>Not found</t>
        </is>
      </c>
      <c r="L2530" t="inlineStr">
        <is>
          <t>Unknown</t>
        </is>
      </c>
      <c r="T2530" t="inlineStr">
        <is>
          <t>https://www.bharatpetroleum.in/Bharat-Petroleum-For/Our-Businesses/Bharatgas/Our-Journey.aspx</t>
        </is>
      </c>
      <c r="U2530" t="inlineStr">
        <is>
          <t>HTML</t>
        </is>
      </c>
      <c r="V2530" t="inlineStr">
        <is>
          <t>Bot tespit/zenginlestirme (2026-07-01); meta:score=;priority=Low;source_type=html_link;closing_date=;equipment=Unclassified;reasons=</t>
        </is>
      </c>
    </row>
    <row r="2531">
      <c r="A2531" t="inlineStr">
        <is>
          <t>T-2335</t>
        </is>
      </c>
      <c r="B2531" t="inlineStr">
        <is>
          <t>Bharat Petroleum (BPCL CGD)</t>
        </is>
      </c>
      <c r="C2531" t="inlineStr">
        <is>
          <t>Bharat Petroleum (BPCL CGD)</t>
        </is>
      </c>
      <c r="F2531" t="inlineStr">
        <is>
          <t>New Lead</t>
        </is>
      </c>
      <c r="G2531" t="inlineStr">
        <is>
          <t>Unclassified</t>
        </is>
      </c>
      <c r="H2531" t="inlineStr">
        <is>
          <t>Domestic</t>
        </is>
      </c>
      <c r="K2531" t="inlineStr">
        <is>
          <t>Not found</t>
        </is>
      </c>
      <c r="L2531" t="inlineStr">
        <is>
          <t>Unknown</t>
        </is>
      </c>
      <c r="T2531" t="inlineStr">
        <is>
          <t>https://www.bharatpetroleum.in/Bharat-Petroleum-For/Our-Businesses/Bharatgas/Domestic.aspx</t>
        </is>
      </c>
      <c r="U2531" t="inlineStr">
        <is>
          <t>HTML</t>
        </is>
      </c>
      <c r="V2531" t="inlineStr">
        <is>
          <t>Bot tespit/zenginlestirme (2026-07-01); meta:score=;priority=Low;source_type=html_link;closing_date=;equipment=Unclassified;reasons=</t>
        </is>
      </c>
    </row>
    <row r="2532">
      <c r="A2532" t="inlineStr">
        <is>
          <t>T-2336</t>
        </is>
      </c>
      <c r="B2532" t="inlineStr">
        <is>
          <t>Bharat Petroleum (BPCL CGD)</t>
        </is>
      </c>
      <c r="C2532" t="inlineStr">
        <is>
          <t>Bharat Petroleum (BPCL CGD)</t>
        </is>
      </c>
      <c r="F2532" t="inlineStr">
        <is>
          <t>New Lead</t>
        </is>
      </c>
      <c r="G2532" t="inlineStr">
        <is>
          <t>Unclassified</t>
        </is>
      </c>
      <c r="H2532" t="inlineStr">
        <is>
          <t>Commercial</t>
        </is>
      </c>
      <c r="K2532" t="inlineStr">
        <is>
          <t>Not found</t>
        </is>
      </c>
      <c r="L2532" t="inlineStr">
        <is>
          <t>Unknown</t>
        </is>
      </c>
      <c r="T2532" t="inlineStr">
        <is>
          <t>https://www.bharatpetroleum.in/Bharat-Petroleum-For/Our-Businesses/Bharatgas/Commercial.aspx</t>
        </is>
      </c>
      <c r="U2532" t="inlineStr">
        <is>
          <t>HTML</t>
        </is>
      </c>
      <c r="V2532" t="inlineStr">
        <is>
          <t>Bot tespit/zenginlestirme (2026-07-01); meta:score=;priority=Low;source_type=html_link;closing_date=;equipment=Unclassified;reasons=</t>
        </is>
      </c>
    </row>
    <row r="2533">
      <c r="A2533" t="inlineStr">
        <is>
          <t>T-2337</t>
        </is>
      </c>
      <c r="B2533" t="inlineStr">
        <is>
          <t>Bharat Petroleum (BPCL CGD)</t>
        </is>
      </c>
      <c r="C2533" t="inlineStr">
        <is>
          <t>Bharat Petroleum (BPCL CGD)</t>
        </is>
      </c>
      <c r="F2533" t="inlineStr">
        <is>
          <t>New Lead</t>
        </is>
      </c>
      <c r="G2533" t="inlineStr">
        <is>
          <t>Unclassified</t>
        </is>
      </c>
      <c r="H2533" t="inlineStr">
        <is>
          <t>Bharatgas Mini</t>
        </is>
      </c>
      <c r="K2533" t="inlineStr">
        <is>
          <t>Not found</t>
        </is>
      </c>
      <c r="L2533" t="inlineStr">
        <is>
          <t>Unknown</t>
        </is>
      </c>
      <c r="T2533" t="inlineStr">
        <is>
          <t>https://www.bharatpetroleum.in/Bharat-Petroleum-For/Our-Businesses/Bharatgas/Bharatgas-Mini.aspx</t>
        </is>
      </c>
      <c r="U2533" t="inlineStr">
        <is>
          <t>HTML</t>
        </is>
      </c>
      <c r="V2533" t="inlineStr">
        <is>
          <t>Bot tespit/zenginlestirme (2026-07-01); meta:score=;priority=Low;source_type=html_link;closing_date=;equipment=Unclassified;reasons=</t>
        </is>
      </c>
    </row>
    <row r="2534">
      <c r="A2534" t="inlineStr">
        <is>
          <t>T-2338</t>
        </is>
      </c>
      <c r="B2534" t="inlineStr">
        <is>
          <t>Bharat Petroleum (BPCL CGD)</t>
        </is>
      </c>
      <c r="C2534" t="inlineStr">
        <is>
          <t>Bharat Petroleum (BPCL CGD)</t>
        </is>
      </c>
      <c r="F2534" t="inlineStr">
        <is>
          <t>New Lead</t>
        </is>
      </c>
      <c r="G2534" t="inlineStr">
        <is>
          <t>Unclassified</t>
        </is>
      </c>
      <c r="H2534" t="inlineStr">
        <is>
          <t>My Bharatgas</t>
        </is>
      </c>
      <c r="K2534" t="inlineStr">
        <is>
          <t>Not found</t>
        </is>
      </c>
      <c r="L2534" t="inlineStr">
        <is>
          <t>Unknown</t>
        </is>
      </c>
      <c r="T2534" t="inlineStr">
        <is>
          <t>https://my.ebharatgas.com/bharatgas/LPGServices/Index</t>
        </is>
      </c>
      <c r="U2534" t="inlineStr">
        <is>
          <t>HTML</t>
        </is>
      </c>
      <c r="V2534" t="inlineStr">
        <is>
          <t>Bot tespit/zenginlestirme (2026-07-01); meta:score=;priority=Low;source_type=html_link;closing_date=;equipment=Unclassified;reasons=</t>
        </is>
      </c>
    </row>
    <row r="2535">
      <c r="A2535" t="inlineStr">
        <is>
          <t>T-2339</t>
        </is>
      </c>
      <c r="B2535" t="inlineStr">
        <is>
          <t>Bharat Petroleum (BPCL CGD)</t>
        </is>
      </c>
      <c r="C2535" t="inlineStr">
        <is>
          <t>Bharat Petroleum (BPCL CGD)</t>
        </is>
      </c>
      <c r="F2535" t="inlineStr">
        <is>
          <t>New Lead</t>
        </is>
      </c>
      <c r="G2535" t="inlineStr">
        <is>
          <t>Unclassified</t>
        </is>
      </c>
      <c r="H2535" t="inlineStr">
        <is>
          <t>Become A Distributor</t>
        </is>
      </c>
      <c r="K2535" t="inlineStr">
        <is>
          <t>Not found</t>
        </is>
      </c>
      <c r="L2535" t="inlineStr">
        <is>
          <t>Unknown</t>
        </is>
      </c>
      <c r="T2535" t="inlineStr">
        <is>
          <t>https://www.bharatpetroleum.in/Bharat-Petroleum-For/Our-Businesses/Bharatgas/Become-A-Distributor.aspx</t>
        </is>
      </c>
      <c r="U2535" t="inlineStr">
        <is>
          <t>HTML</t>
        </is>
      </c>
      <c r="V2535" t="inlineStr">
        <is>
          <t>Bot tespit/zenginlestirme (2026-07-01); meta:score=;priority=Low;source_type=html_link;closing_date=;equipment=Unclassified;reasons=</t>
        </is>
      </c>
    </row>
    <row r="2536">
      <c r="A2536" t="inlineStr">
        <is>
          <t>T-2340</t>
        </is>
      </c>
      <c r="B2536" t="inlineStr">
        <is>
          <t>Bharat Petroleum (BPCL CGD)</t>
        </is>
      </c>
      <c r="C2536" t="inlineStr">
        <is>
          <t>Bharat Petroleum (BPCL CGD)</t>
        </is>
      </c>
      <c r="F2536" t="inlineStr">
        <is>
          <t>New Lead</t>
        </is>
      </c>
      <c r="G2536" t="inlineStr">
        <is>
          <t>Irrelevant / non-target</t>
        </is>
      </c>
      <c r="H2536" t="inlineStr">
        <is>
          <t>MAK Lubricants About MAK Lubricants Automobile Lubricants Industrial Lubricants R and D Centre MAK QOC Centre Infrastructure MAK Connect Partner with MAK Proficiency Testing Joint Ventures MAK Lubricant Solutions MAK SERVE</t>
        </is>
      </c>
      <c r="K2536" t="inlineStr">
        <is>
          <t>Not found</t>
        </is>
      </c>
      <c r="L2536" t="inlineStr">
        <is>
          <t>Unknown</t>
        </is>
      </c>
      <c r="T2536" t="inlineStr">
        <is>
          <t>https://www.bharatpetroleum.in/Bharat-Petroleum-For/Our-Businesses/MAK-Lubricants.aspx</t>
        </is>
      </c>
      <c r="U2536" t="inlineStr">
        <is>
          <t>HTML</t>
        </is>
      </c>
      <c r="V2536" t="inlineStr">
        <is>
          <t>Bot tespit/zenginlestirme (2026-07-01); meta:score=;priority=Low;source_type=html_table;closing_date=;equipment=Irrelevant / non-target;reasons=irrelevant_equipment</t>
        </is>
      </c>
    </row>
    <row r="2537">
      <c r="A2537" t="inlineStr">
        <is>
          <t>T-2341</t>
        </is>
      </c>
      <c r="B2537" t="inlineStr">
        <is>
          <t>Bharat Petroleum (BPCL CGD)</t>
        </is>
      </c>
      <c r="C2537" t="inlineStr">
        <is>
          <t>Bharat Petroleum (BPCL CGD)</t>
        </is>
      </c>
      <c r="F2537" t="inlineStr">
        <is>
          <t>New Lead</t>
        </is>
      </c>
      <c r="G2537" t="inlineStr">
        <is>
          <t>Irrelevant / non-target</t>
        </is>
      </c>
      <c r="H2537" t="inlineStr">
        <is>
          <t>About MAK Lubricants</t>
        </is>
      </c>
      <c r="K2537" t="inlineStr">
        <is>
          <t>Not found</t>
        </is>
      </c>
      <c r="L2537" t="inlineStr">
        <is>
          <t>Unknown</t>
        </is>
      </c>
      <c r="T2537" t="inlineStr">
        <is>
          <t>https://www.bharatpetroleum.in/Bharat-Petroleum-For/Our-Businesses/MAK-Lubricants/About-MAK-Lubricants.aspx</t>
        </is>
      </c>
      <c r="U2537" t="inlineStr">
        <is>
          <t>HTML</t>
        </is>
      </c>
      <c r="V2537" t="inlineStr">
        <is>
          <t>Bot tespit/zenginlestirme (2026-07-01); meta:score=;priority=Low;source_type=html_link;closing_date=;equipment=Irrelevant / non-target;reasons=irrelevant_equipment</t>
        </is>
      </c>
    </row>
    <row r="2538">
      <c r="A2538" t="inlineStr">
        <is>
          <t>T-2342</t>
        </is>
      </c>
      <c r="B2538" t="inlineStr">
        <is>
          <t>Bharat Petroleum (BPCL CGD)</t>
        </is>
      </c>
      <c r="C2538" t="inlineStr">
        <is>
          <t>Bharat Petroleum (BPCL CGD)</t>
        </is>
      </c>
      <c r="F2538" t="inlineStr">
        <is>
          <t>New Lead</t>
        </is>
      </c>
      <c r="G2538" t="inlineStr">
        <is>
          <t>Irrelevant / non-target</t>
        </is>
      </c>
      <c r="H2538" t="inlineStr">
        <is>
          <t>Automobile Lubricants</t>
        </is>
      </c>
      <c r="K2538" t="inlineStr">
        <is>
          <t>Not found</t>
        </is>
      </c>
      <c r="L2538" t="inlineStr">
        <is>
          <t>Unknown</t>
        </is>
      </c>
      <c r="T2538" t="inlineStr">
        <is>
          <t>https://www.bharatpetroleum.in/Bharat-Petroleum-For/Our-Businesses/MAK-Lubricants/Automobile-Lubricants.aspx</t>
        </is>
      </c>
      <c r="U2538" t="inlineStr">
        <is>
          <t>HTML</t>
        </is>
      </c>
      <c r="V2538" t="inlineStr">
        <is>
          <t>Bot tespit/zenginlestirme (2026-07-01); meta:score=;priority=Low;source_type=html_link;closing_date=;equipment=Irrelevant / non-target;reasons=irrelevant_equipment</t>
        </is>
      </c>
    </row>
    <row r="2539">
      <c r="A2539" t="inlineStr">
        <is>
          <t>T-2343</t>
        </is>
      </c>
      <c r="B2539" t="inlineStr">
        <is>
          <t>Bharat Petroleum (BPCL CGD)</t>
        </is>
      </c>
      <c r="C2539" t="inlineStr">
        <is>
          <t>Bharat Petroleum (BPCL CGD)</t>
        </is>
      </c>
      <c r="F2539" t="inlineStr">
        <is>
          <t>New Lead</t>
        </is>
      </c>
      <c r="G2539" t="inlineStr">
        <is>
          <t>Irrelevant / non-target</t>
        </is>
      </c>
      <c r="H2539" t="inlineStr">
        <is>
          <t>Industrial Lubricants</t>
        </is>
      </c>
      <c r="K2539" t="inlineStr">
        <is>
          <t>Not found</t>
        </is>
      </c>
      <c r="L2539" t="inlineStr">
        <is>
          <t>Unknown</t>
        </is>
      </c>
      <c r="T2539" t="inlineStr">
        <is>
          <t>https://www.bharatpetroleum.in/Bharat-Petroleum-For/Our-Businesses/MAK-Lubricants/Industrial-Lubricants.aspx</t>
        </is>
      </c>
      <c r="U2539" t="inlineStr">
        <is>
          <t>HTML</t>
        </is>
      </c>
      <c r="V2539" t="inlineStr">
        <is>
          <t>Bot tespit/zenginlestirme (2026-07-01); meta:score=;priority=Low;source_type=html_link;closing_date=;equipment=Irrelevant / non-target;reasons=irrelevant_equipment</t>
        </is>
      </c>
    </row>
    <row r="2540">
      <c r="A2540" t="inlineStr">
        <is>
          <t>T-2344</t>
        </is>
      </c>
      <c r="B2540" t="inlineStr">
        <is>
          <t>Bharat Petroleum (BPCL CGD)</t>
        </is>
      </c>
      <c r="C2540" t="inlineStr">
        <is>
          <t>Bharat Petroleum (BPCL CGD)</t>
        </is>
      </c>
      <c r="F2540" t="inlineStr">
        <is>
          <t>New Lead</t>
        </is>
      </c>
      <c r="G2540" t="inlineStr">
        <is>
          <t>Irrelevant / non-target</t>
        </is>
      </c>
      <c r="H2540" t="inlineStr">
        <is>
          <t>R and D Centre</t>
        </is>
      </c>
      <c r="K2540" t="inlineStr">
        <is>
          <t>Not found</t>
        </is>
      </c>
      <c r="L2540" t="inlineStr">
        <is>
          <t>Unknown</t>
        </is>
      </c>
      <c r="T2540" t="inlineStr">
        <is>
          <t>https://www.bharatpetroleum.in/Bharat-Petroleum-For/Our-Businesses/MAK-Lubricants/R-and-D-Centre.aspx</t>
        </is>
      </c>
      <c r="U2540" t="inlineStr">
        <is>
          <t>HTML</t>
        </is>
      </c>
      <c r="V2540" t="inlineStr">
        <is>
          <t>Bot tespit/zenginlestirme (2026-07-01); meta:score=;priority=Low;source_type=html_link;closing_date=;equipment=Irrelevant / non-target;reasons=irrelevant_equipment</t>
        </is>
      </c>
    </row>
    <row r="2541">
      <c r="A2541" t="inlineStr">
        <is>
          <t>T-2345</t>
        </is>
      </c>
      <c r="B2541" t="inlineStr">
        <is>
          <t>Bharat Petroleum (BPCL CGD)</t>
        </is>
      </c>
      <c r="C2541" t="inlineStr">
        <is>
          <t>Bharat Petroleum (BPCL CGD)</t>
        </is>
      </c>
      <c r="F2541" t="inlineStr">
        <is>
          <t>New Lead</t>
        </is>
      </c>
      <c r="G2541" t="inlineStr">
        <is>
          <t>Irrelevant / non-target</t>
        </is>
      </c>
      <c r="H2541" t="inlineStr">
        <is>
          <t>MAK QOC Centre</t>
        </is>
      </c>
      <c r="K2541" t="inlineStr">
        <is>
          <t>Not found</t>
        </is>
      </c>
      <c r="L2541" t="inlineStr">
        <is>
          <t>Unknown</t>
        </is>
      </c>
      <c r="T2541" t="inlineStr">
        <is>
          <t>https://www.bharatpetroleum.in/Bharat-Petroleum-For/Our-Businesses/MAK-Lubricants/MAK-QOC-Centre.aspx</t>
        </is>
      </c>
      <c r="U2541" t="inlineStr">
        <is>
          <t>HTML</t>
        </is>
      </c>
      <c r="V2541" t="inlineStr">
        <is>
          <t>Bot tespit/zenginlestirme (2026-07-01); meta:score=;priority=Low;source_type=html_link;closing_date=;equipment=Irrelevant / non-target;reasons=irrelevant_equipment</t>
        </is>
      </c>
    </row>
    <row r="2542">
      <c r="A2542" t="inlineStr">
        <is>
          <t>T-2346</t>
        </is>
      </c>
      <c r="B2542" t="inlineStr">
        <is>
          <t>Bharat Petroleum (BPCL CGD)</t>
        </is>
      </c>
      <c r="C2542" t="inlineStr">
        <is>
          <t>Bharat Petroleum (BPCL CGD)</t>
        </is>
      </c>
      <c r="F2542" t="inlineStr">
        <is>
          <t>New Lead</t>
        </is>
      </c>
      <c r="G2542" t="inlineStr">
        <is>
          <t>Irrelevant / non-target</t>
        </is>
      </c>
      <c r="H2542" t="inlineStr">
        <is>
          <t>Infrastructure</t>
        </is>
      </c>
      <c r="K2542" t="inlineStr">
        <is>
          <t>Not found</t>
        </is>
      </c>
      <c r="L2542" t="inlineStr">
        <is>
          <t>Unknown</t>
        </is>
      </c>
      <c r="T2542" t="inlineStr">
        <is>
          <t>https://www.bharatpetroleum.in/Bharat-Petroleum-For/Our-Businesses/MAK-Lubricants/Infrastructure.aspx</t>
        </is>
      </c>
      <c r="U2542" t="inlineStr">
        <is>
          <t>HTML</t>
        </is>
      </c>
      <c r="V2542" t="inlineStr">
        <is>
          <t>Bot tespit/zenginlestirme (2026-07-01); meta:score=;priority=Low;source_type=html_link;closing_date=;equipment=Irrelevant / non-target;reasons=irrelevant_equipment</t>
        </is>
      </c>
    </row>
    <row r="2543">
      <c r="A2543" t="inlineStr">
        <is>
          <t>T-2347</t>
        </is>
      </c>
      <c r="B2543" t="inlineStr">
        <is>
          <t>Bharat Petroleum (BPCL CGD)</t>
        </is>
      </c>
      <c r="C2543" t="inlineStr">
        <is>
          <t>Bharat Petroleum (BPCL CGD)</t>
        </is>
      </c>
      <c r="F2543" t="inlineStr">
        <is>
          <t>New Lead</t>
        </is>
      </c>
      <c r="G2543" t="inlineStr">
        <is>
          <t>Irrelevant / non-target</t>
        </is>
      </c>
      <c r="H2543" t="inlineStr">
        <is>
          <t>MAK Connect</t>
        </is>
      </c>
      <c r="K2543" t="inlineStr">
        <is>
          <t>Not found</t>
        </is>
      </c>
      <c r="L2543" t="inlineStr">
        <is>
          <t>Unknown</t>
        </is>
      </c>
      <c r="T2543" t="inlineStr">
        <is>
          <t>https://www.bharatpetroleum.in/Bharat-Petroleum-For/Our-Businesses/MAK-Lubricants/MAK-Connect.aspx</t>
        </is>
      </c>
      <c r="U2543" t="inlineStr">
        <is>
          <t>HTML</t>
        </is>
      </c>
      <c r="V2543" t="inlineStr">
        <is>
          <t>Bot tespit/zenginlestirme (2026-07-01); meta:score=;priority=Low;source_type=html_link;closing_date=;equipment=Irrelevant / non-target;reasons=irrelevant_equipment</t>
        </is>
      </c>
    </row>
    <row r="2544">
      <c r="A2544" t="inlineStr">
        <is>
          <t>T-2348</t>
        </is>
      </c>
      <c r="B2544" t="inlineStr">
        <is>
          <t>Bharat Petroleum (BPCL CGD)</t>
        </is>
      </c>
      <c r="C2544" t="inlineStr">
        <is>
          <t>Bharat Petroleum (BPCL CGD)</t>
        </is>
      </c>
      <c r="F2544" t="inlineStr">
        <is>
          <t>New Lead</t>
        </is>
      </c>
      <c r="G2544" t="inlineStr">
        <is>
          <t>Irrelevant / non-target</t>
        </is>
      </c>
      <c r="H2544" t="inlineStr">
        <is>
          <t>Partner with MAK</t>
        </is>
      </c>
      <c r="K2544" t="inlineStr">
        <is>
          <t>Not found</t>
        </is>
      </c>
      <c r="L2544" t="inlineStr">
        <is>
          <t>Unknown</t>
        </is>
      </c>
      <c r="T2544" t="inlineStr">
        <is>
          <t>https://www.bharatpetroleum.in/Bharat-Petroleum-For/Our-Businesses/MAK-Lubricants/Partner-with-MAK.aspx</t>
        </is>
      </c>
      <c r="U2544" t="inlineStr">
        <is>
          <t>HTML</t>
        </is>
      </c>
      <c r="V2544" t="inlineStr">
        <is>
          <t>Bot tespit/zenginlestirme (2026-07-01); meta:score=;priority=Low;source_type=html_link;closing_date=;equipment=Irrelevant / non-target;reasons=irrelevant_equipment</t>
        </is>
      </c>
    </row>
    <row r="2545">
      <c r="A2545" t="inlineStr">
        <is>
          <t>T-2349</t>
        </is>
      </c>
      <c r="B2545" t="inlineStr">
        <is>
          <t>Bharat Petroleum (BPCL CGD)</t>
        </is>
      </c>
      <c r="C2545" t="inlineStr">
        <is>
          <t>Bharat Petroleum (BPCL CGD)</t>
        </is>
      </c>
      <c r="F2545" t="inlineStr">
        <is>
          <t>New Lead</t>
        </is>
      </c>
      <c r="G2545" t="inlineStr">
        <is>
          <t>Irrelevant / non-target</t>
        </is>
      </c>
      <c r="H2545" t="inlineStr">
        <is>
          <t>Proficiency Testing</t>
        </is>
      </c>
      <c r="K2545" t="inlineStr">
        <is>
          <t>Not found</t>
        </is>
      </c>
      <c r="L2545" t="inlineStr">
        <is>
          <t>Unknown</t>
        </is>
      </c>
      <c r="T2545" t="inlineStr">
        <is>
          <t>https://www.bharatpetroleum.in/Bharat-Petroleum-For/Our-Businesses/MAK-Lubricants/Proficiency-Testing.aspx</t>
        </is>
      </c>
      <c r="U2545" t="inlineStr">
        <is>
          <t>HTML</t>
        </is>
      </c>
      <c r="V2545" t="inlineStr">
        <is>
          <t>Bot tespit/zenginlestirme (2026-07-01); meta:score=;priority=Low;source_type=html_link;closing_date=;equipment=Irrelevant / non-target;reasons=irrelevant_equipment</t>
        </is>
      </c>
    </row>
    <row r="2546">
      <c r="A2546" t="inlineStr">
        <is>
          <t>T-2350</t>
        </is>
      </c>
      <c r="B2546" t="inlineStr">
        <is>
          <t>Bharat Petroleum (BPCL CGD)</t>
        </is>
      </c>
      <c r="C2546" t="inlineStr">
        <is>
          <t>Bharat Petroleum (BPCL CGD)</t>
        </is>
      </c>
      <c r="F2546" t="inlineStr">
        <is>
          <t>New Lead</t>
        </is>
      </c>
      <c r="G2546" t="inlineStr">
        <is>
          <t>Irrelevant / non-target</t>
        </is>
      </c>
      <c r="H2546" t="inlineStr">
        <is>
          <t>Joint Ventures</t>
        </is>
      </c>
      <c r="K2546" t="inlineStr">
        <is>
          <t>Not found</t>
        </is>
      </c>
      <c r="L2546" t="inlineStr">
        <is>
          <t>Unknown</t>
        </is>
      </c>
      <c r="T2546" t="inlineStr">
        <is>
          <t>https://www.bharatpetroleum.in/Our-Businesses/MAK-Lubricants/Joint-Ventures.aspx</t>
        </is>
      </c>
      <c r="U2546" t="inlineStr">
        <is>
          <t>HTML</t>
        </is>
      </c>
      <c r="V2546" t="inlineStr">
        <is>
          <t>Bot tespit/zenginlestirme (2026-07-01); meta:score=;priority=Low;source_type=html_link;closing_date=;equipment=Irrelevant / non-target;reasons=irrelevant_equipment</t>
        </is>
      </c>
    </row>
    <row r="2547">
      <c r="A2547" t="inlineStr">
        <is>
          <t>T-2351</t>
        </is>
      </c>
      <c r="B2547" t="inlineStr">
        <is>
          <t>Bharat Petroleum (BPCL CGD)</t>
        </is>
      </c>
      <c r="C2547" t="inlineStr">
        <is>
          <t>Bharat Petroleum (BPCL CGD)</t>
        </is>
      </c>
      <c r="F2547" t="inlineStr">
        <is>
          <t>New Lead</t>
        </is>
      </c>
      <c r="G2547" t="inlineStr">
        <is>
          <t>Irrelevant / non-target</t>
        </is>
      </c>
      <c r="H2547" t="inlineStr">
        <is>
          <t>MAK Lubricant Solutions</t>
        </is>
      </c>
      <c r="K2547" t="inlineStr">
        <is>
          <t>Not found</t>
        </is>
      </c>
      <c r="L2547" t="inlineStr">
        <is>
          <t>Unknown</t>
        </is>
      </c>
      <c r="T2547" t="inlineStr">
        <is>
          <t>https://www.bharatpetroleum.in/Bharat-Petroleum-For/Our-Businesses/MAK-Lubricants/MAK-Lubricant-Solutions.aspx</t>
        </is>
      </c>
      <c r="U2547" t="inlineStr">
        <is>
          <t>HTML</t>
        </is>
      </c>
      <c r="V2547" t="inlineStr">
        <is>
          <t>Bot tespit/zenginlestirme (2026-07-01); meta:score=;priority=Low;source_type=html_link;closing_date=;equipment=Irrelevant / non-target;reasons=irrelevant_equipment</t>
        </is>
      </c>
    </row>
    <row r="2548">
      <c r="A2548" t="inlineStr">
        <is>
          <t>T-2352</t>
        </is>
      </c>
      <c r="B2548" t="inlineStr">
        <is>
          <t>Bharat Petroleum (BPCL CGD)</t>
        </is>
      </c>
      <c r="C2548" t="inlineStr">
        <is>
          <t>Bharat Petroleum (BPCL CGD)</t>
        </is>
      </c>
      <c r="F2548" t="inlineStr">
        <is>
          <t>New Lead</t>
        </is>
      </c>
      <c r="G2548" t="inlineStr">
        <is>
          <t>Irrelevant / non-target</t>
        </is>
      </c>
      <c r="H2548" t="inlineStr">
        <is>
          <t>MAK SERVE</t>
        </is>
      </c>
      <c r="K2548" t="inlineStr">
        <is>
          <t>Not found</t>
        </is>
      </c>
      <c r="L2548" t="inlineStr">
        <is>
          <t>Unknown</t>
        </is>
      </c>
      <c r="T2548" t="inlineStr">
        <is>
          <t>https://www.bharatpetroleum.in/our-businesses/mak-lubricants/mak-serve.aspx</t>
        </is>
      </c>
      <c r="U2548" t="inlineStr">
        <is>
          <t>HTML</t>
        </is>
      </c>
      <c r="V2548" t="inlineStr">
        <is>
          <t>Bot tespit/zenginlestirme (2026-07-01); meta:score=;priority=Low;source_type=html_link;closing_date=;equipment=Irrelevant / non-target;reasons=irrelevant_equipment</t>
        </is>
      </c>
    </row>
    <row r="2549">
      <c r="A2549" t="inlineStr">
        <is>
          <t>T-2353</t>
        </is>
      </c>
      <c r="B2549" t="inlineStr">
        <is>
          <t>Bharat Petroleum (BPCL CGD)</t>
        </is>
      </c>
      <c r="C2549" t="inlineStr">
        <is>
          <t>Bharat Petroleum (BPCL CGD)</t>
        </is>
      </c>
      <c r="F2549" t="inlineStr">
        <is>
          <t>New Lead</t>
        </is>
      </c>
      <c r="G2549" t="inlineStr">
        <is>
          <t>Unclassified</t>
        </is>
      </c>
      <c r="H2549" t="inlineStr">
        <is>
          <t>Aviation Services About Aviation Products Services Joint Ventures</t>
        </is>
      </c>
      <c r="K2549" t="inlineStr">
        <is>
          <t>Not found</t>
        </is>
      </c>
      <c r="L2549" t="inlineStr">
        <is>
          <t>Unknown</t>
        </is>
      </c>
      <c r="T2549" t="inlineStr">
        <is>
          <t>https://www.bharatpetroleum.in/Our-Businesses/aviation.aspx</t>
        </is>
      </c>
      <c r="U2549" t="inlineStr">
        <is>
          <t>HTML</t>
        </is>
      </c>
      <c r="V2549" t="inlineStr">
        <is>
          <t>Bot tespit/zenginlestirme (2026-07-01); meta:score=;priority=Low;source_type=html_table;closing_date=;equipment=Unclassified;reasons=</t>
        </is>
      </c>
    </row>
    <row r="2550">
      <c r="A2550" t="inlineStr">
        <is>
          <t>T-2354</t>
        </is>
      </c>
      <c r="B2550" t="inlineStr">
        <is>
          <t>Bharat Petroleum (BPCL CGD)</t>
        </is>
      </c>
      <c r="C2550" t="inlineStr">
        <is>
          <t>Bharat Petroleum (BPCL CGD)</t>
        </is>
      </c>
      <c r="F2550" t="inlineStr">
        <is>
          <t>New Lead</t>
        </is>
      </c>
      <c r="G2550" t="inlineStr">
        <is>
          <t>Unclassified</t>
        </is>
      </c>
      <c r="H2550" t="inlineStr">
        <is>
          <t>About Aviation</t>
        </is>
      </c>
      <c r="K2550" t="inlineStr">
        <is>
          <t>Not found</t>
        </is>
      </c>
      <c r="L2550" t="inlineStr">
        <is>
          <t>Unknown</t>
        </is>
      </c>
      <c r="T2550" t="inlineStr">
        <is>
          <t>https://www.bharatpetroleum.in/Our-Businesses/Aviation-Services/About-Aviation.aspx</t>
        </is>
      </c>
      <c r="U2550" t="inlineStr">
        <is>
          <t>HTML</t>
        </is>
      </c>
      <c r="V2550" t="inlineStr">
        <is>
          <t>Bot tespit/zenginlestirme (2026-07-01); meta:score=;priority=Low;source_type=html_link;closing_date=;equipment=Unclassified;reasons=</t>
        </is>
      </c>
    </row>
    <row r="2551">
      <c r="A2551" t="inlineStr">
        <is>
          <t>T-2355</t>
        </is>
      </c>
      <c r="B2551" t="inlineStr">
        <is>
          <t>Bharat Petroleum (BPCL CGD)</t>
        </is>
      </c>
      <c r="C2551" t="inlineStr">
        <is>
          <t>Bharat Petroleum (BPCL CGD)</t>
        </is>
      </c>
      <c r="F2551" t="inlineStr">
        <is>
          <t>New Lead</t>
        </is>
      </c>
      <c r="G2551" t="inlineStr">
        <is>
          <t>Unclassified</t>
        </is>
      </c>
      <c r="H2551" t="inlineStr">
        <is>
          <t>Products</t>
        </is>
      </c>
      <c r="K2551" t="inlineStr">
        <is>
          <t>Not found</t>
        </is>
      </c>
      <c r="L2551" t="inlineStr">
        <is>
          <t>Unknown</t>
        </is>
      </c>
      <c r="T2551" t="inlineStr">
        <is>
          <t>https://www.bharatpetroleum.in/Our-Businesses/Aviation-Services/Products.aspx</t>
        </is>
      </c>
      <c r="U2551" t="inlineStr">
        <is>
          <t>HTML</t>
        </is>
      </c>
      <c r="V2551" t="inlineStr">
        <is>
          <t>Bot tespit/zenginlestirme (2026-07-01); meta:score=;priority=Low;source_type=html_link;closing_date=;equipment=Unclassified;reasons=</t>
        </is>
      </c>
    </row>
    <row r="2552">
      <c r="A2552" t="inlineStr">
        <is>
          <t>T-2356</t>
        </is>
      </c>
      <c r="B2552" t="inlineStr">
        <is>
          <t>Bharat Petroleum (BPCL CGD)</t>
        </is>
      </c>
      <c r="C2552" t="inlineStr">
        <is>
          <t>Bharat Petroleum (BPCL CGD)</t>
        </is>
      </c>
      <c r="F2552" t="inlineStr">
        <is>
          <t>New Lead</t>
        </is>
      </c>
      <c r="G2552" t="inlineStr">
        <is>
          <t>Unclassified</t>
        </is>
      </c>
      <c r="H2552" t="inlineStr">
        <is>
          <t>Services</t>
        </is>
      </c>
      <c r="K2552" t="inlineStr">
        <is>
          <t>Not found</t>
        </is>
      </c>
      <c r="L2552" t="inlineStr">
        <is>
          <t>Unknown</t>
        </is>
      </c>
      <c r="T2552" t="inlineStr">
        <is>
          <t>https://www.bharatpetroleum.in/Our-Businesses/Aviation-Services/Services.aspx</t>
        </is>
      </c>
      <c r="U2552" t="inlineStr">
        <is>
          <t>HTML</t>
        </is>
      </c>
      <c r="V2552" t="inlineStr">
        <is>
          <t>Bot tespit/zenginlestirme (2026-07-01); meta:score=;priority=Low;source_type=html_link;closing_date=;equipment=Unclassified;reasons=</t>
        </is>
      </c>
    </row>
    <row r="2553">
      <c r="A2553" t="inlineStr">
        <is>
          <t>T-2357</t>
        </is>
      </c>
      <c r="B2553" t="inlineStr">
        <is>
          <t>Bharat Petroleum (BPCL CGD)</t>
        </is>
      </c>
      <c r="C2553" t="inlineStr">
        <is>
          <t>Bharat Petroleum (BPCL CGD)</t>
        </is>
      </c>
      <c r="F2553" t="inlineStr">
        <is>
          <t>New Lead</t>
        </is>
      </c>
      <c r="G2553" t="inlineStr">
        <is>
          <t>Unclassified</t>
        </is>
      </c>
      <c r="H2553" t="inlineStr">
        <is>
          <t>Joint Ventures</t>
        </is>
      </c>
      <c r="K2553" t="inlineStr">
        <is>
          <t>Not found</t>
        </is>
      </c>
      <c r="L2553" t="inlineStr">
        <is>
          <t>Unknown</t>
        </is>
      </c>
      <c r="T2553" t="inlineStr">
        <is>
          <t>https://www.bharatpetroleum.in/our-businesses/Aviation-Services/Joint-Ventures.aspx</t>
        </is>
      </c>
      <c r="U2553" t="inlineStr">
        <is>
          <t>HTML</t>
        </is>
      </c>
      <c r="V2553" t="inlineStr">
        <is>
          <t>Bot tespit/zenginlestirme (2026-07-01); meta:score=;priority=Low;source_type=html_link;closing_date=;equipment=Unclassified;reasons=</t>
        </is>
      </c>
    </row>
    <row r="2554">
      <c r="A2554" t="inlineStr">
        <is>
          <t>T-2358</t>
        </is>
      </c>
      <c r="B2554" t="inlineStr">
        <is>
          <t>Bharat Petroleum (BPCL CGD)</t>
        </is>
      </c>
      <c r="C2554" t="inlineStr">
        <is>
          <t>Bharat Petroleum (BPCL CGD)</t>
        </is>
      </c>
      <c r="F2554" t="inlineStr">
        <is>
          <t>New Lead</t>
        </is>
      </c>
      <c r="G2554" t="inlineStr">
        <is>
          <t>Unclassified</t>
        </is>
      </c>
      <c r="H2554" t="inlineStr">
        <is>
          <t>Industrial and Commercial Industrial Fuel LPG Bitumens Solvent White-Oil Specialty Bitumen Special Products Petchem Bunkerings Petrochemical Feedstock Connect With Us</t>
        </is>
      </c>
      <c r="K2554" t="inlineStr">
        <is>
          <t>Not found</t>
        </is>
      </c>
      <c r="L2554" t="inlineStr">
        <is>
          <t>Unknown</t>
        </is>
      </c>
      <c r="T2554" t="inlineStr">
        <is>
          <t>https://www.bharatpetroleum.in/Bharat-Petroleum-For/Our-Businesses/Industrial-and-Commercial.aspx</t>
        </is>
      </c>
      <c r="U2554" t="inlineStr">
        <is>
          <t>HTML</t>
        </is>
      </c>
      <c r="V2554" t="inlineStr">
        <is>
          <t>Bot tespit/zenginlestirme (2026-07-01); meta:score=;priority=Low;source_type=html_table;closing_date=;equipment=Unclassified;reasons=</t>
        </is>
      </c>
    </row>
    <row r="2555">
      <c r="A2555" t="inlineStr">
        <is>
          <t>T-2359</t>
        </is>
      </c>
      <c r="B2555" t="inlineStr">
        <is>
          <t>Bharat Petroleum (BPCL CGD)</t>
        </is>
      </c>
      <c r="C2555" t="inlineStr">
        <is>
          <t>Bharat Petroleum (BPCL CGD)</t>
        </is>
      </c>
      <c r="F2555" t="inlineStr">
        <is>
          <t>New Lead</t>
        </is>
      </c>
      <c r="G2555" t="inlineStr">
        <is>
          <t>Unclassified</t>
        </is>
      </c>
      <c r="H2555" t="inlineStr">
        <is>
          <t>Industrial Fuel</t>
        </is>
      </c>
      <c r="K2555" t="inlineStr">
        <is>
          <t>Not found</t>
        </is>
      </c>
      <c r="L2555" t="inlineStr">
        <is>
          <t>Unknown</t>
        </is>
      </c>
      <c r="T2555" t="inlineStr">
        <is>
          <t>https://www.bharatpetroleum.in/Bharat-Petroleum-For/Our-Businesses/Industrial-and-Commercial/Industrial-Fuel.aspx</t>
        </is>
      </c>
      <c r="U2555" t="inlineStr">
        <is>
          <t>HTML</t>
        </is>
      </c>
      <c r="V2555" t="inlineStr">
        <is>
          <t>Bot tespit/zenginlestirme (2026-07-01); meta:score=;priority=Low;source_type=html_link;closing_date=;equipment=Unclassified;reasons=</t>
        </is>
      </c>
    </row>
    <row r="2556">
      <c r="A2556" t="inlineStr">
        <is>
          <t>T-2360</t>
        </is>
      </c>
      <c r="B2556" t="inlineStr">
        <is>
          <t>Bharat Petroleum (BPCL CGD)</t>
        </is>
      </c>
      <c r="C2556" t="inlineStr">
        <is>
          <t>Bharat Petroleum (BPCL CGD)</t>
        </is>
      </c>
      <c r="F2556" t="inlineStr">
        <is>
          <t>New Lead</t>
        </is>
      </c>
      <c r="G2556" t="inlineStr">
        <is>
          <t>Unclassified</t>
        </is>
      </c>
      <c r="H2556" t="inlineStr">
        <is>
          <t>LPG</t>
        </is>
      </c>
      <c r="K2556" t="inlineStr">
        <is>
          <t>Not found</t>
        </is>
      </c>
      <c r="L2556" t="inlineStr">
        <is>
          <t>Unknown</t>
        </is>
      </c>
      <c r="T2556" t="inlineStr">
        <is>
          <t>https://www.bharatpetroleum.in/Bharat-Petroleum-For/Our-Businesses/Industrial-and-Commercial/LPG.aspx</t>
        </is>
      </c>
      <c r="U2556" t="inlineStr">
        <is>
          <t>HTML</t>
        </is>
      </c>
      <c r="V2556" t="inlineStr">
        <is>
          <t>Bot tespit/zenginlestirme (2026-07-01); meta:score=;priority=Low;source_type=html_link;closing_date=;equipment=Unclassified;reasons=</t>
        </is>
      </c>
    </row>
    <row r="2557">
      <c r="A2557" t="inlineStr">
        <is>
          <t>T-2361</t>
        </is>
      </c>
      <c r="B2557" t="inlineStr">
        <is>
          <t>Bharat Petroleum (BPCL CGD)</t>
        </is>
      </c>
      <c r="C2557" t="inlineStr">
        <is>
          <t>Bharat Petroleum (BPCL CGD)</t>
        </is>
      </c>
      <c r="F2557" t="inlineStr">
        <is>
          <t>New Lead</t>
        </is>
      </c>
      <c r="G2557" t="inlineStr">
        <is>
          <t>Unclassified</t>
        </is>
      </c>
      <c r="H2557" t="inlineStr">
        <is>
          <t>Bitumens</t>
        </is>
      </c>
      <c r="K2557" t="inlineStr">
        <is>
          <t>Not found</t>
        </is>
      </c>
      <c r="L2557" t="inlineStr">
        <is>
          <t>Unknown</t>
        </is>
      </c>
      <c r="T2557" t="inlineStr">
        <is>
          <t>https://www.bharatpetroleum.in/Bharat-Petroleum-For/Our-Businesses/Industrial-and-Commercial/Bitumens.aspx</t>
        </is>
      </c>
      <c r="U2557" t="inlineStr">
        <is>
          <t>HTML</t>
        </is>
      </c>
      <c r="V2557" t="inlineStr">
        <is>
          <t>Bot tespit/zenginlestirme (2026-07-01); meta:score=;priority=Low;source_type=html_link;closing_date=;equipment=Unclassified;reasons=</t>
        </is>
      </c>
    </row>
    <row r="2558">
      <c r="A2558" t="inlineStr">
        <is>
          <t>T-2362</t>
        </is>
      </c>
      <c r="B2558" t="inlineStr">
        <is>
          <t>Bharat Petroleum (BPCL CGD)</t>
        </is>
      </c>
      <c r="C2558" t="inlineStr">
        <is>
          <t>Bharat Petroleum (BPCL CGD)</t>
        </is>
      </c>
      <c r="F2558" t="inlineStr">
        <is>
          <t>New Lead</t>
        </is>
      </c>
      <c r="G2558" t="inlineStr">
        <is>
          <t>Unclassified</t>
        </is>
      </c>
      <c r="H2558" t="inlineStr">
        <is>
          <t>Solvent</t>
        </is>
      </c>
      <c r="K2558" t="inlineStr">
        <is>
          <t>Not found</t>
        </is>
      </c>
      <c r="L2558" t="inlineStr">
        <is>
          <t>Unknown</t>
        </is>
      </c>
      <c r="T2558" t="inlineStr">
        <is>
          <t>https://www.bharatpetroleum.in/Bharat-Petroleum-For/Our-Businesses/Industrial-and-Commercial/Solvent.aspx</t>
        </is>
      </c>
      <c r="U2558" t="inlineStr">
        <is>
          <t>HTML</t>
        </is>
      </c>
      <c r="V2558" t="inlineStr">
        <is>
          <t>Bot tespit/zenginlestirme (2026-07-01); meta:score=;priority=Low;source_type=html_link;closing_date=;equipment=Unclassified;reasons=</t>
        </is>
      </c>
    </row>
    <row r="2559">
      <c r="A2559" t="inlineStr">
        <is>
          <t>T-2363</t>
        </is>
      </c>
      <c r="B2559" t="inlineStr">
        <is>
          <t>Bharat Petroleum (BPCL CGD)</t>
        </is>
      </c>
      <c r="C2559" t="inlineStr">
        <is>
          <t>Bharat Petroleum (BPCL CGD)</t>
        </is>
      </c>
      <c r="F2559" t="inlineStr">
        <is>
          <t>New Lead</t>
        </is>
      </c>
      <c r="G2559" t="inlineStr">
        <is>
          <t>Unclassified</t>
        </is>
      </c>
      <c r="H2559" t="inlineStr">
        <is>
          <t>White-Oil</t>
        </is>
      </c>
      <c r="K2559" t="inlineStr">
        <is>
          <t>Not found</t>
        </is>
      </c>
      <c r="L2559" t="inlineStr">
        <is>
          <t>Unknown</t>
        </is>
      </c>
      <c r="T2559" t="inlineStr">
        <is>
          <t>https://www.bharatpetroleum.in/Bharat-Petroleum-For/Our-Businesses/Industrial-and-Commercial/White-Oil.aspx</t>
        </is>
      </c>
      <c r="U2559" t="inlineStr">
        <is>
          <t>HTML</t>
        </is>
      </c>
      <c r="V2559" t="inlineStr">
        <is>
          <t>Bot tespit/zenginlestirme (2026-07-01); meta:score=;priority=Low;source_type=html_link;closing_date=;equipment=Unclassified;reasons=</t>
        </is>
      </c>
    </row>
    <row r="2560">
      <c r="A2560" t="inlineStr">
        <is>
          <t>T-2364</t>
        </is>
      </c>
      <c r="B2560" t="inlineStr">
        <is>
          <t>Bharat Petroleum (BPCL CGD)</t>
        </is>
      </c>
      <c r="C2560" t="inlineStr">
        <is>
          <t>Bharat Petroleum (BPCL CGD)</t>
        </is>
      </c>
      <c r="F2560" t="inlineStr">
        <is>
          <t>New Lead</t>
        </is>
      </c>
      <c r="G2560" t="inlineStr">
        <is>
          <t>Unclassified</t>
        </is>
      </c>
      <c r="H2560" t="inlineStr">
        <is>
          <t>Specialty Bitumen</t>
        </is>
      </c>
      <c r="K2560" t="inlineStr">
        <is>
          <t>Not found</t>
        </is>
      </c>
      <c r="L2560" t="inlineStr">
        <is>
          <t>Unknown</t>
        </is>
      </c>
      <c r="T2560" t="inlineStr">
        <is>
          <t>https://www.bharatpetroleum.in/Bharat-Petroleum-For/Our-Businesses/Industrial-and-Commercial/Specialty-Bitumen.aspx</t>
        </is>
      </c>
      <c r="U2560" t="inlineStr">
        <is>
          <t>HTML</t>
        </is>
      </c>
      <c r="V2560" t="inlineStr">
        <is>
          <t>Bot tespit/zenginlestirme (2026-07-01); meta:score=;priority=Low;source_type=html_link;closing_date=;equipment=Unclassified;reasons=</t>
        </is>
      </c>
    </row>
    <row r="2561">
      <c r="A2561" t="inlineStr">
        <is>
          <t>T-2365</t>
        </is>
      </c>
      <c r="B2561" t="inlineStr">
        <is>
          <t>Bharat Petroleum (BPCL CGD)</t>
        </is>
      </c>
      <c r="C2561" t="inlineStr">
        <is>
          <t>Bharat Petroleum (BPCL CGD)</t>
        </is>
      </c>
      <c r="F2561" t="inlineStr">
        <is>
          <t>New Lead</t>
        </is>
      </c>
      <c r="G2561" t="inlineStr">
        <is>
          <t>Unclassified</t>
        </is>
      </c>
      <c r="H2561" t="inlineStr">
        <is>
          <t>Special Products</t>
        </is>
      </c>
      <c r="K2561" t="inlineStr">
        <is>
          <t>Not found</t>
        </is>
      </c>
      <c r="L2561" t="inlineStr">
        <is>
          <t>Unknown</t>
        </is>
      </c>
      <c r="T2561" t="inlineStr">
        <is>
          <t>https://www.bharatpetroleum.in/Bharat-Petroleum-For/Our-Businesses/Industrial-and-Commercial/Special-Products.aspx</t>
        </is>
      </c>
      <c r="U2561" t="inlineStr">
        <is>
          <t>HTML</t>
        </is>
      </c>
      <c r="V2561" t="inlineStr">
        <is>
          <t>Bot tespit/zenginlestirme (2026-07-01); meta:score=;priority=Low;source_type=html_link;closing_date=;equipment=Unclassified;reasons=</t>
        </is>
      </c>
    </row>
    <row r="2562">
      <c r="A2562" t="inlineStr">
        <is>
          <t>T-2366</t>
        </is>
      </c>
      <c r="B2562" t="inlineStr">
        <is>
          <t>Bharat Petroleum (BPCL CGD)</t>
        </is>
      </c>
      <c r="C2562" t="inlineStr">
        <is>
          <t>Bharat Petroleum (BPCL CGD)</t>
        </is>
      </c>
      <c r="F2562" t="inlineStr">
        <is>
          <t>New Lead</t>
        </is>
      </c>
      <c r="G2562" t="inlineStr">
        <is>
          <t>Unclassified</t>
        </is>
      </c>
      <c r="H2562" t="inlineStr">
        <is>
          <t>Petchem</t>
        </is>
      </c>
      <c r="K2562" t="inlineStr">
        <is>
          <t>Not found</t>
        </is>
      </c>
      <c r="L2562" t="inlineStr">
        <is>
          <t>Unknown</t>
        </is>
      </c>
      <c r="T2562" t="inlineStr">
        <is>
          <t>https://www.bharatpetroleum.in/our-businesses/industrial-and-commercial/petchem.aspx</t>
        </is>
      </c>
      <c r="U2562" t="inlineStr">
        <is>
          <t>HTML</t>
        </is>
      </c>
      <c r="V2562" t="inlineStr">
        <is>
          <t>Bot tespit/zenginlestirme (2026-07-01); meta:score=;priority=Low;source_type=html_link;closing_date=;equipment=Unclassified;reasons=</t>
        </is>
      </c>
    </row>
    <row r="2563">
      <c r="A2563" t="inlineStr">
        <is>
          <t>T-2367</t>
        </is>
      </c>
      <c r="B2563" t="inlineStr">
        <is>
          <t>Bharat Petroleum (BPCL CGD)</t>
        </is>
      </c>
      <c r="C2563" t="inlineStr">
        <is>
          <t>Bharat Petroleum (BPCL CGD)</t>
        </is>
      </c>
      <c r="F2563" t="inlineStr">
        <is>
          <t>New Lead</t>
        </is>
      </c>
      <c r="G2563" t="inlineStr">
        <is>
          <t>Unclassified</t>
        </is>
      </c>
      <c r="H2563" t="inlineStr">
        <is>
          <t>Bunkerings</t>
        </is>
      </c>
      <c r="K2563" t="inlineStr">
        <is>
          <t>Not found</t>
        </is>
      </c>
      <c r="L2563" t="inlineStr">
        <is>
          <t>Unknown</t>
        </is>
      </c>
      <c r="T2563" t="inlineStr">
        <is>
          <t>https://www.bharatpetroleum.in/Bharat-Petroleum-For/Our-Businesses/Industrial-and-Commercial/Bunkerings.aspx</t>
        </is>
      </c>
      <c r="U2563" t="inlineStr">
        <is>
          <t>HTML</t>
        </is>
      </c>
      <c r="V2563" t="inlineStr">
        <is>
          <t>Bot tespit/zenginlestirme (2026-07-01); meta:score=;priority=Low;source_type=html_link;closing_date=;equipment=Unclassified;reasons=</t>
        </is>
      </c>
    </row>
    <row r="2564">
      <c r="A2564" t="inlineStr">
        <is>
          <t>T-2368</t>
        </is>
      </c>
      <c r="B2564" t="inlineStr">
        <is>
          <t>Bharat Petroleum (BPCL CGD)</t>
        </is>
      </c>
      <c r="C2564" t="inlineStr">
        <is>
          <t>Bharat Petroleum (BPCL CGD)</t>
        </is>
      </c>
      <c r="F2564" t="inlineStr">
        <is>
          <t>New Lead</t>
        </is>
      </c>
      <c r="G2564" t="inlineStr">
        <is>
          <t>Unclassified</t>
        </is>
      </c>
      <c r="H2564" t="inlineStr">
        <is>
          <t>Petrochemical Feedstock</t>
        </is>
      </c>
      <c r="K2564" t="inlineStr">
        <is>
          <t>Not found</t>
        </is>
      </c>
      <c r="L2564" t="inlineStr">
        <is>
          <t>Unknown</t>
        </is>
      </c>
      <c r="T2564" t="inlineStr">
        <is>
          <t>https://www.bharatpetroleum.in/Bharat-Petroleum-For/Our-Businesses/Industrial-and-Commercial/Petrochemical-Feedstock.aspx</t>
        </is>
      </c>
      <c r="U2564" t="inlineStr">
        <is>
          <t>HTML</t>
        </is>
      </c>
      <c r="V2564" t="inlineStr">
        <is>
          <t>Bot tespit/zenginlestirme (2026-07-01); meta:score=;priority=Low;source_type=html_link;closing_date=;equipment=Unclassified;reasons=</t>
        </is>
      </c>
    </row>
    <row r="2565">
      <c r="A2565" t="inlineStr">
        <is>
          <t>T-2369</t>
        </is>
      </c>
      <c r="B2565" t="inlineStr">
        <is>
          <t>Bharat Petroleum (BPCL CGD)</t>
        </is>
      </c>
      <c r="C2565" t="inlineStr">
        <is>
          <t>Bharat Petroleum (BPCL CGD)</t>
        </is>
      </c>
      <c r="F2565" t="inlineStr">
        <is>
          <t>New Lead</t>
        </is>
      </c>
      <c r="G2565" t="inlineStr">
        <is>
          <t>Unclassified</t>
        </is>
      </c>
      <c r="H2565" t="inlineStr">
        <is>
          <t>Connect With Us</t>
        </is>
      </c>
      <c r="K2565" t="inlineStr">
        <is>
          <t>Not found</t>
        </is>
      </c>
      <c r="L2565" t="inlineStr">
        <is>
          <t>Unknown</t>
        </is>
      </c>
      <c r="T2565" t="inlineStr">
        <is>
          <t>https://www.bharatpetroleum.in/Bharat-Petroleum-For/Our-Businesses/Industrial-and-Commercial/Connect-With-Us.aspx</t>
        </is>
      </c>
      <c r="U2565" t="inlineStr">
        <is>
          <t>HTML</t>
        </is>
      </c>
      <c r="V2565" t="inlineStr">
        <is>
          <t>Bot tespit/zenginlestirme (2026-07-01); meta:score=;priority=Low;source_type=html_link;closing_date=;equipment=Unclassified;reasons=</t>
        </is>
      </c>
    </row>
    <row r="2566">
      <c r="A2566" t="inlineStr">
        <is>
          <t>T-2370</t>
        </is>
      </c>
      <c r="B2566" t="inlineStr">
        <is>
          <t>Bharat Petroleum (BPCL CGD)</t>
        </is>
      </c>
      <c r="C2566" t="inlineStr">
        <is>
          <t>Bharat Petroleum (BPCL CGD)</t>
        </is>
      </c>
      <c r="F2566" t="inlineStr">
        <is>
          <t>New Lead</t>
        </is>
      </c>
      <c r="G2566" t="inlineStr">
        <is>
          <t>Unclassified</t>
        </is>
      </c>
      <c r="H2566" t="inlineStr">
        <is>
          <t>International Trade &amp; Risk Management Crude Oil Products Ship Chartering Risk Management Counterparty Registration</t>
        </is>
      </c>
      <c r="K2566" t="inlineStr">
        <is>
          <t>Not found</t>
        </is>
      </c>
      <c r="L2566" t="inlineStr">
        <is>
          <t>Unknown</t>
        </is>
      </c>
      <c r="T2566" t="inlineStr">
        <is>
          <t>https://www.bharatpetroleum.in/Bharat-Petroleum-For/Our-Businesses/International-Trade.aspx</t>
        </is>
      </c>
      <c r="U2566" t="inlineStr">
        <is>
          <t>HTML</t>
        </is>
      </c>
      <c r="V2566" t="inlineStr">
        <is>
          <t>Bot tespit/zenginlestirme (2026-07-01); meta:score=;priority=Low;source_type=html_table;closing_date=;equipment=Unclassified;reasons=</t>
        </is>
      </c>
    </row>
    <row r="2567">
      <c r="A2567" t="inlineStr">
        <is>
          <t>T-2371</t>
        </is>
      </c>
      <c r="B2567" t="inlineStr">
        <is>
          <t>Bharat Petroleum (BPCL CGD)</t>
        </is>
      </c>
      <c r="C2567" t="inlineStr">
        <is>
          <t>Bharat Petroleum (BPCL CGD)</t>
        </is>
      </c>
      <c r="F2567" t="inlineStr">
        <is>
          <t>New Lead</t>
        </is>
      </c>
      <c r="G2567" t="inlineStr">
        <is>
          <t>Unclassified</t>
        </is>
      </c>
      <c r="H2567" t="inlineStr">
        <is>
          <t>Crude Oil</t>
        </is>
      </c>
      <c r="K2567" t="inlineStr">
        <is>
          <t>Not found</t>
        </is>
      </c>
      <c r="L2567" t="inlineStr">
        <is>
          <t>Unknown</t>
        </is>
      </c>
      <c r="T2567" t="inlineStr">
        <is>
          <t>https://www.bharatpetroleum.in/Bharat-Petroleum-For/Our-Businesses/International-Trade/Crude-Imports.aspx</t>
        </is>
      </c>
      <c r="U2567" t="inlineStr">
        <is>
          <t>HTML</t>
        </is>
      </c>
      <c r="V2567" t="inlineStr">
        <is>
          <t>Bot tespit/zenginlestirme (2026-07-01); meta:score=;priority=Low;source_type=html_link;closing_date=;equipment=Unclassified;reasons=</t>
        </is>
      </c>
    </row>
    <row r="2568">
      <c r="A2568" t="inlineStr">
        <is>
          <t>T-2372</t>
        </is>
      </c>
      <c r="B2568" t="inlineStr">
        <is>
          <t>Bharat Petroleum (BPCL CGD)</t>
        </is>
      </c>
      <c r="C2568" t="inlineStr">
        <is>
          <t>Bharat Petroleum (BPCL CGD)</t>
        </is>
      </c>
      <c r="F2568" t="inlineStr">
        <is>
          <t>New Lead</t>
        </is>
      </c>
      <c r="G2568" t="inlineStr">
        <is>
          <t>Unclassified</t>
        </is>
      </c>
      <c r="H2568" t="inlineStr">
        <is>
          <t>Products</t>
        </is>
      </c>
      <c r="K2568" t="inlineStr">
        <is>
          <t>Not found</t>
        </is>
      </c>
      <c r="L2568" t="inlineStr">
        <is>
          <t>Unknown</t>
        </is>
      </c>
      <c r="T2568" t="inlineStr">
        <is>
          <t>https://www.bharatpetroleum.in/Bharat-Petroleum-For/Our-Businesses/International-Trade/Products.aspx</t>
        </is>
      </c>
      <c r="U2568" t="inlineStr">
        <is>
          <t>HTML</t>
        </is>
      </c>
      <c r="V2568" t="inlineStr">
        <is>
          <t>Bot tespit/zenginlestirme (2026-07-01); meta:score=;priority=Low;source_type=html_link;closing_date=;equipment=Unclassified;reasons=</t>
        </is>
      </c>
    </row>
    <row r="2569">
      <c r="A2569" t="inlineStr">
        <is>
          <t>T-2373</t>
        </is>
      </c>
      <c r="B2569" t="inlineStr">
        <is>
          <t>Bharat Petroleum (BPCL CGD)</t>
        </is>
      </c>
      <c r="C2569" t="inlineStr">
        <is>
          <t>Bharat Petroleum (BPCL CGD)</t>
        </is>
      </c>
      <c r="F2569" t="inlineStr">
        <is>
          <t>New Lead</t>
        </is>
      </c>
      <c r="G2569" t="inlineStr">
        <is>
          <t>Unclassified</t>
        </is>
      </c>
      <c r="H2569" t="inlineStr">
        <is>
          <t>Ship Chartering</t>
        </is>
      </c>
      <c r="K2569" t="inlineStr">
        <is>
          <t>Not found</t>
        </is>
      </c>
      <c r="L2569" t="inlineStr">
        <is>
          <t>Unknown</t>
        </is>
      </c>
      <c r="T2569" t="inlineStr">
        <is>
          <t>https://www.bharatpetroleum.in/Bharat-Petroleum-For/Our-Businesses/International-Trade/Ship-Chartering.aspx</t>
        </is>
      </c>
      <c r="U2569" t="inlineStr">
        <is>
          <t>HTML</t>
        </is>
      </c>
      <c r="V2569" t="inlineStr">
        <is>
          <t>Bot tespit/zenginlestirme (2026-07-01); meta:score=;priority=Low;source_type=html_link;closing_date=;equipment=Unclassified;reasons=</t>
        </is>
      </c>
    </row>
    <row r="2570">
      <c r="A2570" t="inlineStr">
        <is>
          <t>T-2374</t>
        </is>
      </c>
      <c r="B2570" t="inlineStr">
        <is>
          <t>Bharat Petroleum (BPCL CGD)</t>
        </is>
      </c>
      <c r="C2570" t="inlineStr">
        <is>
          <t>Bharat Petroleum (BPCL CGD)</t>
        </is>
      </c>
      <c r="F2570" t="inlineStr">
        <is>
          <t>New Lead</t>
        </is>
      </c>
      <c r="G2570" t="inlineStr">
        <is>
          <t>Unclassified</t>
        </is>
      </c>
      <c r="H2570" t="inlineStr">
        <is>
          <t>Risk Management</t>
        </is>
      </c>
      <c r="K2570" t="inlineStr">
        <is>
          <t>Not found</t>
        </is>
      </c>
      <c r="L2570" t="inlineStr">
        <is>
          <t>Unknown</t>
        </is>
      </c>
      <c r="T2570" t="inlineStr">
        <is>
          <t>https://www.bharatpetroleum.in/Bharat-Petroleum-For/Our-Businesses/International-Trade/Risk-Management.aspx</t>
        </is>
      </c>
      <c r="U2570" t="inlineStr">
        <is>
          <t>HTML</t>
        </is>
      </c>
      <c r="V2570" t="inlineStr">
        <is>
          <t>Bot tespit/zenginlestirme (2026-07-01); meta:score=;priority=Low;source_type=html_link;closing_date=;equipment=Unclassified;reasons=</t>
        </is>
      </c>
    </row>
    <row r="2571">
      <c r="A2571" t="inlineStr">
        <is>
          <t>T-2375</t>
        </is>
      </c>
      <c r="B2571" t="inlineStr">
        <is>
          <t>Bharat Petroleum (BPCL CGD)</t>
        </is>
      </c>
      <c r="C2571" t="inlineStr">
        <is>
          <t>Bharat Petroleum (BPCL CGD)</t>
        </is>
      </c>
      <c r="F2571" t="inlineStr">
        <is>
          <t>New Lead</t>
        </is>
      </c>
      <c r="G2571" t="inlineStr">
        <is>
          <t>Unclassified</t>
        </is>
      </c>
      <c r="H2571" t="inlineStr">
        <is>
          <t>Counterparty Registration</t>
        </is>
      </c>
      <c r="K2571" t="inlineStr">
        <is>
          <t>Not found</t>
        </is>
      </c>
      <c r="L2571" t="inlineStr">
        <is>
          <t>Unknown</t>
        </is>
      </c>
      <c r="T2571" t="inlineStr">
        <is>
          <t>https://www.bharatpetroleum.in/Bharat-Petroleum-For/Our-Businesses/International-Trade/Counterparty-Registration.aspx</t>
        </is>
      </c>
      <c r="U2571" t="inlineStr">
        <is>
          <t>HTML</t>
        </is>
      </c>
      <c r="V2571" t="inlineStr">
        <is>
          <t>Bot tespit/zenginlestirme (2026-07-01); meta:score=;priority=Low;source_type=html_link;closing_date=;equipment=Unclassified;reasons=</t>
        </is>
      </c>
    </row>
    <row r="2572">
      <c r="A2572" t="inlineStr">
        <is>
          <t>T-2376</t>
        </is>
      </c>
      <c r="B2572" t="inlineStr">
        <is>
          <t>Bharat Petroleum (BPCL CGD)</t>
        </is>
      </c>
      <c r="C2572" t="inlineStr">
        <is>
          <t>Bharat Petroleum (BPCL CGD)</t>
        </is>
      </c>
      <c r="F2572" t="inlineStr">
        <is>
          <t>New Lead</t>
        </is>
      </c>
      <c r="G2572" t="inlineStr">
        <is>
          <t>Unclassified</t>
        </is>
      </c>
      <c r="H2572" t="inlineStr">
        <is>
          <t>Proficiency Testing About Proficiency Testing Why Us Program Schedule and Fees Other Important Information Reference Material</t>
        </is>
      </c>
      <c r="K2572" t="inlineStr">
        <is>
          <t>Not found</t>
        </is>
      </c>
      <c r="L2572" t="inlineStr">
        <is>
          <t>Unknown</t>
        </is>
      </c>
      <c r="T2572" t="inlineStr">
        <is>
          <t>https://www.bharatpetroleum.in/Bharat-Petroleum-For/Our-Businesses/Proficiency-Testing.aspx</t>
        </is>
      </c>
      <c r="U2572" t="inlineStr">
        <is>
          <t>HTML</t>
        </is>
      </c>
      <c r="V2572" t="inlineStr">
        <is>
          <t>Bot tespit/zenginlestirme (2026-07-01); meta:score=;priority=Low;source_type=html_table;closing_date=;equipment=Unclassified;reasons=</t>
        </is>
      </c>
    </row>
    <row r="2573">
      <c r="A2573" t="inlineStr">
        <is>
          <t>T-2377</t>
        </is>
      </c>
      <c r="B2573" t="inlineStr">
        <is>
          <t>Bharat Petroleum (BPCL CGD)</t>
        </is>
      </c>
      <c r="C2573" t="inlineStr">
        <is>
          <t>Bharat Petroleum (BPCL CGD)</t>
        </is>
      </c>
      <c r="F2573" t="inlineStr">
        <is>
          <t>New Lead</t>
        </is>
      </c>
      <c r="G2573" t="inlineStr">
        <is>
          <t>Unclassified</t>
        </is>
      </c>
      <c r="H2573" t="inlineStr">
        <is>
          <t>About Proficiency Testing</t>
        </is>
      </c>
      <c r="K2573" t="inlineStr">
        <is>
          <t>Not found</t>
        </is>
      </c>
      <c r="L2573" t="inlineStr">
        <is>
          <t>Unknown</t>
        </is>
      </c>
      <c r="T2573" t="inlineStr">
        <is>
          <t>https://www.bharatpetroleum.in/Bharat-Petroleum-For/Our-Businesses/Proficiency-Testing/About-Proficiency-Testing.aspx</t>
        </is>
      </c>
      <c r="U2573" t="inlineStr">
        <is>
          <t>HTML</t>
        </is>
      </c>
      <c r="V2573" t="inlineStr">
        <is>
          <t>Bot tespit/zenginlestirme (2026-07-01); meta:score=;priority=Low;source_type=html_link;closing_date=;equipment=Unclassified;reasons=</t>
        </is>
      </c>
    </row>
    <row r="2574">
      <c r="A2574" t="inlineStr">
        <is>
          <t>T-2378</t>
        </is>
      </c>
      <c r="B2574" t="inlineStr">
        <is>
          <t>Bharat Petroleum (BPCL CGD)</t>
        </is>
      </c>
      <c r="C2574" t="inlineStr">
        <is>
          <t>Bharat Petroleum (BPCL CGD)</t>
        </is>
      </c>
      <c r="F2574" t="inlineStr">
        <is>
          <t>New Lead</t>
        </is>
      </c>
      <c r="G2574" t="inlineStr">
        <is>
          <t>Unclassified</t>
        </is>
      </c>
      <c r="H2574" t="inlineStr">
        <is>
          <t>Why Us</t>
        </is>
      </c>
      <c r="K2574" t="inlineStr">
        <is>
          <t>Not found</t>
        </is>
      </c>
      <c r="L2574" t="inlineStr">
        <is>
          <t>Unknown</t>
        </is>
      </c>
      <c r="T2574" t="inlineStr">
        <is>
          <t>https://www.bharatpetroleum.in/Bharat-Petroleum-For/Our-Businesses/Proficiency-Testing/Why-Us.aspx</t>
        </is>
      </c>
      <c r="U2574" t="inlineStr">
        <is>
          <t>HTML</t>
        </is>
      </c>
      <c r="V2574" t="inlineStr">
        <is>
          <t>Bot tespit/zenginlestirme (2026-07-01); meta:score=;priority=Low;source_type=html_link;closing_date=;equipment=Unclassified;reasons=</t>
        </is>
      </c>
    </row>
    <row r="2575">
      <c r="A2575" t="inlineStr">
        <is>
          <t>T-2379</t>
        </is>
      </c>
      <c r="B2575" t="inlineStr">
        <is>
          <t>Bharat Petroleum (BPCL CGD)</t>
        </is>
      </c>
      <c r="C2575" t="inlineStr">
        <is>
          <t>Bharat Petroleum (BPCL CGD)</t>
        </is>
      </c>
      <c r="F2575" t="inlineStr">
        <is>
          <t>New Lead</t>
        </is>
      </c>
      <c r="G2575" t="inlineStr">
        <is>
          <t>Unclassified</t>
        </is>
      </c>
      <c r="H2575" t="inlineStr">
        <is>
          <t>Program Schedule and Fees</t>
        </is>
      </c>
      <c r="K2575" t="inlineStr">
        <is>
          <t>Not found</t>
        </is>
      </c>
      <c r="L2575" t="inlineStr">
        <is>
          <t>Unknown</t>
        </is>
      </c>
      <c r="T2575" t="inlineStr">
        <is>
          <t>https://www.bharatpetroleum.in/our-businesses/proficiency-testing/program-schedule-and-fees.aspx</t>
        </is>
      </c>
      <c r="U2575" t="inlineStr">
        <is>
          <t>HTML</t>
        </is>
      </c>
      <c r="V2575" t="inlineStr">
        <is>
          <t>Bot tespit/zenginlestirme (2026-07-01); meta:score=;priority=Low;source_type=html_link;closing_date=;equipment=Unclassified;reasons=</t>
        </is>
      </c>
    </row>
    <row r="2576">
      <c r="A2576" t="inlineStr">
        <is>
          <t>T-2380</t>
        </is>
      </c>
      <c r="B2576" t="inlineStr">
        <is>
          <t>Bharat Petroleum (BPCL CGD)</t>
        </is>
      </c>
      <c r="C2576" t="inlineStr">
        <is>
          <t>Bharat Petroleum (BPCL CGD)</t>
        </is>
      </c>
      <c r="F2576" t="inlineStr">
        <is>
          <t>New Lead</t>
        </is>
      </c>
      <c r="G2576" t="inlineStr">
        <is>
          <t>Unclassified</t>
        </is>
      </c>
      <c r="H2576" t="inlineStr">
        <is>
          <t>Other Important Information</t>
        </is>
      </c>
      <c r="K2576" t="inlineStr">
        <is>
          <t>Not found</t>
        </is>
      </c>
      <c r="L2576" t="inlineStr">
        <is>
          <t>Unknown</t>
        </is>
      </c>
      <c r="T2576" t="inlineStr">
        <is>
          <t>https://www.bharatpetroleum.in/Bharat-Petroleum-For/Our-Businesses/Proficiency-Testing/Other-Important-Information.aspx</t>
        </is>
      </c>
      <c r="U2576" t="inlineStr">
        <is>
          <t>HTML</t>
        </is>
      </c>
      <c r="V2576" t="inlineStr">
        <is>
          <t>Bot tespit/zenginlestirme (2026-07-01); meta:score=;priority=Low;source_type=html_link;closing_date=;equipment=Unclassified;reasons=</t>
        </is>
      </c>
    </row>
    <row r="2577">
      <c r="A2577" t="inlineStr">
        <is>
          <t>T-2381</t>
        </is>
      </c>
      <c r="B2577" t="inlineStr">
        <is>
          <t>Bharat Petroleum (BPCL CGD)</t>
        </is>
      </c>
      <c r="C2577" t="inlineStr">
        <is>
          <t>Bharat Petroleum (BPCL CGD)</t>
        </is>
      </c>
      <c r="F2577" t="inlineStr">
        <is>
          <t>New Lead</t>
        </is>
      </c>
      <c r="G2577" t="inlineStr">
        <is>
          <t>Unclassified</t>
        </is>
      </c>
      <c r="H2577" t="inlineStr">
        <is>
          <t>Reference Material</t>
        </is>
      </c>
      <c r="K2577" t="inlineStr">
        <is>
          <t>Not found</t>
        </is>
      </c>
      <c r="L2577" t="inlineStr">
        <is>
          <t>Unknown</t>
        </is>
      </c>
      <c r="T2577" t="inlineStr">
        <is>
          <t>https://www.bharatpetroleum.in/Bharat-Petroleum-For/Our-Businesses/Proficiency-Testing/Reference-Material.aspx</t>
        </is>
      </c>
      <c r="U2577" t="inlineStr">
        <is>
          <t>HTML</t>
        </is>
      </c>
      <c r="V2577" t="inlineStr">
        <is>
          <t>Bot tespit/zenginlestirme (2026-07-01); meta:score=;priority=Low;source_type=html_link;closing_date=;equipment=Unclassified;reasons=</t>
        </is>
      </c>
    </row>
    <row r="2578">
      <c r="A2578" t="inlineStr">
        <is>
          <t>T-2382</t>
        </is>
      </c>
      <c r="B2578" t="inlineStr">
        <is>
          <t>Bharat Petroleum (BPCL CGD)</t>
        </is>
      </c>
      <c r="C2578" t="inlineStr">
        <is>
          <t>Bharat Petroleum (BPCL CGD)</t>
        </is>
      </c>
      <c r="F2578" t="inlineStr">
        <is>
          <t>New Lead</t>
        </is>
      </c>
      <c r="G2578" t="inlineStr">
        <is>
          <t>Unclassified</t>
        </is>
      </c>
      <c r="H2578" t="inlineStr">
        <is>
          <t>Pipelines About Pipelines Overview of BPCL Pipelines Bharat Petroleum Pipeline Crossing Application</t>
        </is>
      </c>
      <c r="K2578" t="inlineStr">
        <is>
          <t>Not found</t>
        </is>
      </c>
      <c r="L2578" t="inlineStr">
        <is>
          <t>Unknown</t>
        </is>
      </c>
      <c r="T2578" t="inlineStr">
        <is>
          <t>https://www.bharatpetroleum.in/Bharat-Petroleum-For/Our-Businesses/Pipelines.aspx</t>
        </is>
      </c>
      <c r="U2578" t="inlineStr">
        <is>
          <t>HTML</t>
        </is>
      </c>
      <c r="V2578" t="inlineStr">
        <is>
          <t>Bot tespit/zenginlestirme (2026-07-01); meta:score=;priority=Low;source_type=html_table;closing_date=;equipment=Unclassified;reasons=</t>
        </is>
      </c>
    </row>
    <row r="2579">
      <c r="A2579" t="inlineStr">
        <is>
          <t>T-2383</t>
        </is>
      </c>
      <c r="B2579" t="inlineStr">
        <is>
          <t>Bharat Petroleum (BPCL CGD)</t>
        </is>
      </c>
      <c r="C2579" t="inlineStr">
        <is>
          <t>Bharat Petroleum (BPCL CGD)</t>
        </is>
      </c>
      <c r="F2579" t="inlineStr">
        <is>
          <t>New Lead</t>
        </is>
      </c>
      <c r="G2579" t="inlineStr">
        <is>
          <t>Unclassified</t>
        </is>
      </c>
      <c r="H2579" t="inlineStr">
        <is>
          <t>About Pipelines</t>
        </is>
      </c>
      <c r="K2579" t="inlineStr">
        <is>
          <t>Not found</t>
        </is>
      </c>
      <c r="L2579" t="inlineStr">
        <is>
          <t>Unknown</t>
        </is>
      </c>
      <c r="T2579" t="inlineStr">
        <is>
          <t>https://www.bharatpetroleum.in/Bharat-Petroleum-For/Our-Businesses/Pipelines/About-Pipelines.aspx</t>
        </is>
      </c>
      <c r="U2579" t="inlineStr">
        <is>
          <t>HTML</t>
        </is>
      </c>
      <c r="V2579" t="inlineStr">
        <is>
          <t>Bot tespit/zenginlestirme (2026-07-01); meta:score=;priority=Low;source_type=html_link;closing_date=;equipment=Unclassified;reasons=</t>
        </is>
      </c>
    </row>
    <row r="2580">
      <c r="A2580" t="inlineStr">
        <is>
          <t>T-2384</t>
        </is>
      </c>
      <c r="B2580" t="inlineStr">
        <is>
          <t>Bharat Petroleum (BPCL CGD)</t>
        </is>
      </c>
      <c r="C2580" t="inlineStr">
        <is>
          <t>Bharat Petroleum (BPCL CGD)</t>
        </is>
      </c>
      <c r="F2580" t="inlineStr">
        <is>
          <t>New Lead</t>
        </is>
      </c>
      <c r="G2580" t="inlineStr">
        <is>
          <t>Unclassified</t>
        </is>
      </c>
      <c r="H2580" t="inlineStr">
        <is>
          <t>Overview of BPCL Pipelines</t>
        </is>
      </c>
      <c r="K2580" t="inlineStr">
        <is>
          <t>Not found</t>
        </is>
      </c>
      <c r="L2580" t="inlineStr">
        <is>
          <t>Unknown</t>
        </is>
      </c>
      <c r="T2580" t="inlineStr">
        <is>
          <t>https://www.bharatpetroleum.in/Bharat-Petroleum-For/Our-Businesses/Pipelines/Overview-of-BPCL-Pipelines.aspx</t>
        </is>
      </c>
      <c r="U2580" t="inlineStr">
        <is>
          <t>HTML</t>
        </is>
      </c>
      <c r="V2580" t="inlineStr">
        <is>
          <t>Bot tespit/zenginlestirme (2026-07-01); meta:score=;priority=Low;source_type=html_link;closing_date=;equipment=Unclassified;reasons=</t>
        </is>
      </c>
    </row>
    <row r="2581">
      <c r="A2581" t="inlineStr">
        <is>
          <t>T-2385</t>
        </is>
      </c>
      <c r="B2581" t="inlineStr">
        <is>
          <t>Bharat Petroleum (BPCL CGD)</t>
        </is>
      </c>
      <c r="C2581" t="inlineStr">
        <is>
          <t>Bharat Petroleum (BPCL CGD)</t>
        </is>
      </c>
      <c r="F2581" t="inlineStr">
        <is>
          <t>New Lead</t>
        </is>
      </c>
      <c r="G2581" t="inlineStr">
        <is>
          <t>Unclassified</t>
        </is>
      </c>
      <c r="H2581" t="inlineStr">
        <is>
          <t>Bharat Petroleum Pipeline Crossing Application</t>
        </is>
      </c>
      <c r="K2581" t="inlineStr">
        <is>
          <t>Not found</t>
        </is>
      </c>
      <c r="L2581" t="inlineStr">
        <is>
          <t>Unknown</t>
        </is>
      </c>
      <c r="T2581" t="inlineStr">
        <is>
          <t>https://ebiz.bpc.co.in/PipelineNocExt/</t>
        </is>
      </c>
      <c r="U2581" t="inlineStr">
        <is>
          <t>HTML</t>
        </is>
      </c>
      <c r="V2581" t="inlineStr">
        <is>
          <t>Bot tespit/zenginlestirme (2026-07-01); meta:score=;priority=Low;source_type=html_link;closing_date=;equipment=Unclassified;reasons=</t>
        </is>
      </c>
    </row>
    <row r="2582">
      <c r="A2582" t="inlineStr">
        <is>
          <t>T-2386</t>
        </is>
      </c>
      <c r="B2582" t="inlineStr">
        <is>
          <t>Bharat Petroleum (BPCL CGD)</t>
        </is>
      </c>
      <c r="C2582" t="inlineStr">
        <is>
          <t>Bharat Petroleum (BPCL CGD)</t>
        </is>
      </c>
      <c r="F2582" t="inlineStr">
        <is>
          <t>New Lead</t>
        </is>
      </c>
      <c r="G2582" t="inlineStr">
        <is>
          <t>Unclassified</t>
        </is>
      </c>
      <c r="H2582" t="inlineStr">
        <is>
          <t>BPCL group</t>
        </is>
      </c>
      <c r="K2582" t="inlineStr">
        <is>
          <t>Not found</t>
        </is>
      </c>
      <c r="L2582" t="inlineStr">
        <is>
          <t>Unknown</t>
        </is>
      </c>
      <c r="T2582" t="inlineStr">
        <is>
          <t>https://www.bharatpetroleum.in/Bharat-Petroleum-For/Our-Businesses/BPCL-group.aspx</t>
        </is>
      </c>
      <c r="U2582" t="inlineStr">
        <is>
          <t>HTML</t>
        </is>
      </c>
      <c r="V2582" t="inlineStr">
        <is>
          <t>Bot tespit/zenginlestirme (2026-07-01); meta:score=;priority=Low;source_type=html_link;closing_date=;equipment=Unclassified;reasons=</t>
        </is>
      </c>
    </row>
    <row r="2583">
      <c r="A2583" t="inlineStr">
        <is>
          <t>T-2387</t>
        </is>
      </c>
      <c r="B2583" t="inlineStr">
        <is>
          <t>Bharat Petroleum (BPCL CGD)</t>
        </is>
      </c>
      <c r="C2583" t="inlineStr">
        <is>
          <t>Bharat Petroleum (BPCL CGD)</t>
        </is>
      </c>
      <c r="F2583" t="inlineStr">
        <is>
          <t>New Lead</t>
        </is>
      </c>
      <c r="G2583" t="inlineStr">
        <is>
          <t>Unclassified</t>
        </is>
      </c>
      <c r="H2583" t="inlineStr">
        <is>
          <t>Mumbai Refinery(MR) Performance Process and Technology Our Products Sustainability Future Plans and Projects Awards Health and Safety Corporate Responsibility</t>
        </is>
      </c>
      <c r="K2583" t="inlineStr">
        <is>
          <t>Not found</t>
        </is>
      </c>
      <c r="L2583" t="inlineStr">
        <is>
          <t>Unknown</t>
        </is>
      </c>
      <c r="T2583" t="inlineStr">
        <is>
          <t>https://www.bharatpetroleum.in/Bharat-Petroleum-For/Refineries/Mumbai-Refinery(MR).aspx</t>
        </is>
      </c>
      <c r="U2583" t="inlineStr">
        <is>
          <t>HTML</t>
        </is>
      </c>
      <c r="V2583" t="inlineStr">
        <is>
          <t>Bot tespit/zenginlestirme (2026-07-01); meta:score=;priority=Low;source_type=html_table;closing_date=;equipment=Unclassified;reasons=</t>
        </is>
      </c>
    </row>
    <row r="2584">
      <c r="A2584" t="inlineStr">
        <is>
          <t>T-2388</t>
        </is>
      </c>
      <c r="B2584" t="inlineStr">
        <is>
          <t>Bharat Petroleum (BPCL CGD)</t>
        </is>
      </c>
      <c r="C2584" t="inlineStr">
        <is>
          <t>Bharat Petroleum (BPCL CGD)</t>
        </is>
      </c>
      <c r="F2584" t="inlineStr">
        <is>
          <t>New Lead</t>
        </is>
      </c>
      <c r="G2584" t="inlineStr">
        <is>
          <t>Unclassified</t>
        </is>
      </c>
      <c r="H2584" t="inlineStr">
        <is>
          <t>Performance</t>
        </is>
      </c>
      <c r="K2584" t="inlineStr">
        <is>
          <t>Not found</t>
        </is>
      </c>
      <c r="L2584" t="inlineStr">
        <is>
          <t>Unknown</t>
        </is>
      </c>
      <c r="T2584" t="inlineStr">
        <is>
          <t>https://www.bharatpetroleum.in/Bharat-Petroleum-For/Refineries/Mumbai-Refinery(MR)/Performance.aspx</t>
        </is>
      </c>
      <c r="U2584" t="inlineStr">
        <is>
          <t>HTML</t>
        </is>
      </c>
      <c r="V2584" t="inlineStr">
        <is>
          <t>Bot tespit/zenginlestirme (2026-07-01); meta:score=;priority=Low;source_type=html_link;closing_date=;equipment=Unclassified;reasons=</t>
        </is>
      </c>
    </row>
    <row r="2585">
      <c r="A2585" t="inlineStr">
        <is>
          <t>T-2389</t>
        </is>
      </c>
      <c r="B2585" t="inlineStr">
        <is>
          <t>Bharat Petroleum (BPCL CGD)</t>
        </is>
      </c>
      <c r="C2585" t="inlineStr">
        <is>
          <t>Bharat Petroleum (BPCL CGD)</t>
        </is>
      </c>
      <c r="F2585" t="inlineStr">
        <is>
          <t>New Lead</t>
        </is>
      </c>
      <c r="G2585" t="inlineStr">
        <is>
          <t>Unclassified</t>
        </is>
      </c>
      <c r="H2585" t="inlineStr">
        <is>
          <t>Process and Technology</t>
        </is>
      </c>
      <c r="K2585" t="inlineStr">
        <is>
          <t>Not found</t>
        </is>
      </c>
      <c r="L2585" t="inlineStr">
        <is>
          <t>Unknown</t>
        </is>
      </c>
      <c r="T2585" t="inlineStr">
        <is>
          <t>https://www.bharatpetroleum.in/Bharat-Petroleum-For/Refineries/Mumbai-Refinery(MR)/Process-and-Technology.aspx</t>
        </is>
      </c>
      <c r="U2585" t="inlineStr">
        <is>
          <t>HTML</t>
        </is>
      </c>
      <c r="V2585" t="inlineStr">
        <is>
          <t>Bot tespit/zenginlestirme (2026-07-01); meta:score=;priority=Low;source_type=html_link;closing_date=;equipment=Unclassified;reasons=</t>
        </is>
      </c>
    </row>
    <row r="2586">
      <c r="A2586" t="inlineStr">
        <is>
          <t>T-2390</t>
        </is>
      </c>
      <c r="B2586" t="inlineStr">
        <is>
          <t>Bharat Petroleum (BPCL CGD)</t>
        </is>
      </c>
      <c r="C2586" t="inlineStr">
        <is>
          <t>Bharat Petroleum (BPCL CGD)</t>
        </is>
      </c>
      <c r="F2586" t="inlineStr">
        <is>
          <t>New Lead</t>
        </is>
      </c>
      <c r="G2586" t="inlineStr">
        <is>
          <t>Unclassified</t>
        </is>
      </c>
      <c r="H2586" t="inlineStr">
        <is>
          <t>Our Products</t>
        </is>
      </c>
      <c r="K2586" t="inlineStr">
        <is>
          <t>Not found</t>
        </is>
      </c>
      <c r="L2586" t="inlineStr">
        <is>
          <t>Unknown</t>
        </is>
      </c>
      <c r="T2586" t="inlineStr">
        <is>
          <t>https://www.bharatpetroleum.in/Bharat-Petroleum-For/Refineries/Mumbai-Refinery(MR)/Our-Products.aspx</t>
        </is>
      </c>
      <c r="U2586" t="inlineStr">
        <is>
          <t>HTML</t>
        </is>
      </c>
      <c r="V2586" t="inlineStr">
        <is>
          <t>Bot tespit/zenginlestirme (2026-07-01); meta:score=;priority=Low;source_type=html_link;closing_date=;equipment=Unclassified;reasons=</t>
        </is>
      </c>
    </row>
    <row r="2587">
      <c r="A2587" t="inlineStr">
        <is>
          <t>T-2391</t>
        </is>
      </c>
      <c r="B2587" t="inlineStr">
        <is>
          <t>Bharat Petroleum (BPCL CGD)</t>
        </is>
      </c>
      <c r="C2587" t="inlineStr">
        <is>
          <t>Bharat Petroleum (BPCL CGD)</t>
        </is>
      </c>
      <c r="F2587" t="inlineStr">
        <is>
          <t>New Lead</t>
        </is>
      </c>
      <c r="G2587" t="inlineStr">
        <is>
          <t>Unclassified</t>
        </is>
      </c>
      <c r="H2587" t="inlineStr">
        <is>
          <t>Sustainability</t>
        </is>
      </c>
      <c r="K2587" t="inlineStr">
        <is>
          <t>Not found</t>
        </is>
      </c>
      <c r="L2587" t="inlineStr">
        <is>
          <t>Unknown</t>
        </is>
      </c>
      <c r="T2587" t="inlineStr">
        <is>
          <t>https://www.bharatpetroleum.in/Bharat-Petroleum-For/Refineries/Mumbai-Refinery(MR)/Sustainability.aspx</t>
        </is>
      </c>
      <c r="U2587" t="inlineStr">
        <is>
          <t>HTML</t>
        </is>
      </c>
      <c r="V2587" t="inlineStr">
        <is>
          <t>Bot tespit/zenginlestirme (2026-07-01); meta:score=;priority=Low;source_type=html_link;closing_date=;equipment=Unclassified;reasons=</t>
        </is>
      </c>
    </row>
    <row r="2588">
      <c r="A2588" t="inlineStr">
        <is>
          <t>T-2392</t>
        </is>
      </c>
      <c r="B2588" t="inlineStr">
        <is>
          <t>Bharat Petroleum (BPCL CGD)</t>
        </is>
      </c>
      <c r="C2588" t="inlineStr">
        <is>
          <t>Bharat Petroleum (BPCL CGD)</t>
        </is>
      </c>
      <c r="F2588" t="inlineStr">
        <is>
          <t>New Lead</t>
        </is>
      </c>
      <c r="G2588" t="inlineStr">
        <is>
          <t>Unclassified</t>
        </is>
      </c>
      <c r="H2588" t="inlineStr">
        <is>
          <t>Future Plans and Projects</t>
        </is>
      </c>
      <c r="K2588" t="inlineStr">
        <is>
          <t>Not found</t>
        </is>
      </c>
      <c r="L2588" t="inlineStr">
        <is>
          <t>Unknown</t>
        </is>
      </c>
      <c r="T2588" t="inlineStr">
        <is>
          <t>https://www.bharatpetroleum.in/Bharat-Petroleum-For/Refineries/Mumbai-Refinery(MR)/Future-Plans-and-Projects.aspx</t>
        </is>
      </c>
      <c r="U2588" t="inlineStr">
        <is>
          <t>HTML</t>
        </is>
      </c>
      <c r="V2588" t="inlineStr">
        <is>
          <t>Bot tespit/zenginlestirme (2026-07-01); meta:score=;priority=Low;source_type=html_link;closing_date=;equipment=Unclassified;reasons=</t>
        </is>
      </c>
    </row>
    <row r="2589">
      <c r="A2589" t="inlineStr">
        <is>
          <t>T-2393</t>
        </is>
      </c>
      <c r="B2589" t="inlineStr">
        <is>
          <t>Bharat Petroleum (BPCL CGD)</t>
        </is>
      </c>
      <c r="C2589" t="inlineStr">
        <is>
          <t>Bharat Petroleum (BPCL CGD)</t>
        </is>
      </c>
      <c r="F2589" t="inlineStr">
        <is>
          <t>Awarded / Result</t>
        </is>
      </c>
      <c r="G2589" t="inlineStr">
        <is>
          <t>Unclassified</t>
        </is>
      </c>
      <c r="H2589" t="inlineStr">
        <is>
          <t>Awards</t>
        </is>
      </c>
      <c r="K2589" t="inlineStr">
        <is>
          <t>Not found</t>
        </is>
      </c>
      <c r="L2589" t="inlineStr">
        <is>
          <t>Unknown</t>
        </is>
      </c>
      <c r="T2589" t="inlineStr">
        <is>
          <t>https://www.bharatpetroleum.in/Bharat-Petroleum-For/Refineries/Mumbai-Refinery(MR)/Awards.aspx</t>
        </is>
      </c>
      <c r="U2589" t="inlineStr">
        <is>
          <t>HTML</t>
        </is>
      </c>
      <c r="V2589" t="inlineStr">
        <is>
          <t>Bot tespit/zenginlestirme (2026-07-01); meta:score=;priority=Low;source_type=html_link;closing_date=;equipment=Unclassified;reasons=</t>
        </is>
      </c>
    </row>
    <row r="2590">
      <c r="A2590" t="inlineStr">
        <is>
          <t>T-2394</t>
        </is>
      </c>
      <c r="B2590" t="inlineStr">
        <is>
          <t>Bharat Petroleum (BPCL CGD)</t>
        </is>
      </c>
      <c r="C2590" t="inlineStr">
        <is>
          <t>Bharat Petroleum (BPCL CGD)</t>
        </is>
      </c>
      <c r="F2590" t="inlineStr">
        <is>
          <t>New Lead</t>
        </is>
      </c>
      <c r="G2590" t="inlineStr">
        <is>
          <t>Unclassified</t>
        </is>
      </c>
      <c r="H2590" t="inlineStr">
        <is>
          <t>Health and Safety</t>
        </is>
      </c>
      <c r="K2590" t="inlineStr">
        <is>
          <t>Not found</t>
        </is>
      </c>
      <c r="L2590" t="inlineStr">
        <is>
          <t>Unknown</t>
        </is>
      </c>
      <c r="T2590" t="inlineStr">
        <is>
          <t>https://www.bharatpetroleum.in/Bharat-Petroleum-For/Refineries/Mumbai-Refinery(MR)/Health-and-Safety.aspx</t>
        </is>
      </c>
      <c r="U2590" t="inlineStr">
        <is>
          <t>HTML</t>
        </is>
      </c>
      <c r="V2590" t="inlineStr">
        <is>
          <t>Bot tespit/zenginlestirme (2026-07-01); meta:score=;priority=Low;source_type=html_link;closing_date=;equipment=Unclassified;reasons=</t>
        </is>
      </c>
    </row>
    <row r="2591">
      <c r="A2591" t="inlineStr">
        <is>
          <t>T-2395</t>
        </is>
      </c>
      <c r="B2591" t="inlineStr">
        <is>
          <t>Bharat Petroleum (BPCL CGD)</t>
        </is>
      </c>
      <c r="C2591" t="inlineStr">
        <is>
          <t>Bharat Petroleum (BPCL CGD)</t>
        </is>
      </c>
      <c r="F2591" t="inlineStr">
        <is>
          <t>New Lead</t>
        </is>
      </c>
      <c r="G2591" t="inlineStr">
        <is>
          <t>Unclassified</t>
        </is>
      </c>
      <c r="H2591" t="inlineStr">
        <is>
          <t>Corporate Responsibility</t>
        </is>
      </c>
      <c r="K2591" t="inlineStr">
        <is>
          <t>Not found</t>
        </is>
      </c>
      <c r="L2591" t="inlineStr">
        <is>
          <t>Unknown</t>
        </is>
      </c>
      <c r="T2591" t="inlineStr">
        <is>
          <t>https://www.bharatpetroleum.in/Bharat-Petroleum-For/Refineries/Mumbai-Refinery(MR)/Corporate-Responsibility.aspx</t>
        </is>
      </c>
      <c r="U2591" t="inlineStr">
        <is>
          <t>HTML</t>
        </is>
      </c>
      <c r="V2591" t="inlineStr">
        <is>
          <t>Bot tespit/zenginlestirme (2026-07-01); meta:score=;priority=Low;source_type=html_link;closing_date=;equipment=Unclassified;reasons=</t>
        </is>
      </c>
    </row>
    <row r="2592">
      <c r="A2592" t="inlineStr">
        <is>
          <t>T-2396</t>
        </is>
      </c>
      <c r="B2592" t="inlineStr">
        <is>
          <t>Bharat Petroleum (BPCL CGD)</t>
        </is>
      </c>
      <c r="C2592" t="inlineStr">
        <is>
          <t>Bharat Petroleum (BPCL CGD)</t>
        </is>
      </c>
      <c r="F2592" t="inlineStr">
        <is>
          <t>New Lead</t>
        </is>
      </c>
      <c r="G2592" t="inlineStr">
        <is>
          <t>Irrelevant / non-target</t>
        </is>
      </c>
      <c r="H2592" t="inlineStr">
        <is>
          <t>Kochi Refinery Overview History Performance Refining Capacity Future Plans Technology Projects Energy Conservation Process Innovation Environment Ambient Air Quality Report IREP Awards and Recognition Health and Safety CSR Your Corner KR</t>
        </is>
      </c>
      <c r="K2592" t="inlineStr">
        <is>
          <t>Not found</t>
        </is>
      </c>
      <c r="L2592" t="inlineStr">
        <is>
          <t>Unknown</t>
        </is>
      </c>
      <c r="T2592" t="inlineStr">
        <is>
          <t>https://www.bharatpetroleum.in/Bharat-Petroleum-For/Refineries/Kochi-Refinery.aspx</t>
        </is>
      </c>
      <c r="U2592" t="inlineStr">
        <is>
          <t>HTML</t>
        </is>
      </c>
      <c r="V2592" t="inlineStr">
        <is>
          <t>Bot tespit/zenginlestirme (2026-07-01); meta:score=;priority=Low;source_type=html_table;closing_date=;equipment=Irrelevant / non-target;reasons=irrelevant_equipment,tender reference signal,website noise</t>
        </is>
      </c>
    </row>
    <row r="2593">
      <c r="A2593" t="inlineStr">
        <is>
          <t>T-2397</t>
        </is>
      </c>
      <c r="B2593" t="inlineStr">
        <is>
          <t>Bharat Petroleum (BPCL CGD)</t>
        </is>
      </c>
      <c r="C2593" t="inlineStr">
        <is>
          <t>Bharat Petroleum (BPCL CGD)</t>
        </is>
      </c>
      <c r="F2593" t="inlineStr">
        <is>
          <t>New Lead</t>
        </is>
      </c>
      <c r="G2593" t="inlineStr">
        <is>
          <t>Unclassified</t>
        </is>
      </c>
      <c r="H2593" t="inlineStr">
        <is>
          <t>Overview</t>
        </is>
      </c>
      <c r="K2593" t="inlineStr">
        <is>
          <t>Not found</t>
        </is>
      </c>
      <c r="L2593" t="inlineStr">
        <is>
          <t>Unknown</t>
        </is>
      </c>
      <c r="T2593" t="inlineStr">
        <is>
          <t>https://www.bharatpetroleum.in/Bharat-Petroleum-For/Refineries/Kochi-Refinery/Overview.aspx</t>
        </is>
      </c>
      <c r="U2593" t="inlineStr">
        <is>
          <t>HTML</t>
        </is>
      </c>
      <c r="V2593" t="inlineStr">
        <is>
          <t>Bot tespit/zenginlestirme (2026-07-01); meta:score=;priority=Low;source_type=html_link;closing_date=;equipment=Unclassified;reasons=</t>
        </is>
      </c>
    </row>
    <row r="2594">
      <c r="A2594" t="inlineStr">
        <is>
          <t>T-2398</t>
        </is>
      </c>
      <c r="B2594" t="inlineStr">
        <is>
          <t>Bharat Petroleum (BPCL CGD)</t>
        </is>
      </c>
      <c r="C2594" t="inlineStr">
        <is>
          <t>Bharat Petroleum (BPCL CGD)</t>
        </is>
      </c>
      <c r="F2594" t="inlineStr">
        <is>
          <t>New Lead</t>
        </is>
      </c>
      <c r="G2594" t="inlineStr">
        <is>
          <t>Unclassified</t>
        </is>
      </c>
      <c r="H2594" t="inlineStr">
        <is>
          <t>History</t>
        </is>
      </c>
      <c r="K2594" t="inlineStr">
        <is>
          <t>Not found</t>
        </is>
      </c>
      <c r="L2594" t="inlineStr">
        <is>
          <t>Unknown</t>
        </is>
      </c>
      <c r="T2594" t="inlineStr">
        <is>
          <t>https://www.bharatpetroleum.in/Bharat-Petroleum-For/Refineries/Kochi-Refinery/History.aspx</t>
        </is>
      </c>
      <c r="U2594" t="inlineStr">
        <is>
          <t>HTML</t>
        </is>
      </c>
      <c r="V2594" t="inlineStr">
        <is>
          <t>Bot tespit/zenginlestirme (2026-07-01); meta:score=;priority=Low;source_type=html_link;closing_date=;equipment=Unclassified;reasons=</t>
        </is>
      </c>
    </row>
    <row r="2595">
      <c r="A2595" t="inlineStr">
        <is>
          <t>T-2399</t>
        </is>
      </c>
      <c r="B2595" t="inlineStr">
        <is>
          <t>Bharat Petroleum (BPCL CGD)</t>
        </is>
      </c>
      <c r="C2595" t="inlineStr">
        <is>
          <t>Bharat Petroleum (BPCL CGD)</t>
        </is>
      </c>
      <c r="F2595" t="inlineStr">
        <is>
          <t>New Lead</t>
        </is>
      </c>
      <c r="G2595" t="inlineStr">
        <is>
          <t>Unclassified</t>
        </is>
      </c>
      <c r="H2595" t="inlineStr">
        <is>
          <t>Performance</t>
        </is>
      </c>
      <c r="K2595" t="inlineStr">
        <is>
          <t>Not found</t>
        </is>
      </c>
      <c r="L2595" t="inlineStr">
        <is>
          <t>Unknown</t>
        </is>
      </c>
      <c r="T2595" t="inlineStr">
        <is>
          <t>https://www.bharatpetroleum.in/Bharat-Petroleum-For/Refineries/Kochi-Refinery/Performance.aspx</t>
        </is>
      </c>
      <c r="U2595" t="inlineStr">
        <is>
          <t>HTML</t>
        </is>
      </c>
      <c r="V2595" t="inlineStr">
        <is>
          <t>Bot tespit/zenginlestirme (2026-07-01); meta:score=;priority=Low;source_type=html_link;closing_date=;equipment=Unclassified;reasons=</t>
        </is>
      </c>
    </row>
    <row r="2596">
      <c r="A2596" t="inlineStr">
        <is>
          <t>T-2400</t>
        </is>
      </c>
      <c r="B2596" t="inlineStr">
        <is>
          <t>Bharat Petroleum (BPCL CGD)</t>
        </is>
      </c>
      <c r="C2596" t="inlineStr">
        <is>
          <t>Bharat Petroleum (BPCL CGD)</t>
        </is>
      </c>
      <c r="F2596" t="inlineStr">
        <is>
          <t>New Lead</t>
        </is>
      </c>
      <c r="G2596" t="inlineStr">
        <is>
          <t>Unclassified</t>
        </is>
      </c>
      <c r="H2596" t="inlineStr">
        <is>
          <t>Refining Capacity</t>
        </is>
      </c>
      <c r="K2596" t="inlineStr">
        <is>
          <t>Not found</t>
        </is>
      </c>
      <c r="L2596" t="inlineStr">
        <is>
          <t>Unknown</t>
        </is>
      </c>
      <c r="T2596" t="inlineStr">
        <is>
          <t>https://www.bharatpetroleum.in/Bharat-Petroleum-For/Refineries/Kochi-Refinery/Refining-Capacity.aspx</t>
        </is>
      </c>
      <c r="U2596" t="inlineStr">
        <is>
          <t>HTML</t>
        </is>
      </c>
      <c r="V2596" t="inlineStr">
        <is>
          <t>Bot tespit/zenginlestirme (2026-07-01); meta:score=;priority=Low;source_type=html_link;closing_date=;equipment=Unclassified;reasons=</t>
        </is>
      </c>
    </row>
    <row r="2597">
      <c r="A2597" t="inlineStr">
        <is>
          <t>T-2401</t>
        </is>
      </c>
      <c r="B2597" t="inlineStr">
        <is>
          <t>Bharat Petroleum (BPCL CGD)</t>
        </is>
      </c>
      <c r="C2597" t="inlineStr">
        <is>
          <t>Bharat Petroleum (BPCL CGD)</t>
        </is>
      </c>
      <c r="F2597" t="inlineStr">
        <is>
          <t>New Lead</t>
        </is>
      </c>
      <c r="G2597" t="inlineStr">
        <is>
          <t>Unclassified</t>
        </is>
      </c>
      <c r="H2597" t="inlineStr">
        <is>
          <t>Future Plans</t>
        </is>
      </c>
      <c r="K2597" t="inlineStr">
        <is>
          <t>Not found</t>
        </is>
      </c>
      <c r="L2597" t="inlineStr">
        <is>
          <t>Unknown</t>
        </is>
      </c>
      <c r="T2597" t="inlineStr">
        <is>
          <t>https://www.bharatpetroleum.in/Bharat-Petroleum-For/Refineries/Kochi-Refinery/Future-Plans.aspx</t>
        </is>
      </c>
      <c r="U2597" t="inlineStr">
        <is>
          <t>HTML</t>
        </is>
      </c>
      <c r="V2597" t="inlineStr">
        <is>
          <t>Bot tespit/zenginlestirme (2026-07-01); meta:score=;priority=Low;source_type=html_link;closing_date=;equipment=Unclassified;reasons=</t>
        </is>
      </c>
    </row>
    <row r="2598">
      <c r="A2598" t="inlineStr">
        <is>
          <t>T-2402</t>
        </is>
      </c>
      <c r="B2598" t="inlineStr">
        <is>
          <t>Bharat Petroleum (BPCL CGD)</t>
        </is>
      </c>
      <c r="C2598" t="inlineStr">
        <is>
          <t>Bharat Petroleum (BPCL CGD)</t>
        </is>
      </c>
      <c r="F2598" t="inlineStr">
        <is>
          <t>New Lead</t>
        </is>
      </c>
      <c r="G2598" t="inlineStr">
        <is>
          <t>Unclassified</t>
        </is>
      </c>
      <c r="H2598" t="inlineStr">
        <is>
          <t>Technology</t>
        </is>
      </c>
      <c r="K2598" t="inlineStr">
        <is>
          <t>Not found</t>
        </is>
      </c>
      <c r="L2598" t="inlineStr">
        <is>
          <t>Unknown</t>
        </is>
      </c>
      <c r="T2598" t="inlineStr">
        <is>
          <t>https://www.bharatpetroleum.in/Bharat-Petroleum-For/Refineries/Kochi-Refinery/Technology.aspx</t>
        </is>
      </c>
      <c r="U2598" t="inlineStr">
        <is>
          <t>HTML</t>
        </is>
      </c>
      <c r="V2598" t="inlineStr">
        <is>
          <t>Bot tespit/zenginlestirme (2026-07-01); meta:score=;priority=Low;source_type=html_link;closing_date=;equipment=Unclassified;reasons=</t>
        </is>
      </c>
    </row>
    <row r="2599">
      <c r="A2599" t="inlineStr">
        <is>
          <t>T-2403</t>
        </is>
      </c>
      <c r="B2599" t="inlineStr">
        <is>
          <t>Bharat Petroleum (BPCL CGD)</t>
        </is>
      </c>
      <c r="C2599" t="inlineStr">
        <is>
          <t>Bharat Petroleum (BPCL CGD)</t>
        </is>
      </c>
      <c r="F2599" t="inlineStr">
        <is>
          <t>New Lead</t>
        </is>
      </c>
      <c r="G2599" t="inlineStr">
        <is>
          <t>Unclassified</t>
        </is>
      </c>
      <c r="H2599" t="inlineStr">
        <is>
          <t>Projects</t>
        </is>
      </c>
      <c r="K2599" t="inlineStr">
        <is>
          <t>Not found</t>
        </is>
      </c>
      <c r="L2599" t="inlineStr">
        <is>
          <t>Unknown</t>
        </is>
      </c>
      <c r="T2599" t="inlineStr">
        <is>
          <t>https://www.bharatpetroleum.in/Bharat-Petroleum-For/Refineries/Kochi-Refinery/Projects.aspx</t>
        </is>
      </c>
      <c r="U2599" t="inlineStr">
        <is>
          <t>HTML</t>
        </is>
      </c>
      <c r="V2599" t="inlineStr">
        <is>
          <t>Bot tespit/zenginlestirme (2026-07-01); meta:score=;priority=Low;source_type=html_link;closing_date=;equipment=Unclassified;reasons=</t>
        </is>
      </c>
    </row>
    <row r="2600">
      <c r="A2600" t="inlineStr">
        <is>
          <t>T-2404</t>
        </is>
      </c>
      <c r="B2600" t="inlineStr">
        <is>
          <t>Bharat Petroleum (BPCL CGD)</t>
        </is>
      </c>
      <c r="C2600" t="inlineStr">
        <is>
          <t>Bharat Petroleum (BPCL CGD)</t>
        </is>
      </c>
      <c r="F2600" t="inlineStr">
        <is>
          <t>New Lead</t>
        </is>
      </c>
      <c r="G2600" t="inlineStr">
        <is>
          <t>Unclassified</t>
        </is>
      </c>
      <c r="H2600" t="inlineStr">
        <is>
          <t>Energy Conservation</t>
        </is>
      </c>
      <c r="K2600" t="inlineStr">
        <is>
          <t>Not found</t>
        </is>
      </c>
      <c r="L2600" t="inlineStr">
        <is>
          <t>Unknown</t>
        </is>
      </c>
      <c r="T2600" t="inlineStr">
        <is>
          <t>https://www.bharatpetroleum.in/Bharat-Petroleum-For/Refineries/Kochi-Refinery/Energy-Conservation.aspx</t>
        </is>
      </c>
      <c r="U2600" t="inlineStr">
        <is>
          <t>HTML</t>
        </is>
      </c>
      <c r="V2600" t="inlineStr">
        <is>
          <t>Bot tespit/zenginlestirme (2026-07-01); meta:score=;priority=Low;source_type=html_link;closing_date=;equipment=Unclassified;reasons=</t>
        </is>
      </c>
    </row>
    <row r="2601">
      <c r="A2601" t="inlineStr">
        <is>
          <t>T-2405</t>
        </is>
      </c>
      <c r="B2601" t="inlineStr">
        <is>
          <t>Bharat Petroleum (BPCL CGD)</t>
        </is>
      </c>
      <c r="C2601" t="inlineStr">
        <is>
          <t>Bharat Petroleum (BPCL CGD)</t>
        </is>
      </c>
      <c r="F2601" t="inlineStr">
        <is>
          <t>New Lead</t>
        </is>
      </c>
      <c r="G2601" t="inlineStr">
        <is>
          <t>Unclassified</t>
        </is>
      </c>
      <c r="H2601" t="inlineStr">
        <is>
          <t>Process</t>
        </is>
      </c>
      <c r="K2601" t="inlineStr">
        <is>
          <t>Not found</t>
        </is>
      </c>
      <c r="L2601" t="inlineStr">
        <is>
          <t>Unknown</t>
        </is>
      </c>
      <c r="T2601" t="inlineStr">
        <is>
          <t>https://www.bharatpetroleum.in/Bharat-Petroleum-For/Refineries/Kochi-Refinery/Process.aspx</t>
        </is>
      </c>
      <c r="U2601" t="inlineStr">
        <is>
          <t>HTML</t>
        </is>
      </c>
      <c r="V2601" t="inlineStr">
        <is>
          <t>Bot tespit/zenginlestirme (2026-07-01); meta:score=;priority=Low;source_type=html_link;closing_date=;equipment=Unclassified;reasons=</t>
        </is>
      </c>
    </row>
    <row r="2602">
      <c r="A2602" t="inlineStr">
        <is>
          <t>T-2406</t>
        </is>
      </c>
      <c r="B2602" t="inlineStr">
        <is>
          <t>Bharat Petroleum (BPCL CGD)</t>
        </is>
      </c>
      <c r="C2602" t="inlineStr">
        <is>
          <t>Bharat Petroleum (BPCL CGD)</t>
        </is>
      </c>
      <c r="F2602" t="inlineStr">
        <is>
          <t>New Lead</t>
        </is>
      </c>
      <c r="G2602" t="inlineStr">
        <is>
          <t>Unclassified</t>
        </is>
      </c>
      <c r="H2602" t="inlineStr">
        <is>
          <t>Innovation</t>
        </is>
      </c>
      <c r="K2602" t="inlineStr">
        <is>
          <t>Not found</t>
        </is>
      </c>
      <c r="L2602" t="inlineStr">
        <is>
          <t>Unknown</t>
        </is>
      </c>
      <c r="T2602" t="inlineStr">
        <is>
          <t>https://www.bharatpetroleum.in/Bharat-Petroleum-For/Refineries/Kochi-Refinery/Innovation.aspx</t>
        </is>
      </c>
      <c r="U2602" t="inlineStr">
        <is>
          <t>HTML</t>
        </is>
      </c>
      <c r="V2602" t="inlineStr">
        <is>
          <t>Bot tespit/zenginlestirme (2026-07-01); meta:score=;priority=Low;source_type=html_link;closing_date=;equipment=Unclassified;reasons=</t>
        </is>
      </c>
    </row>
    <row r="2603">
      <c r="A2603" t="inlineStr">
        <is>
          <t>T-2407</t>
        </is>
      </c>
      <c r="B2603" t="inlineStr">
        <is>
          <t>Bharat Petroleum (BPCL CGD)</t>
        </is>
      </c>
      <c r="C2603" t="inlineStr">
        <is>
          <t>Bharat Petroleum (BPCL CGD)</t>
        </is>
      </c>
      <c r="F2603" t="inlineStr">
        <is>
          <t>New Lead</t>
        </is>
      </c>
      <c r="G2603" t="inlineStr">
        <is>
          <t>Unclassified</t>
        </is>
      </c>
      <c r="H2603" t="inlineStr">
        <is>
          <t>Environment</t>
        </is>
      </c>
      <c r="K2603" t="inlineStr">
        <is>
          <t>Not found</t>
        </is>
      </c>
      <c r="L2603" t="inlineStr">
        <is>
          <t>Unknown</t>
        </is>
      </c>
      <c r="T2603" t="inlineStr">
        <is>
          <t>https://www.bharatpetroleum.in/sustainability/green-refineries/kochi-refinery.aspx</t>
        </is>
      </c>
      <c r="U2603" t="inlineStr">
        <is>
          <t>HTML</t>
        </is>
      </c>
      <c r="V2603" t="inlineStr">
        <is>
          <t>Bot tespit/zenginlestirme (2026-07-01); meta:score=;priority=Low;source_type=html_link;closing_date=;equipment=Unclassified;reasons=</t>
        </is>
      </c>
    </row>
    <row r="2604">
      <c r="A2604" t="inlineStr">
        <is>
          <t>T-2408</t>
        </is>
      </c>
      <c r="B2604" t="inlineStr">
        <is>
          <t>Bharat Petroleum (BPCL CGD)</t>
        </is>
      </c>
      <c r="C2604" t="inlineStr">
        <is>
          <t>Bharat Petroleum (BPCL CGD)</t>
        </is>
      </c>
      <c r="F2604" t="inlineStr">
        <is>
          <t>New Lead</t>
        </is>
      </c>
      <c r="G2604" t="inlineStr">
        <is>
          <t>Unclassified</t>
        </is>
      </c>
      <c r="H2604" t="inlineStr">
        <is>
          <t>Ambient Air Quality Report</t>
        </is>
      </c>
      <c r="K2604" t="inlineStr">
        <is>
          <t>Not found</t>
        </is>
      </c>
      <c r="L2604" t="inlineStr">
        <is>
          <t>Unknown</t>
        </is>
      </c>
      <c r="T2604" t="inlineStr">
        <is>
          <t>https://www.bharatpetroleum.in/Bharat-Petroleum-For/Refineries/Kochi-Refinery/Ambient-Air-Quality-Report.aspx</t>
        </is>
      </c>
      <c r="U2604" t="inlineStr">
        <is>
          <t>HTML</t>
        </is>
      </c>
      <c r="V2604" t="inlineStr">
        <is>
          <t>Bot tespit/zenginlestirme (2026-07-01); meta:score=;priority=Low;source_type=html_link;closing_date=;equipment=Unclassified;reasons=</t>
        </is>
      </c>
    </row>
    <row r="2605">
      <c r="A2605" t="inlineStr">
        <is>
          <t>T-2409</t>
        </is>
      </c>
      <c r="B2605" t="inlineStr">
        <is>
          <t>Bharat Petroleum (BPCL CGD)</t>
        </is>
      </c>
      <c r="C2605" t="inlineStr">
        <is>
          <t>Bharat Petroleum (BPCL CGD)</t>
        </is>
      </c>
      <c r="F2605" t="inlineStr">
        <is>
          <t>New Lead</t>
        </is>
      </c>
      <c r="G2605" t="inlineStr">
        <is>
          <t>Unclassified</t>
        </is>
      </c>
      <c r="H2605" t="inlineStr">
        <is>
          <t>IREP</t>
        </is>
      </c>
      <c r="K2605" t="inlineStr">
        <is>
          <t>Not found</t>
        </is>
      </c>
      <c r="L2605" t="inlineStr">
        <is>
          <t>Unknown</t>
        </is>
      </c>
      <c r="T2605" t="inlineStr">
        <is>
          <t>https://www.bharatpetroleum.in/Bharat-Petroleum-For/Refineries/Kochi-Refinery/IREP.aspx</t>
        </is>
      </c>
      <c r="U2605" t="inlineStr">
        <is>
          <t>HTML</t>
        </is>
      </c>
      <c r="V2605" t="inlineStr">
        <is>
          <t>Bot tespit/zenginlestirme (2026-07-01); meta:score=;priority=Low;source_type=html_link;closing_date=;equipment=Unclassified;reasons=</t>
        </is>
      </c>
    </row>
    <row r="2606">
      <c r="A2606" t="inlineStr">
        <is>
          <t>T-2410</t>
        </is>
      </c>
      <c r="B2606" t="inlineStr">
        <is>
          <t>Bharat Petroleum (BPCL CGD)</t>
        </is>
      </c>
      <c r="C2606" t="inlineStr">
        <is>
          <t>Bharat Petroleum (BPCL CGD)</t>
        </is>
      </c>
      <c r="F2606" t="inlineStr">
        <is>
          <t>New Lead</t>
        </is>
      </c>
      <c r="G2606" t="inlineStr">
        <is>
          <t>Unclassified</t>
        </is>
      </c>
      <c r="H2606" t="inlineStr">
        <is>
          <t>Health and Safety</t>
        </is>
      </c>
      <c r="K2606" t="inlineStr">
        <is>
          <t>Not found</t>
        </is>
      </c>
      <c r="L2606" t="inlineStr">
        <is>
          <t>Unknown</t>
        </is>
      </c>
      <c r="T2606" t="inlineStr">
        <is>
          <t>https://www.bharatpetroleum.in/Bharat-Petroleum-For/Refineries/Kochi-Refinery/Health-and-Safety.aspx</t>
        </is>
      </c>
      <c r="U2606" t="inlineStr">
        <is>
          <t>HTML</t>
        </is>
      </c>
      <c r="V2606" t="inlineStr">
        <is>
          <t>Bot tespit/zenginlestirme (2026-07-01); meta:score=;priority=Low;source_type=html_link;closing_date=;equipment=Unclassified;reasons=</t>
        </is>
      </c>
    </row>
    <row r="2607">
      <c r="A2607" t="inlineStr">
        <is>
          <t>T-2411</t>
        </is>
      </c>
      <c r="B2607" t="inlineStr">
        <is>
          <t>Bharat Petroleum (BPCL CGD)</t>
        </is>
      </c>
      <c r="C2607" t="inlineStr">
        <is>
          <t>Bharat Petroleum (BPCL CGD)</t>
        </is>
      </c>
      <c r="F2607" t="inlineStr">
        <is>
          <t>New Lead</t>
        </is>
      </c>
      <c r="G2607" t="inlineStr">
        <is>
          <t>Irrelevant / non-target</t>
        </is>
      </c>
      <c r="H2607" t="inlineStr">
        <is>
          <t>CSR</t>
        </is>
      </c>
      <c r="K2607" t="inlineStr">
        <is>
          <t>Not found</t>
        </is>
      </c>
      <c r="L2607" t="inlineStr">
        <is>
          <t>Unknown</t>
        </is>
      </c>
      <c r="T2607" t="inlineStr">
        <is>
          <t>https://www.bharatpetroleum.in/Bharat-Petroleum-For/Refineries/Kochi-Refinery/CSR.aspx</t>
        </is>
      </c>
      <c r="U2607" t="inlineStr">
        <is>
          <t>HTML</t>
        </is>
      </c>
      <c r="V2607" t="inlineStr">
        <is>
          <t>Bot tespit/zenginlestirme (2026-07-01); meta:score=;priority=Low;source_type=html_link;closing_date=;equipment=Irrelevant / non-target;reasons=irrelevant_equipment,website noise</t>
        </is>
      </c>
    </row>
    <row r="2608">
      <c r="A2608" t="inlineStr">
        <is>
          <t>T-2412</t>
        </is>
      </c>
      <c r="B2608" t="inlineStr">
        <is>
          <t>Bharat Petroleum (BPCL CGD)</t>
        </is>
      </c>
      <c r="C2608" t="inlineStr">
        <is>
          <t>Bharat Petroleum (BPCL CGD)</t>
        </is>
      </c>
      <c r="F2608" t="inlineStr">
        <is>
          <t>New Lead</t>
        </is>
      </c>
      <c r="G2608" t="inlineStr">
        <is>
          <t>Unclassified</t>
        </is>
      </c>
      <c r="H2608" t="inlineStr">
        <is>
          <t>Your Corner KR</t>
        </is>
      </c>
      <c r="K2608" t="inlineStr">
        <is>
          <t>Not found</t>
        </is>
      </c>
      <c r="L2608" t="inlineStr">
        <is>
          <t>Unknown</t>
        </is>
      </c>
      <c r="T2608" t="inlineStr">
        <is>
          <t>https://www.bharatpetroleum.in/Bharat-Petroleum-For/Refineries/Kochi-Refinery/Your-Corner-KR.aspx</t>
        </is>
      </c>
      <c r="U2608" t="inlineStr">
        <is>
          <t>HTML</t>
        </is>
      </c>
      <c r="V2608" t="inlineStr">
        <is>
          <t>Bot tespit/zenginlestirme (2026-07-01); meta:score=;priority=Low;source_type=html_link;closing_date=;equipment=Unclassified;reasons=</t>
        </is>
      </c>
    </row>
    <row r="2609">
      <c r="A2609" t="inlineStr">
        <is>
          <t>T-2413</t>
        </is>
      </c>
      <c r="B2609" t="inlineStr">
        <is>
          <t>Bharat Petroleum (BPCL CGD)</t>
        </is>
      </c>
      <c r="C2609" t="inlineStr">
        <is>
          <t>Bharat Petroleum (BPCL CGD)</t>
        </is>
      </c>
      <c r="F2609" t="inlineStr">
        <is>
          <t>New Lead</t>
        </is>
      </c>
      <c r="G2609" t="inlineStr">
        <is>
          <t>Unclassified</t>
        </is>
      </c>
      <c r="H2609" t="inlineStr">
        <is>
          <t>Products</t>
        </is>
      </c>
      <c r="K2609" t="inlineStr">
        <is>
          <t>Not found</t>
        </is>
      </c>
      <c r="L2609" t="inlineStr">
        <is>
          <t>Unknown</t>
        </is>
      </c>
      <c r="T2609" t="inlineStr">
        <is>
          <t>https://www.bharatpetroleum.in/Bharat-Petroleum-For/Refineries/Bina-Refinery/Products.aspx</t>
        </is>
      </c>
      <c r="U2609" t="inlineStr">
        <is>
          <t>HTML</t>
        </is>
      </c>
      <c r="V2609" t="inlineStr">
        <is>
          <t>Bot tespit/zenginlestirme (2026-07-01); meta:score=;priority=Low;source_type=html_link;closing_date=;equipment=Unclassified;reasons=</t>
        </is>
      </c>
    </row>
    <row r="2610">
      <c r="A2610" t="inlineStr">
        <is>
          <t>T-2414</t>
        </is>
      </c>
      <c r="B2610" t="inlineStr">
        <is>
          <t>Bharat Petroleum (BPCL CGD)</t>
        </is>
      </c>
      <c r="C2610" t="inlineStr">
        <is>
          <t>Bharat Petroleum (BPCL CGD)</t>
        </is>
      </c>
      <c r="F2610" t="inlineStr">
        <is>
          <t>New Lead</t>
        </is>
      </c>
      <c r="G2610" t="inlineStr">
        <is>
          <t>Unclassified</t>
        </is>
      </c>
      <c r="H2610" t="inlineStr">
        <is>
          <t>Health Safety and Environment</t>
        </is>
      </c>
      <c r="K2610" t="inlineStr">
        <is>
          <t>Not found</t>
        </is>
      </c>
      <c r="L2610" t="inlineStr">
        <is>
          <t>Unknown</t>
        </is>
      </c>
      <c r="T2610" t="inlineStr">
        <is>
          <t>https://www.bharatpetroleum.in/Bharat-Petroleum-For/Refineries/Bina-Refinery/Health-Safety-and-Environment.aspx</t>
        </is>
      </c>
      <c r="U2610" t="inlineStr">
        <is>
          <t>HTML</t>
        </is>
      </c>
      <c r="V2610" t="inlineStr">
        <is>
          <t>Bot tespit/zenginlestirme (2026-07-01); meta:score=;priority=Low;source_type=html_link;closing_date=;equipment=Unclassified;reasons=</t>
        </is>
      </c>
    </row>
    <row r="2611">
      <c r="A2611" t="inlineStr">
        <is>
          <t>T-2415</t>
        </is>
      </c>
      <c r="B2611" t="inlineStr">
        <is>
          <t>Bharat Petroleum (BPCL CGD)</t>
        </is>
      </c>
      <c r="C2611" t="inlineStr">
        <is>
          <t>Bharat Petroleum (BPCL CGD)</t>
        </is>
      </c>
      <c r="F2611" t="inlineStr">
        <is>
          <t>Awarded / Result</t>
        </is>
      </c>
      <c r="G2611" t="inlineStr">
        <is>
          <t>Unclassified</t>
        </is>
      </c>
      <c r="H2611" t="inlineStr">
        <is>
          <t>Awards and Accolades</t>
        </is>
      </c>
      <c r="K2611" t="inlineStr">
        <is>
          <t>Not found</t>
        </is>
      </c>
      <c r="L2611" t="inlineStr">
        <is>
          <t>Unknown</t>
        </is>
      </c>
      <c r="T2611" t="inlineStr">
        <is>
          <t>https://www.bharatpetroleum.in/Bharat-Petroleum-For/Refineries/Bina-Refinery/Awards-and-Accolades.aspx</t>
        </is>
      </c>
      <c r="U2611" t="inlineStr">
        <is>
          <t>HTML</t>
        </is>
      </c>
      <c r="V2611" t="inlineStr">
        <is>
          <t>Bot tespit/zenginlestirme (2026-07-01); meta:score=;priority=Low;source_type=html_link;closing_date=;equipment=Unclassified;reasons=</t>
        </is>
      </c>
    </row>
    <row r="2612">
      <c r="A2612" t="inlineStr">
        <is>
          <t>T-2416</t>
        </is>
      </c>
      <c r="B2612" t="inlineStr">
        <is>
          <t>Bharat Petroleum (BPCL CGD)</t>
        </is>
      </c>
      <c r="C2612" t="inlineStr">
        <is>
          <t>Bharat Petroleum (BPCL CGD)</t>
        </is>
      </c>
      <c r="F2612" t="inlineStr">
        <is>
          <t>New Lead</t>
        </is>
      </c>
      <c r="G2612" t="inlineStr">
        <is>
          <t>Irrelevant / non-target</t>
        </is>
      </c>
      <c r="H2612" t="inlineStr">
        <is>
          <t>CSR</t>
        </is>
      </c>
      <c r="K2612" t="inlineStr">
        <is>
          <t>Not found</t>
        </is>
      </c>
      <c r="L2612" t="inlineStr">
        <is>
          <t>Unknown</t>
        </is>
      </c>
      <c r="T2612" t="inlineStr">
        <is>
          <t>https://www.bharatpetroleum.in/Bharat-Petroleum-For/Refineries/Bina-Refinery/CSR.aspx</t>
        </is>
      </c>
      <c r="U2612" t="inlineStr">
        <is>
          <t>HTML</t>
        </is>
      </c>
      <c r="V2612" t="inlineStr">
        <is>
          <t>Bot tespit/zenginlestirme (2026-07-01); meta:score=;priority=Low;source_type=html_link;closing_date=;equipment=Irrelevant / non-target;reasons=irrelevant_equipment,website noise</t>
        </is>
      </c>
    </row>
    <row r="2613">
      <c r="A2613" t="inlineStr">
        <is>
          <t>T-2417</t>
        </is>
      </c>
      <c r="B2613" t="inlineStr">
        <is>
          <t>Maharashtra Natural Gas (MNGL)</t>
        </is>
      </c>
      <c r="C2613" t="inlineStr">
        <is>
          <t>Maharashtra Natural Gas (MNGL)</t>
        </is>
      </c>
      <c r="F2613" t="inlineStr">
        <is>
          <t>New Lead</t>
        </is>
      </c>
      <c r="G2613" t="inlineStr">
        <is>
          <t>Regulating station</t>
        </is>
      </c>
      <c r="H2613" t="inlineStr">
        <is>
          <t>Bidders are required to enroll on the e-Procurement module of the Central Public Procurement Portal (URL: http://etendrs.gov.in/eprocure/app ), by clicking on the link “Online Bidder Enrolment” option available on the home page. Enrolment on the CPP Portal is free of charge.</t>
        </is>
      </c>
      <c r="K2613" t="inlineStr">
        <is>
          <t>Not found</t>
        </is>
      </c>
      <c r="L2613" t="inlineStr">
        <is>
          <t>Unknown</t>
        </is>
      </c>
      <c r="T2613" t="inlineStr">
        <is>
          <t>http://etendrs.gov.in/eprocure/app</t>
        </is>
      </c>
      <c r="U2613" t="inlineStr">
        <is>
          <t>HTML</t>
        </is>
      </c>
      <c r="V2613" t="inlineStr">
        <is>
          <t>Bot tespit/zenginlestirme (2026-07-01); meta:score=60;priority=Medium;source_type=html_table;closing_date=;equipment=Regulating station;reasons=equipment:Regulating station,station/skid keyword; Bot clean extraction (2026-07-01); meta:score=90;priority=High;source_type=html_table;closing_date=;equipment=Regulating / metering station;quality_status=market_target;market_relevance=High;document_type=unknown;unit_price_inr=;amount_label=;matched_terms=Regulating / metering station;reject_reasons=;scope=market_intelligence_only;excluded_scope=no_bid_or_offer_submission_automation</t>
        </is>
      </c>
    </row>
    <row r="2614">
      <c r="A2614" t="inlineStr">
        <is>
          <t>T-2418</t>
        </is>
      </c>
      <c r="B2614" t="inlineStr">
        <is>
          <t>Maharashtra Natural Gas (MNGL)</t>
        </is>
      </c>
      <c r="C2614" t="inlineStr">
        <is>
          <t>Maharashtra Natural Gas (MNGL)</t>
        </is>
      </c>
      <c r="F2614" t="inlineStr">
        <is>
          <t>New Lead</t>
        </is>
      </c>
      <c r="G2614" t="inlineStr">
        <is>
          <t>Unclassified</t>
        </is>
      </c>
      <c r="H2614" t="inlineStr">
        <is>
          <t>Charged Area Status</t>
        </is>
      </c>
      <c r="K2614" t="inlineStr">
        <is>
          <t>Not found</t>
        </is>
      </c>
      <c r="L2614" t="inlineStr">
        <is>
          <t>Unknown</t>
        </is>
      </c>
      <c r="T2614" t="inlineStr">
        <is>
          <t>https://mngl.in/./assets/frontend/pdf/charge_area_status.pdf</t>
        </is>
      </c>
      <c r="U2614" t="inlineStr">
        <is>
          <t>No</t>
        </is>
      </c>
      <c r="V2614" t="inlineStr">
        <is>
          <t>Bot tespit/zenginlestirme (2026-07-01); meta:score=20;priority=Low;source_type=html_link;closing_date=;equipment=Unclassified;reasons=document source</t>
        </is>
      </c>
    </row>
    <row r="2615">
      <c r="A2615" t="inlineStr">
        <is>
          <t>T-2419</t>
        </is>
      </c>
      <c r="B2615" t="inlineStr">
        <is>
          <t>Maharashtra Natural Gas (MNGL)</t>
        </is>
      </c>
      <c r="C2615" t="inlineStr">
        <is>
          <t>Maharashtra Natural Gas (MNGL)</t>
        </is>
      </c>
      <c r="F2615" t="inlineStr">
        <is>
          <t>New Lead</t>
        </is>
      </c>
      <c r="G2615" t="inlineStr">
        <is>
          <t>Gas-related / review</t>
        </is>
      </c>
      <c r="H2615" t="inlineStr">
        <is>
          <t>Overview</t>
        </is>
      </c>
      <c r="K2615" t="inlineStr">
        <is>
          <t>Not found</t>
        </is>
      </c>
      <c r="L2615" t="inlineStr">
        <is>
          <t>Unknown</t>
        </is>
      </c>
      <c r="T2615" t="inlineStr">
        <is>
          <t>https://mngl.in/domestic-png/overview</t>
        </is>
      </c>
      <c r="U2615" t="inlineStr">
        <is>
          <t>HTML</t>
        </is>
      </c>
      <c r="V2615" t="inlineStr">
        <is>
          <t>Bot tespit/zenginlestirme (2026-07-01); meta:score=15;priority=Low;source_type=html_link;closing_date=;equipment=Gas-related / review;reasons=equipment:Gas-related / review</t>
        </is>
      </c>
    </row>
    <row r="2616">
      <c r="A2616" t="inlineStr">
        <is>
          <t>T-2420</t>
        </is>
      </c>
      <c r="B2616" t="inlineStr">
        <is>
          <t>Maharashtra Natural Gas (MNGL)</t>
        </is>
      </c>
      <c r="C2616" t="inlineStr">
        <is>
          <t>Maharashtra Natural Gas (MNGL)</t>
        </is>
      </c>
      <c r="F2616" t="inlineStr">
        <is>
          <t>New Lead</t>
        </is>
      </c>
      <c r="G2616" t="inlineStr">
        <is>
          <t>Gas-related / review</t>
        </is>
      </c>
      <c r="H2616" t="inlineStr">
        <is>
          <t>PNG Network</t>
        </is>
      </c>
      <c r="K2616" t="inlineStr">
        <is>
          <t>Not found</t>
        </is>
      </c>
      <c r="L2616" t="inlineStr">
        <is>
          <t>Unknown</t>
        </is>
      </c>
      <c r="T2616" t="inlineStr">
        <is>
          <t>https://mngl.in/domestic-png/png-network</t>
        </is>
      </c>
      <c r="U2616" t="inlineStr">
        <is>
          <t>HTML</t>
        </is>
      </c>
      <c r="V2616" t="inlineStr">
        <is>
          <t>Bot tespit/zenginlestirme (2026-07-01); meta:score=15;priority=Low;source_type=html_link;closing_date=;equipment=Gas-related / review;reasons=equipment:Gas-related / review</t>
        </is>
      </c>
    </row>
    <row r="2617">
      <c r="A2617" t="inlineStr">
        <is>
          <t>T-2421</t>
        </is>
      </c>
      <c r="B2617" t="inlineStr">
        <is>
          <t>Maharashtra Natural Gas (MNGL)</t>
        </is>
      </c>
      <c r="C2617" t="inlineStr">
        <is>
          <t>Maharashtra Natural Gas (MNGL)</t>
        </is>
      </c>
      <c r="F2617" t="inlineStr">
        <is>
          <t>New Lead</t>
        </is>
      </c>
      <c r="G2617" t="inlineStr">
        <is>
          <t>Gas-related / review</t>
        </is>
      </c>
      <c r="H2617" t="inlineStr">
        <is>
          <t>PNG Rate Card</t>
        </is>
      </c>
      <c r="K2617" t="inlineStr">
        <is>
          <t>Not found</t>
        </is>
      </c>
      <c r="L2617" t="inlineStr">
        <is>
          <t>Unknown</t>
        </is>
      </c>
      <c r="T2617" t="inlineStr">
        <is>
          <t>https://mngl.in/domestic-png/png-rate-card</t>
        </is>
      </c>
      <c r="U2617" t="inlineStr">
        <is>
          <t>HTML</t>
        </is>
      </c>
      <c r="V2617" t="inlineStr">
        <is>
          <t>Bot tespit/zenginlestirme (2026-07-01); meta:score=15;priority=Low;source_type=html_link;closing_date=;equipment=Gas-related / review;reasons=equipment:Gas-related / review</t>
        </is>
      </c>
    </row>
    <row r="2618">
      <c r="A2618" t="inlineStr">
        <is>
          <t>T-2422</t>
        </is>
      </c>
      <c r="B2618" t="inlineStr">
        <is>
          <t>Maharashtra Natural Gas (MNGL)</t>
        </is>
      </c>
      <c r="C2618" t="inlineStr">
        <is>
          <t>Maharashtra Natural Gas (MNGL)</t>
        </is>
      </c>
      <c r="F2618" t="inlineStr">
        <is>
          <t>New Lead</t>
        </is>
      </c>
      <c r="G2618" t="inlineStr">
        <is>
          <t>Gas-related / review</t>
        </is>
      </c>
      <c r="H2618" t="inlineStr">
        <is>
          <t>FAQ</t>
        </is>
      </c>
      <c r="K2618" t="inlineStr">
        <is>
          <t>Not found</t>
        </is>
      </c>
      <c r="L2618" t="inlineStr">
        <is>
          <t>Unknown</t>
        </is>
      </c>
      <c r="T2618" t="inlineStr">
        <is>
          <t>https://mngl.in/domestic-png/faq</t>
        </is>
      </c>
      <c r="U2618" t="inlineStr">
        <is>
          <t>HTML</t>
        </is>
      </c>
      <c r="V2618" t="inlineStr">
        <is>
          <t>Bot tespit/zenginlestirme (2026-07-01); meta:score=15;priority=Low;source_type=html_link;closing_date=;equipment=Gas-related / review;reasons=equipment:Gas-related / review</t>
        </is>
      </c>
    </row>
    <row r="2619">
      <c r="A2619" t="inlineStr">
        <is>
          <t>T-2423</t>
        </is>
      </c>
      <c r="B2619" t="inlineStr">
        <is>
          <t>Maharashtra Natural Gas (MNGL)</t>
        </is>
      </c>
      <c r="C2619" t="inlineStr">
        <is>
          <t>Maharashtra Natural Gas (MNGL)</t>
        </is>
      </c>
      <c r="F2619" t="inlineStr">
        <is>
          <t>New Lead</t>
        </is>
      </c>
      <c r="G2619" t="inlineStr">
        <is>
          <t>Gas-related / review</t>
        </is>
      </c>
      <c r="H2619" t="inlineStr">
        <is>
          <t>Domestic Connection Request</t>
        </is>
      </c>
      <c r="K2619" t="inlineStr">
        <is>
          <t>Not found</t>
        </is>
      </c>
      <c r="L2619" t="inlineStr">
        <is>
          <t>Unknown</t>
        </is>
      </c>
      <c r="T2619" t="inlineStr">
        <is>
          <t>https://mngl.in/domestic-png/connection-request</t>
        </is>
      </c>
      <c r="U2619" t="inlineStr">
        <is>
          <t>HTML</t>
        </is>
      </c>
      <c r="V2619" t="inlineStr">
        <is>
          <t>Bot tespit/zenginlestirme (2026-07-01); meta:score=15;priority=Low;source_type=html_link;closing_date=;equipment=Gas-related / review;reasons=equipment:Gas-related / review</t>
        </is>
      </c>
    </row>
    <row r="2620">
      <c r="A2620" t="inlineStr">
        <is>
          <t>T-2424</t>
        </is>
      </c>
      <c r="B2620" t="inlineStr">
        <is>
          <t>Maharashtra Natural Gas (MNGL)</t>
        </is>
      </c>
      <c r="C2620" t="inlineStr">
        <is>
          <t>Maharashtra Natural Gas (MNGL)</t>
        </is>
      </c>
      <c r="F2620" t="inlineStr">
        <is>
          <t>New Lead</t>
        </is>
      </c>
      <c r="G2620" t="inlineStr">
        <is>
          <t>Gas-related / review</t>
        </is>
      </c>
      <c r="H2620" t="inlineStr">
        <is>
          <t>Technical Guidelines for PNG Installation</t>
        </is>
      </c>
      <c r="K2620" t="inlineStr">
        <is>
          <t>Not found</t>
        </is>
      </c>
      <c r="L2620" t="inlineStr">
        <is>
          <t>Unknown</t>
        </is>
      </c>
      <c r="T2620" t="inlineStr">
        <is>
          <t>https://mngl.in/domestic-png/technical-guidelines</t>
        </is>
      </c>
      <c r="U2620" t="inlineStr">
        <is>
          <t>HTML</t>
        </is>
      </c>
      <c r="V2620" t="inlineStr">
        <is>
          <t>Bot tespit/zenginlestirme (2026-07-01); meta:score=15;priority=Low;source_type=html_link;closing_date=;equipment=Gas-related / review;reasons=equipment:Gas-related / review</t>
        </is>
      </c>
    </row>
    <row r="2621">
      <c r="A2621" t="inlineStr">
        <is>
          <t>T-2425</t>
        </is>
      </c>
      <c r="B2621" t="inlineStr">
        <is>
          <t>Maharashtra Natural Gas (MNGL)</t>
        </is>
      </c>
      <c r="C2621" t="inlineStr">
        <is>
          <t>Maharashtra Natural Gas (MNGL)</t>
        </is>
      </c>
      <c r="F2621" t="inlineStr">
        <is>
          <t>New Lead</t>
        </is>
      </c>
      <c r="G2621" t="inlineStr">
        <is>
          <t>Gas-related / review</t>
        </is>
      </c>
      <c r="H2621" t="inlineStr">
        <is>
          <t>Overview</t>
        </is>
      </c>
      <c r="K2621" t="inlineStr">
        <is>
          <t>Not found</t>
        </is>
      </c>
      <c r="L2621" t="inlineStr">
        <is>
          <t>Unknown</t>
        </is>
      </c>
      <c r="T2621" t="inlineStr">
        <is>
          <t>https://mngl.in/commercial-png/overview</t>
        </is>
      </c>
      <c r="U2621" t="inlineStr">
        <is>
          <t>HTML</t>
        </is>
      </c>
      <c r="V2621" t="inlineStr">
        <is>
          <t>Bot tespit/zenginlestirme (2026-07-01); meta:score=15;priority=Low;source_type=html_link;closing_date=;equipment=Gas-related / review;reasons=equipment:Gas-related / review</t>
        </is>
      </c>
    </row>
    <row r="2622">
      <c r="A2622" t="inlineStr">
        <is>
          <t>T-2426</t>
        </is>
      </c>
      <c r="B2622" t="inlineStr">
        <is>
          <t>Maharashtra Natural Gas (MNGL)</t>
        </is>
      </c>
      <c r="C2622" t="inlineStr">
        <is>
          <t>Maharashtra Natural Gas (MNGL)</t>
        </is>
      </c>
      <c r="F2622" t="inlineStr">
        <is>
          <t>New Lead</t>
        </is>
      </c>
      <c r="G2622" t="inlineStr">
        <is>
          <t>Gas-related / review</t>
        </is>
      </c>
      <c r="H2622" t="inlineStr">
        <is>
          <t>Apply for Commercial Use</t>
        </is>
      </c>
      <c r="K2622" t="inlineStr">
        <is>
          <t>Not found</t>
        </is>
      </c>
      <c r="L2622" t="inlineStr">
        <is>
          <t>Unknown</t>
        </is>
      </c>
      <c r="T2622" t="inlineStr">
        <is>
          <t>https://mngl.in/commercial-png/apply</t>
        </is>
      </c>
      <c r="U2622" t="inlineStr">
        <is>
          <t>HTML</t>
        </is>
      </c>
      <c r="V2622" t="inlineStr">
        <is>
          <t>Bot tespit/zenginlestirme (2026-07-01); meta:score=15;priority=Low;source_type=html_link;closing_date=;equipment=Gas-related / review;reasons=equipment:Gas-related / review</t>
        </is>
      </c>
    </row>
    <row r="2623">
      <c r="A2623" t="inlineStr">
        <is>
          <t>T-2427</t>
        </is>
      </c>
      <c r="B2623" t="inlineStr">
        <is>
          <t>Maharashtra Natural Gas (MNGL)</t>
        </is>
      </c>
      <c r="C2623" t="inlineStr">
        <is>
          <t>Maharashtra Natural Gas (MNGL)</t>
        </is>
      </c>
      <c r="F2623" t="inlineStr">
        <is>
          <t>New Lead</t>
        </is>
      </c>
      <c r="G2623" t="inlineStr">
        <is>
          <t>Gas-related / review</t>
        </is>
      </c>
      <c r="H2623" t="inlineStr">
        <is>
          <t>Procedure</t>
        </is>
      </c>
      <c r="K2623" t="inlineStr">
        <is>
          <t>Not found</t>
        </is>
      </c>
      <c r="L2623" t="inlineStr">
        <is>
          <t>Unknown</t>
        </is>
      </c>
      <c r="T2623" t="inlineStr">
        <is>
          <t>https://mngl.in/commercial-png/procedure</t>
        </is>
      </c>
      <c r="U2623" t="inlineStr">
        <is>
          <t>HTML</t>
        </is>
      </c>
      <c r="V2623" t="inlineStr">
        <is>
          <t>Bot tespit/zenginlestirme (2026-07-01); meta:score=15;priority=Low;source_type=html_link;closing_date=;equipment=Gas-related / review;reasons=equipment:Gas-related / review</t>
        </is>
      </c>
    </row>
    <row r="2624">
      <c r="A2624" t="inlineStr">
        <is>
          <t>T-2428</t>
        </is>
      </c>
      <c r="B2624" t="inlineStr">
        <is>
          <t>Maharashtra Natural Gas (MNGL)</t>
        </is>
      </c>
      <c r="C2624" t="inlineStr">
        <is>
          <t>Maharashtra Natural Gas (MNGL)</t>
        </is>
      </c>
      <c r="F2624" t="inlineStr">
        <is>
          <t>New Lead</t>
        </is>
      </c>
      <c r="G2624" t="inlineStr">
        <is>
          <t>Gas-related / review</t>
        </is>
      </c>
      <c r="H2624" t="inlineStr">
        <is>
          <t>Area of Industrial and Commercial Connections</t>
        </is>
      </c>
      <c r="K2624" t="inlineStr">
        <is>
          <t>Not found</t>
        </is>
      </c>
      <c r="L2624" t="inlineStr">
        <is>
          <t>Unknown</t>
        </is>
      </c>
      <c r="T2624" t="inlineStr">
        <is>
          <t>https://mngl.in/commercial-png/areas</t>
        </is>
      </c>
      <c r="U2624" t="inlineStr">
        <is>
          <t>HTML</t>
        </is>
      </c>
      <c r="V2624" t="inlineStr">
        <is>
          <t>Bot tespit/zenginlestirme (2026-07-01); meta:score=15;priority=Low;source_type=html_link;closing_date=;equipment=Gas-related / review;reasons=equipment:Gas-related / review</t>
        </is>
      </c>
    </row>
    <row r="2625">
      <c r="A2625" t="inlineStr">
        <is>
          <t>T-2429</t>
        </is>
      </c>
      <c r="B2625" t="inlineStr">
        <is>
          <t>Maharashtra Natural Gas (MNGL)</t>
        </is>
      </c>
      <c r="C2625" t="inlineStr">
        <is>
          <t>Maharashtra Natural Gas (MNGL)</t>
        </is>
      </c>
      <c r="F2625" t="inlineStr">
        <is>
          <t>New Lead</t>
        </is>
      </c>
      <c r="G2625" t="inlineStr">
        <is>
          <t>Gas-related / review</t>
        </is>
      </c>
      <c r="H2625" t="inlineStr">
        <is>
          <t>Overview</t>
        </is>
      </c>
      <c r="K2625" t="inlineStr">
        <is>
          <t>Not found</t>
        </is>
      </c>
      <c r="L2625" t="inlineStr">
        <is>
          <t>Unknown</t>
        </is>
      </c>
      <c r="T2625" t="inlineStr">
        <is>
          <t>https://mngl.in/cng/overview</t>
        </is>
      </c>
      <c r="U2625" t="inlineStr">
        <is>
          <t>HTML</t>
        </is>
      </c>
      <c r="V2625" t="inlineStr">
        <is>
          <t>Bot tespit/zenginlestirme (2026-07-01); meta:score=15;priority=Low;source_type=html_link;closing_date=;equipment=Gas-related / review;reasons=equipment:Gas-related / review</t>
        </is>
      </c>
    </row>
    <row r="2626">
      <c r="A2626" t="inlineStr">
        <is>
          <t>T-2430</t>
        </is>
      </c>
      <c r="B2626" t="inlineStr">
        <is>
          <t>Maharashtra Natural Gas (MNGL)</t>
        </is>
      </c>
      <c r="C2626" t="inlineStr">
        <is>
          <t>Maharashtra Natural Gas (MNGL)</t>
        </is>
      </c>
      <c r="F2626" t="inlineStr">
        <is>
          <t>New Lead</t>
        </is>
      </c>
      <c r="G2626" t="inlineStr">
        <is>
          <t>Gas-related / review</t>
        </is>
      </c>
      <c r="H2626" t="inlineStr">
        <is>
          <t>CNG Rate Card</t>
        </is>
      </c>
      <c r="K2626" t="inlineStr">
        <is>
          <t>Not found</t>
        </is>
      </c>
      <c r="L2626" t="inlineStr">
        <is>
          <t>Unknown</t>
        </is>
      </c>
      <c r="T2626" t="inlineStr">
        <is>
          <t>https://mngl.in/cng/rate-card</t>
        </is>
      </c>
      <c r="U2626" t="inlineStr">
        <is>
          <t>HTML</t>
        </is>
      </c>
      <c r="V2626" t="inlineStr">
        <is>
          <t>Bot tespit/zenginlestirme (2026-07-01); meta:score=15;priority=Low;source_type=html_link;closing_date=;equipment=Gas-related / review;reasons=equipment:Gas-related / review</t>
        </is>
      </c>
    </row>
    <row r="2627">
      <c r="A2627" t="inlineStr">
        <is>
          <t>T-2431</t>
        </is>
      </c>
      <c r="B2627" t="inlineStr">
        <is>
          <t>Maharashtra Natural Gas (MNGL)</t>
        </is>
      </c>
      <c r="C2627" t="inlineStr">
        <is>
          <t>Maharashtra Natural Gas (MNGL)</t>
        </is>
      </c>
      <c r="F2627" t="inlineStr">
        <is>
          <t>New Lead</t>
        </is>
      </c>
      <c r="G2627" t="inlineStr">
        <is>
          <t>Gas-related / review</t>
        </is>
      </c>
      <c r="H2627" t="inlineStr">
        <is>
          <t>Saving Calculator</t>
        </is>
      </c>
      <c r="K2627" t="inlineStr">
        <is>
          <t>Not found</t>
        </is>
      </c>
      <c r="L2627" t="inlineStr">
        <is>
          <t>Unknown</t>
        </is>
      </c>
      <c r="T2627" t="inlineStr">
        <is>
          <t>https://mngl.in/cng/saving-calculator</t>
        </is>
      </c>
      <c r="U2627" t="inlineStr">
        <is>
          <t>HTML</t>
        </is>
      </c>
      <c r="V2627" t="inlineStr">
        <is>
          <t>Bot tespit/zenginlestirme (2026-07-01); meta:score=15;priority=Low;source_type=html_link;closing_date=;equipment=Gas-related / review;reasons=equipment:Gas-related / review</t>
        </is>
      </c>
    </row>
    <row r="2628">
      <c r="A2628" t="inlineStr">
        <is>
          <t>T-2432</t>
        </is>
      </c>
      <c r="B2628" t="inlineStr">
        <is>
          <t>Maharashtra Natural Gas (MNGL)</t>
        </is>
      </c>
      <c r="C2628" t="inlineStr">
        <is>
          <t>Maharashtra Natural Gas (MNGL)</t>
        </is>
      </c>
      <c r="F2628" t="inlineStr">
        <is>
          <t>New Lead</t>
        </is>
      </c>
      <c r="G2628" t="inlineStr">
        <is>
          <t>Gas-related / review</t>
        </is>
      </c>
      <c r="H2628" t="inlineStr">
        <is>
          <t>CNG Filling Stations</t>
        </is>
      </c>
      <c r="K2628" t="inlineStr">
        <is>
          <t>Not found</t>
        </is>
      </c>
      <c r="L2628" t="inlineStr">
        <is>
          <t>Unknown</t>
        </is>
      </c>
      <c r="T2628" t="inlineStr">
        <is>
          <t>https://mngl.in/cng/cylinders-filling-stations</t>
        </is>
      </c>
      <c r="U2628" t="inlineStr">
        <is>
          <t>HTML</t>
        </is>
      </c>
      <c r="V2628" t="inlineStr">
        <is>
          <t>Bot tespit/zenginlestirme (2026-07-01); meta:score=15;priority=Low;source_type=html_link;closing_date=;equipment=Gas-related / review;reasons=equipment:Gas-related / review</t>
        </is>
      </c>
    </row>
    <row r="2629">
      <c r="A2629" t="inlineStr">
        <is>
          <t>T-2433</t>
        </is>
      </c>
      <c r="B2629" t="inlineStr">
        <is>
          <t>Maharashtra Natural Gas (MNGL)</t>
        </is>
      </c>
      <c r="C2629" t="inlineStr">
        <is>
          <t>Maharashtra Natural Gas (MNGL)</t>
        </is>
      </c>
      <c r="F2629" t="inlineStr">
        <is>
          <t>New Lead</t>
        </is>
      </c>
      <c r="G2629" t="inlineStr">
        <is>
          <t>Gas-related / review</t>
        </is>
      </c>
      <c r="H2629" t="inlineStr">
        <is>
          <t>CNG Car Models</t>
        </is>
      </c>
      <c r="K2629" t="inlineStr">
        <is>
          <t>Not found</t>
        </is>
      </c>
      <c r="L2629" t="inlineStr">
        <is>
          <t>Unknown</t>
        </is>
      </c>
      <c r="T2629" t="inlineStr">
        <is>
          <t>https://mngl.in/cng/car-models</t>
        </is>
      </c>
      <c r="U2629" t="inlineStr">
        <is>
          <t>HTML</t>
        </is>
      </c>
      <c r="V2629" t="inlineStr">
        <is>
          <t>Bot tespit/zenginlestirme (2026-07-01); meta:score=15;priority=Low;source_type=html_link;closing_date=;equipment=Gas-related / review;reasons=equipment:Gas-related / review</t>
        </is>
      </c>
    </row>
    <row r="2630">
      <c r="A2630" t="inlineStr">
        <is>
          <t>T-2434</t>
        </is>
      </c>
      <c r="B2630" t="inlineStr">
        <is>
          <t>Maharashtra Natural Gas (MNGL)</t>
        </is>
      </c>
      <c r="C2630" t="inlineStr">
        <is>
          <t>Maharashtra Natural Gas (MNGL)</t>
        </is>
      </c>
      <c r="F2630" t="inlineStr">
        <is>
          <t>New Lead</t>
        </is>
      </c>
      <c r="G2630" t="inlineStr">
        <is>
          <t>Gas-related / review</t>
        </is>
      </c>
      <c r="H2630" t="inlineStr">
        <is>
          <t>FAQ</t>
        </is>
      </c>
      <c r="K2630" t="inlineStr">
        <is>
          <t>Not found</t>
        </is>
      </c>
      <c r="L2630" t="inlineStr">
        <is>
          <t>Unknown</t>
        </is>
      </c>
      <c r="T2630" t="inlineStr">
        <is>
          <t>https://mngl.in/cng/faq</t>
        </is>
      </c>
      <c r="U2630" t="inlineStr">
        <is>
          <t>HTML</t>
        </is>
      </c>
      <c r="V2630" t="inlineStr">
        <is>
          <t>Bot tespit/zenginlestirme (2026-07-01); meta:score=15;priority=Low;source_type=html_link;closing_date=;equipment=Gas-related / review;reasons=equipment:Gas-related / review</t>
        </is>
      </c>
    </row>
    <row r="2631">
      <c r="A2631" t="inlineStr">
        <is>
          <t>T-2435</t>
        </is>
      </c>
      <c r="B2631" t="inlineStr">
        <is>
          <t>Maharashtra Natural Gas (MNGL)</t>
        </is>
      </c>
      <c r="C2631" t="inlineStr">
        <is>
          <t>Maharashtra Natural Gas (MNGL)</t>
        </is>
      </c>
      <c r="F2631" t="inlineStr">
        <is>
          <t>New Lead</t>
        </is>
      </c>
      <c r="G2631" t="inlineStr">
        <is>
          <t>Gas-related / review</t>
        </is>
      </c>
      <c r="H2631" t="inlineStr">
        <is>
          <t>Cylinders Testing Station</t>
        </is>
      </c>
      <c r="K2631" t="inlineStr">
        <is>
          <t>Not found</t>
        </is>
      </c>
      <c r="L2631" t="inlineStr">
        <is>
          <t>Unknown</t>
        </is>
      </c>
      <c r="T2631" t="inlineStr">
        <is>
          <t>https://mngl.in/cng/cylinders-testing-stations</t>
        </is>
      </c>
      <c r="U2631" t="inlineStr">
        <is>
          <t>HTML</t>
        </is>
      </c>
      <c r="V2631" t="inlineStr">
        <is>
          <t>Bot tespit/zenginlestirme (2026-07-01); meta:score=15;priority=Low;source_type=html_link;closing_date=;equipment=Gas-related / review;reasons=equipment:Gas-related / review</t>
        </is>
      </c>
    </row>
    <row r="2632">
      <c r="A2632" t="inlineStr">
        <is>
          <t>T-2436</t>
        </is>
      </c>
      <c r="B2632" t="inlineStr">
        <is>
          <t>Maharashtra Natural Gas (MNGL)</t>
        </is>
      </c>
      <c r="C2632" t="inlineStr">
        <is>
          <t>Maharashtra Natural Gas (MNGL)</t>
        </is>
      </c>
      <c r="F2632" t="inlineStr">
        <is>
          <t>New Lead</t>
        </is>
      </c>
      <c r="G2632" t="inlineStr">
        <is>
          <t>Gas-related / review</t>
        </is>
      </c>
      <c r="H2632" t="inlineStr">
        <is>
          <t>Overview</t>
        </is>
      </c>
      <c r="K2632" t="inlineStr">
        <is>
          <t>Not found</t>
        </is>
      </c>
      <c r="L2632" t="inlineStr">
        <is>
          <t>Unknown</t>
        </is>
      </c>
      <c r="T2632" t="inlineStr">
        <is>
          <t>https://mngl.in/industrial-png/overview</t>
        </is>
      </c>
      <c r="U2632" t="inlineStr">
        <is>
          <t>HTML</t>
        </is>
      </c>
      <c r="V2632" t="inlineStr">
        <is>
          <t>Bot tespit/zenginlestirme (2026-07-01); meta:score=15;priority=Low;source_type=html_link;closing_date=;equipment=Gas-related / review;reasons=equipment:Gas-related / review</t>
        </is>
      </c>
    </row>
    <row r="2633">
      <c r="A2633" t="inlineStr">
        <is>
          <t>T-2437</t>
        </is>
      </c>
      <c r="B2633" t="inlineStr">
        <is>
          <t>Maharashtra Natural Gas (MNGL)</t>
        </is>
      </c>
      <c r="C2633" t="inlineStr">
        <is>
          <t>Maharashtra Natural Gas (MNGL)</t>
        </is>
      </c>
      <c r="F2633" t="inlineStr">
        <is>
          <t>New Lead</t>
        </is>
      </c>
      <c r="G2633" t="inlineStr">
        <is>
          <t>Gas-related / review</t>
        </is>
      </c>
      <c r="H2633" t="inlineStr">
        <is>
          <t>Documents Required</t>
        </is>
      </c>
      <c r="K2633" t="inlineStr">
        <is>
          <t>Not found</t>
        </is>
      </c>
      <c r="L2633" t="inlineStr">
        <is>
          <t>Unknown</t>
        </is>
      </c>
      <c r="T2633" t="inlineStr">
        <is>
          <t>https://mngl.in/industrial-png/documents-required</t>
        </is>
      </c>
      <c r="U2633" t="inlineStr">
        <is>
          <t>HTML</t>
        </is>
      </c>
      <c r="V2633" t="inlineStr">
        <is>
          <t>Bot tespit/zenginlestirme (2026-07-01); meta:score=15;priority=Low;source_type=html_link;closing_date=;equipment=Gas-related / review;reasons=equipment:Gas-related / review</t>
        </is>
      </c>
    </row>
    <row r="2634">
      <c r="A2634" t="inlineStr">
        <is>
          <t>T-2438</t>
        </is>
      </c>
      <c r="B2634" t="inlineStr">
        <is>
          <t>Maharashtra Natural Gas (MNGL)</t>
        </is>
      </c>
      <c r="C2634" t="inlineStr">
        <is>
          <t>Maharashtra Natural Gas (MNGL)</t>
        </is>
      </c>
      <c r="F2634" t="inlineStr">
        <is>
          <t>New Lead</t>
        </is>
      </c>
      <c r="G2634" t="inlineStr">
        <is>
          <t>Gas-related / review</t>
        </is>
      </c>
      <c r="H2634" t="inlineStr">
        <is>
          <t>Clientele</t>
        </is>
      </c>
      <c r="K2634" t="inlineStr">
        <is>
          <t>Not found</t>
        </is>
      </c>
      <c r="L2634" t="inlineStr">
        <is>
          <t>Unknown</t>
        </is>
      </c>
      <c r="T2634" t="inlineStr">
        <is>
          <t>https://mngl.in/industrial-png/clientele</t>
        </is>
      </c>
      <c r="U2634" t="inlineStr">
        <is>
          <t>HTML</t>
        </is>
      </c>
      <c r="V2634" t="inlineStr">
        <is>
          <t>Bot tespit/zenginlestirme (2026-07-01); meta:score=15;priority=Low;source_type=html_link;closing_date=;equipment=Gas-related / review;reasons=equipment:Gas-related / review</t>
        </is>
      </c>
    </row>
    <row r="2635">
      <c r="A2635" t="inlineStr">
        <is>
          <t>T-2439</t>
        </is>
      </c>
      <c r="B2635" t="inlineStr">
        <is>
          <t>Maharashtra Natural Gas (MNGL)</t>
        </is>
      </c>
      <c r="C2635" t="inlineStr">
        <is>
          <t>Maharashtra Natural Gas (MNGL)</t>
        </is>
      </c>
      <c r="F2635" t="inlineStr">
        <is>
          <t>New Lead</t>
        </is>
      </c>
      <c r="G2635" t="inlineStr">
        <is>
          <t>Gas-related / review</t>
        </is>
      </c>
      <c r="H2635" t="inlineStr">
        <is>
          <t>Guidelines for Gas Geyser Installation</t>
        </is>
      </c>
      <c r="K2635" t="inlineStr">
        <is>
          <t>Not found</t>
        </is>
      </c>
      <c r="L2635" t="inlineStr">
        <is>
          <t>Unknown</t>
        </is>
      </c>
      <c r="T2635" t="inlineStr">
        <is>
          <t>https://mngl.in/customer-care/png/guidelines-for-gas-geyser-installation</t>
        </is>
      </c>
      <c r="U2635" t="inlineStr">
        <is>
          <t>HTML</t>
        </is>
      </c>
      <c r="V2635" t="inlineStr">
        <is>
          <t>Bot tespit/zenginlestirme (2026-07-01); meta:score=15;priority=Low;source_type=html_link;closing_date=;equipment=Gas-related / review;reasons=equipment:Gas-related / review</t>
        </is>
      </c>
    </row>
    <row r="2636">
      <c r="A2636" t="inlineStr">
        <is>
          <t>T-2440</t>
        </is>
      </c>
      <c r="B2636" t="inlineStr">
        <is>
          <t>Maharashtra Natural Gas (MNGL)</t>
        </is>
      </c>
      <c r="C2636" t="inlineStr">
        <is>
          <t>Maharashtra Natural Gas (MNGL)</t>
        </is>
      </c>
      <c r="F2636" t="inlineStr">
        <is>
          <t>New Lead</t>
        </is>
      </c>
      <c r="G2636" t="inlineStr">
        <is>
          <t>Gas-related / review</t>
        </is>
      </c>
      <c r="H2636" t="inlineStr">
        <is>
          <t>Apply for Name Transfer</t>
        </is>
      </c>
      <c r="K2636" t="inlineStr">
        <is>
          <t>Not found</t>
        </is>
      </c>
      <c r="L2636" t="inlineStr">
        <is>
          <t>Unknown</t>
        </is>
      </c>
      <c r="T2636" t="inlineStr">
        <is>
          <t>https://mngl.in/customer-care/png/name-transfer-application</t>
        </is>
      </c>
      <c r="U2636" t="inlineStr">
        <is>
          <t>HTML</t>
        </is>
      </c>
      <c r="V2636" t="inlineStr">
        <is>
          <t>Bot tespit/zenginlestirme (2026-07-01); meta:score=15;priority=Low;source_type=html_link;closing_date=;equipment=Gas-related / review;reasons=equipment:Gas-related / review</t>
        </is>
      </c>
    </row>
    <row r="2637">
      <c r="A2637" t="inlineStr">
        <is>
          <t>T-2441</t>
        </is>
      </c>
      <c r="B2637" t="inlineStr">
        <is>
          <t>Maharashtra Natural Gas (MNGL)</t>
        </is>
      </c>
      <c r="C2637" t="inlineStr">
        <is>
          <t>Maharashtra Natural Gas (MNGL)</t>
        </is>
      </c>
      <c r="F2637" t="inlineStr">
        <is>
          <t>New Lead</t>
        </is>
      </c>
      <c r="G2637" t="inlineStr">
        <is>
          <t>Gas-related / review</t>
        </is>
      </c>
      <c r="H2637" t="inlineStr">
        <is>
          <t>Name Transfer Request Status</t>
        </is>
      </c>
      <c r="K2637" t="inlineStr">
        <is>
          <t>Not found</t>
        </is>
      </c>
      <c r="L2637" t="inlineStr">
        <is>
          <t>Unknown</t>
        </is>
      </c>
      <c r="T2637" t="inlineStr">
        <is>
          <t>https://mngl.in/customer-care/png/name-transfer-application-status</t>
        </is>
      </c>
      <c r="U2637" t="inlineStr">
        <is>
          <t>HTML</t>
        </is>
      </c>
      <c r="V2637" t="inlineStr">
        <is>
          <t>Bot tespit/zenginlestirme (2026-07-01); meta:score=15;priority=Low;source_type=html_link;closing_date=;equipment=Gas-related / review;reasons=equipment:Gas-related / review</t>
        </is>
      </c>
    </row>
    <row r="2638">
      <c r="A2638" t="inlineStr">
        <is>
          <t>T-2442</t>
        </is>
      </c>
      <c r="B2638" t="inlineStr">
        <is>
          <t>Maharashtra Natural Gas (MNGL)</t>
        </is>
      </c>
      <c r="C2638" t="inlineStr">
        <is>
          <t>Maharashtra Natural Gas (MNGL)</t>
        </is>
      </c>
      <c r="F2638" t="inlineStr">
        <is>
          <t>New Lead</t>
        </is>
      </c>
      <c r="G2638" t="inlineStr">
        <is>
          <t>Gas-related / review</t>
        </is>
      </c>
      <c r="H2638" t="inlineStr">
        <is>
          <t>Redeveloped Building Gas Connection</t>
        </is>
      </c>
      <c r="K2638" t="inlineStr">
        <is>
          <t>Not found</t>
        </is>
      </c>
      <c r="L2638" t="inlineStr">
        <is>
          <t>Unknown</t>
        </is>
      </c>
      <c r="T2638" t="inlineStr">
        <is>
          <t>https://mngl.in/customer-care/policies-&amp;-procedures/redeveloped-building</t>
        </is>
      </c>
      <c r="U2638" t="inlineStr">
        <is>
          <t>HTML</t>
        </is>
      </c>
      <c r="V2638" t="inlineStr">
        <is>
          <t>Bot tespit/zenginlestirme (2026-07-01); meta:score=15;priority=Low;source_type=html_link;closing_date=;equipment=Gas-related / review;reasons=equipment:Gas-related / review</t>
        </is>
      </c>
    </row>
    <row r="2639">
      <c r="A2639" t="inlineStr">
        <is>
          <t>T-2443</t>
        </is>
      </c>
      <c r="B2639" t="inlineStr">
        <is>
          <t>Maharashtra Natural Gas (MNGL)</t>
        </is>
      </c>
      <c r="C2639" t="inlineStr">
        <is>
          <t>Maharashtra Natural Gas (MNGL)</t>
        </is>
      </c>
      <c r="F2639" t="inlineStr">
        <is>
          <t>New Lead</t>
        </is>
      </c>
      <c r="G2639" t="inlineStr">
        <is>
          <t>Gas-related / review</t>
        </is>
      </c>
      <c r="H2639" t="inlineStr">
        <is>
          <t>Historical Prices-CNG(Transport) and PNG(Domestic)</t>
        </is>
      </c>
      <c r="K2639" t="inlineStr">
        <is>
          <t>Not found</t>
        </is>
      </c>
      <c r="L2639" t="inlineStr">
        <is>
          <t>Unknown</t>
        </is>
      </c>
      <c r="T2639" t="inlineStr">
        <is>
          <t>https://mngl.in/customer-awareness/Hist_Prices</t>
        </is>
      </c>
      <c r="U2639" t="inlineStr">
        <is>
          <t>HTML</t>
        </is>
      </c>
      <c r="V2639" t="inlineStr">
        <is>
          <t>Bot tespit/zenginlestirme (2026-07-01); meta:score=15;priority=Low;source_type=html_link;closing_date=;equipment=Gas-related / review;reasons=equipment:Gas-related / review</t>
        </is>
      </c>
    </row>
    <row r="2640">
      <c r="A2640" t="inlineStr">
        <is>
          <t>T-2444</t>
        </is>
      </c>
      <c r="B2640" t="inlineStr">
        <is>
          <t>Maharashtra Natural Gas (MNGL)</t>
        </is>
      </c>
      <c r="C2640" t="inlineStr">
        <is>
          <t>Maharashtra Natural Gas (MNGL)</t>
        </is>
      </c>
      <c r="F2640" t="inlineStr">
        <is>
          <t>New Lead</t>
        </is>
      </c>
      <c r="G2640" t="inlineStr">
        <is>
          <t>Gas-related / review</t>
        </is>
      </c>
      <c r="H2640" t="inlineStr">
        <is>
          <t>CNG Land Lease &amp; Dealership</t>
        </is>
      </c>
      <c r="K2640" t="inlineStr">
        <is>
          <t>Not found</t>
        </is>
      </c>
      <c r="L2640" t="inlineStr">
        <is>
          <t>Unknown</t>
        </is>
      </c>
      <c r="T2640" t="inlineStr">
        <is>
          <t>https://mngl.in/cng-land-lease-and-dealership</t>
        </is>
      </c>
      <c r="U2640" t="inlineStr">
        <is>
          <t>HTML</t>
        </is>
      </c>
      <c r="V2640" t="inlineStr">
        <is>
          <t>Bot tespit/zenginlestirme (2026-07-01); meta:score=15;priority=Low;source_type=html_link;closing_date=;equipment=Gas-related / review;reasons=equipment:Gas-related / review</t>
        </is>
      </c>
    </row>
    <row r="2641">
      <c r="A2641" t="inlineStr">
        <is>
          <t>T-2445</t>
        </is>
      </c>
      <c r="B2641" t="inlineStr">
        <is>
          <t>Maharashtra Natural Gas (MNGL)</t>
        </is>
      </c>
      <c r="C2641" t="inlineStr">
        <is>
          <t>Maharashtra Natural Gas (MNGL)</t>
        </is>
      </c>
      <c r="F2641" t="inlineStr">
        <is>
          <t>New Lead</t>
        </is>
      </c>
      <c r="G2641" t="inlineStr">
        <is>
          <t>Gas-related / review</t>
        </is>
      </c>
      <c r="H2641" t="inlineStr">
        <is>
          <t>Natural Gas Safety Material Safety Data Sheet</t>
        </is>
      </c>
      <c r="K2641" t="inlineStr">
        <is>
          <t>Not found</t>
        </is>
      </c>
      <c r="L2641" t="inlineStr">
        <is>
          <t>Unknown</t>
        </is>
      </c>
      <c r="T2641" t="inlineStr">
        <is>
          <t>https://mngl.in/health-safety-&amp;-environment/data-sheet</t>
        </is>
      </c>
      <c r="U2641" t="inlineStr">
        <is>
          <t>HTML</t>
        </is>
      </c>
      <c r="V2641" t="inlineStr">
        <is>
          <t>Bot tespit/zenginlestirme (2026-07-01); meta:score=15;priority=Low;source_type=html_link;closing_date=;equipment=Gas-related / review;reasons=equipment:Gas-related / review</t>
        </is>
      </c>
    </row>
    <row r="2642">
      <c r="A2642" t="inlineStr">
        <is>
          <t>T-2446</t>
        </is>
      </c>
      <c r="B2642" t="inlineStr">
        <is>
          <t>Maharashtra Natural Gas (MNGL)</t>
        </is>
      </c>
      <c r="C2642" t="inlineStr">
        <is>
          <t>Maharashtra Natural Gas (MNGL)</t>
        </is>
      </c>
      <c r="F2642" t="inlineStr">
        <is>
          <t>New Lead</t>
        </is>
      </c>
      <c r="G2642" t="inlineStr">
        <is>
          <t>Gas-related / review</t>
        </is>
      </c>
      <c r="H2642" t="inlineStr">
        <is>
          <t>How to Detect Gas Leak</t>
        </is>
      </c>
      <c r="K2642" t="inlineStr">
        <is>
          <t>Not found</t>
        </is>
      </c>
      <c r="L2642" t="inlineStr">
        <is>
          <t>Unknown</t>
        </is>
      </c>
      <c r="T2642" t="inlineStr">
        <is>
          <t>https://mngl.in/health-safety-&amp;-environment/how-to-detect-gas-leak</t>
        </is>
      </c>
      <c r="U2642" t="inlineStr">
        <is>
          <t>HTML</t>
        </is>
      </c>
      <c r="V2642" t="inlineStr">
        <is>
          <t>Bot tespit/zenginlestirme (2026-07-01); meta:score=15;priority=Low;source_type=html_link;closing_date=;equipment=Gas-related / review;reasons=equipment:Gas-related / review</t>
        </is>
      </c>
    </row>
    <row r="2643">
      <c r="A2643" t="inlineStr">
        <is>
          <t>T-2447</t>
        </is>
      </c>
      <c r="B2643" t="inlineStr">
        <is>
          <t>Maharashtra Natural Gas (MNGL)</t>
        </is>
      </c>
      <c r="C2643" t="inlineStr">
        <is>
          <t>Maharashtra Natural Gas (MNGL)</t>
        </is>
      </c>
      <c r="F2643" t="inlineStr">
        <is>
          <t>New Lead</t>
        </is>
      </c>
      <c r="G2643" t="inlineStr">
        <is>
          <t>Gas-related / review</t>
        </is>
      </c>
      <c r="H2643" t="inlineStr">
        <is>
          <t>South-East Asia’s largest LNG-LCNG set-up by any CGD Entity</t>
        </is>
      </c>
      <c r="K2643" t="inlineStr">
        <is>
          <t>Not found</t>
        </is>
      </c>
      <c r="L2643" t="inlineStr">
        <is>
          <t>Unknown</t>
        </is>
      </c>
      <c r="T2643" t="inlineStr">
        <is>
          <t>https://mngl.in/National-PNG/Scheme</t>
        </is>
      </c>
      <c r="U2643" t="inlineStr">
        <is>
          <t>HTML</t>
        </is>
      </c>
      <c r="V2643" t="inlineStr">
        <is>
          <t>Bot tespit/zenginlestirme (2026-07-01); meta:score=15;priority=Low;source_type=html_link;closing_date=;equipment=Gas-related / review;reasons=equipment:Gas-related / review</t>
        </is>
      </c>
    </row>
    <row r="2644">
      <c r="A2644" t="inlineStr">
        <is>
          <t>T-2448</t>
        </is>
      </c>
      <c r="B2644" t="inlineStr">
        <is>
          <t>Maharashtra Natural Gas (MNGL)</t>
        </is>
      </c>
      <c r="C2644" t="inlineStr">
        <is>
          <t>Maharashtra Natural Gas (MNGL)</t>
        </is>
      </c>
      <c r="F2644" t="inlineStr">
        <is>
          <t>New Lead</t>
        </is>
      </c>
      <c r="G2644" t="inlineStr">
        <is>
          <t>Gas-related / review</t>
        </is>
      </c>
      <c r="H2644" t="inlineStr">
        <is>
          <t>PNG National Drive 2.0</t>
        </is>
      </c>
      <c r="K2644" t="inlineStr">
        <is>
          <t>Not found</t>
        </is>
      </c>
      <c r="L2644" t="inlineStr">
        <is>
          <t>Unknown</t>
        </is>
      </c>
      <c r="T2644" t="inlineStr">
        <is>
          <t>https://mngl.in/National-PNG/Drive</t>
        </is>
      </c>
      <c r="U2644" t="inlineStr">
        <is>
          <t>HTML</t>
        </is>
      </c>
      <c r="V2644" t="inlineStr">
        <is>
          <t>Bot tespit/zenginlestirme (2026-07-01); meta:score=15;priority=Low;source_type=html_link;closing_date=;equipment=Gas-related / review;reasons=equipment:Gas-related / review</t>
        </is>
      </c>
    </row>
    <row r="2645">
      <c r="A2645" t="inlineStr">
        <is>
          <t>T-2449</t>
        </is>
      </c>
      <c r="B2645" t="inlineStr">
        <is>
          <t>Maharashtra Natural Gas (MNGL)</t>
        </is>
      </c>
      <c r="C2645" t="inlineStr">
        <is>
          <t>Maharashtra Natural Gas (MNGL)</t>
        </is>
      </c>
      <c r="F2645" t="inlineStr">
        <is>
          <t>New Lead</t>
        </is>
      </c>
      <c r="G2645" t="inlineStr">
        <is>
          <t>Gas-related / review</t>
        </is>
      </c>
      <c r="H2645" t="inlineStr">
        <is>
          <t>Check CNG/PNG Rates</t>
        </is>
      </c>
      <c r="K2645" t="inlineStr">
        <is>
          <t>Not found</t>
        </is>
      </c>
      <c r="L2645" t="inlineStr">
        <is>
          <t>Unknown</t>
        </is>
      </c>
      <c r="T2645" t="inlineStr">
        <is>
          <t>https://mngl.in/our-services/check-rates</t>
        </is>
      </c>
      <c r="U2645" t="inlineStr">
        <is>
          <t>HTML</t>
        </is>
      </c>
      <c r="V2645" t="inlineStr">
        <is>
          <t>Bot tespit/zenginlestirme (2026-07-01); meta:score=15;priority=Low;source_type=html_link;closing_date=;equipment=Gas-related / review;reasons=equipment:Gas-related / review</t>
        </is>
      </c>
    </row>
    <row r="2646">
      <c r="A2646" t="inlineStr">
        <is>
          <t>T-2450</t>
        </is>
      </c>
      <c r="B2646" t="inlineStr">
        <is>
          <t>Maharashtra Natural Gas (MNGL)</t>
        </is>
      </c>
      <c r="C2646" t="inlineStr">
        <is>
          <t>Maharashtra Natural Gas (MNGL)</t>
        </is>
      </c>
      <c r="F2646" t="inlineStr">
        <is>
          <t>New Lead</t>
        </is>
      </c>
      <c r="G2646" t="inlineStr">
        <is>
          <t>Unclassified</t>
        </is>
      </c>
      <c r="H2646" t="inlineStr">
        <is>
          <t>1800 266 2696</t>
        </is>
      </c>
      <c r="K2646" t="inlineStr">
        <is>
          <t>Not found</t>
        </is>
      </c>
      <c r="L2646" t="inlineStr">
        <is>
          <t>Unknown</t>
        </is>
      </c>
      <c r="T2646" t="inlineStr">
        <is>
          <t>tel:1800 266 2696</t>
        </is>
      </c>
      <c r="U2646" t="inlineStr">
        <is>
          <t>HTML</t>
        </is>
      </c>
      <c r="V2646" t="inlineStr">
        <is>
          <t>Bot tespit/zenginlestirme (2026-07-01); meta:score=;priority=Low;source_type=html_link;closing_date=;equipment=Unclassified;reasons=</t>
        </is>
      </c>
    </row>
    <row r="2647">
      <c r="A2647" t="inlineStr">
        <is>
          <t>T-2451</t>
        </is>
      </c>
      <c r="B2647" t="inlineStr">
        <is>
          <t>Maharashtra Natural Gas (MNGL)</t>
        </is>
      </c>
      <c r="C2647" t="inlineStr">
        <is>
          <t>Maharashtra Natural Gas (MNGL)</t>
        </is>
      </c>
      <c r="F2647" t="inlineStr">
        <is>
          <t>New Lead</t>
        </is>
      </c>
      <c r="G2647" t="inlineStr">
        <is>
          <t>Unclassified</t>
        </is>
      </c>
      <c r="H2647" t="inlineStr">
        <is>
          <t>9011 676767 - Emergency Helpline</t>
        </is>
      </c>
      <c r="K2647" t="inlineStr">
        <is>
          <t>Not found</t>
        </is>
      </c>
      <c r="L2647" t="inlineStr">
        <is>
          <t>Unknown</t>
        </is>
      </c>
      <c r="T2647" t="inlineStr">
        <is>
          <t>tel:9011 676767</t>
        </is>
      </c>
      <c r="U2647" t="inlineStr">
        <is>
          <t>HTML</t>
        </is>
      </c>
      <c r="V2647" t="inlineStr">
        <is>
          <t>Bot tespit/zenginlestirme (2026-07-01); meta:score=;priority=Low;source_type=html_link;closing_date=;equipment=Unclassified;reasons=</t>
        </is>
      </c>
    </row>
    <row r="2648">
      <c r="A2648" t="inlineStr">
        <is>
          <t>T-2452</t>
        </is>
      </c>
      <c r="B2648" t="inlineStr">
        <is>
          <t>Maharashtra Natural Gas (MNGL)</t>
        </is>
      </c>
      <c r="C2648" t="inlineStr">
        <is>
          <t>Maharashtra Natural Gas (MNGL)</t>
        </is>
      </c>
      <c r="F2648" t="inlineStr">
        <is>
          <t>New Lead</t>
        </is>
      </c>
      <c r="G2648" t="inlineStr">
        <is>
          <t>Unclassified</t>
        </is>
      </c>
      <c r="H2648" t="inlineStr">
        <is>
          <t>Edu Portal Physical Progress</t>
        </is>
      </c>
      <c r="K2648" t="inlineStr">
        <is>
          <t>Not found</t>
        </is>
      </c>
      <c r="L2648" t="inlineStr">
        <is>
          <t>Unknown</t>
        </is>
      </c>
      <c r="T2648" t="inlineStr">
        <is>
          <t>https://mngl.in/education-portal</t>
        </is>
      </c>
      <c r="U2648" t="inlineStr">
        <is>
          <t>HTML</t>
        </is>
      </c>
      <c r="V2648" t="inlineStr">
        <is>
          <t>Bot tespit/zenginlestirme (2026-07-01); meta:score=;priority=Low;source_type=html_table;closing_date=;equipment=Unclassified;reasons=</t>
        </is>
      </c>
    </row>
    <row r="2649">
      <c r="A2649" t="inlineStr">
        <is>
          <t>T-2453</t>
        </is>
      </c>
      <c r="B2649" t="inlineStr">
        <is>
          <t>Maharashtra Natural Gas (MNGL)</t>
        </is>
      </c>
      <c r="C2649" t="inlineStr">
        <is>
          <t>Maharashtra Natural Gas (MNGL)</t>
        </is>
      </c>
      <c r="F2649" t="inlineStr">
        <is>
          <t>New Lead</t>
        </is>
      </c>
      <c r="G2649" t="inlineStr">
        <is>
          <t>Unclassified</t>
        </is>
      </c>
      <c r="H2649" t="inlineStr">
        <is>
          <t>Edu Portal Physical Progress</t>
        </is>
      </c>
      <c r="K2649" t="inlineStr">
        <is>
          <t>Not found</t>
        </is>
      </c>
      <c r="L2649" t="inlineStr">
        <is>
          <t>Unknown</t>
        </is>
      </c>
      <c r="T2649" t="inlineStr">
        <is>
          <t>https://mngl.in/physical-progress</t>
        </is>
      </c>
      <c r="U2649" t="inlineStr">
        <is>
          <t>HTML</t>
        </is>
      </c>
      <c r="V2649" t="inlineStr">
        <is>
          <t>Bot tespit/zenginlestirme (2026-07-01); meta:score=;priority=Low;source_type=html_table;closing_date=;equipment=Unclassified;reasons=</t>
        </is>
      </c>
    </row>
    <row r="2650">
      <c r="A2650" t="inlineStr">
        <is>
          <t>T-2454</t>
        </is>
      </c>
      <c r="B2650" t="inlineStr">
        <is>
          <t>Maharashtra Natural Gas (MNGL)</t>
        </is>
      </c>
      <c r="C2650" t="inlineStr">
        <is>
          <t>Maharashtra Natural Gas (MNGL)</t>
        </is>
      </c>
      <c r="F2650" t="inlineStr">
        <is>
          <t>New Lead</t>
        </is>
      </c>
      <c r="G2650" t="inlineStr">
        <is>
          <t>Unclassified</t>
        </is>
      </c>
      <c r="H2650" t="inlineStr">
        <is>
          <t>https://www.instagram.com/mngl.in/</t>
        </is>
      </c>
      <c r="K2650" t="inlineStr">
        <is>
          <t>Not found</t>
        </is>
      </c>
      <c r="L2650" t="inlineStr">
        <is>
          <t>Unknown</t>
        </is>
      </c>
      <c r="T2650" t="inlineStr">
        <is>
          <t>https://www.instagram.com/mngl.in/</t>
        </is>
      </c>
      <c r="U2650" t="inlineStr">
        <is>
          <t>HTML</t>
        </is>
      </c>
      <c r="V2650" t="inlineStr">
        <is>
          <t>Bot tespit/zenginlestirme (2026-07-01); meta:score=;priority=Low;source_type=html_link;closing_date=;equipment=Unclassified;reasons=</t>
        </is>
      </c>
    </row>
    <row r="2651">
      <c r="A2651" t="inlineStr">
        <is>
          <t>T-2455</t>
        </is>
      </c>
      <c r="B2651" t="inlineStr">
        <is>
          <t>Maharashtra Natural Gas (MNGL)</t>
        </is>
      </c>
      <c r="C2651" t="inlineStr">
        <is>
          <t>Maharashtra Natural Gas (MNGL)</t>
        </is>
      </c>
      <c r="F2651" t="inlineStr">
        <is>
          <t>New Lead</t>
        </is>
      </c>
      <c r="G2651" t="inlineStr">
        <is>
          <t>Unclassified</t>
        </is>
      </c>
      <c r="H2651" t="inlineStr">
        <is>
          <t>Home</t>
        </is>
      </c>
      <c r="K2651" t="inlineStr">
        <is>
          <t>Not found</t>
        </is>
      </c>
      <c r="L2651" t="inlineStr">
        <is>
          <t>Unknown</t>
        </is>
      </c>
      <c r="T2651" t="inlineStr">
        <is>
          <t>https://mngl.in/</t>
        </is>
      </c>
      <c r="U2651" t="inlineStr">
        <is>
          <t>HTML</t>
        </is>
      </c>
      <c r="V2651" t="inlineStr">
        <is>
          <t>Bot tespit/zenginlestirme (2026-07-01); meta:score=;priority=Low;source_type=html_link;closing_date=;equipment=Unclassified;reasons=</t>
        </is>
      </c>
    </row>
    <row r="2652">
      <c r="A2652" t="inlineStr">
        <is>
          <t>T-2456</t>
        </is>
      </c>
      <c r="B2652" t="inlineStr">
        <is>
          <t>Maharashtra Natural Gas (MNGL)</t>
        </is>
      </c>
      <c r="C2652" t="inlineStr">
        <is>
          <t>Maharashtra Natural Gas (MNGL)</t>
        </is>
      </c>
      <c r="F2652" t="inlineStr">
        <is>
          <t>New Lead</t>
        </is>
      </c>
      <c r="G2652" t="inlineStr">
        <is>
          <t>Unclassified</t>
        </is>
      </c>
      <c r="H2652" t="inlineStr">
        <is>
          <t>About MNGL</t>
        </is>
      </c>
      <c r="K2652" t="inlineStr">
        <is>
          <t>Not found</t>
        </is>
      </c>
      <c r="L2652" t="inlineStr">
        <is>
          <t>Unknown</t>
        </is>
      </c>
      <c r="T2652" t="inlineStr">
        <is>
          <t>https://mngl.in/about-mngl</t>
        </is>
      </c>
      <c r="U2652" t="inlineStr">
        <is>
          <t>HTML</t>
        </is>
      </c>
      <c r="V2652" t="inlineStr">
        <is>
          <t>Bot tespit/zenginlestirme (2026-07-01); meta:score=;priority=Low;source_type=html_link;closing_date=;equipment=Unclassified;reasons=</t>
        </is>
      </c>
    </row>
    <row r="2653">
      <c r="A2653" t="inlineStr">
        <is>
          <t>T-2457</t>
        </is>
      </c>
      <c r="B2653" t="inlineStr">
        <is>
          <t>Maharashtra Natural Gas (MNGL)</t>
        </is>
      </c>
      <c r="C2653" t="inlineStr">
        <is>
          <t>Maharashtra Natural Gas (MNGL)</t>
        </is>
      </c>
      <c r="F2653" t="inlineStr">
        <is>
          <t>New Lead</t>
        </is>
      </c>
      <c r="G2653" t="inlineStr">
        <is>
          <t>Unclassified</t>
        </is>
      </c>
      <c r="H2653" t="inlineStr">
        <is>
          <t>Business Objectives</t>
        </is>
      </c>
      <c r="K2653" t="inlineStr">
        <is>
          <t>Not found</t>
        </is>
      </c>
      <c r="L2653" t="inlineStr">
        <is>
          <t>Unknown</t>
        </is>
      </c>
      <c r="T2653" t="inlineStr">
        <is>
          <t>https://mngl.in/business-objectives</t>
        </is>
      </c>
      <c r="U2653" t="inlineStr">
        <is>
          <t>HTML</t>
        </is>
      </c>
      <c r="V2653" t="inlineStr">
        <is>
          <t>Bot tespit/zenginlestirme (2026-07-01); meta:score=;priority=Low;source_type=html_link;closing_date=;equipment=Unclassified;reasons=</t>
        </is>
      </c>
    </row>
    <row r="2654">
      <c r="A2654" t="inlineStr">
        <is>
          <t>T-2458</t>
        </is>
      </c>
      <c r="B2654" t="inlineStr">
        <is>
          <t>Maharashtra Natural Gas (MNGL)</t>
        </is>
      </c>
      <c r="C2654" t="inlineStr">
        <is>
          <t>Maharashtra Natural Gas (MNGL)</t>
        </is>
      </c>
      <c r="F2654" t="inlineStr">
        <is>
          <t>New Lead</t>
        </is>
      </c>
      <c r="G2654" t="inlineStr">
        <is>
          <t>Unclassified</t>
        </is>
      </c>
      <c r="H2654" t="inlineStr">
        <is>
          <t>Board of Directors</t>
        </is>
      </c>
      <c r="K2654" t="inlineStr">
        <is>
          <t>Not found</t>
        </is>
      </c>
      <c r="L2654" t="inlineStr">
        <is>
          <t>Unknown</t>
        </is>
      </c>
      <c r="T2654" t="inlineStr">
        <is>
          <t>https://mngl.in/board-of-directors</t>
        </is>
      </c>
      <c r="U2654" t="inlineStr">
        <is>
          <t>HTML</t>
        </is>
      </c>
      <c r="V2654" t="inlineStr">
        <is>
          <t>Bot tespit/zenginlestirme (2026-07-01); meta:score=;priority=Low;source_type=html_link;closing_date=;equipment=Unclassified;reasons=</t>
        </is>
      </c>
    </row>
    <row r="2655">
      <c r="A2655" t="inlineStr">
        <is>
          <t>T-2459</t>
        </is>
      </c>
      <c r="B2655" t="inlineStr">
        <is>
          <t>Maharashtra Natural Gas (MNGL)</t>
        </is>
      </c>
      <c r="C2655" t="inlineStr">
        <is>
          <t>Maharashtra Natural Gas (MNGL)</t>
        </is>
      </c>
      <c r="F2655" t="inlineStr">
        <is>
          <t>Awarded / Result</t>
        </is>
      </c>
      <c r="G2655" t="inlineStr">
        <is>
          <t>Unclassified</t>
        </is>
      </c>
      <c r="H2655" t="inlineStr">
        <is>
          <t>Awards</t>
        </is>
      </c>
      <c r="K2655" t="inlineStr">
        <is>
          <t>Not found</t>
        </is>
      </c>
      <c r="L2655" t="inlineStr">
        <is>
          <t>Unknown</t>
        </is>
      </c>
      <c r="T2655" t="inlineStr">
        <is>
          <t>https://mngl.in/awards</t>
        </is>
      </c>
      <c r="U2655" t="inlineStr">
        <is>
          <t>HTML</t>
        </is>
      </c>
      <c r="V2655" t="inlineStr">
        <is>
          <t>Bot tespit/zenginlestirme (2026-07-01); meta:score=;priority=Low;source_type=html_link;closing_date=;equipment=Unclassified;reasons=</t>
        </is>
      </c>
    </row>
    <row r="2656">
      <c r="A2656" t="inlineStr">
        <is>
          <t>T-2460</t>
        </is>
      </c>
      <c r="B2656" t="inlineStr">
        <is>
          <t>Maharashtra Natural Gas (MNGL)</t>
        </is>
      </c>
      <c r="C2656" t="inlineStr">
        <is>
          <t>Maharashtra Natural Gas (MNGL)</t>
        </is>
      </c>
      <c r="F2656" t="inlineStr">
        <is>
          <t>New Lead</t>
        </is>
      </c>
      <c r="G2656" t="inlineStr">
        <is>
          <t>Unclassified</t>
        </is>
      </c>
      <c r="H2656" t="inlineStr">
        <is>
          <t>Future Outlook</t>
        </is>
      </c>
      <c r="K2656" t="inlineStr">
        <is>
          <t>Not found</t>
        </is>
      </c>
      <c r="L2656" t="inlineStr">
        <is>
          <t>Unknown</t>
        </is>
      </c>
      <c r="T2656" t="inlineStr">
        <is>
          <t>https://mngl.in/future-outlook</t>
        </is>
      </c>
      <c r="U2656" t="inlineStr">
        <is>
          <t>HTML</t>
        </is>
      </c>
      <c r="V2656" t="inlineStr">
        <is>
          <t>Bot tespit/zenginlestirme (2026-07-01); meta:score=;priority=Low;source_type=html_link;closing_date=;equipment=Unclassified;reasons=</t>
        </is>
      </c>
    </row>
    <row r="2657">
      <c r="A2657" t="inlineStr">
        <is>
          <t>T-2461</t>
        </is>
      </c>
      <c r="B2657" t="inlineStr">
        <is>
          <t>Maharashtra Natural Gas (MNGL)</t>
        </is>
      </c>
      <c r="C2657" t="inlineStr">
        <is>
          <t>Maharashtra Natural Gas (MNGL)</t>
        </is>
      </c>
      <c r="F2657" t="inlineStr">
        <is>
          <t>New Lead</t>
        </is>
      </c>
      <c r="G2657" t="inlineStr">
        <is>
          <t>Irrelevant / non-target</t>
        </is>
      </c>
      <c r="H2657" t="inlineStr">
        <is>
          <t>CSR Policy</t>
        </is>
      </c>
      <c r="K2657" t="inlineStr">
        <is>
          <t>Not found</t>
        </is>
      </c>
      <c r="L2657" t="inlineStr">
        <is>
          <t>Unknown</t>
        </is>
      </c>
      <c r="T2657" t="inlineStr">
        <is>
          <t>https://mngl.in/csr-policy</t>
        </is>
      </c>
      <c r="U2657" t="inlineStr">
        <is>
          <t>HTML</t>
        </is>
      </c>
      <c r="V2657" t="inlineStr">
        <is>
          <t>Bot tespit/zenginlestirme (2026-07-01); meta:score=;priority=Low;source_type=html_link;closing_date=;equipment=Irrelevant / non-target;reasons=irrelevant_equipment,website noise</t>
        </is>
      </c>
    </row>
    <row r="2658">
      <c r="A2658" t="inlineStr">
        <is>
          <t>T-2462</t>
        </is>
      </c>
      <c r="B2658" t="inlineStr">
        <is>
          <t>Maharashtra Natural Gas (MNGL)</t>
        </is>
      </c>
      <c r="C2658" t="inlineStr">
        <is>
          <t>Maharashtra Natural Gas (MNGL)</t>
        </is>
      </c>
      <c r="F2658" t="inlineStr">
        <is>
          <t>New Lead</t>
        </is>
      </c>
      <c r="G2658" t="inlineStr">
        <is>
          <t>Irrelevant / non-target</t>
        </is>
      </c>
      <c r="H2658" t="inlineStr">
        <is>
          <t>CSR Projects</t>
        </is>
      </c>
      <c r="K2658" t="inlineStr">
        <is>
          <t>Not found</t>
        </is>
      </c>
      <c r="L2658" t="inlineStr">
        <is>
          <t>Unknown</t>
        </is>
      </c>
      <c r="T2658" t="inlineStr">
        <is>
          <t>https://mngl.in/csr-projects</t>
        </is>
      </c>
      <c r="U2658" t="inlineStr">
        <is>
          <t>HTML</t>
        </is>
      </c>
      <c r="V2658" t="inlineStr">
        <is>
          <t>Bot tespit/zenginlestirme (2026-07-01); meta:score=;priority=Low;source_type=html_link;closing_date=;equipment=Irrelevant / non-target;reasons=irrelevant_equipment,website noise</t>
        </is>
      </c>
    </row>
    <row r="2659">
      <c r="A2659" t="inlineStr">
        <is>
          <t>T-2463</t>
        </is>
      </c>
      <c r="B2659" t="inlineStr">
        <is>
          <t>Maharashtra Natural Gas (MNGL)</t>
        </is>
      </c>
      <c r="C2659" t="inlineStr">
        <is>
          <t>Maharashtra Natural Gas (MNGL)</t>
        </is>
      </c>
      <c r="F2659" t="inlineStr">
        <is>
          <t>New Lead</t>
        </is>
      </c>
      <c r="G2659" t="inlineStr">
        <is>
          <t>Irrelevant / non-target</t>
        </is>
      </c>
      <c r="H2659" t="inlineStr">
        <is>
          <t>CSR Comittee</t>
        </is>
      </c>
      <c r="K2659" t="inlineStr">
        <is>
          <t>Not found</t>
        </is>
      </c>
      <c r="L2659" t="inlineStr">
        <is>
          <t>Unknown</t>
        </is>
      </c>
      <c r="T2659" t="inlineStr">
        <is>
          <t>https://mngl.in/csr-committee</t>
        </is>
      </c>
      <c r="U2659" t="inlineStr">
        <is>
          <t>HTML</t>
        </is>
      </c>
      <c r="V2659" t="inlineStr">
        <is>
          <t>Bot tespit/zenginlestirme (2026-07-01); meta:score=;priority=Low;source_type=html_link;closing_date=;equipment=Irrelevant / non-target;reasons=irrelevant_equipment,website noise</t>
        </is>
      </c>
    </row>
    <row r="2660">
      <c r="A2660" t="inlineStr">
        <is>
          <t>T-2464</t>
        </is>
      </c>
      <c r="B2660" t="inlineStr">
        <is>
          <t>Maharashtra Natural Gas (MNGL)</t>
        </is>
      </c>
      <c r="C2660" t="inlineStr">
        <is>
          <t>Maharashtra Natural Gas (MNGL)</t>
        </is>
      </c>
      <c r="F2660" t="inlineStr">
        <is>
          <t>New Lead</t>
        </is>
      </c>
      <c r="G2660" t="inlineStr">
        <is>
          <t>Irrelevant / non-target</t>
        </is>
      </c>
      <c r="H2660" t="inlineStr">
        <is>
          <t>CSR Activities</t>
        </is>
      </c>
      <c r="K2660" t="inlineStr">
        <is>
          <t>Not found</t>
        </is>
      </c>
      <c r="L2660" t="inlineStr">
        <is>
          <t>Unknown</t>
        </is>
      </c>
      <c r="T2660" t="inlineStr">
        <is>
          <t>https://mngl.in/csr-activities</t>
        </is>
      </c>
      <c r="U2660" t="inlineStr">
        <is>
          <t>HTML</t>
        </is>
      </c>
      <c r="V2660" t="inlineStr">
        <is>
          <t>Bot tespit/zenginlestirme (2026-07-01); meta:score=;priority=Low;source_type=html_link;closing_date=;equipment=Irrelevant / non-target;reasons=irrelevant_equipment,website noise</t>
        </is>
      </c>
    </row>
    <row r="2661">
      <c r="A2661" t="inlineStr">
        <is>
          <t>T-2465</t>
        </is>
      </c>
      <c r="B2661" t="inlineStr">
        <is>
          <t>Maharashtra Natural Gas (MNGL)</t>
        </is>
      </c>
      <c r="C2661" t="inlineStr">
        <is>
          <t>Maharashtra Natural Gas (MNGL)</t>
        </is>
      </c>
      <c r="F2661" t="inlineStr">
        <is>
          <t>New Lead</t>
        </is>
      </c>
      <c r="G2661" t="inlineStr">
        <is>
          <t>Unclassified</t>
        </is>
      </c>
      <c r="H2661" t="inlineStr">
        <is>
          <t>News</t>
        </is>
      </c>
      <c r="K2661" t="inlineStr">
        <is>
          <t>Not found</t>
        </is>
      </c>
      <c r="L2661" t="inlineStr">
        <is>
          <t>Unknown</t>
        </is>
      </c>
      <c r="T2661" t="inlineStr">
        <is>
          <t>https://mngl.in/news</t>
        </is>
      </c>
      <c r="U2661" t="inlineStr">
        <is>
          <t>HTML</t>
        </is>
      </c>
      <c r="V2661" t="inlineStr">
        <is>
          <t>Bot tespit/zenginlestirme (2026-07-01); meta:score=;priority=Low;source_type=html_link;closing_date=;equipment=Unclassified;reasons=</t>
        </is>
      </c>
    </row>
    <row r="2662">
      <c r="A2662" t="inlineStr">
        <is>
          <t>T-2466</t>
        </is>
      </c>
      <c r="B2662" t="inlineStr">
        <is>
          <t>Maharashtra Natural Gas (MNGL)</t>
        </is>
      </c>
      <c r="C2662" t="inlineStr">
        <is>
          <t>Maharashtra Natural Gas (MNGL)</t>
        </is>
      </c>
      <c r="F2662" t="inlineStr">
        <is>
          <t>New Lead</t>
        </is>
      </c>
      <c r="G2662" t="inlineStr">
        <is>
          <t>Unclassified</t>
        </is>
      </c>
      <c r="H2662" t="inlineStr">
        <is>
          <t>Gallery</t>
        </is>
      </c>
      <c r="K2662" t="inlineStr">
        <is>
          <t>Not found</t>
        </is>
      </c>
      <c r="L2662" t="inlineStr">
        <is>
          <t>Unknown</t>
        </is>
      </c>
      <c r="T2662" t="inlineStr">
        <is>
          <t>https://mngl.in/gallery</t>
        </is>
      </c>
      <c r="U2662" t="inlineStr">
        <is>
          <t>HTML</t>
        </is>
      </c>
      <c r="V2662" t="inlineStr">
        <is>
          <t>Bot tespit/zenginlestirme (2026-07-01); meta:score=;priority=Low;source_type=html_link;closing_date=;equipment=Unclassified;reasons=</t>
        </is>
      </c>
    </row>
    <row r="2663">
      <c r="A2663" t="inlineStr">
        <is>
          <t>T-2467</t>
        </is>
      </c>
      <c r="B2663" t="inlineStr">
        <is>
          <t>Maharashtra Natural Gas (MNGL)</t>
        </is>
      </c>
      <c r="C2663" t="inlineStr">
        <is>
          <t>Maharashtra Natural Gas (MNGL)</t>
        </is>
      </c>
      <c r="F2663" t="inlineStr">
        <is>
          <t>New Lead</t>
        </is>
      </c>
      <c r="G2663" t="inlineStr">
        <is>
          <t>Unclassified</t>
        </is>
      </c>
      <c r="H2663" t="inlineStr">
        <is>
          <t>Customer Dashboard</t>
        </is>
      </c>
      <c r="K2663" t="inlineStr">
        <is>
          <t>Not found</t>
        </is>
      </c>
      <c r="L2663" t="inlineStr">
        <is>
          <t>Unknown</t>
        </is>
      </c>
      <c r="T2663" t="inlineStr">
        <is>
          <t>https://mngl.in/user</t>
        </is>
      </c>
      <c r="U2663" t="inlineStr">
        <is>
          <t>HTML</t>
        </is>
      </c>
      <c r="V2663" t="inlineStr">
        <is>
          <t>Bot tespit/zenginlestirme (2026-07-01); meta:score=;priority=Low;source_type=html_link;closing_date=;equipment=Unclassified;reasons=</t>
        </is>
      </c>
    </row>
    <row r="2664">
      <c r="A2664" t="inlineStr">
        <is>
          <t>T-2468</t>
        </is>
      </c>
      <c r="B2664" t="inlineStr">
        <is>
          <t>Maharashtra Natural Gas (MNGL)</t>
        </is>
      </c>
      <c r="C2664" t="inlineStr">
        <is>
          <t>Maharashtra Natural Gas (MNGL)</t>
        </is>
      </c>
      <c r="F2664" t="inlineStr">
        <is>
          <t>New Lead</t>
        </is>
      </c>
      <c r="G2664" t="inlineStr">
        <is>
          <t>Unclassified</t>
        </is>
      </c>
      <c r="H2664" t="inlineStr">
        <is>
          <t>Across The Counter</t>
        </is>
      </c>
      <c r="K2664" t="inlineStr">
        <is>
          <t>Not found</t>
        </is>
      </c>
      <c r="L2664" t="inlineStr">
        <is>
          <t>Unknown</t>
        </is>
      </c>
      <c r="T2664" t="inlineStr">
        <is>
          <t>https://mngl.in/customer-zone/across-counter</t>
        </is>
      </c>
      <c r="U2664" t="inlineStr">
        <is>
          <t>HTML</t>
        </is>
      </c>
      <c r="V2664" t="inlineStr">
        <is>
          <t>Bot tespit/zenginlestirme (2026-07-01); meta:score=;priority=Low;source_type=html_link;closing_date=;equipment=Unclassified;reasons=</t>
        </is>
      </c>
    </row>
    <row r="2665">
      <c r="A2665" t="inlineStr">
        <is>
          <t>T-2469</t>
        </is>
      </c>
      <c r="B2665" t="inlineStr">
        <is>
          <t>Maharashtra Natural Gas (MNGL)</t>
        </is>
      </c>
      <c r="C2665" t="inlineStr">
        <is>
          <t>Maharashtra Natural Gas (MNGL)</t>
        </is>
      </c>
      <c r="F2665" t="inlineStr">
        <is>
          <t>New Lead</t>
        </is>
      </c>
      <c r="G2665" t="inlineStr">
        <is>
          <t>Unclassified</t>
        </is>
      </c>
      <c r="H2665" t="inlineStr">
        <is>
          <t>Online Payment</t>
        </is>
      </c>
      <c r="K2665" t="inlineStr">
        <is>
          <t>Not found</t>
        </is>
      </c>
      <c r="L2665" t="inlineStr">
        <is>
          <t>Unknown</t>
        </is>
      </c>
      <c r="T2665" t="inlineStr">
        <is>
          <t>https://mngl.in/customer-zone/online-payment</t>
        </is>
      </c>
      <c r="U2665" t="inlineStr">
        <is>
          <t>HTML</t>
        </is>
      </c>
      <c r="V2665" t="inlineStr">
        <is>
          <t>Bot tespit/zenginlestirme (2026-07-01); meta:score=;priority=Low;source_type=html_link;closing_date=;equipment=Unclassified;reasons=</t>
        </is>
      </c>
    </row>
    <row r="2666">
      <c r="A2666" t="inlineStr">
        <is>
          <t>T-2470</t>
        </is>
      </c>
      <c r="B2666" t="inlineStr">
        <is>
          <t>Maharashtra Natural Gas (MNGL)</t>
        </is>
      </c>
      <c r="C2666" t="inlineStr">
        <is>
          <t>Maharashtra Natural Gas (MNGL)</t>
        </is>
      </c>
      <c r="F2666" t="inlineStr">
        <is>
          <t>New Lead</t>
        </is>
      </c>
      <c r="G2666" t="inlineStr">
        <is>
          <t>Unclassified</t>
        </is>
      </c>
      <c r="H2666" t="inlineStr">
        <is>
          <t>Payment - Walk-in Centre</t>
        </is>
      </c>
      <c r="K2666" t="inlineStr">
        <is>
          <t>Not found</t>
        </is>
      </c>
      <c r="L2666" t="inlineStr">
        <is>
          <t>Unknown</t>
        </is>
      </c>
      <c r="T2666" t="inlineStr">
        <is>
          <t>https://mngl.in/customer-zone/payment-commercial</t>
        </is>
      </c>
      <c r="U2666" t="inlineStr">
        <is>
          <t>HTML</t>
        </is>
      </c>
      <c r="V2666" t="inlineStr">
        <is>
          <t>Bot tespit/zenginlestirme (2026-07-01); meta:score=;priority=Low;source_type=html_link;closing_date=;equipment=Unclassified;reasons=</t>
        </is>
      </c>
    </row>
    <row r="2667">
      <c r="A2667" t="inlineStr">
        <is>
          <t>T-2471</t>
        </is>
      </c>
      <c r="B2667" t="inlineStr">
        <is>
          <t>Maharashtra Natural Gas (MNGL)</t>
        </is>
      </c>
      <c r="C2667" t="inlineStr">
        <is>
          <t>Maharashtra Natural Gas (MNGL)</t>
        </is>
      </c>
      <c r="F2667" t="inlineStr">
        <is>
          <t>New Lead</t>
        </is>
      </c>
      <c r="G2667" t="inlineStr">
        <is>
          <t>Unclassified</t>
        </is>
      </c>
      <c r="H2667" t="inlineStr">
        <is>
          <t>Billing Queries</t>
        </is>
      </c>
      <c r="K2667" t="inlineStr">
        <is>
          <t>Not found</t>
        </is>
      </c>
      <c r="L2667" t="inlineStr">
        <is>
          <t>Unknown</t>
        </is>
      </c>
      <c r="T2667" t="inlineStr">
        <is>
          <t>https://mngl.in/customer-zone/billing-query</t>
        </is>
      </c>
      <c r="U2667" t="inlineStr">
        <is>
          <t>HTML</t>
        </is>
      </c>
      <c r="V2667" t="inlineStr">
        <is>
          <t>Bot tespit/zenginlestirme (2026-07-01); meta:score=;priority=Low;source_type=html_link;closing_date=;equipment=Unclassified;reasons=</t>
        </is>
      </c>
    </row>
    <row r="2668">
      <c r="A2668" t="inlineStr">
        <is>
          <t>T-2472</t>
        </is>
      </c>
      <c r="B2668" t="inlineStr">
        <is>
          <t>Maharashtra Natural Gas (MNGL)</t>
        </is>
      </c>
      <c r="C2668" t="inlineStr">
        <is>
          <t>Maharashtra Natural Gas (MNGL)</t>
        </is>
      </c>
      <c r="F2668" t="inlineStr">
        <is>
          <t>New Lead</t>
        </is>
      </c>
      <c r="G2668" t="inlineStr">
        <is>
          <t>Unclassified</t>
        </is>
      </c>
      <c r="H2668" t="inlineStr">
        <is>
          <t>Register yourself with MNGL</t>
        </is>
      </c>
      <c r="K2668" t="inlineStr">
        <is>
          <t>Not found</t>
        </is>
      </c>
      <c r="L2668" t="inlineStr">
        <is>
          <t>Unknown</t>
        </is>
      </c>
      <c r="T2668" t="inlineStr">
        <is>
          <t>https://mngl.in/login/register</t>
        </is>
      </c>
      <c r="U2668" t="inlineStr">
        <is>
          <t>HTML</t>
        </is>
      </c>
      <c r="V2668" t="inlineStr">
        <is>
          <t>Bot tespit/zenginlestirme (2026-07-01); meta:score=;priority=Low;source_type=html_link;closing_date=;equipment=Unclassified;reasons=access/action page</t>
        </is>
      </c>
    </row>
    <row r="2669">
      <c r="A2669" t="inlineStr">
        <is>
          <t>T-2473</t>
        </is>
      </c>
      <c r="B2669" t="inlineStr">
        <is>
          <t>Maharashtra Natural Gas (MNGL)</t>
        </is>
      </c>
      <c r="C2669" t="inlineStr">
        <is>
          <t>Maharashtra Natural Gas (MNGL)</t>
        </is>
      </c>
      <c r="F2669" t="inlineStr">
        <is>
          <t>New Lead</t>
        </is>
      </c>
      <c r="G2669" t="inlineStr">
        <is>
          <t>Unclassified</t>
        </is>
      </c>
      <c r="H2669" t="inlineStr">
        <is>
          <t>Customer Awareness</t>
        </is>
      </c>
      <c r="K2669" t="inlineStr">
        <is>
          <t>Not found</t>
        </is>
      </c>
      <c r="L2669" t="inlineStr">
        <is>
          <t>Unknown</t>
        </is>
      </c>
      <c r="T2669" t="inlineStr">
        <is>
          <t>https://mngl.in/update-details</t>
        </is>
      </c>
      <c r="U2669" t="inlineStr">
        <is>
          <t>HTML</t>
        </is>
      </c>
      <c r="V2669" t="inlineStr">
        <is>
          <t>Bot tespit/zenginlestirme (2026-07-01); meta:score=;priority=Low;source_type=html_link;closing_date=;equipment=Unclassified;reasons=</t>
        </is>
      </c>
    </row>
    <row r="2670">
      <c r="A2670" t="inlineStr">
        <is>
          <t>T-2474</t>
        </is>
      </c>
      <c r="B2670" t="inlineStr">
        <is>
          <t>Maharashtra Natural Gas (MNGL)</t>
        </is>
      </c>
      <c r="C2670" t="inlineStr">
        <is>
          <t>Maharashtra Natural Gas (MNGL)</t>
        </is>
      </c>
      <c r="F2670" t="inlineStr">
        <is>
          <t>New Lead</t>
        </is>
      </c>
      <c r="G2670" t="inlineStr">
        <is>
          <t>Unclassified</t>
        </is>
      </c>
      <c r="H2670" t="inlineStr">
        <is>
          <t>Our Clients Speak</t>
        </is>
      </c>
      <c r="K2670" t="inlineStr">
        <is>
          <t>Not found</t>
        </is>
      </c>
      <c r="L2670" t="inlineStr">
        <is>
          <t>Unknown</t>
        </is>
      </c>
      <c r="T2670" t="inlineStr">
        <is>
          <t>https://mngl.in/customer-zone/our-clientele</t>
        </is>
      </c>
      <c r="U2670" t="inlineStr">
        <is>
          <t>HTML</t>
        </is>
      </c>
      <c r="V2670" t="inlineStr">
        <is>
          <t>Bot tespit/zenginlestirme (2026-07-01); meta:score=;priority=Low;source_type=html_link;closing_date=;equipment=Unclassified;reasons=</t>
        </is>
      </c>
    </row>
    <row r="2671">
      <c r="A2671" t="inlineStr">
        <is>
          <t>T-2475</t>
        </is>
      </c>
      <c r="B2671" t="inlineStr">
        <is>
          <t>Maharashtra Natural Gas (MNGL)</t>
        </is>
      </c>
      <c r="C2671" t="inlineStr">
        <is>
          <t>Maharashtra Natural Gas (MNGL)</t>
        </is>
      </c>
      <c r="F2671" t="inlineStr">
        <is>
          <t>New Lead</t>
        </is>
      </c>
      <c r="G2671" t="inlineStr">
        <is>
          <t>Unclassified</t>
        </is>
      </c>
      <c r="H2671" t="inlineStr">
        <is>
          <t>Overview</t>
        </is>
      </c>
      <c r="K2671" t="inlineStr">
        <is>
          <t>Not found</t>
        </is>
      </c>
      <c r="L2671" t="inlineStr">
        <is>
          <t>Unknown</t>
        </is>
      </c>
      <c r="T2671" t="inlineStr">
        <is>
          <t>https://mngl.in/customer-care/overview</t>
        </is>
      </c>
      <c r="U2671" t="inlineStr">
        <is>
          <t>HTML</t>
        </is>
      </c>
      <c r="V2671" t="inlineStr">
        <is>
          <t>Bot tespit/zenginlestirme (2026-07-01); meta:score=;priority=Low;source_type=html_link;closing_date=;equipment=Unclassified;reasons=</t>
        </is>
      </c>
    </row>
    <row r="2672">
      <c r="A2672" t="inlineStr">
        <is>
          <t>T-2476</t>
        </is>
      </c>
      <c r="B2672" t="inlineStr">
        <is>
          <t>Maharashtra Natural Gas (MNGL)</t>
        </is>
      </c>
      <c r="C2672" t="inlineStr">
        <is>
          <t>Maharashtra Natural Gas (MNGL)</t>
        </is>
      </c>
      <c r="F2672" t="inlineStr">
        <is>
          <t>New Lead</t>
        </is>
      </c>
      <c r="G2672" t="inlineStr">
        <is>
          <t>Irrelevant / non-target</t>
        </is>
      </c>
      <c r="H2672" t="inlineStr">
        <is>
          <t>Name Transfer Policy</t>
        </is>
      </c>
      <c r="K2672" t="inlineStr">
        <is>
          <t>Not found</t>
        </is>
      </c>
      <c r="L2672" t="inlineStr">
        <is>
          <t>Unknown</t>
        </is>
      </c>
      <c r="T2672" t="inlineStr">
        <is>
          <t>https://mngl.in/customer-care/policies-&amp;-procedures/name-transfer-policy</t>
        </is>
      </c>
      <c r="U2672" t="inlineStr">
        <is>
          <t>HTML</t>
        </is>
      </c>
      <c r="V2672" t="inlineStr">
        <is>
          <t>Bot tespit/zenginlestirme (2026-07-01); meta:score=;priority=Low;source_type=html_link;closing_date=;equipment=Irrelevant / non-target;reasons=irrelevant_equipment</t>
        </is>
      </c>
    </row>
    <row r="2673">
      <c r="A2673" t="inlineStr">
        <is>
          <t>T-2477</t>
        </is>
      </c>
      <c r="B2673" t="inlineStr">
        <is>
          <t>Maharashtra Natural Gas (MNGL)</t>
        </is>
      </c>
      <c r="C2673" t="inlineStr">
        <is>
          <t>Maharashtra Natural Gas (MNGL)</t>
        </is>
      </c>
      <c r="F2673" t="inlineStr">
        <is>
          <t>New Lead</t>
        </is>
      </c>
      <c r="G2673" t="inlineStr">
        <is>
          <t>Unclassified</t>
        </is>
      </c>
      <c r="H2673" t="inlineStr">
        <is>
          <t>Temporary Discontinuation Process</t>
        </is>
      </c>
      <c r="K2673" t="inlineStr">
        <is>
          <t>Not found</t>
        </is>
      </c>
      <c r="L2673" t="inlineStr">
        <is>
          <t>Unknown</t>
        </is>
      </c>
      <c r="T2673" t="inlineStr">
        <is>
          <t>https://mngl.in/customer-care/policies-&amp;-procedures/temporary-discontinuation</t>
        </is>
      </c>
      <c r="U2673" t="inlineStr">
        <is>
          <t>HTML</t>
        </is>
      </c>
      <c r="V2673" t="inlineStr">
        <is>
          <t>Bot tespit/zenginlestirme (2026-07-01); meta:score=;priority=Low;source_type=html_link;closing_date=;equipment=Unclassified;reasons=</t>
        </is>
      </c>
    </row>
    <row r="2674">
      <c r="A2674" t="inlineStr">
        <is>
          <t>T-2478</t>
        </is>
      </c>
      <c r="B2674" t="inlineStr">
        <is>
          <t>Maharashtra Natural Gas (MNGL)</t>
        </is>
      </c>
      <c r="C2674" t="inlineStr">
        <is>
          <t>Maharashtra Natural Gas (MNGL)</t>
        </is>
      </c>
      <c r="F2674" t="inlineStr">
        <is>
          <t>New Lead</t>
        </is>
      </c>
      <c r="G2674" t="inlineStr">
        <is>
          <t>Unclassified</t>
        </is>
      </c>
      <c r="H2674" t="inlineStr">
        <is>
          <t>Permanent Disconnection Process</t>
        </is>
      </c>
      <c r="K2674" t="inlineStr">
        <is>
          <t>Not found</t>
        </is>
      </c>
      <c r="L2674" t="inlineStr">
        <is>
          <t>Unknown</t>
        </is>
      </c>
      <c r="T2674" t="inlineStr">
        <is>
          <t>https://mngl.in/customer-care/policies-&amp;-procedures/permanent-disconnection</t>
        </is>
      </c>
      <c r="U2674" t="inlineStr">
        <is>
          <t>HTML</t>
        </is>
      </c>
      <c r="V2674" t="inlineStr">
        <is>
          <t>Bot tespit/zenginlestirme (2026-07-01); meta:score=;priority=Low;source_type=html_link;closing_date=;equipment=Unclassified;reasons=</t>
        </is>
      </c>
    </row>
    <row r="2675">
      <c r="A2675" t="inlineStr">
        <is>
          <t>T-2479</t>
        </is>
      </c>
      <c r="B2675" t="inlineStr">
        <is>
          <t>Maharashtra Natural Gas (MNGL)</t>
        </is>
      </c>
      <c r="C2675" t="inlineStr">
        <is>
          <t>Maharashtra Natural Gas (MNGL)</t>
        </is>
      </c>
      <c r="F2675" t="inlineStr">
        <is>
          <t>New Lead</t>
        </is>
      </c>
      <c r="G2675" t="inlineStr">
        <is>
          <t>Unclassified</t>
        </is>
      </c>
      <c r="H2675" t="inlineStr">
        <is>
          <t>Service Charges</t>
        </is>
      </c>
      <c r="K2675" t="inlineStr">
        <is>
          <t>Not found</t>
        </is>
      </c>
      <c r="L2675" t="inlineStr">
        <is>
          <t>Unknown</t>
        </is>
      </c>
      <c r="T2675" t="inlineStr">
        <is>
          <t>https://mngl.in/customer-care/policies-&amp;-procedures/service-charges</t>
        </is>
      </c>
      <c r="U2675" t="inlineStr">
        <is>
          <t>HTML</t>
        </is>
      </c>
      <c r="V2675" t="inlineStr">
        <is>
          <t>Bot tespit/zenginlestirme (2026-07-01); meta:score=;priority=Low;source_type=html_link;closing_date=;equipment=Unclassified;reasons=</t>
        </is>
      </c>
    </row>
    <row r="2676">
      <c r="A2676" t="inlineStr">
        <is>
          <t>T-2480</t>
        </is>
      </c>
      <c r="B2676" t="inlineStr">
        <is>
          <t>Maharashtra Natural Gas (MNGL)</t>
        </is>
      </c>
      <c r="C2676" t="inlineStr">
        <is>
          <t>Maharashtra Natural Gas (MNGL)</t>
        </is>
      </c>
      <c r="F2676" t="inlineStr">
        <is>
          <t>New Lead</t>
        </is>
      </c>
      <c r="G2676" t="inlineStr">
        <is>
          <t>Unclassified</t>
        </is>
      </c>
      <c r="H2676" t="inlineStr">
        <is>
          <t>Important Policies</t>
        </is>
      </c>
      <c r="K2676" t="inlineStr">
        <is>
          <t>Not found</t>
        </is>
      </c>
      <c r="L2676" t="inlineStr">
        <is>
          <t>Unknown</t>
        </is>
      </c>
      <c r="T2676" t="inlineStr">
        <is>
          <t>https://mngl.in/customer-care/policies-&amp;-procedures/important-policies</t>
        </is>
      </c>
      <c r="U2676" t="inlineStr">
        <is>
          <t>HTML</t>
        </is>
      </c>
      <c r="V2676" t="inlineStr">
        <is>
          <t>Bot tespit/zenginlestirme (2026-07-01); meta:score=;priority=Low;source_type=html_link;closing_date=;equipment=Unclassified;reasons=</t>
        </is>
      </c>
    </row>
    <row r="2677">
      <c r="A2677" t="inlineStr">
        <is>
          <t>T-2481</t>
        </is>
      </c>
      <c r="B2677" t="inlineStr">
        <is>
          <t>Maharashtra Natural Gas (MNGL)</t>
        </is>
      </c>
      <c r="C2677" t="inlineStr">
        <is>
          <t>Maharashtra Natural Gas (MNGL)</t>
        </is>
      </c>
      <c r="F2677" t="inlineStr">
        <is>
          <t>New Lead</t>
        </is>
      </c>
      <c r="G2677" t="inlineStr">
        <is>
          <t>Unclassified</t>
        </is>
      </c>
      <c r="H2677" t="inlineStr">
        <is>
          <t>FAQS</t>
        </is>
      </c>
      <c r="K2677" t="inlineStr">
        <is>
          <t>Not found</t>
        </is>
      </c>
      <c r="L2677" t="inlineStr">
        <is>
          <t>Unknown</t>
        </is>
      </c>
      <c r="T2677" t="inlineStr">
        <is>
          <t>https://mngl.in/customer-awareness/faq</t>
        </is>
      </c>
      <c r="U2677" t="inlineStr">
        <is>
          <t>HTML</t>
        </is>
      </c>
      <c r="V2677" t="inlineStr">
        <is>
          <t>Bot tespit/zenginlestirme (2026-07-01); meta:score=;priority=Low;source_type=html_link;closing_date=;equipment=Unclassified;reasons=</t>
        </is>
      </c>
    </row>
    <row r="2678">
      <c r="A2678" t="inlineStr">
        <is>
          <t>T-2482</t>
        </is>
      </c>
      <c r="B2678" t="inlineStr">
        <is>
          <t>Maharashtra Natural Gas (MNGL)</t>
        </is>
      </c>
      <c r="C2678" t="inlineStr">
        <is>
          <t>Maharashtra Natural Gas (MNGL)</t>
        </is>
      </c>
      <c r="F2678" t="inlineStr">
        <is>
          <t>New Lead</t>
        </is>
      </c>
      <c r="G2678" t="inlineStr">
        <is>
          <t>Unclassified</t>
        </is>
      </c>
      <c r="H2678" t="inlineStr">
        <is>
          <t>Authorization Letters</t>
        </is>
      </c>
      <c r="K2678" t="inlineStr">
        <is>
          <t>Not found</t>
        </is>
      </c>
      <c r="L2678" t="inlineStr">
        <is>
          <t>Unknown</t>
        </is>
      </c>
      <c r="T2678" t="inlineStr">
        <is>
          <t>https://mngl.in/customer-awareness/Authoriza_Letters</t>
        </is>
      </c>
      <c r="U2678" t="inlineStr">
        <is>
          <t>HTML</t>
        </is>
      </c>
      <c r="V2678" t="inlineStr">
        <is>
          <t>Bot tespit/zenginlestirme (2026-07-01); meta:score=;priority=Low;source_type=html_link;closing_date=;equipment=Unclassified;reasons=</t>
        </is>
      </c>
    </row>
    <row r="2679">
      <c r="A2679" t="inlineStr">
        <is>
          <t>T-2483</t>
        </is>
      </c>
      <c r="B2679" t="inlineStr">
        <is>
          <t>Maharashtra Natural Gas (MNGL)</t>
        </is>
      </c>
      <c r="C2679" t="inlineStr">
        <is>
          <t>Maharashtra Natural Gas (MNGL)</t>
        </is>
      </c>
      <c r="F2679" t="inlineStr">
        <is>
          <t>New Lead</t>
        </is>
      </c>
      <c r="G2679" t="inlineStr">
        <is>
          <t>Irrelevant / non-target</t>
        </is>
      </c>
      <c r="H2679" t="inlineStr">
        <is>
          <t>MNGL HSE Policy</t>
        </is>
      </c>
      <c r="K2679" t="inlineStr">
        <is>
          <t>Not found</t>
        </is>
      </c>
      <c r="L2679" t="inlineStr">
        <is>
          <t>Unknown</t>
        </is>
      </c>
      <c r="T2679" t="inlineStr">
        <is>
          <t>https://mngl.in/health-safety-&amp;-environment/hse-policy</t>
        </is>
      </c>
      <c r="U2679" t="inlineStr">
        <is>
          <t>HTML</t>
        </is>
      </c>
      <c r="V2679" t="inlineStr">
        <is>
          <t>Bot tespit/zenginlestirme (2026-07-01); meta:score=;priority=Low;source_type=html_link;closing_date=;equipment=Irrelevant / non-target;reasons=irrelevant_equipment</t>
        </is>
      </c>
    </row>
    <row r="2680">
      <c r="A2680" t="inlineStr">
        <is>
          <t>T-2484</t>
        </is>
      </c>
      <c r="B2680" t="inlineStr">
        <is>
          <t>Maharashtra Natural Gas (MNGL)</t>
        </is>
      </c>
      <c r="C2680" t="inlineStr">
        <is>
          <t>Maharashtra Natural Gas (MNGL)</t>
        </is>
      </c>
      <c r="F2680" t="inlineStr">
        <is>
          <t>New Lead</t>
        </is>
      </c>
      <c r="G2680" t="inlineStr">
        <is>
          <t>Unclassified</t>
        </is>
      </c>
      <c r="H2680" t="inlineStr">
        <is>
          <t>Safety and Technique Competency(STC)</t>
        </is>
      </c>
      <c r="K2680" t="inlineStr">
        <is>
          <t>Not found</t>
        </is>
      </c>
      <c r="L2680" t="inlineStr">
        <is>
          <t>Unknown</t>
        </is>
      </c>
      <c r="T2680" t="inlineStr">
        <is>
          <t>https://mngl.in/health-safety-&amp;-environment/safety-and-technique-competency-stc</t>
        </is>
      </c>
      <c r="U2680" t="inlineStr">
        <is>
          <t>HTML</t>
        </is>
      </c>
      <c r="V2680" t="inlineStr">
        <is>
          <t>Bot tespit/zenginlestirme (2026-07-01); meta:score=;priority=Low;source_type=html_link;closing_date=;equipment=Unclassified;reasons=</t>
        </is>
      </c>
    </row>
    <row r="2681">
      <c r="A2681" t="inlineStr">
        <is>
          <t>T-2485</t>
        </is>
      </c>
      <c r="B2681" t="inlineStr">
        <is>
          <t>Maharashtra Natural Gas (MNGL)</t>
        </is>
      </c>
      <c r="C2681" t="inlineStr">
        <is>
          <t>Maharashtra Natural Gas (MNGL)</t>
        </is>
      </c>
      <c r="F2681" t="inlineStr">
        <is>
          <t>New Lead</t>
        </is>
      </c>
      <c r="G2681" t="inlineStr">
        <is>
          <t>Unclassified</t>
        </is>
      </c>
      <c r="H2681" t="inlineStr">
        <is>
          <t>Emergency Response</t>
        </is>
      </c>
      <c r="K2681" t="inlineStr">
        <is>
          <t>Not found</t>
        </is>
      </c>
      <c r="L2681" t="inlineStr">
        <is>
          <t>Unknown</t>
        </is>
      </c>
      <c r="T2681" t="inlineStr">
        <is>
          <t>https://mngl.in/health-safety-&amp;-environment/emergency-response</t>
        </is>
      </c>
      <c r="U2681" t="inlineStr">
        <is>
          <t>HTML</t>
        </is>
      </c>
      <c r="V2681" t="inlineStr">
        <is>
          <t>Bot tespit/zenginlestirme (2026-07-01); meta:score=;priority=Low;source_type=html_link;closing_date=;equipment=Unclassified;reasons=</t>
        </is>
      </c>
    </row>
    <row r="2682">
      <c r="A2682" t="inlineStr">
        <is>
          <t>T-2486</t>
        </is>
      </c>
      <c r="B2682" t="inlineStr">
        <is>
          <t>Maharashtra Natural Gas (MNGL)</t>
        </is>
      </c>
      <c r="C2682" t="inlineStr">
        <is>
          <t>Maharashtra Natural Gas (MNGL)</t>
        </is>
      </c>
      <c r="F2682" t="inlineStr">
        <is>
          <t>New Lead</t>
        </is>
      </c>
      <c r="G2682" t="inlineStr">
        <is>
          <t>Unclassified</t>
        </is>
      </c>
      <c r="H2682" t="inlineStr">
        <is>
          <t>Integrated Management System</t>
        </is>
      </c>
      <c r="K2682" t="inlineStr">
        <is>
          <t>Not found</t>
        </is>
      </c>
      <c r="L2682" t="inlineStr">
        <is>
          <t>Unknown</t>
        </is>
      </c>
      <c r="T2682" t="inlineStr">
        <is>
          <t>https://mngl.in/health-safety-&amp;-environment/integrated-management-system</t>
        </is>
      </c>
      <c r="U2682" t="inlineStr">
        <is>
          <t>HTML</t>
        </is>
      </c>
      <c r="V2682" t="inlineStr">
        <is>
          <t>Bot tespit/zenginlestirme (2026-07-01); meta:score=;priority=Low;source_type=html_link;closing_date=;equipment=Unclassified;reasons=</t>
        </is>
      </c>
    </row>
    <row r="2683">
      <c r="A2683" t="inlineStr">
        <is>
          <t>T-2487</t>
        </is>
      </c>
      <c r="B2683" t="inlineStr">
        <is>
          <t>Maharashtra Natural Gas (MNGL)</t>
        </is>
      </c>
      <c r="C2683" t="inlineStr">
        <is>
          <t>Maharashtra Natural Gas (MNGL)</t>
        </is>
      </c>
      <c r="F2683" t="inlineStr">
        <is>
          <t>New Lead</t>
        </is>
      </c>
      <c r="G2683" t="inlineStr">
        <is>
          <t>Unclassified</t>
        </is>
      </c>
      <c r="H2683" t="inlineStr">
        <is>
          <t>In Built 3 tier System</t>
        </is>
      </c>
      <c r="K2683" t="inlineStr">
        <is>
          <t>Not found</t>
        </is>
      </c>
      <c r="L2683" t="inlineStr">
        <is>
          <t>Unknown</t>
        </is>
      </c>
      <c r="T2683" t="inlineStr">
        <is>
          <t>https://mngl.in/health-safety-&amp;-environment/in-built-3-tier-system</t>
        </is>
      </c>
      <c r="U2683" t="inlineStr">
        <is>
          <t>HTML</t>
        </is>
      </c>
      <c r="V2683" t="inlineStr">
        <is>
          <t>Bot tespit/zenginlestirme (2026-07-01); meta:score=;priority=Low;source_type=html_link;closing_date=;equipment=Unclassified;reasons=</t>
        </is>
      </c>
    </row>
    <row r="2684">
      <c r="A2684" t="inlineStr">
        <is>
          <t>T-2488</t>
        </is>
      </c>
      <c r="B2684" t="inlineStr">
        <is>
          <t>Maharashtra Natural Gas (MNGL)</t>
        </is>
      </c>
      <c r="C2684" t="inlineStr">
        <is>
          <t>Maharashtra Natural Gas (MNGL)</t>
        </is>
      </c>
      <c r="F2684" t="inlineStr">
        <is>
          <t>New Lead</t>
        </is>
      </c>
      <c r="G2684" t="inlineStr">
        <is>
          <t>Unclassified</t>
        </is>
      </c>
      <c r="H2684" t="inlineStr">
        <is>
          <t>Safety Alerts &amp; Safety Jingles</t>
        </is>
      </c>
      <c r="K2684" t="inlineStr">
        <is>
          <t>Not found</t>
        </is>
      </c>
      <c r="L2684" t="inlineStr">
        <is>
          <t>Unknown</t>
        </is>
      </c>
      <c r="T2684" t="inlineStr">
        <is>
          <t>https://mngl.in/health-safety-&amp;-environment/safety-alert-safety-jingles</t>
        </is>
      </c>
      <c r="U2684" t="inlineStr">
        <is>
          <t>HTML</t>
        </is>
      </c>
      <c r="V2684" t="inlineStr">
        <is>
          <t>Bot tespit/zenginlestirme (2026-07-01); meta:score=;priority=Low;source_type=html_link;closing_date=;equipment=Unclassified;reasons=</t>
        </is>
      </c>
    </row>
    <row r="2685">
      <c r="A2685" t="inlineStr">
        <is>
          <t>T-2489</t>
        </is>
      </c>
      <c r="B2685" t="inlineStr">
        <is>
          <t>Maharashtra Natural Gas (MNGL)</t>
        </is>
      </c>
      <c r="C2685" t="inlineStr">
        <is>
          <t>Maharashtra Natural Gas (MNGL)</t>
        </is>
      </c>
      <c r="F2685" t="inlineStr">
        <is>
          <t>New Lead</t>
        </is>
      </c>
      <c r="G2685" t="inlineStr">
        <is>
          <t>Unclassified</t>
        </is>
      </c>
      <c r="H2685" t="inlineStr">
        <is>
          <t>Registered &amp; Corporate Office Address</t>
        </is>
      </c>
      <c r="K2685" t="inlineStr">
        <is>
          <t>Not found</t>
        </is>
      </c>
      <c r="L2685" t="inlineStr">
        <is>
          <t>Unknown</t>
        </is>
      </c>
      <c r="T2685" t="inlineStr">
        <is>
          <t>https://mngl.in/contact-us/registered</t>
        </is>
      </c>
      <c r="U2685" t="inlineStr">
        <is>
          <t>HTML</t>
        </is>
      </c>
      <c r="V2685" t="inlineStr">
        <is>
          <t>Bot tespit/zenginlestirme (2026-07-01); meta:score=;priority=Low;source_type=html_link;closing_date=;equipment=Unclassified;reasons=</t>
        </is>
      </c>
    </row>
    <row r="2686">
      <c r="A2686" t="inlineStr">
        <is>
          <t>T-2490</t>
        </is>
      </c>
      <c r="B2686" t="inlineStr">
        <is>
          <t>Maharashtra Natural Gas (MNGL)</t>
        </is>
      </c>
      <c r="C2686" t="inlineStr">
        <is>
          <t>Maharashtra Natural Gas (MNGL)</t>
        </is>
      </c>
      <c r="F2686" t="inlineStr">
        <is>
          <t>New Lead</t>
        </is>
      </c>
      <c r="G2686" t="inlineStr">
        <is>
          <t>Unclassified</t>
        </is>
      </c>
      <c r="H2686" t="inlineStr">
        <is>
          <t>Walk in Centers</t>
        </is>
      </c>
      <c r="K2686" t="inlineStr">
        <is>
          <t>Not found</t>
        </is>
      </c>
      <c r="L2686" t="inlineStr">
        <is>
          <t>Unknown</t>
        </is>
      </c>
      <c r="T2686" t="inlineStr">
        <is>
          <t>https://mngl.in/contact-us/walk-in</t>
        </is>
      </c>
      <c r="U2686" t="inlineStr">
        <is>
          <t>HTML</t>
        </is>
      </c>
      <c r="V2686" t="inlineStr">
        <is>
          <t>Bot tespit/zenginlestirme (2026-07-01); meta:score=;priority=Low;source_type=html_link;closing_date=;equipment=Unclassified;reasons=</t>
        </is>
      </c>
    </row>
    <row r="2687">
      <c r="A2687" t="inlineStr">
        <is>
          <t>T-2491</t>
        </is>
      </c>
      <c r="B2687" t="inlineStr">
        <is>
          <t>Maharashtra Natural Gas (MNGL)</t>
        </is>
      </c>
      <c r="C2687" t="inlineStr">
        <is>
          <t>Maharashtra Natural Gas (MNGL)</t>
        </is>
      </c>
      <c r="F2687" t="inlineStr">
        <is>
          <t>New Lead</t>
        </is>
      </c>
      <c r="G2687" t="inlineStr">
        <is>
          <t>Unclassified</t>
        </is>
      </c>
      <c r="H2687" t="inlineStr">
        <is>
          <t>Customer Support</t>
        </is>
      </c>
      <c r="K2687" t="inlineStr">
        <is>
          <t>Not found</t>
        </is>
      </c>
      <c r="L2687" t="inlineStr">
        <is>
          <t>Unknown</t>
        </is>
      </c>
      <c r="T2687" t="inlineStr">
        <is>
          <t>https://mngl.in/contact-us/customer-support</t>
        </is>
      </c>
      <c r="U2687" t="inlineStr">
        <is>
          <t>HTML</t>
        </is>
      </c>
      <c r="V2687" t="inlineStr">
        <is>
          <t>Bot tespit/zenginlestirme (2026-07-01); meta:score=;priority=Low;source_type=html_link;closing_date=;equipment=Unclassified;reasons=</t>
        </is>
      </c>
    </row>
    <row r="2688">
      <c r="A2688" t="inlineStr">
        <is>
          <t>T-2492</t>
        </is>
      </c>
      <c r="B2688" t="inlineStr">
        <is>
          <t>Maharashtra Natural Gas (MNGL)</t>
        </is>
      </c>
      <c r="C2688" t="inlineStr">
        <is>
          <t>Maharashtra Natural Gas (MNGL)</t>
        </is>
      </c>
      <c r="F2688" t="inlineStr">
        <is>
          <t>New Lead</t>
        </is>
      </c>
      <c r="G2688" t="inlineStr">
        <is>
          <t>Unclassified</t>
        </is>
      </c>
      <c r="H2688" t="inlineStr">
        <is>
          <t>Feedback/Enquiry</t>
        </is>
      </c>
      <c r="K2688" t="inlineStr">
        <is>
          <t>Not found</t>
        </is>
      </c>
      <c r="L2688" t="inlineStr">
        <is>
          <t>Unknown</t>
        </is>
      </c>
      <c r="T2688" t="inlineStr">
        <is>
          <t>https://mngl.in/contact-us/feedback-enquiry</t>
        </is>
      </c>
      <c r="U2688" t="inlineStr">
        <is>
          <t>HTML</t>
        </is>
      </c>
      <c r="V2688" t="inlineStr">
        <is>
          <t>Bot tespit/zenginlestirme (2026-07-01); meta:score=;priority=Low;source_type=html_link;closing_date=;equipment=Unclassified;reasons=</t>
        </is>
      </c>
    </row>
    <row r="2689">
      <c r="A2689" t="inlineStr">
        <is>
          <t>T-2493</t>
        </is>
      </c>
      <c r="B2689" t="inlineStr">
        <is>
          <t>Maharashtra Natural Gas (MNGL)</t>
        </is>
      </c>
      <c r="C2689" t="inlineStr">
        <is>
          <t>Maharashtra Natural Gas (MNGL)</t>
        </is>
      </c>
      <c r="F2689" t="inlineStr">
        <is>
          <t>New Lead</t>
        </is>
      </c>
      <c r="G2689" t="inlineStr">
        <is>
          <t>Unclassified</t>
        </is>
      </c>
      <c r="H2689" t="inlineStr">
        <is>
          <t>Apply New Connection</t>
        </is>
      </c>
      <c r="K2689" t="inlineStr">
        <is>
          <t>Not found</t>
        </is>
      </c>
      <c r="L2689" t="inlineStr">
        <is>
          <t>Unknown</t>
        </is>
      </c>
      <c r="T2689" t="inlineStr">
        <is>
          <t>https://mngl.in/apply-new-connection</t>
        </is>
      </c>
      <c r="U2689" t="inlineStr">
        <is>
          <t>HTML</t>
        </is>
      </c>
      <c r="V2689" t="inlineStr">
        <is>
          <t>Bot tespit/zenginlestirme (2026-07-01); meta:score=;priority=Low;source_type=html_link;closing_date=;equipment=Unclassified;reasons=</t>
        </is>
      </c>
    </row>
    <row r="2690">
      <c r="A2690" t="inlineStr">
        <is>
          <t>T-2494</t>
        </is>
      </c>
      <c r="B2690" t="inlineStr">
        <is>
          <t>Maharashtra Natural Gas (MNGL)</t>
        </is>
      </c>
      <c r="C2690" t="inlineStr">
        <is>
          <t>Maharashtra Natural Gas (MNGL)</t>
        </is>
      </c>
      <c r="F2690" t="inlineStr">
        <is>
          <t>New Lead</t>
        </is>
      </c>
      <c r="G2690" t="inlineStr">
        <is>
          <t>Unclassified</t>
        </is>
      </c>
      <c r="H2690" t="inlineStr">
        <is>
          <t>Pay Your Bill Online</t>
        </is>
      </c>
      <c r="K2690" t="inlineStr">
        <is>
          <t>Not found</t>
        </is>
      </c>
      <c r="L2690" t="inlineStr">
        <is>
          <t>Unknown</t>
        </is>
      </c>
      <c r="T2690" t="inlineStr">
        <is>
          <t>https://mngl.in/pay-bill</t>
        </is>
      </c>
      <c r="U2690" t="inlineStr">
        <is>
          <t>HTML</t>
        </is>
      </c>
      <c r="V2690" t="inlineStr">
        <is>
          <t>Bot tespit/zenginlestirme (2026-07-01); meta:score=;priority=Low;source_type=html_link;closing_date=;equipment=Unclassified;reasons=</t>
        </is>
      </c>
    </row>
    <row r="2691">
      <c r="A2691" t="inlineStr">
        <is>
          <t>T-2495</t>
        </is>
      </c>
      <c r="B2691" t="inlineStr">
        <is>
          <t>Maharashtra Natural Gas (MNGL)</t>
        </is>
      </c>
      <c r="C2691" t="inlineStr">
        <is>
          <t>Maharashtra Natural Gas (MNGL)</t>
        </is>
      </c>
      <c r="F2691" t="inlineStr">
        <is>
          <t>New Lead</t>
        </is>
      </c>
      <c r="G2691" t="inlineStr">
        <is>
          <t>Unclassified</t>
        </is>
      </c>
      <c r="H2691" t="inlineStr">
        <is>
          <t>Disclaimer</t>
        </is>
      </c>
      <c r="K2691" t="inlineStr">
        <is>
          <t>Not found</t>
        </is>
      </c>
      <c r="L2691" t="inlineStr">
        <is>
          <t>Unknown</t>
        </is>
      </c>
      <c r="T2691" t="inlineStr">
        <is>
          <t>https://mngl.in/disclaimer</t>
        </is>
      </c>
      <c r="U2691" t="inlineStr">
        <is>
          <t>HTML</t>
        </is>
      </c>
      <c r="V2691" t="inlineStr">
        <is>
          <t>Bot tespit/zenginlestirme (2026-07-01); meta:score=;priority=Low;source_type=html_link;closing_date=;equipment=Unclassified;reasons=</t>
        </is>
      </c>
    </row>
    <row r="2692">
      <c r="A2692" t="inlineStr">
        <is>
          <t>T-2496</t>
        </is>
      </c>
      <c r="B2692" t="inlineStr">
        <is>
          <t>CPPP / eProcure</t>
        </is>
      </c>
      <c r="C2692" t="inlineStr">
        <is>
          <t>CPPP / eProcure</t>
        </is>
      </c>
      <c r="D2692" t="inlineStr">
        <is>
          <t>HLL/MKG/TRANS/26-27/T01</t>
        </is>
      </c>
      <c r="F2692" t="inlineStr">
        <is>
          <t>Docs Found</t>
        </is>
      </c>
      <c r="G2692" t="inlineStr">
        <is>
          <t>Unclassified</t>
        </is>
      </c>
      <c r="H2692" t="inlineStr">
        <is>
          <t>2. AMENDMENT NO.02 HLL/MKG/TRANS/26-27/T01 09-Jul-2026 06:00 PM 10-Jul-2026 06:00 PM</t>
        </is>
      </c>
      <c r="K2692" t="inlineStr">
        <is>
          <t>Not found</t>
        </is>
      </c>
      <c r="L2692" t="inlineStr">
        <is>
          <t>Unknown</t>
        </is>
      </c>
      <c r="T2692" t="inlineStr">
        <is>
          <t>https://www.etenders.gov.in/eprocure/app?component=%24DirectLink_0&amp;page=Home&amp;service=direct&amp;session=T&amp;sp=S7bwW7hB9tCRO2q1iXfTjbA%3D%3D</t>
        </is>
      </c>
      <c r="U2692" t="inlineStr">
        <is>
          <t>HTML</t>
        </is>
      </c>
      <c r="V2692" t="inlineStr">
        <is>
          <t>Bot tespit/zenginlestirme (2026-07-01); meta:score=20;priority=Low;source_type=html_table;closing_date=;equipment=Unclassified;reasons=quantity signal</t>
        </is>
      </c>
    </row>
    <row r="2693">
      <c r="A2693" t="inlineStr">
        <is>
          <t>T-2497</t>
        </is>
      </c>
      <c r="B2693" t="inlineStr">
        <is>
          <t>CPPP / eProcure</t>
        </is>
      </c>
      <c r="C2693" t="inlineStr">
        <is>
          <t>CPPP / eProcure</t>
        </is>
      </c>
      <c r="D2693" t="inlineStr">
        <is>
          <t>GAIL/NOIDA/CnP/PROJ/26-22</t>
        </is>
      </c>
      <c r="F2693" t="inlineStr">
        <is>
          <t>Docs Found</t>
        </is>
      </c>
      <c r="G2693" t="inlineStr">
        <is>
          <t>Unclassified</t>
        </is>
      </c>
      <c r="H2693" t="inlineStr">
        <is>
          <t>1. HIRING OF PROJECT MANAGEMENT CONSULTANT FOR IMPLEMENTATION OF SCHEME FOR ELECTRIFICATION OF THREE MAINLINE COMPRESSORS AT GAIL-VIJAIPUR GAIL/NOIDA/CnP/PROJ/26-22 22-Jul-2026 03:00 PM 23-Jul-2026 03:00 PM</t>
        </is>
      </c>
      <c r="K2693" t="inlineStr">
        <is>
          <t>Not found</t>
        </is>
      </c>
      <c r="L2693" t="inlineStr">
        <is>
          <t>Unknown</t>
        </is>
      </c>
      <c r="T2693" t="inlineStr">
        <is>
          <t>https://www.etenders.gov.in/eprocure/app?component=%24DirectLink&amp;page=Home&amp;service=direct&amp;session=T&amp;sp=Sdc70Js7cckb2f50Pv10TVw%3D%3D</t>
        </is>
      </c>
      <c r="U2693" t="inlineStr">
        <is>
          <t>HTML</t>
        </is>
      </c>
      <c r="V2693" t="inlineStr">
        <is>
          <t>Bot tespit/zenginlestirme (2026-07-01); meta:score=;priority=Low;source_type=html_table;closing_date=;equipment=Unclassified;reasons=</t>
        </is>
      </c>
    </row>
    <row r="2694">
      <c r="A2694" t="inlineStr">
        <is>
          <t>T-2498</t>
        </is>
      </c>
      <c r="B2694" t="inlineStr">
        <is>
          <t>CPPP / eProcure</t>
        </is>
      </c>
      <c r="C2694" t="inlineStr">
        <is>
          <t>CPPP / eProcure</t>
        </is>
      </c>
      <c r="D2694" t="inlineStr">
        <is>
          <t>II/CITY-SPZ/26-27/18.06</t>
        </is>
      </c>
      <c r="E2694" t="inlineStr">
        <is>
          <t>26-27/18</t>
        </is>
      </c>
      <c r="F2694" t="inlineStr">
        <is>
          <t>Docs Found</t>
        </is>
      </c>
      <c r="G2694" t="inlineStr">
        <is>
          <t>Unclassified</t>
        </is>
      </c>
      <c r="H2694" t="inlineStr">
        <is>
          <t>5. Imp. and Development of Chatta Lal Mian Road from behind Delite Cinema, Faseel Road to Koyla Shop Delhi Gate Bazar by providing RMC in Ward no. 76, Chandni Mahal, City-SP Zone. EE(M)-II/CITY-SPZ/26-27/18.06 08-Jul-2026 03:00 PM 08-Jul-2026 03:05 PM</t>
        </is>
      </c>
      <c r="K2694" t="inlineStr">
        <is>
          <t>Not found</t>
        </is>
      </c>
      <c r="L2694" t="inlineStr">
        <is>
          <t>Unknown</t>
        </is>
      </c>
      <c r="T2694" t="inlineStr">
        <is>
          <t>https://www.etenders.gov.in/eprocure/app?component=%24DirectLink&amp;page=Home&amp;service=direct&amp;session=T&amp;sp=S%2BE5AerLC9dOfhDeIXvT86w%3D%3D</t>
        </is>
      </c>
      <c r="U2694" t="inlineStr">
        <is>
          <t>HTML</t>
        </is>
      </c>
      <c r="V2694" t="inlineStr">
        <is>
          <t>Bot tespit/zenginlestirme (2026-07-01); meta:score=;priority=Low;source_type=html_table;closing_date=;equipment=Unclassified;reasons=</t>
        </is>
      </c>
    </row>
    <row r="2695">
      <c r="A2695" t="inlineStr">
        <is>
          <t>T-2499</t>
        </is>
      </c>
      <c r="B2695" t="inlineStr">
        <is>
          <t>CPPP / eProcure</t>
        </is>
      </c>
      <c r="C2695" t="inlineStr">
        <is>
          <t>CPPP / eProcure</t>
        </is>
      </c>
      <c r="D2695" t="inlineStr">
        <is>
          <t>EE/M-II/KPZ/TC/2026-27/18/05</t>
        </is>
      </c>
      <c r="E2695" t="inlineStr">
        <is>
          <t>27/18/05</t>
        </is>
      </c>
      <c r="F2695" t="inlineStr">
        <is>
          <t>Docs Found</t>
        </is>
      </c>
      <c r="G2695" t="inlineStr">
        <is>
          <t>Unclassified</t>
        </is>
      </c>
      <c r="H2695" t="inlineStr">
        <is>
          <t>6. Supply of Gully Grating with frame and NP2 Class pipes at Municipal Store of Ward No. 68/KPZ, Model Town. EE/M-II/KPZ/TC/2026-27/18/05 08-Jul-2026 03:00 PM 08-Jul-2026 03:15 PM</t>
        </is>
      </c>
      <c r="K2695" t="inlineStr">
        <is>
          <t>Not found</t>
        </is>
      </c>
      <c r="L2695" t="inlineStr">
        <is>
          <t>Unknown</t>
        </is>
      </c>
      <c r="T2695" t="inlineStr">
        <is>
          <t>https://www.etenders.gov.in/eprocure/app?component=%24DirectLink&amp;page=Home&amp;service=direct&amp;session=T&amp;sp=SlGJ7oRRFLc6B1P%2BR9TnIng%3D%3D</t>
        </is>
      </c>
      <c r="U2695" t="inlineStr">
        <is>
          <t>HTML</t>
        </is>
      </c>
      <c r="V2695" t="inlineStr">
        <is>
          <t>Bot tespit/zenginlestirme (2026-07-01); meta:score=;priority=Low;source_type=html_table;closing_date=;equipment=Unclassified;reasons=</t>
        </is>
      </c>
    </row>
    <row r="2696">
      <c r="A2696" t="inlineStr">
        <is>
          <t>T-2500</t>
        </is>
      </c>
      <c r="B2696" t="inlineStr">
        <is>
          <t>CPPP / eProcure</t>
        </is>
      </c>
      <c r="C2696" t="inlineStr">
        <is>
          <t>CPPP / eProcure</t>
        </is>
      </c>
      <c r="D2696" t="inlineStr">
        <is>
          <t>II/CITY-SPZ/26-27/18.02</t>
        </is>
      </c>
      <c r="E2696" t="inlineStr">
        <is>
          <t>26-27/18</t>
        </is>
      </c>
      <c r="F2696" t="inlineStr">
        <is>
          <t>Docs Found</t>
        </is>
      </c>
      <c r="G2696" t="inlineStr">
        <is>
          <t>Unclassified</t>
        </is>
      </c>
      <c r="H2696" t="inlineStr">
        <is>
          <t>7. Imp./Dev. Stair at Bagh Diwar (Katra Neel) and Stairs and Broken wall at Angoori Bagh in Ward No. 74, Chandni Chowk, City SP Zone. EE(M)-II/CITY-SPZ/26-27/18.02 08-Jul-2026 03:00 PM 08-Jul-2026 03:05 PM</t>
        </is>
      </c>
      <c r="K2696" t="inlineStr">
        <is>
          <t>Not found</t>
        </is>
      </c>
      <c r="L2696" t="inlineStr">
        <is>
          <t>Unknown</t>
        </is>
      </c>
      <c r="T2696" t="inlineStr">
        <is>
          <t>https://www.etenders.gov.in/eprocure/app?component=%24DirectLink&amp;page=Home&amp;service=direct&amp;session=T&amp;sp=SfADGloWdD35PwfwWDIDAMQ%3D%3D</t>
        </is>
      </c>
      <c r="U2696" t="inlineStr">
        <is>
          <t>HTML</t>
        </is>
      </c>
      <c r="V2696" t="inlineStr">
        <is>
          <t>Bot tespit/zenginlestirme (2026-07-01); meta:score=;priority=Low;source_type=html_table;closing_date=;equipment=Unclassified;reasons=</t>
        </is>
      </c>
    </row>
    <row r="2697">
      <c r="A2697" t="inlineStr">
        <is>
          <t>T-2501</t>
        </is>
      </c>
      <c r="B2697" t="inlineStr">
        <is>
          <t>CPPP / eProcure</t>
        </is>
      </c>
      <c r="C2697" t="inlineStr">
        <is>
          <t>CPPP / eProcure</t>
        </is>
      </c>
      <c r="D2697" t="inlineStr">
        <is>
          <t>EE/M-II/KPZ/TC/2026-27/18/07</t>
        </is>
      </c>
      <c r="E2697" t="inlineStr">
        <is>
          <t>27/18/07</t>
        </is>
      </c>
      <c r="F2697" t="inlineStr">
        <is>
          <t>Awarded / Result</t>
        </is>
      </c>
      <c r="G2697" t="inlineStr">
        <is>
          <t>Unclassified</t>
        </is>
      </c>
      <c r="H2697" t="inlineStr">
        <is>
          <t>8. Hiring of MMV with Driver, Back Hoe Loader for removing Malba, silt from various locations in Ward No. 68/KPZ, Model Town. EE/M-II/KPZ/TC/2026-27/18/07 08-Jul-2026 03:00 PM 08-Jul-2026 03:15 PM</t>
        </is>
      </c>
      <c r="K2697" t="inlineStr">
        <is>
          <t>Not found</t>
        </is>
      </c>
      <c r="L2697" t="inlineStr">
        <is>
          <t>Unknown</t>
        </is>
      </c>
      <c r="T2697" t="inlineStr">
        <is>
          <t>https://www.etenders.gov.in/eprocure/app?component=%24DirectLink&amp;page=Home&amp;service=direct&amp;session=T&amp;sp=SaVxyM2V%2FN38U7asrcJbJhQ%3D%3D</t>
        </is>
      </c>
      <c r="U2697" t="inlineStr">
        <is>
          <t>HTML</t>
        </is>
      </c>
      <c r="V2697" t="inlineStr">
        <is>
          <t>Bot tespit/zenginlestirme (2026-07-01); meta:score=;priority=Low;source_type=html_table;closing_date=;equipment=Unclassified;reasons=</t>
        </is>
      </c>
    </row>
    <row r="2698">
      <c r="A2698" t="inlineStr">
        <is>
          <t>T-2502</t>
        </is>
      </c>
      <c r="B2698" t="inlineStr">
        <is>
          <t>CPPP / eProcure</t>
        </is>
      </c>
      <c r="C2698" t="inlineStr">
        <is>
          <t>CPPP / eProcure</t>
        </is>
      </c>
      <c r="D2698" t="inlineStr">
        <is>
          <t>JPL/CNM/ST/26-27/1100013148</t>
        </is>
      </c>
      <c r="F2698" t="inlineStr">
        <is>
          <t>Docs Found</t>
        </is>
      </c>
      <c r="G2698" t="inlineStr">
        <is>
          <t>Unclassified</t>
        </is>
      </c>
      <c r="H2698" t="inlineStr">
        <is>
          <t>9. Supply of Filter element for Oil Filtration machines JPL/CNM/ST/26-27/1100013148 07-Jul-2026 06:00 PM 08-Jul-2026 11:00 AM</t>
        </is>
      </c>
      <c r="K2698" t="inlineStr">
        <is>
          <t>Not found</t>
        </is>
      </c>
      <c r="L2698" t="inlineStr">
        <is>
          <t>Unknown</t>
        </is>
      </c>
      <c r="T2698" t="inlineStr">
        <is>
          <t>https://www.etenders.gov.in/eprocure/app?component=%24DirectLink&amp;page=Home&amp;service=direct&amp;session=T&amp;sp=SLSY3jIkeR5GUABkxLDWRkQ%3D%3D</t>
        </is>
      </c>
      <c r="U2698" t="inlineStr">
        <is>
          <t>HTML</t>
        </is>
      </c>
      <c r="V2698" t="inlineStr">
        <is>
          <t>Bot tespit/zenginlestirme (2026-07-01); meta:score=;priority=Low;source_type=html_table;closing_date=;equipment=Unclassified;reasons=</t>
        </is>
      </c>
    </row>
    <row r="2699">
      <c r="A2699" t="inlineStr">
        <is>
          <t>T-2503</t>
        </is>
      </c>
      <c r="B2699" t="inlineStr">
        <is>
          <t>CPPP / eProcure</t>
        </is>
      </c>
      <c r="C2699" t="inlineStr">
        <is>
          <t>CPPP / eProcure</t>
        </is>
      </c>
      <c r="D2699" t="inlineStr">
        <is>
          <t>EE/M-II/KPZ/TC/2026-27/18/04</t>
        </is>
      </c>
      <c r="E2699" t="inlineStr">
        <is>
          <t>27/18/04</t>
        </is>
      </c>
      <c r="F2699" t="inlineStr">
        <is>
          <t>Docs Found</t>
        </is>
      </c>
      <c r="G2699" t="inlineStr">
        <is>
          <t>Unclassified</t>
        </is>
      </c>
      <c r="H2699" t="inlineStr">
        <is>
          <t>10. Imp./ Dev. of back lane from H.No. 5 to 12 in C Block Sawan Park Ashok Vihar Ward No. 66 Wazirpur AC-17. EE/M-II/KPZ/TC/2026-27/18/04 08-Jul-2026 03:00 PM 08-Jul-2026 03:15 PM</t>
        </is>
      </c>
      <c r="K2699" t="inlineStr">
        <is>
          <t>Not found</t>
        </is>
      </c>
      <c r="L2699" t="inlineStr">
        <is>
          <t>Unknown</t>
        </is>
      </c>
      <c r="T2699" t="inlineStr">
        <is>
          <t>https://www.etenders.gov.in/eprocure/app?component=%24DirectLink&amp;page=Home&amp;service=direct&amp;session=T&amp;sp=SD0DEYcqAUXC5X8ICQ%2Bx79Q%3D%3D</t>
        </is>
      </c>
      <c r="U2699" t="inlineStr">
        <is>
          <t>HTML</t>
        </is>
      </c>
      <c r="V2699" t="inlineStr">
        <is>
          <t>Bot tespit/zenginlestirme (2026-07-01); meta:score=;priority=Low;source_type=html_table;closing_date=;equipment=Unclassified;reasons=</t>
        </is>
      </c>
    </row>
    <row r="2700">
      <c r="A2700" t="inlineStr">
        <is>
          <t>T-2504</t>
        </is>
      </c>
      <c r="B2700" t="inlineStr">
        <is>
          <t>CPPP / eProcure</t>
        </is>
      </c>
      <c r="C2700" t="inlineStr">
        <is>
          <t>CPPP / eProcure</t>
        </is>
      </c>
      <c r="D2700" t="inlineStr">
        <is>
          <t>NHAI/RO/RNC/JH/2026-27/20</t>
        </is>
      </c>
      <c r="E2700" t="inlineStr">
        <is>
          <t>2026-27/20</t>
        </is>
      </c>
      <c r="F2700" t="inlineStr">
        <is>
          <t>Docs Found</t>
        </is>
      </c>
      <c r="G2700" t="inlineStr">
        <is>
          <t>Unclassified</t>
        </is>
      </c>
      <c r="H2700" t="inlineStr">
        <is>
          <t>1. Corrigendum I NHAI/RO/RNC/JH/2026-27/20 06-Jul-2026 11:00 AM 07-Jul-2026 11:30 AM</t>
        </is>
      </c>
      <c r="K2700" t="inlineStr">
        <is>
          <t>Not found</t>
        </is>
      </c>
      <c r="L2700" t="inlineStr">
        <is>
          <t>Unknown</t>
        </is>
      </c>
      <c r="T2700" t="inlineStr">
        <is>
          <t>https://www.etenders.gov.in/eprocure/app?component=%24DirectLink_0&amp;page=Home&amp;service=direct&amp;session=T&amp;sp=SBhUWJOP0d0dJusFtpP%2FOEQ%3D%3D</t>
        </is>
      </c>
      <c r="U2700" t="inlineStr">
        <is>
          <t>HTML</t>
        </is>
      </c>
      <c r="V2700" t="inlineStr">
        <is>
          <t>Bot tespit/zenginlestirme (2026-07-01); meta:score=;priority=Low;source_type=html_table;closing_date=;equipment=Unclassified;reasons=</t>
        </is>
      </c>
    </row>
    <row r="2701">
      <c r="A2701" t="inlineStr">
        <is>
          <t>T-2505</t>
        </is>
      </c>
      <c r="B2701" t="inlineStr">
        <is>
          <t>CPPP / eProcure</t>
        </is>
      </c>
      <c r="C2701" t="inlineStr">
        <is>
          <t>CPPP / eProcure</t>
        </is>
      </c>
      <c r="D2701" t="inlineStr">
        <is>
          <t>Tenders/26-27/17</t>
        </is>
      </c>
      <c r="E2701" t="inlineStr">
        <is>
          <t>26-27/17</t>
        </is>
      </c>
      <c r="F2701" t="inlineStr">
        <is>
          <t>Docs Found</t>
        </is>
      </c>
      <c r="G2701" t="inlineStr">
        <is>
          <t>Unclassified</t>
        </is>
      </c>
      <c r="H2701" t="inlineStr">
        <is>
          <t>3. Corrigendum 1 11011/95/Tenders/26-27/17 03-Jul-2026 03:00 PM 04-Jul-2026 03:00 PM</t>
        </is>
      </c>
      <c r="K2701" t="inlineStr">
        <is>
          <t>Not found</t>
        </is>
      </c>
      <c r="L2701" t="inlineStr">
        <is>
          <t>Unknown</t>
        </is>
      </c>
      <c r="T2701" t="inlineStr">
        <is>
          <t>https://www.etenders.gov.in/eprocure/app?component=%24DirectLink_0&amp;page=Home&amp;service=direct&amp;session=T&amp;sp=SOcWuHLU%2F6QQ8EyQ1z%2FlPMw%3D%3D</t>
        </is>
      </c>
      <c r="U2701" t="inlineStr">
        <is>
          <t>HTML</t>
        </is>
      </c>
      <c r="V2701" t="inlineStr">
        <is>
          <t>Bot tespit/zenginlestirme (2026-07-01); meta:score=;priority=Low;source_type=html_table;closing_date=;equipment=Unclassified;reasons=</t>
        </is>
      </c>
    </row>
    <row r="2702">
      <c r="A2702" t="inlineStr">
        <is>
          <t>T-2506</t>
        </is>
      </c>
      <c r="B2702" t="inlineStr">
        <is>
          <t>CPPP / eProcure</t>
        </is>
      </c>
      <c r="C2702" t="inlineStr">
        <is>
          <t>CPPP / eProcure</t>
        </is>
      </c>
      <c r="D2702" t="inlineStr">
        <is>
          <t>PY/8437/047/2026/VACUUMPUMP</t>
        </is>
      </c>
      <c r="F2702" t="inlineStr">
        <is>
          <t>Docs Found</t>
        </is>
      </c>
      <c r="G2702" t="inlineStr">
        <is>
          <t>Unclassified</t>
        </is>
      </c>
      <c r="H2702" t="inlineStr">
        <is>
          <t>4. CORRIGENDUM1 PY/8437/047/2026/VACUUMPUMP 22-Jul-2026 03:00 PM 23-Jul-2026 03:00 PM</t>
        </is>
      </c>
      <c r="K2702" t="inlineStr">
        <is>
          <t>Not found</t>
        </is>
      </c>
      <c r="L2702" t="inlineStr">
        <is>
          <t>Unknown</t>
        </is>
      </c>
      <c r="T2702" t="inlineStr">
        <is>
          <t>https://www.etenders.gov.in/eprocure/app?component=%24DirectLink_0&amp;page=Home&amp;service=direct&amp;session=T&amp;sp=SEBm%2BX62vhOlj3KE1YmPdxw%3D%3D</t>
        </is>
      </c>
      <c r="U2702" t="inlineStr">
        <is>
          <t>HTML</t>
        </is>
      </c>
      <c r="V2702" t="inlineStr">
        <is>
          <t>Bot tespit/zenginlestirme (2026-07-01); meta:score=;priority=Low;source_type=html_table;closing_date=;equipment=Unclassified;reasons=</t>
        </is>
      </c>
    </row>
    <row r="2703">
      <c r="A2703" t="inlineStr">
        <is>
          <t>T-2507</t>
        </is>
      </c>
      <c r="B2703" t="inlineStr">
        <is>
          <t>CPPP / eProcure</t>
        </is>
      </c>
      <c r="C2703" t="inlineStr">
        <is>
          <t>CPPP / eProcure</t>
        </is>
      </c>
      <c r="D2703" t="inlineStr">
        <is>
          <t>Tenders/26-27/17</t>
        </is>
      </c>
      <c r="E2703" t="inlineStr">
        <is>
          <t>26-27/17</t>
        </is>
      </c>
      <c r="F2703" t="inlineStr">
        <is>
          <t>Docs Found</t>
        </is>
      </c>
      <c r="G2703" t="inlineStr">
        <is>
          <t>Unclassified</t>
        </is>
      </c>
      <c r="H2703" t="inlineStr">
        <is>
          <t>5. Corrigendum 1 11011/95/Tenders/26-27/17 03-Jul-2026 03:00 PM 04-Jul-2026 03:00 PM</t>
        </is>
      </c>
      <c r="K2703" t="inlineStr">
        <is>
          <t>Not found</t>
        </is>
      </c>
      <c r="L2703" t="inlineStr">
        <is>
          <t>Unknown</t>
        </is>
      </c>
      <c r="T2703" t="inlineStr">
        <is>
          <t>https://www.etenders.gov.in/eprocure/app?component=%24DirectLink_0&amp;page=Home&amp;service=direct&amp;session=T&amp;sp=Slh73DBsMTgUcIDbVxo9CMw%3D%3D</t>
        </is>
      </c>
      <c r="U2703" t="inlineStr">
        <is>
          <t>HTML</t>
        </is>
      </c>
      <c r="V2703" t="inlineStr">
        <is>
          <t>Bot tespit/zenginlestirme (2026-07-01); meta:score=;priority=Low;source_type=html_table;closing_date=;equipment=Unclassified;reasons=</t>
        </is>
      </c>
    </row>
    <row r="2704">
      <c r="A2704" t="inlineStr">
        <is>
          <t>T-2508</t>
        </is>
      </c>
      <c r="B2704" t="inlineStr">
        <is>
          <t>CPPP / eProcure</t>
        </is>
      </c>
      <c r="C2704" t="inlineStr">
        <is>
          <t>CPPP / eProcure</t>
        </is>
      </c>
      <c r="D2704" t="inlineStr">
        <is>
          <t>TCIL/ITTIV/251/2026</t>
        </is>
      </c>
      <c r="F2704" t="inlineStr">
        <is>
          <t>Docs Found</t>
        </is>
      </c>
      <c r="G2704" t="inlineStr">
        <is>
          <t>Unclassified</t>
        </is>
      </c>
      <c r="H2704" t="inlineStr">
        <is>
          <t>6. Corrigendum3 TCIL/ITTIV/251/2026 10-Jul-2026 02:00 PM 10-Jul-2026 03:00 PM</t>
        </is>
      </c>
      <c r="K2704" t="inlineStr">
        <is>
          <t>Not found</t>
        </is>
      </c>
      <c r="L2704" t="inlineStr">
        <is>
          <t>Unknown</t>
        </is>
      </c>
      <c r="T2704" t="inlineStr">
        <is>
          <t>https://www.etenders.gov.in/eprocure/app?component=%24DirectLink_0&amp;page=Home&amp;service=direct&amp;session=T&amp;sp=ShRkmieklG0ibqQGe%2Bw0ziQ%3D%3D</t>
        </is>
      </c>
      <c r="U2704" t="inlineStr">
        <is>
          <t>HTML</t>
        </is>
      </c>
      <c r="V2704" t="inlineStr">
        <is>
          <t>Bot tespit/zenginlestirme (2026-07-01); meta:score=;priority=Low;source_type=html_table;closing_date=;equipment=Unclassified;reasons=</t>
        </is>
      </c>
    </row>
    <row r="2705">
      <c r="A2705" t="inlineStr">
        <is>
          <t>T-2509</t>
        </is>
      </c>
      <c r="B2705" t="inlineStr">
        <is>
          <t>CPPP / eProcure</t>
        </is>
      </c>
      <c r="C2705" t="inlineStr">
        <is>
          <t>CPPP / eProcure</t>
        </is>
      </c>
      <c r="F2705" t="inlineStr">
        <is>
          <t>New Lead</t>
        </is>
      </c>
      <c r="G2705" t="inlineStr">
        <is>
          <t>Regulating / metering station</t>
        </is>
      </c>
      <c r="H2705" t="inlineStr">
        <is>
          <t>9. 3(6362)26-27/PB/T-24 3(6362)26-27/PB/T-24 06-Aug-2026 03:00 PM 07-Aug-2026 03:00 PM</t>
        </is>
      </c>
      <c r="K2705" t="inlineStr">
        <is>
          <t>Not found</t>
        </is>
      </c>
      <c r="L2705" t="inlineStr">
        <is>
          <t>Unknown</t>
        </is>
      </c>
      <c r="T2705" t="inlineStr">
        <is>
          <t>https://www.etenders.gov.in/eprocure/app?component=%24DirectLink&amp;page=Home&amp;service=direct&amp;session=T&amp;sp=SmRs9QlS7Bl1r%2BYFiAgmGeQ%3D%3D</t>
        </is>
      </c>
      <c r="U2705" t="inlineStr">
        <is>
          <t>HTML</t>
        </is>
      </c>
      <c r="V2705" t="inlineStr">
        <is>
          <t>Bot clean extraction (2026-07-16); meta:score=90;priority=High;source_type=html_table;closing_date=;equipment=Regulating / metering station;quality_status=market_target;market_relevance=High;document_type=unknown;unit_price_inr=;amount_label=;matched_terms=Regulating / metering station;reject_reasons=;scope=market_intelligence_only;excluded_scope=no_bid_or_offer_submission_automation</t>
        </is>
      </c>
    </row>
    <row r="2706">
      <c r="A2706" t="inlineStr">
        <is>
          <t>T-2510</t>
        </is>
      </c>
      <c r="B2706" t="inlineStr">
        <is>
          <t>CPPP / eProcure</t>
        </is>
      </c>
      <c r="C2706" t="inlineStr">
        <is>
          <t>CPPP / eProcure</t>
        </is>
      </c>
      <c r="F2706" t="inlineStr">
        <is>
          <t>New Lead</t>
        </is>
      </c>
      <c r="G2706" t="inlineStr">
        <is>
          <t>Regulating / metering station</t>
        </is>
      </c>
      <c r="H2706" t="inlineStr">
        <is>
          <t>2. Procurement of Kocsis make spares of starters of Cranes, FWP, EDGs installed at platforms of MH Asset ZW7BS26003 04-Aug-2026 03:00 PM 05-Aug-2026 03:30 PM</t>
        </is>
      </c>
      <c r="K2706" t="inlineStr">
        <is>
          <t>Not found</t>
        </is>
      </c>
      <c r="L2706" t="inlineStr">
        <is>
          <t>Unknown</t>
        </is>
      </c>
      <c r="T2706" t="inlineStr">
        <is>
          <t>https://www.etenders.gov.in/eprocure/app?component=%24DirectLink&amp;page=Home&amp;service=direct&amp;session=T&amp;sp=S%2BSnb%2B3piZC4LcnkU20dqUQ%3D%3D</t>
        </is>
      </c>
      <c r="U2706" t="inlineStr">
        <is>
          <t>HTML</t>
        </is>
      </c>
      <c r="V2706" t="inlineStr">
        <is>
          <t>Bot clean extraction (2026-07-20); meta:score=90;priority=High;source_type=html_table;closing_date=;equipment=Regulating / metering station;quality_status=market_target;market_relevance=High;document_type=unknown;unit_price_inr=;amount_label=;matched_terms=Regulating / metering station;reject_reasons=;scope=market_intelligence_only;excluded_scope=no_bid_or_offer_submission_automation</t>
        </is>
      </c>
    </row>
    <row r="2707">
      <c r="A2707" t="inlineStr">
        <is>
          <t>T-2511</t>
        </is>
      </c>
      <c r="B2707" t="inlineStr">
        <is>
          <t>CPPP / eProcure</t>
        </is>
      </c>
      <c r="C2707" t="inlineStr">
        <is>
          <t>CPPP / eProcure</t>
        </is>
      </c>
      <c r="D2707" t="inlineStr">
        <is>
          <t>DPHCL/ENGG/NIT/2026-27</t>
        </is>
      </c>
      <c r="F2707" t="inlineStr">
        <is>
          <t>Docs Found</t>
        </is>
      </c>
      <c r="G2707" t="inlineStr">
        <is>
          <t>Regulating / metering station</t>
        </is>
      </c>
      <c r="H2707" t="inlineStr">
        <is>
          <t>1. Reg. for consultancy charges for hiring of Architecture firms for Designing,Drawing, Estimating and site visit for improvement of ANTF Police Station at PTS Malviya Nagar, New Delhi 21/DPHCL/ENGG/NIT/2026-27 27-Jul-2026 12:20 PM 28-Jul-2026 12:20 PM</t>
        </is>
      </c>
      <c r="K2707" t="inlineStr">
        <is>
          <t>Not found</t>
        </is>
      </c>
      <c r="L2707" t="inlineStr">
        <is>
          <t>Unknown</t>
        </is>
      </c>
      <c r="T2707" t="inlineStr">
        <is>
          <t>https://www.etenders.gov.in/eprocure/app?component=%24DirectLink&amp;page=Home&amp;service=direct&amp;session=T&amp;sp=SIHHy33il7eM9dNUkxZ1J9A%3D%3D</t>
        </is>
      </c>
      <c r="U2707" t="inlineStr">
        <is>
          <t>HTML</t>
        </is>
      </c>
      <c r="V2707" t="inlineStr">
        <is>
          <t>Bot clean extraction (2026-07-21); meta:score=100;priority=High;source_type=html_table;closing_date=;equipment=Regulating / metering station;quality_status=market_target;market_relevance=High;document_type=tender;unit_price_inr=;amount_label=;matched_terms=Regulating / metering station;reject_reasons=;scope=market_intelligence_only;excluded_scope=no_bid_or_offer_submission_automation</t>
        </is>
      </c>
    </row>
    <row r="2708">
      <c r="A2708" t="inlineStr">
        <is>
          <t>T-2512</t>
        </is>
      </c>
      <c r="B2708" t="inlineStr">
        <is>
          <t>CPPP / eProcure</t>
        </is>
      </c>
      <c r="C2708" t="inlineStr">
        <is>
          <t>CPPP / eProcure</t>
        </is>
      </c>
      <c r="D2708" t="inlineStr">
        <is>
          <t>MNGL/CP/2026-27/77</t>
        </is>
      </c>
      <c r="E2708" t="inlineStr">
        <is>
          <t>2026-27/77</t>
        </is>
      </c>
      <c r="F2708" t="inlineStr">
        <is>
          <t>Docs Found</t>
        </is>
      </c>
      <c r="G2708" t="inlineStr">
        <is>
          <t>Regulating / metering station</t>
        </is>
      </c>
      <c r="H2708" t="inlineStr">
        <is>
          <t>9. Tender for Steel Pipeline and associated works for Hook-up connectivity from PILs CS4 at Pudur and proposed CGS location at Bhiknoor for Nizamabad GA. MNGL/CP/2026-27/77 17-Aug-2026 03:00 PM 18-Aug-2026 04:00 PM</t>
        </is>
      </c>
      <c r="K2708" t="inlineStr">
        <is>
          <t>Not found</t>
        </is>
      </c>
      <c r="L2708" t="inlineStr">
        <is>
          <t>Unknown</t>
        </is>
      </c>
      <c r="T2708" t="inlineStr">
        <is>
          <t>https://www.etenders.gov.in/eprocure/app?component=%24DirectLink&amp;page=Home&amp;service=direct&amp;session=T&amp;sp=SvybQb8SPHMlP3H954Htv0g%3D%3D</t>
        </is>
      </c>
      <c r="U2708" t="inlineStr">
        <is>
          <t>HTML</t>
        </is>
      </c>
      <c r="V2708" t="inlineStr">
        <is>
          <t>Bot clean extraction (2026-07-27); meta:score=90;priority=High;source_type=html_table;closing_date=;equipment=Regulating / metering station;quality_status=market_target;market_relevance=High;document_type=unknown;unit_price_inr=;amount_label=;matched_terms=Regulating / metering station;reject_reasons=;scope=market_intelligence_only;excluded_scope=no_bid_or_offer_submission_automation</t>
        </is>
      </c>
    </row>
    <row r="2709">
      <c r="A2709" t="inlineStr">
        <is>
          <t>T-2513</t>
        </is>
      </c>
      <c r="B2709" t="inlineStr">
        <is>
          <t>CPPP / eProcure</t>
        </is>
      </c>
      <c r="C2709" t="inlineStr">
        <is>
          <t>CPPP / eProcure</t>
        </is>
      </c>
      <c r="D2709" t="inlineStr">
        <is>
          <t>NSPCL/Pur/2026/01/grupapowen</t>
        </is>
      </c>
      <c r="F2709" t="inlineStr">
        <is>
          <t>Docs Found</t>
        </is>
      </c>
      <c r="G2709" t="inlineStr">
        <is>
          <t>Regulating / metering station</t>
        </is>
      </c>
      <c r="H2709" t="inlineStr">
        <is>
          <t>2. Procurement of TG AOP Assembly BFP Assembly with Spares and CW Pump Spares NSPCL/Pur/2026/01/grupapowen 20-Aug-2026 11:00 AM 21-Aug-2026 11:00 AM</t>
        </is>
      </c>
      <c r="K2709" t="inlineStr">
        <is>
          <t>Not found</t>
        </is>
      </c>
      <c r="L2709" t="inlineStr">
        <is>
          <t>Unknown</t>
        </is>
      </c>
      <c r="T2709" t="inlineStr">
        <is>
          <t>https://www.etenders.gov.in/eprocure/app?component=%24DirectLink&amp;page=Home&amp;service=direct&amp;session=T&amp;sp=SYxyVerBtyAqxDYp3nMrsxw%3D%3D</t>
        </is>
      </c>
      <c r="U2709" t="inlineStr">
        <is>
          <t>HTML</t>
        </is>
      </c>
      <c r="V2709" t="inlineStr">
        <is>
          <t>Bot clean extraction (2026-08-10); meta:score=90;priority=High;source_type=html_table;closing_date=;equipment=Regulating / metering station;quality_status=market_target;market_relevance=High;document_type=unknown;unit_price_inr=;amount_label=;matched_terms=Regulating / metering station;reject_reasons=;scope=market_intelligence_only;excluded_scope=no_bid_or_offer_submission_automation</t>
        </is>
      </c>
    </row>
    <row r="2710">
      <c r="A2710" t="inlineStr">
        <is>
          <t>T-2514</t>
        </is>
      </c>
      <c r="B2710" t="inlineStr">
        <is>
          <t>Indraprastha Gas (IGL)</t>
        </is>
      </c>
      <c r="C2710" t="inlineStr">
        <is>
          <t>Indraprastha Gas (IGL)</t>
        </is>
      </c>
      <c r="D2710" t="inlineStr">
        <is>
          <t>price</t>
        </is>
      </c>
      <c r="E2710" t="inlineStr">
        <is>
          <t>28-02-2025</t>
        </is>
      </c>
      <c r="F2710" t="inlineStr">
        <is>
          <t>Awarded / Result</t>
        </is>
      </c>
      <c r="G2710" t="inlineStr">
        <is>
          <t>Service / pressure regulator</t>
        </is>
      </c>
      <c r="H2710" t="inlineStr">
        <is>
          <t>INDRAPRASTHA GAS LIMITED PRE TENDER MEET FOR SUPPLY, INSTALLATION, TESTING, COMMISSIONING, OPERATION AND COMPREHENSIVE MAINTENANCE OF 1200 SCMH ELECTRIC MOTOR DRIVEN CNG COMPRESSOR PACKAGES INTRODUCTION Indraprastha Gas limited (IGL) (hereinafter referred as “Purchaser”) is a leading natural gas retailing and distribution company and is a joint venture of GAIL India Ltd., BPCL and Govt. of NCT of Delhi. It is supplying Piped Natural Gas (PNG) to domestic, commercial and Industrial consumers and Compressed Natural Gas (CNG) to automobiles through steel / PE pipeline networks in NCT of Delhi &amp; NCR along with geographical areas in UP, Haryana and Rajasthan state. PRE-TENDER MEET 2.1 IGL has planned to host a pre-tender meet for “Supply, installation, testing, commissioning, operation and comprehensive maintenance of 1200 SCMH ELECTRIC MOTOR Driven CNG compressor packages”. The purpose of the meeting shall be to discuss detailed information about the IGL’s requirements, address any questio</t>
        </is>
      </c>
      <c r="K2710" t="inlineStr">
        <is>
          <t>of reciprocating ELECTRIC MOTOR Driven compressor packages of 1200 SCMH or higher capacity handling h</t>
        </is>
      </c>
      <c r="L2710" t="inlineStr">
        <is>
          <t>Unknown</t>
        </is>
      </c>
      <c r="M2710" t="n">
        <v>114122000</v>
      </c>
      <c r="T2710" t="inlineStr">
        <is>
          <t>https://www.iglonline.net/uploads/files/Tender Document for Pre Tender Meet_1200 EMD.pdf</t>
        </is>
      </c>
      <c r="U2710" t="inlineStr">
        <is>
          <t>Yes</t>
        </is>
      </c>
      <c r="V2710" t="inlineStr">
        <is>
          <t>Bot clean extraction (2026-08-15); meta:score=10;priority=Low;source_type=html_table;closing_date=None;equipment=Service / pressure regulator;quality_status=market_target;market_relevance=High;document_type=award;unit_price_inr=;amount_label=currency_near_total;matched_terms=Service / pressure regulator,Regulating / metering station,Skid / gas train,Gas filter station / filter equipment,Safety / shut-off equipment;reject_reasons=employment/corporate,non-product service,retail/cng station noise,civil/electrical only;scope=market_intelligence_only;excluded_scope=no_bid_or_offer_submission_automation</t>
        </is>
      </c>
    </row>
    <row r="2711">
      <c r="A2711" t="inlineStr">
        <is>
          <t>T-2515</t>
        </is>
      </c>
      <c r="B2711" t="inlineStr">
        <is>
          <t>Indraprastha Gas (IGL)</t>
        </is>
      </c>
      <c r="C2711" t="inlineStr">
        <is>
          <t>Indraprastha Gas (IGL)</t>
        </is>
      </c>
      <c r="D2711" t="inlineStr">
        <is>
          <t>price</t>
        </is>
      </c>
      <c r="E2711" t="inlineStr">
        <is>
          <t>28-02-2025</t>
        </is>
      </c>
      <c r="F2711" t="inlineStr">
        <is>
          <t>Awarded / Result</t>
        </is>
      </c>
      <c r="G2711" t="inlineStr">
        <is>
          <t>Service / pressure regulator</t>
        </is>
      </c>
      <c r="H2711" t="inlineStr">
        <is>
          <t xml:space="preserve">INDRAPRASTHA GAS LIMITED PRE TENDER MEET FOR SUPPLY, INSTALLATION, TESTING, COMMISSIONING, OPERATION AND COMPREHENSIVE MAINTENANCE OF 1200 SCMH GAS ENGINE DRIVEN CNG COMPRESSOR PACKAGES INTRODUCTION Indraprastha Gas limited (IGL) (hereinafter referred as “Purchaser”) is a leading natural gas retailing and distribution company and is a joint venture of GAIL India Ltd., BPCL and Govt. of NCT of Delhi. It is supplying Piped Natural Gas (PNG) to domestic, commercial and Industrial consumers and Compressed Natural Gas (CNG) to automobiles through steel / PE pipeline networks in NCT of Delhi &amp; NCR along with geographical areas in UP, Haryana and Rajasthan state. PRE-TENDER MEET 2.1 IGL has planned to host a pre-tender meet for “Supply, installation, testing, commissioning, operation and comprehensive maintenance of 1200 SCMH Gas Engine Driven CNG compressor packages”. The purpose of the meeting shall be to discuss detailed information about the IGL’s requirements, address any questions, and </t>
        </is>
      </c>
      <c r="K2711" t="inlineStr">
        <is>
          <t>of reciprocating Gas Engine Driven compressor packages of 1200 SCMH or higher capacity handling hydro</t>
        </is>
      </c>
      <c r="L2711" t="inlineStr">
        <is>
          <t>Unknown</t>
        </is>
      </c>
      <c r="M2711" t="n">
        <v>133671000</v>
      </c>
      <c r="T2711" t="inlineStr">
        <is>
          <t>https://www.iglonline.net/uploads/files/Tender Document for PTM_1200 GED.pdf</t>
        </is>
      </c>
      <c r="U2711" t="inlineStr">
        <is>
          <t>Yes</t>
        </is>
      </c>
      <c r="V2711" t="inlineStr">
        <is>
          <t>Bot clean extraction (2026-08-15); meta:score=10;priority=Low;source_type=html_table;closing_date=None;equipment=Service / pressure regulator;quality_status=market_target;market_relevance=High;document_type=award;unit_price_inr=;amount_label=currency_near_total;matched_terms=Service / pressure regulator,Regulating / metering station,Skid / gas train,Gas filter station / filter equipment,Safety / shut-off equipment;reject_reasons=employment/corporate,non-product service,retail/cng station noise;scope=market_intelligence_only;excluded_scope=no_bid_or_offer_submission_automation</t>
        </is>
      </c>
    </row>
    <row r="2712">
      <c r="A2712" t="inlineStr">
        <is>
          <t>T-2516</t>
        </is>
      </c>
      <c r="B2712" t="inlineStr">
        <is>
          <t>Indian Oil Corporation (IOCL CGD)</t>
        </is>
      </c>
      <c r="C2712" t="inlineStr">
        <is>
          <t>Indian Oil Corporation (IOCL CGD)</t>
        </is>
      </c>
      <c r="D2712" t="inlineStr">
        <is>
          <t>Value</t>
        </is>
      </c>
      <c r="F2712" t="inlineStr">
        <is>
          <t>Docs Found</t>
        </is>
      </c>
      <c r="G2712" t="inlineStr">
        <is>
          <t>Regulating / metering station</t>
        </is>
      </c>
      <c r="H2712" t="inlineStr">
        <is>
          <t>NAME OF ORGANISATION INDIAN OIL CORPORATION LIMITED WEBSITE LINK https://iocl.com MINISTRY/DEPT MoPNG FINANCIAL YEAR 2025-26 Capex Procurement Projected _ Refineries Accounting Estimated Broad specification Unit Value of Sl. Description of item Parameters Quantity procurement No in Rs/Crores 1 Vessels/Drums/Tanks 99 Nos. 108.06 2 Pumps 275 Nos. 138.08 3 Reactors 10 Nos. 240.00 4 Column/Column Internals/Column 22 Nos. 108.69 Modification 5 Heat Ex/Air coolers/Fin Fan 130 Nos. 142.66 Coolers 6 Filters - Nos. - Instrumentation items (DCS, PLC, 7 LOT LOT 100.00 Analyser,,sensors,, Flowmeter,Transmitter etc.) 8 Instrument Cables LOT LOT 25.00 Electrical Items (Transformer, 9 LOT LOT 70.00 Switchboard,Switch gears, HV/MV Boards,Motors,Hoist,PFIC Panel,VFD,Genset) 10 Electrical Cables LOT LOT 50.00 11 Compressors/Blowers/Fans 14 Nos. 180.00 12 Heaters &amp; Stacks 2 Nos. 69.61 13 Bulk(Pipe/Fittings/Flanges/Valve) LOT LOT 90.00 Package Items(HVAC,ETP,Refigeration,Cooling Tower,DI Guard,Chlorine In</t>
        </is>
      </c>
      <c r="I2712" t="inlineStr">
        <is>
          <t>33000</t>
        </is>
      </c>
      <c r="J2712" t="inlineStr">
        <is>
          <t>Nos</t>
        </is>
      </c>
      <c r="K2712" t="inlineStr">
        <is>
          <t>Not found</t>
        </is>
      </c>
      <c r="L2712" t="inlineStr">
        <is>
          <t>Unknown</t>
        </is>
      </c>
      <c r="M2712" t="n">
        <v>2000</v>
      </c>
      <c r="R2712" t="n">
        <v>0.06060606060606061</v>
      </c>
      <c r="S2712" t="n">
        <v>0.06060606060606061</v>
      </c>
      <c r="T2712" t="inlineStr">
        <is>
          <t>https://iocl.com/Contents/Upload/Future_Procurement_Plan25-26.pdf</t>
        </is>
      </c>
      <c r="U2712" t="inlineStr">
        <is>
          <t>Yes</t>
        </is>
      </c>
      <c r="V2712" t="inlineStr">
        <is>
          <t>Bot clean extraction (2026-08-15); meta:score=100;priority=Low;source_type=html_link;closing_date=None;equipment=Regulating / metering station;quality_status=market_target;market_relevance=High;document_type=unknown;unit_price_inr=0.06060606060606061;amount_label=currency_near_total;matched_terms=Regulating / metering station,Skid / gas train,Gas filter station / filter equipment,Safety / shut-off equipment;reject_reasons=retail/cng station noise,civil/electrical only;scope=market_intelligence_only;excluded_scope=no_bid_or_offer_submission_automation</t>
        </is>
      </c>
    </row>
    <row r="2713">
      <c r="A2713" t="inlineStr">
        <is>
          <t>T-2517</t>
        </is>
      </c>
      <c r="B2713" t="inlineStr">
        <is>
          <t>Indian Oil Corporation (IOCL CGD)</t>
        </is>
      </c>
      <c r="C2713" t="inlineStr">
        <is>
          <t>Indian Oil Corporation (IOCL CGD)</t>
        </is>
      </c>
      <c r="D2713" t="inlineStr">
        <is>
          <t>applicant</t>
        </is>
      </c>
      <c r="F2713" t="inlineStr">
        <is>
          <t>Awarded / Result</t>
        </is>
      </c>
      <c r="G2713" t="inlineStr">
        <is>
          <t>Regulating / metering station</t>
        </is>
      </c>
      <c r="H2713" t="inlineStr">
        <is>
          <t>Brochure For Selection of Service Provider for COCOs 5th March 2026 Page 1 of 28 Guideline for selection of Service Provider Guideline for selection of Service Provider for providing Manpower &amp; Services at Company Owned Company Operated (COCO) Retail Outlets 1. Categories of Candidates for Selection: 1.1 Through Advertisement: An advertisement will be released in the newspaper inviting applications for appointment of COCO Service Providers. For this purpose, a capsule advertisement will be released in two newspapers giving 30 days’ time to the applicants to submit their applications. 1.2 Nomination from Director General for Resettlement (DGR) Director General for Resettlement (DGR) Headquarters would be approached (through suitable communication under Registered AD/e mails ) for seeking nominations of eligible retired officers / Boarded out Cadets. DGR will be requested to respond within 30 days’ of issuance of letter. Director General for Resettlement (DGR) Headquarters would be the n</t>
        </is>
      </c>
      <c r="K2713" t="inlineStr">
        <is>
          <t>etc.). However, existing Service Provider / Job Contractor / Labour Contractor will be eligible to ap</t>
        </is>
      </c>
      <c r="L2713" t="inlineStr">
        <is>
          <t>Unknown</t>
        </is>
      </c>
      <c r="M2713" t="n">
        <v>1500000</v>
      </c>
      <c r="T2713" t="inlineStr">
        <is>
          <t>https://iocl.com/uploads/Industry_COCO _SP_Selection_Brochure_05032026.pdf</t>
        </is>
      </c>
      <c r="U2713" t="inlineStr">
        <is>
          <t>Yes</t>
        </is>
      </c>
      <c r="V2713" t="inlineStr">
        <is>
          <t>Bot clean extraction (2026-08-15); meta:score=60;priority=Low;source_type=html_link;closing_date=None;equipment=Regulating / metering station;quality_status=market_target;market_relevance=High;document_type=award;unit_price_inr=;amount_label=currency_near_total;matched_terms=Regulating / metering station;reject_reasons=employment/corporate,non-product service;scope=market_intelligence_only;excluded_scope=no_bid_or_offer_submission_automation</t>
        </is>
      </c>
    </row>
    <row r="2714">
      <c r="A2714" t="inlineStr">
        <is>
          <t>T-2518</t>
        </is>
      </c>
      <c r="B2714" t="inlineStr">
        <is>
          <t>Indraprastha Gas (IGL)</t>
        </is>
      </c>
      <c r="C2714" t="inlineStr">
        <is>
          <t>Indraprastha Gas (IGL)</t>
        </is>
      </c>
      <c r="F2714" t="inlineStr">
        <is>
          <t>New Lead</t>
        </is>
      </c>
      <c r="G2714" t="inlineStr">
        <is>
          <t>Skid / gas train</t>
        </is>
      </c>
      <c r="H2714" t="inlineStr">
        <is>
          <t>1 IGL/ET2/CP/CC18956 dated 21.08.2026 Open Domestic E-Tender Dismantling, erection, installation, commissioning, and transportation of cascades, gas gensets, metering skids, and related mechanical services across various IGL geographical areas (GAs) From 21.08.2026 to 11.09.2026 11.09.2026 till 1430 HRS IST View Tender</t>
        </is>
      </c>
      <c r="K2714" t="inlineStr">
        <is>
          <t>Not found</t>
        </is>
      </c>
      <c r="L2714" t="inlineStr">
        <is>
          <t>Unknown</t>
        </is>
      </c>
      <c r="T2714" t="inlineStr">
        <is>
          <t>https://tenders.iglonline.net/tenderDetail/567/Active Tenders And Corrigendum-Addendum</t>
        </is>
      </c>
      <c r="U2714" t="inlineStr">
        <is>
          <t>HTML</t>
        </is>
      </c>
      <c r="V2714" t="inlineStr">
        <is>
          <t>Bot clean extraction (2026-08-22); meta:score=50;priority=Medium;source_type=html_table;closing_date=;equipment=Skid / gas train;quality_status=market_target;market_relevance=High;document_type=corrigendum;unit_price_inr=;amount_label=;matched_terms=Skid / gas train;reject_reasons=retail/cng station noise;scope=market_intelligence_only;excluded_scope=no_bid_or_offer_submission_automation</t>
        </is>
      </c>
    </row>
    <row r="2715">
      <c r="A2715" t="inlineStr">
        <is>
          <t>T-2519</t>
        </is>
      </c>
      <c r="B2715" t="inlineStr">
        <is>
          <t>CPPP / eProcure</t>
        </is>
      </c>
      <c r="C2715" t="inlineStr">
        <is>
          <t>CPPP / eProcure</t>
        </is>
      </c>
      <c r="F2715" t="inlineStr">
        <is>
          <t>New Lead</t>
        </is>
      </c>
      <c r="G2715" t="inlineStr">
        <is>
          <t>Regulating / metering station</t>
        </is>
      </c>
      <c r="H2715" t="inlineStr">
        <is>
          <t>1. Repair and rehabilitation of RCC columns and Beams in MRSS Switchyard. 12-36859/R 02-Sep-2026 02:00 PM 03-Sep-2026 02:30 PM</t>
        </is>
      </c>
      <c r="K2715" t="inlineStr">
        <is>
          <t>Not found</t>
        </is>
      </c>
      <c r="L2715" t="inlineStr">
        <is>
          <t>Unknown</t>
        </is>
      </c>
      <c r="T2715" t="inlineStr">
        <is>
          <t>https://www.etenders.gov.in/eprocure/app?component=%24DirectLink&amp;page=Home&amp;service=direct&amp;session=T&amp;sp=S3gqwVPJNjrYLxXNhXK0urg%3D%3D</t>
        </is>
      </c>
      <c r="U2715" t="inlineStr">
        <is>
          <t>HTML</t>
        </is>
      </c>
      <c r="V2715" t="inlineStr">
        <is>
          <t>Bot clean extraction (2026-08-26); meta:score=90;priority=High;source_type=html_table;closing_date=;equipment=Regulating / metering station;quality_status=market_target;market_relevance=High;document_type=unknown;unit_price_inr=;amount_label=;matched_terms=Regulating / metering station;reject_reasons=;scope=market_intelligence_only;excluded_scope=no_bid_or_offer_submission_automation</t>
        </is>
      </c>
    </row>
    <row r="2716">
      <c r="A2716" t="inlineStr">
        <is>
          <t>T-2520</t>
        </is>
      </c>
      <c r="B2716" t="inlineStr">
        <is>
          <t>Indraprastha Gas (IGL)</t>
        </is>
      </c>
      <c r="C2716" t="inlineStr">
        <is>
          <t>Indraprastha Gas (IGL)</t>
        </is>
      </c>
      <c r="F2716" t="inlineStr">
        <is>
          <t>New Lead</t>
        </is>
      </c>
      <c r="G2716" t="inlineStr">
        <is>
          <t>Safety / shut-off equipment</t>
        </is>
      </c>
      <c r="H2716" t="inlineStr">
        <is>
          <t>1 IGL/ET2/CP/CC18963 dated 26.08.2026 Open Domestic e-Tender RATE CONTRACT FOR TESTING / CALIBRATION OF VARIOUS DEVICES LIKE SAFETY RELIEF VALVES, PRESSURE VESSELS, LIFTING TOOLS AND TACKLES From 26.08.2026 to 16.09.2026 16.09.2026 till 14:30 hrs IST View Tender</t>
        </is>
      </c>
      <c r="K2716" t="inlineStr">
        <is>
          <t>Not found</t>
        </is>
      </c>
      <c r="L2716" t="inlineStr">
        <is>
          <t>Unknown</t>
        </is>
      </c>
      <c r="T2716" t="inlineStr">
        <is>
          <t>https://tenders.iglonline.net/tenderDetail/569/Active Tenders And Corrigendum-Addendum</t>
        </is>
      </c>
      <c r="U2716" t="inlineStr">
        <is>
          <t>HTML</t>
        </is>
      </c>
      <c r="V2716" t="inlineStr">
        <is>
          <t>Bot clean extraction (2026-08-27); meta:score=45;priority=Medium;source_type=html_table;closing_date=;equipment=Safety / shut-off equipment;quality_status=market_target;market_relevance=High;document_type=corrigendum;unit_price_inr=;amount_label=;matched_terms=Safety / shut-off equipment;reject_reasons=;scope=market_intelligence_only;excluded_scope=no_bid_or_offer_submission_automation</t>
        </is>
      </c>
    </row>
    <row r="2717">
      <c r="A2717" t="inlineStr">
        <is>
          <t>T-2521</t>
        </is>
      </c>
      <c r="B2717" t="inlineStr">
        <is>
          <t>Indraprastha Gas (IGL)</t>
        </is>
      </c>
      <c r="C2717" t="inlineStr">
        <is>
          <t>Indraprastha Gas (IGL)</t>
        </is>
      </c>
      <c r="F2717" t="inlineStr">
        <is>
          <t>New Lead</t>
        </is>
      </c>
      <c r="G2717" t="inlineStr">
        <is>
          <t>Regulating / metering station</t>
        </is>
      </c>
      <c r="H2717" t="inlineStr">
        <is>
          <t>2 IGL/ET2/CP/CP18972 dated 08.09.2026 RATE CONTRACT FOR PROCUREMENT OF PRESSURE SAFETY VALVES INSTALLED IN FRS/MRS ACROSS DELHI- NCR From 08.09.2026 to 29.09.2026 29.09.2026 till 1430 hrs IST View Tender</t>
        </is>
      </c>
      <c r="K2717" t="inlineStr">
        <is>
          <t>Not found</t>
        </is>
      </c>
      <c r="L2717" t="inlineStr">
        <is>
          <t>Unknown</t>
        </is>
      </c>
      <c r="T2717" t="inlineStr">
        <is>
          <t>https://tenders.iglonline.net/tenderDetail/576/Active Tenders And Corrigendum-Addendum</t>
        </is>
      </c>
      <c r="U2717" t="inlineStr">
        <is>
          <t>HTML</t>
        </is>
      </c>
      <c r="V2717" t="inlineStr">
        <is>
          <t>Bot clean extraction (2026-09-09); meta:score=90;priority=High;source_type=html_table;closing_date=;equipment=Regulating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2718">
      <c r="A2718" t="inlineStr">
        <is>
          <t>T-2522</t>
        </is>
      </c>
      <c r="B2718" t="inlineStr">
        <is>
          <t>Indraprastha Gas (IGL)</t>
        </is>
      </c>
      <c r="C2718" t="inlineStr">
        <is>
          <t>Indraprastha Gas (IGL)</t>
        </is>
      </c>
      <c r="D2718" t="inlineStr">
        <is>
          <t>IGL/ET2/CP/CC18956</t>
        </is>
      </c>
      <c r="F2718" t="inlineStr">
        <is>
          <t>Docs Found</t>
        </is>
      </c>
      <c r="G2718" t="inlineStr">
        <is>
          <t>Skid / gas train</t>
        </is>
      </c>
      <c r="H2718" t="inlineStr">
        <is>
          <t xml:space="preserve">CORRIGENDUM - I Dismantling, Erection, Installation, Commissioning, and Transportation of Cascades, Gas Gensets, Date: Metering Skids, and related mechanical services across various IGL Geographical Areas (GAs) 10.09.2026 IGL TENDER NO. IGL/ET2/CP/CC18956 Sr. No. Description Tender Page No. Clause/ Para/ Section Amendment/Addition/Modification/Deletion 5.0 - DETAILS OF Please Read TENDER Bid submission due date 1 7 Amendment DOCUMENTS and time Bid submission date and time - 14.09.2026 till 1430 Hrs IST 5.0 - DETAILS OF Please Read TENDER Techno-commercial bid 2 7 Amendment Techno-commercial bid opening date and Time - 14.09.2026 at DOCUMENTS opening date and time 1500 Hrs IST Page 1 | | CORRIGENDUM - I Dismantling, Erection, Installation, Commissioning, and Transportation of Cascades, Gas Gensets, Metering Skids, and related mechanical services across various IGL Geographical Areas (GAs) IGL TENDER NO. IGL/ET2/CP/CC18956 | | | | Date: 10.09.2026 Sr. No. | Description | Tender Page No. </t>
        </is>
      </c>
      <c r="K2718" t="inlineStr">
        <is>
          <t>Not found</t>
        </is>
      </c>
      <c r="L2718" t="inlineStr">
        <is>
          <t>Unknown</t>
        </is>
      </c>
      <c r="T2718" t="inlineStr">
        <is>
          <t>https://tenders.iglonline.net/uploads/tender/Corrigendum-I_CC18956.pdf</t>
        </is>
      </c>
      <c r="U2718" t="inlineStr">
        <is>
          <t>Yes</t>
        </is>
      </c>
      <c r="V2718" t="inlineStr">
        <is>
          <t>Bot clean extraction (2026-09-11); meta:score=50;priority=Medium;source_type=html_table;closing_date=None;equipment=Skid / gas train;quality_status=market_target;market_relevance=High;document_type=corrigendum;unit_price_inr=;amount_label=;matched_terms=Skid / gas train;reject_reasons=retail/cng station noise;scope=market_intelligence_only;excluded_scope=no_bid_or_offer_submission_automation</t>
        </is>
      </c>
    </row>
    <row r="2719">
      <c r="A2719" t="inlineStr">
        <is>
          <t>T-2523</t>
        </is>
      </c>
      <c r="B2719" t="inlineStr">
        <is>
          <t>CPPP / eProcure</t>
        </is>
      </c>
      <c r="C2719" t="inlineStr">
        <is>
          <t>CPPP / eProcure</t>
        </is>
      </c>
      <c r="D2719" t="inlineStr">
        <is>
          <t>IREL/Udyogamandal/26-27/Work</t>
        </is>
      </c>
      <c r="F2719" t="inlineStr">
        <is>
          <t>Docs Found</t>
        </is>
      </c>
      <c r="G2719" t="inlineStr">
        <is>
          <t>Safety / shut-off equipment</t>
        </is>
      </c>
      <c r="H2719" t="inlineStr">
        <is>
          <t>6. Development of Pilot Plant facility Production of Europium Oxide from Europium Barium Sulphate Cake IREL/Udyogamandal/26-27/Work 32 05-Oct-2026 10:30 AM 06-Oct-2026 11:00 AM</t>
        </is>
      </c>
      <c r="K2719" t="inlineStr">
        <is>
          <t>Not found</t>
        </is>
      </c>
      <c r="L2719" t="inlineStr">
        <is>
          <t>Unknown</t>
        </is>
      </c>
      <c r="T2719" t="inlineStr">
        <is>
          <t>https://www.etenders.gov.in/eprocure/app?component=%24DirectLink&amp;page=Home&amp;service=direct&amp;session=T&amp;sp=SSVacyf4N2ZHpjSzBfHzC1Q%3D%3D</t>
        </is>
      </c>
      <c r="U2719" t="inlineStr">
        <is>
          <t>HTML</t>
        </is>
      </c>
      <c r="V2719" t="inlineStr">
        <is>
          <t>Bot clean extraction (2026-09-12); meta:score=45;priority=Medium;source_type=html_table;closing_date=;equipment=Safety / shut-off equipment;quality_status=market_target;market_relevance=High;document_type=unknown;unit_price_inr=;amount_label=;matched_terms=Safety / shut-off equipment;reject_reasons=;scope=market_intelligence_only;excluded_scope=no_bid_or_offer_submission_automation</t>
        </is>
      </c>
    </row>
    <row r="2720">
      <c r="A2720" t="inlineStr">
        <is>
          <t>T-2524</t>
        </is>
      </c>
      <c r="B2720" t="inlineStr">
        <is>
          <t>Indraprastha Gas (IGL)</t>
        </is>
      </c>
      <c r="C2720" t="inlineStr">
        <is>
          <t>Indraprastha Gas (IGL)</t>
        </is>
      </c>
      <c r="D2720" t="inlineStr">
        <is>
          <t>IGL/ET2/CP/CP18972</t>
        </is>
      </c>
      <c r="F2720" t="inlineStr">
        <is>
          <t>Docs Found</t>
        </is>
      </c>
      <c r="G2720" t="inlineStr">
        <is>
          <t>Regulating / metering station</t>
        </is>
      </c>
      <c r="H2720" t="inlineStr">
        <is>
          <t>CORRIGENDUM -I FOR PRE BID MEETING IGL TENDER NO. IGL/ET2/CP/CP18972 Date: 14.09.2026 Procurement of Pressure Safety Valves installed in FRS/MRS across Delhi-NCR. Tender Clause/ Para/ Sr. No. Description Amendment/Addition/Modification/Deletion Page No. Section Please Read Pre Bid Meeting 1 Pre Bid Meeting Addition date and time Pre Bid Meeting date and time -16.09.2026 at 15:00 HRS. IST | | CORRIGENDUM -I FOR PRE BID MEETING IGL TENDER NO. IGL/ET2/CP/CP18972 Procurement of Pressure Safety Valves installed in FRS/MRS across Delhi-NCR. | | | | Date: 14.09.2026 Sr. No. | Description | Tender Page No. | Clause/ Para/ Section | Amendment/Addition/Modification/Deletion | | 1 | Pre Bid Meeting | | Pre Bid Meeting date and time | Addition | Please Read Pre Bid Meeting date and time -16.09.2026 at 15:00 HRS. IST |</t>
        </is>
      </c>
      <c r="K2720" t="inlineStr">
        <is>
          <t>Not found</t>
        </is>
      </c>
      <c r="L2720" t="inlineStr">
        <is>
          <t>Unknown</t>
        </is>
      </c>
      <c r="T2720" t="inlineStr">
        <is>
          <t>https://tenders.iglonline.net/uploads/tender/Corrigendum for CP 18972.pdf</t>
        </is>
      </c>
      <c r="U2720" t="inlineStr">
        <is>
          <t>Yes</t>
        </is>
      </c>
      <c r="V2720" t="inlineStr">
        <is>
          <t>Bot clean extraction (2026-09-14); meta:score=90;priority=High;source_type=html_table;closing_date=None;equipment=Regulating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2721">
      <c r="A2721" t="inlineStr">
        <is>
          <t>T-2525</t>
        </is>
      </c>
      <c r="B2721" t="inlineStr">
        <is>
          <t>Indraprastha Gas (IGL)</t>
        </is>
      </c>
      <c r="C2721" t="inlineStr">
        <is>
          <t>Indraprastha Gas (IGL)</t>
        </is>
      </c>
      <c r="F2721" t="inlineStr">
        <is>
          <t>New Lead</t>
        </is>
      </c>
      <c r="G2721" t="inlineStr">
        <is>
          <t>Domestic gas regulator</t>
        </is>
      </c>
      <c r="H2721" t="inlineStr">
        <is>
          <t>1 IGL/ET2/CP/CP18970 dated 14.09.2026 Open Domestic e-Tender (through e-tendering mode) Supply of Domestic Gas Regulators From 14.09.2026 to 05.10.2026 05.10.2026 till 1430 HRS IST View Tender</t>
        </is>
      </c>
      <c r="K2721" t="inlineStr">
        <is>
          <t>Not found</t>
        </is>
      </c>
      <c r="L2721" t="inlineStr">
        <is>
          <t>Unknown</t>
        </is>
      </c>
      <c r="T2721" t="inlineStr">
        <is>
          <t>https://tenders.iglonline.net/tenderDetail/579/Active Tenders And Corrigendum-Addendum</t>
        </is>
      </c>
      <c r="U2721" t="inlineStr">
        <is>
          <t>HTML</t>
        </is>
      </c>
      <c r="V2721" t="inlineStr">
        <is>
          <t>Bot clean extraction (2026-09-14); meta:score=90;priority=High;source_type=html_table;closing_date=;equipment=Domestic gas regulator;quality_status=market_target;market_relevance=High;document_type=corrigendum;unit_price_inr=;amount_label=;matched_terms=Domestic gas regulator;reject_reasons=;scope=market_intelligence_only;excluded_scope=no_bid_or_offer_submission_automation</t>
        </is>
      </c>
    </row>
    <row r="2722">
      <c r="A2722" t="inlineStr">
        <is>
          <t>T-2526</t>
        </is>
      </c>
      <c r="B2722" t="inlineStr">
        <is>
          <t>CPPP / eProcure</t>
        </is>
      </c>
      <c r="C2722" t="inlineStr">
        <is>
          <t>CPPP / eProcure</t>
        </is>
      </c>
      <c r="D2722" t="inlineStr">
        <is>
          <t>DDH/ADH/KPZ/MCD/26-27/24-2</t>
        </is>
      </c>
      <c r="E2722" t="inlineStr">
        <is>
          <t>26-27/24</t>
        </is>
      </c>
      <c r="F2722" t="inlineStr">
        <is>
          <t>Docs Found</t>
        </is>
      </c>
      <c r="G2722" t="inlineStr">
        <is>
          <t>Safety / shut-off equipment</t>
        </is>
      </c>
      <c r="H2722" t="inlineStr">
        <is>
          <t>7. Development of Mpl. Park PP Block, Pitampura in Ward No. 57/KPZ DDH/ADH/KPZ/MCD/26-27/24-2 22-Sep-2026 03:00 PM 22-Sep-2026 04:00 PM</t>
        </is>
      </c>
      <c r="K2722" t="inlineStr">
        <is>
          <t>Not found</t>
        </is>
      </c>
      <c r="L2722" t="inlineStr">
        <is>
          <t>Unknown</t>
        </is>
      </c>
      <c r="T2722" t="inlineStr">
        <is>
          <t>https://www.etenders.gov.in/eprocure/app?component=%24DirectLink&amp;page=Home&amp;service=direct&amp;session=T&amp;sp=SWWSsvLyQmWIxjkxRvzEKNA%3D%3D</t>
        </is>
      </c>
      <c r="U2722" t="inlineStr">
        <is>
          <t>HTML</t>
        </is>
      </c>
      <c r="V2722" t="inlineStr">
        <is>
          <t>Bot clean extraction (2026-09-15); meta:score=45;priority=Medium;source_type=html_table;closing_date=;equipment=Safety / shut-off equipment;quality_status=market_target;market_relevance=High;document_type=unknown;unit_price_inr=;amount_label=;matched_terms=Safety / shut-off equipment;reject_reasons=;scope=market_intelligence_only;excluded_scope=no_bid_or_offer_submission_automation</t>
        </is>
      </c>
    </row>
    <row r="2723">
      <c r="A2723" t="inlineStr">
        <is>
          <t>T-2527</t>
        </is>
      </c>
      <c r="B2723" t="inlineStr">
        <is>
          <t>Indraprastha Gas (IGL)</t>
        </is>
      </c>
      <c r="C2723" t="inlineStr">
        <is>
          <t>Indraprastha Gas (IGL)</t>
        </is>
      </c>
      <c r="F2723" t="inlineStr">
        <is>
          <t>New Lead</t>
        </is>
      </c>
      <c r="G2723" t="inlineStr">
        <is>
          <t>Safety / shut-off equipment</t>
        </is>
      </c>
      <c r="H2723" t="inlineStr">
        <is>
          <t xml:space="preserve">CORRIGENDUM - I RATE CONTRACT FOR TESTING / CALIBRATION OF VARIOUS DEVICES LIKE SAFETY RELIEF VALVES, PRESSURE VESSELS, LIFTING TOOLS AND Date: 16.09.2026 TACKLES TENDER DOCUMENT NO. IGL/ET2/CP/CC18963 Tender S. No. Description Clause/ Para/ Section Amendment/Addition/Modification/Deletion Page No. Availability of tender document on 1 07 of 93 Clause 5.0 of IFB Modification From 26.08.2026 to 23.09.2026 website(s) 2 Bid submission due date and time 07 of 93 Clause 5.0 of IFB Modification 23.09.2026 till 14:30 hrs IST Techno-commercial bid opening date 3 07 of 93 Clause 5.0 of IFB Modification 23.09.2026 at 15:00 hrs IST and time | | CORRIGENDUM - I RATE CONTRACT FOR TESTING / CALIBRATION OF VARIOUS DEVICES LIKE SAFETY RELIEF VALVES, PRESSURE VESSELS, LIFTING TOOLS AND TACKLES TENDER DOCUMENT NO. IGL/ET2/CP/CC18963 | | | | Date: 16.09.2026 S. No. | Description | Tender Page No. | Clause/ Para/ Section | Amendment/Addition/Modification/Deletion | | 1 | Availability of tender document on </t>
        </is>
      </c>
      <c r="K2723" t="inlineStr">
        <is>
          <t>Not found</t>
        </is>
      </c>
      <c r="L2723" t="inlineStr">
        <is>
          <t>Unknown</t>
        </is>
      </c>
      <c r="T2723" t="inlineStr">
        <is>
          <t>https://tenders.iglonline.net/uploads/tender/Corrigendum_I_CC18963.pdf</t>
        </is>
      </c>
      <c r="U2723" t="inlineStr">
        <is>
          <t>Yes</t>
        </is>
      </c>
      <c r="V2723" t="inlineStr">
        <is>
          <t>Bot clean extraction (2026-09-18); meta:score=45;priority=Medium;source_type=html_table;closing_date=None;equipment=Safety / shut-off equipment;quality_status=market_target;market_relevance=High;document_type=corrigendum;unit_price_inr=;amount_label=;matched_terms=Safety / shut-off equipment;reject_reasons=;scope=market_intelligence_only;excluded_scope=no_bid_or_offer_submission_automation</t>
        </is>
      </c>
    </row>
    <row r="2724">
      <c r="A2724" t="inlineStr">
        <is>
          <t>T-2528</t>
        </is>
      </c>
      <c r="B2724" t="inlineStr">
        <is>
          <t>CPPP / eProcure</t>
        </is>
      </c>
      <c r="C2724" t="inlineStr">
        <is>
          <t>CPPP / eProcure</t>
        </is>
      </c>
      <c r="D2724" t="inlineStr">
        <is>
          <t>UM/MRS/T/009/26-27</t>
        </is>
      </c>
      <c r="F2724" t="inlineStr">
        <is>
          <t>Docs Found</t>
        </is>
      </c>
      <c r="G2724" t="inlineStr">
        <is>
          <t>Regulating / metering station</t>
        </is>
      </c>
      <c r="H2724" t="inlineStr">
        <is>
          <t>5. Corrigendum 3 UM/MRS/T/009/26-27 28-Sep-2026 02:00 PM 29-Sep-2026 02:30 PM</t>
        </is>
      </c>
      <c r="K2724" t="inlineStr">
        <is>
          <t>Not found</t>
        </is>
      </c>
      <c r="L2724" t="inlineStr">
        <is>
          <t>Unknown</t>
        </is>
      </c>
      <c r="T2724" t="inlineStr">
        <is>
          <t>https://www.etenders.gov.in/eprocure/app?component=%24DirectLink_0&amp;page=Home&amp;service=direct&amp;session=T&amp;sp=SvgdrxnytzS8yKjg0p%2Bf4Ng%3D%3D</t>
        </is>
      </c>
      <c r="U2724" t="inlineStr">
        <is>
          <t>HTML</t>
        </is>
      </c>
      <c r="V2724" t="inlineStr">
        <is>
          <t>Bot clean extraction (2026-09-19); meta:score=90;priority=High;source_type=html_table;closing_date=;equipment=Regulating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2725">
      <c r="A2725" t="inlineStr">
        <is>
          <t>T-2529</t>
        </is>
      </c>
      <c r="B2725" t="inlineStr">
        <is>
          <t>CPPP / eProcure</t>
        </is>
      </c>
      <c r="C2725" t="inlineStr">
        <is>
          <t>CPPP / eProcure</t>
        </is>
      </c>
      <c r="D2725" t="inlineStr">
        <is>
          <t>UM/MRS/T/009/26-27</t>
        </is>
      </c>
      <c r="F2725" t="inlineStr">
        <is>
          <t>Docs Found</t>
        </is>
      </c>
      <c r="G2725" t="inlineStr">
        <is>
          <t>Regulating / metering station</t>
        </is>
      </c>
      <c r="H2725" t="inlineStr">
        <is>
          <t>7. Corrigendum 2 UM/MRS/T/009/26-27 28-Sep-2026 02:00 PM 29-Sep-2026 02:30 PM</t>
        </is>
      </c>
      <c r="K2725" t="inlineStr">
        <is>
          <t>Not found</t>
        </is>
      </c>
      <c r="L2725" t="inlineStr">
        <is>
          <t>Unknown</t>
        </is>
      </c>
      <c r="T2725" t="inlineStr">
        <is>
          <t>https://www.etenders.gov.in/eprocure/app?component=%24DirectLink_0&amp;page=Home&amp;service=direct&amp;session=T&amp;sp=SC5ffASkxhh8%2Bdhz3%2Bmm2lg%3D%3D</t>
        </is>
      </c>
      <c r="U2725" t="inlineStr">
        <is>
          <t>HTML</t>
        </is>
      </c>
      <c r="V2725" t="inlineStr">
        <is>
          <t>Bot clean extraction (2026-09-19); meta:score=90;priority=High;source_type=html_table;closing_date=;equipment=Regulating / metering station;quality_status=market_target;market_relevance=High;document_type=corrigendum;unit_price_inr=;amount_label=;matched_terms=Regulating / metering station;reject_reasons=;scope=market_intelligence_only;excluded_scope=no_bid_or_offer_submission_automation</t>
        </is>
      </c>
    </row>
    <row r="2726">
      <c r="A2726" t="inlineStr">
        <is>
          <t>T-2530</t>
        </is>
      </c>
      <c r="B2726" t="inlineStr">
        <is>
          <t>Indraprastha Gas (IGL)</t>
        </is>
      </c>
      <c r="C2726" t="inlineStr">
        <is>
          <t>Indraprastha Gas (IGL)</t>
        </is>
      </c>
      <c r="D2726" t="inlineStr">
        <is>
          <t>erence</t>
        </is>
      </c>
      <c r="E2726" t="inlineStr">
        <is>
          <t>28-02-2025</t>
        </is>
      </c>
      <c r="F2726" t="inlineStr">
        <is>
          <t>Docs Found</t>
        </is>
      </c>
      <c r="G2726" t="inlineStr">
        <is>
          <t>Domestic gas regulator</t>
        </is>
      </c>
      <c r="H2726" t="inlineStr">
        <is>
          <t>Pre Tender Meet for supply, installation, testing, commissioning, operation and comprehensive maintenance of 1200 SCMH Electric Motor driven CNG compressor packages. Pre Tender Meet for supply, installation, testing, commissioning, operation and comprehensive maintenance of 1200 SCMH Gas Engine driven CNG compressor packages. Pre-Tender Meeting : Inline Turboexpander for electricity generation BEC For pre tender SOR Tech. Specs Date and Time: 07 August 2025 11:00 - 11:30 (IST) Meeting link Pre-bid meeting for Implementation of vendor invoice system in IGL Pre-tender Meet for Supply of Master Mass Flow Meter (Prover System) Used for Calibration of Flowmeters Used in CNG Dispensers and at LCV points on Igl Website Pre-Tender Meet for Procurement of Manual and Hydraulic Squeezers for Control Room Operation and Maintenance Work DESIGN, SUPPLY, INSTALLATION, COMMISSIONING AND 10 YEARS OF OPERATION &amp; COMPREHENSIVE MAINTENANCE OF 350 SCMH ELECTRIC MOTOR DRIVEN COMPRESSOR PACKAGES kasgraph.com</t>
        </is>
      </c>
      <c r="K2726" t="inlineStr">
        <is>
          <t>Not found</t>
        </is>
      </c>
      <c r="L2726" t="inlineStr">
        <is>
          <t>Unknown</t>
        </is>
      </c>
      <c r="T2726" t="inlineStr">
        <is>
          <t>https://kasgraph.com/</t>
        </is>
      </c>
      <c r="U2726" t="inlineStr">
        <is>
          <t>HTML</t>
        </is>
      </c>
      <c r="V2726" t="inlineStr">
        <is>
          <t>Bot clean extraction (2026-09-21); meta:score=10;priority=Low;source_type=html_table;closing_date=;equipment=Domestic gas regulator;quality_status=market_target;market_relevance=High;document_type=corrigendum;unit_price_inr=;amount_label=;matched_terms=Domestic gas regulator,Service / pressure regulator,Regulating / metering station,Skid / gas train,Gas filter station / filter equipment,Safety / shut-off equipment;reject_reasons=employment/corporate,non-product service,retail/cng station noise,civil/electrical only;scope=market_intelligence_only;excluded_scope=no_bid_or_offer_submission_automation</t>
        </is>
      </c>
    </row>
    <row r="2727">
      <c r="A2727" t="inlineStr">
        <is>
          <t>T-2531</t>
        </is>
      </c>
      <c r="B2727" t="inlineStr">
        <is>
          <t>CPPP / eProcure</t>
        </is>
      </c>
      <c r="C2727" t="inlineStr">
        <is>
          <t>CPPP / eProcure</t>
        </is>
      </c>
      <c r="D2727" t="inlineStr">
        <is>
          <t>NPCC/PROJECTS/EMRSCG/26-27/482</t>
        </is>
      </c>
      <c r="E2727" t="inlineStr">
        <is>
          <t>26-27/482</t>
        </is>
      </c>
      <c r="F2727" t="inlineStr">
        <is>
          <t>Docs Found</t>
        </is>
      </c>
      <c r="G2727" t="inlineStr">
        <is>
          <t>Regulating / metering station</t>
        </is>
      </c>
      <c r="H2727" t="inlineStr">
        <is>
          <t>4. Construction Of Eklavya Model Residential Schools EMRS Phase-II Works at Sitapur NPCC/PROJECTS/EMRSCG/26-27/482 05-Oct-2026 03:00 PM 06-Oct-2026 03:30 PM</t>
        </is>
      </c>
      <c r="K2727" t="inlineStr">
        <is>
          <t>Not found</t>
        </is>
      </c>
      <c r="L2727" t="inlineStr">
        <is>
          <t>Unknown</t>
        </is>
      </c>
      <c r="T2727" t="inlineStr">
        <is>
          <t>https://www.etenders.gov.in/eprocure/app?component=%24DirectLink&amp;page=Home&amp;service=direct&amp;session=T&amp;sp=SrfC3Ni5XFxj%2F%2Fp4FFxP4Jg%3D%3D</t>
        </is>
      </c>
      <c r="U2727" t="inlineStr">
        <is>
          <t>HTML</t>
        </is>
      </c>
      <c r="V2727" t="inlineStr">
        <is>
          <t>Bot clean extraction (2026-09-21); meta:score=90;priority=High;source_type=html_table;closing_date=;equipment=Regulating / metering station;quality_status=market_target;market_relevance=High;document_type=unknown;unit_price_inr=;amount_label=;matched_terms=Regulating / metering station;reject_reasons=;scope=market_intelligence_only;excluded_scope=no_bid_or_offer_submission_automation</t>
        </is>
      </c>
    </row>
    <row r="2728">
      <c r="A2728" t="inlineStr">
        <is>
          <t>T-2532</t>
        </is>
      </c>
      <c r="B2728" t="inlineStr">
        <is>
          <t>CPPP / eProcure</t>
        </is>
      </c>
      <c r="C2728" t="inlineStr">
        <is>
          <t>CPPP / eProcure</t>
        </is>
      </c>
      <c r="D2728" t="inlineStr">
        <is>
          <t>HVF/TE/13025/CEO/2026-27/66</t>
        </is>
      </c>
      <c r="E2728" t="inlineStr">
        <is>
          <t>2026-27/66</t>
        </is>
      </c>
      <c r="F2728" t="inlineStr">
        <is>
          <t>Docs Found</t>
        </is>
      </c>
      <c r="G2728" t="inlineStr">
        <is>
          <t>Safety / shut-off equipment</t>
        </is>
      </c>
      <c r="H2728" t="inlineStr">
        <is>
          <t>7. Bid Auto Extn Corrigendum HVF/TE/13025/CEO/2026-27/66 06-Oct-2026 02:00 PM 07-Oct-2026 10:00 AM</t>
        </is>
      </c>
      <c r="K2728" t="inlineStr">
        <is>
          <t>Not found</t>
        </is>
      </c>
      <c r="L2728" t="inlineStr">
        <is>
          <t>Unknown</t>
        </is>
      </c>
      <c r="T2728" t="inlineStr">
        <is>
          <t>https://www.etenders.gov.in/eprocure/app?component=%24DirectLink_0&amp;page=Home&amp;service=direct&amp;session=T&amp;sp=SSVDQc9zOQYmqAKgK9oNqaw%3D%3D</t>
        </is>
      </c>
      <c r="U2728" t="inlineStr">
        <is>
          <t>HTML</t>
        </is>
      </c>
      <c r="V2728" t="inlineStr">
        <is>
          <t>Bot clean extraction (2026-09-22); meta:score=45;priority=Medium;source_type=html_table;closing_date=;equipment=Safety / shut-off equipment;quality_status=market_target;market_relevance=High;document_type=corrigendum;unit_price_inr=;amount_label=;matched_terms=Safety / shut-off equipment;reject_reasons=;scope=market_intelligence_only;excluded_scope=no_bid_or_offer_submission_automation</t>
        </is>
      </c>
    </row>
    <row r="2729">
      <c r="A2729" t="inlineStr">
        <is>
          <t>T-2533</t>
        </is>
      </c>
      <c r="B2729" t="inlineStr">
        <is>
          <t>Indraprastha Gas (IGL)</t>
        </is>
      </c>
      <c r="C2729" t="inlineStr">
        <is>
          <t>Indraprastha Gas (IGL)</t>
        </is>
      </c>
      <c r="F2729" t="inlineStr">
        <is>
          <t>New Lead</t>
        </is>
      </c>
      <c r="G2729" t="inlineStr">
        <is>
          <t>Safety / shut-off equipment</t>
        </is>
      </c>
      <c r="H2729" t="inlineStr">
        <is>
          <t>CORRIGENDUM - II RATE CONTRACT FOR TESTING / CALIBRATION OF VARIOUS DEVICES LIKE SAFETY RELIEF VALVES, PRESSURE VESSELS, LIFTING TOOLS AND Date: 23.09.2026 TACKLES TENDER DOCUMENT NO. IGL/ET2/CP/CC18963 Tender S. No. Description Clause/ Para/ Section Amendment/Addition/Modification/Deletion Page No. Availability of tender document on 1 07 of 93 Clause 5.0 of IFB Modification From 26.08.2026 to 25.09.2026 website(s) 2 Bid submission due date and time 07 of 93 Clause 5.0 of IFB Modification 25.09.2026 till 14:30 hrs IST Techno-commercial bid opening date 3 07 of 93 Clause 5.0 of IFB Modification 25.09.2026 at 15:00 hrs IST and time | | CORRIGENDUM - II RATE CONTRACT FOR TESTING / CALIBRATION OF VARIOUS DEVICES LIKE SAFETY RELIEF VALVES, PRESSURE VESSELS, LIFTING TOOLS AND TACKLES TENDER DOCUMENT NO. IGL/ET2/CP/CC18963 | | | | Date: 23.09.2026 S. No. | Description | Tender Page No. | Clause/ Para/ Section | Amendment/Addition/Modification/Deletion | | 1 | Availability of tender document o</t>
        </is>
      </c>
      <c r="K2729" t="inlineStr">
        <is>
          <t>Not found</t>
        </is>
      </c>
      <c r="L2729" t="inlineStr">
        <is>
          <t>Unknown</t>
        </is>
      </c>
      <c r="T2729" t="inlineStr">
        <is>
          <t>https://tenders.iglonline.net/uploads/tender/Corrigendum_II_CC18963.pdf</t>
        </is>
      </c>
      <c r="U2729" t="inlineStr">
        <is>
          <t>Yes</t>
        </is>
      </c>
      <c r="V2729" t="inlineStr">
        <is>
          <t>Bot clean extraction (2026-09-24); meta:score=45;priority=Medium;source_type=html_table;closing_date=None;equipment=Safety / shut-off equipment;quality_status=market_target;market_relevance=High;document_type=corrigendum;unit_price_inr=;amount_label=;matched_terms=Safety / shut-off equipment;reject_reasons=;scope=market_intelligence_only;excluded_scope=no_bid_or_offer_submission_automation</t>
        </is>
      </c>
    </row>
    <row r="2730">
      <c r="A2730" t="inlineStr">
        <is>
          <t>T-2534</t>
        </is>
      </c>
      <c r="B2730" t="inlineStr">
        <is>
          <t>Indraprastha Gas (IGL)</t>
        </is>
      </c>
      <c r="C2730" t="inlineStr">
        <is>
          <t>Indraprastha Gas (IGL)</t>
        </is>
      </c>
      <c r="D2730" t="inlineStr">
        <is>
          <t>IGL/ET2/CP/CP18970</t>
        </is>
      </c>
      <c r="F2730" t="inlineStr">
        <is>
          <t>Docs Found</t>
        </is>
      </c>
      <c r="G2730" t="inlineStr">
        <is>
          <t>Domestic gas regulator</t>
        </is>
      </c>
      <c r="H2730" t="inlineStr">
        <is>
          <t xml:space="preserve">INDRAPRASTHA GAS LIMITED IGL Bhawan, 4, Community Center, Sector-9, R.K. Puram, New Delhi - 110022 TENDER NO. IGL/ET2/CP/CP18970 Supply of Domestic Gas Regulators Replies to Bidders' Queries - 1 Sr. No. Page Clause/Tender Condition Bidder's Query IGL's Reply End connection material not specified . Generally every CGD Datasheet for Domestic 25 of 29 takes the connection GI / MS with Zinc platting material . And Regulator, 4 bar to 21 mbar 1 (Technical we have also supplied GI/MS material to IGL many times as Accepted. Volume) Domestic regulator. We will provide Both end connection with End Connection 1/2" X 1/2" NPT MS with Zinc platting. Kindly confirm. Page 1 of 1 Sr. No. | Page | Clause/Tender Condition | Bidder's Query | IGL's Reply 1 | 25 of 29 (Technical Volume) | Datasheet for Domestic Regulator, 4 bar to 21 mbar End Connection 1/2" X 1/2" NPT | End connection material not specified . Generally every CGD takes the connection GI / MS with Zinc platting material . And we have also </t>
        </is>
      </c>
      <c r="K2730" t="inlineStr">
        <is>
          <t>Not found</t>
        </is>
      </c>
      <c r="L2730" t="inlineStr">
        <is>
          <t>Unknown</t>
        </is>
      </c>
      <c r="T2730" t="inlineStr">
        <is>
          <t>https://tenders.iglonline.net/uploads/tender/RTBQ CP18970.pdf</t>
        </is>
      </c>
      <c r="U2730" t="inlineStr">
        <is>
          <t>Yes</t>
        </is>
      </c>
      <c r="V2730" t="inlineStr">
        <is>
          <t>Bot clean extraction (2026-09-28); meta:score=90;priority=High;source_type=html_table;closing_date=None;equipment=Domestic gas regulator;quality_status=market_target;market_relevance=High;document_type=unknown;unit_price_inr=;amount_label=;matched_terms=Domestic gas regulator;reject_reasons=;scope=market_intelligence_only;excluded_scope=no_bid_or_offer_submission_automation</t>
        </is>
      </c>
    </row>
    <row r="2731">
      <c r="A2731" t="inlineStr">
        <is>
          <t>T-2535</t>
        </is>
      </c>
      <c r="B2731" t="inlineStr">
        <is>
          <t>CPPP / eProcure</t>
        </is>
      </c>
      <c r="C2731" t="inlineStr">
        <is>
          <t>CPPP / eProcure</t>
        </is>
      </c>
      <c r="F2731" t="inlineStr">
        <is>
          <t>New Lead</t>
        </is>
      </c>
      <c r="G2731" t="inlineStr">
        <is>
          <t>Safety / shut-off equipment</t>
        </is>
      </c>
      <c r="H2731" t="inlineStr">
        <is>
          <t>9. Urgent Civil Maintenance Works at BTS sites 23/CD-I/BSNL/Kol/2026-27 10-Oct-2026 06:00 PM 12-Oct-2026 04:00 PM</t>
        </is>
      </c>
      <c r="K2731" t="inlineStr">
        <is>
          <t>Not found</t>
        </is>
      </c>
      <c r="L2731" t="inlineStr">
        <is>
          <t>Unknown</t>
        </is>
      </c>
      <c r="T2731" t="inlineStr">
        <is>
          <t>https://www.etenders.gov.in/eprocure/app?component=%24DirectLink&amp;page=Home&amp;service=direct&amp;session=T&amp;sp=SsVaITMRTBGym5zAO9guUQA%3D%3D</t>
        </is>
      </c>
      <c r="U2731" t="inlineStr">
        <is>
          <t>HTML</t>
        </is>
      </c>
      <c r="V2731" t="inlineStr">
        <is>
          <t>Bot clean extraction (2026-10-04); meta:score=45;priority=Medium;source_type=html_table;closing_date=;equipment=Safety / shut-off equipment;quality_status=market_target;market_relevance=High;document_type=unknown;unit_price_inr=;amount_label=;matched_terms=Safety / shut-off equipment;reject_reasons=;scope=market_intelligence_only;excluded_scope=no_bid_or_offer_submission_automation</t>
        </is>
      </c>
    </row>
    <row r="2732">
      <c r="A2732" t="inlineStr">
        <is>
          <t>T-2536</t>
        </is>
      </c>
      <c r="B2732" t="inlineStr">
        <is>
          <t>Maharashtra Natural Gas (MNGL)</t>
        </is>
      </c>
      <c r="C2732" t="inlineStr">
        <is>
          <t>Maharashtra Natural Gas (MNGL)</t>
        </is>
      </c>
      <c r="D2732" t="inlineStr">
        <is>
          <t>MNGL/CP/2026-27/120</t>
        </is>
      </c>
      <c r="F2732" t="inlineStr">
        <is>
          <t>Awarded / Result</t>
        </is>
      </c>
      <c r="G2732" t="inlineStr">
        <is>
          <t>Regulating / metering station</t>
        </is>
      </c>
      <c r="H2732" t="inlineStr">
        <is>
          <t>Tender For Hiring Land on Outright Purchase/Long-Term Lease Basis (Minimum 29 Years) for Setting up a Retail Outlet/CGS/Pig Receiver/Warehouse in the Hadapsar Area of Pune GA. MAHARASHTRA NATURAL GAS LIMITED Tender No.: MNGL/CP/2026-27/120 MAHARASHTRA NATURAL GAS LTD (A joint venture of GAIL &amp; BPCL) Pride Purple Coronet, 301-302, Second Floor, Baner Rd, Above Bata Showroom, Baner, Pune – 411045 TENDER FOR HIRING OF LAND ON OUTRIGHT PURCHASE/LONG TERM LEASE BASIS (MINIMUM 29 YEARS) FOR SETTING UP RETAIL OUTLET/CGS/PIG RECEIVER/WAREHOUSE IN THE HADAPSAR AREA OF PUNE GA. TENDER NO. MNGL/CP/2026-27/120 DATED :04.10.2024 Page 1 of 9 Tender For Hiring Land on Outright Purchase/Long-Term Lease Basis (Minimum 29 Years) for Setting up a Retail Outlet/CGS/Pig Receiver/Warehouse in the Hadapsar Area of Pune GA. MAHARASHTRA NATURAL GAS LIMITED Tender No.: MNGL/CP/2026-27/120 INVITATION OF BID (IFB) Tender No. MNGL/CP/2026-27/120 To, ________________________ ________________________ _______________</t>
        </is>
      </c>
      <c r="K2732" t="inlineStr">
        <is>
          <t>shall be measured through an authorized competent person and the payment shall be made by MNGL</t>
        </is>
      </c>
      <c r="L2732" t="inlineStr">
        <is>
          <t>Unknown</t>
        </is>
      </c>
      <c r="T2732" t="inlineStr">
        <is>
          <t>https://mngl.in/storage/193889/120_Tender-Document-for-CGS-in-Hadapsar-area-of-Pune-GA.pdf</t>
        </is>
      </c>
      <c r="U2732" t="inlineStr">
        <is>
          <t>Yes</t>
        </is>
      </c>
      <c r="V2732" t="inlineStr">
        <is>
          <t>Bot clean extraction (2026-10-05); meta:score=90;priority=High;source_type=html_table;closing_date=None;equipment=Regulating / metering station;quality_status=market_target;market_relevance=High;document_type=award;unit_price_inr=;amount_label=;matched_terms=Regulating / metering station;reject_reasons=employment/corporate;scope=market_intelligence_only;excluded_scope=no_bid_or_offer_submission_automation</t>
        </is>
      </c>
    </row>
    <row r="2733">
      <c r="A2733" t="inlineStr">
        <is>
          <t>T-2537</t>
        </is>
      </c>
      <c r="B2733" t="inlineStr">
        <is>
          <t>Indraprastha Gas (IGL)</t>
        </is>
      </c>
      <c r="C2733" t="inlineStr">
        <is>
          <t>Indraprastha Gas (IGL)</t>
        </is>
      </c>
      <c r="D2733" t="inlineStr">
        <is>
          <t>IGL/ET2/CP/CP18972</t>
        </is>
      </c>
      <c r="F2733" t="inlineStr">
        <is>
          <t>Docs Found</t>
        </is>
      </c>
      <c r="G2733" t="inlineStr">
        <is>
          <t>Regulating / metering station</t>
        </is>
      </c>
      <c r="H2733" t="inlineStr">
        <is>
          <t>CORRIGENDUM # 3 Tender Ref. No.: IGL/ET2/CP/CP18972 Tender date: 08.09.2026 Rate Contract for Procurement of Pressure Safety Valves Installed in FRS/MRS Across Delhi-NCR Owner: Indraprastha Gas Ltd. TENDER NO. IGL/ET2/CP/CP18972 dated 08.09.2026 Corrigendum Date: 08.10.2026 Sl. Tender Clause/ Para/ Section Description Amendment/ Addition/ Modification/ Deletion No. Page No. 1 8 of 89 Cl. no. 5.0 under Sec-I (IFB) Availability of tender document on website(s) Amendment From 08.09.2026 to 14.10.2026 2 8 of 89 Cl. no. 5.0 under Sec-I (IFB) Bid submission due date and time Amendment 14.10.2026 till 1430 hrs IST 3 8 of 89 Cl. no. 5.0 under Sec-I (IFB) Techno-commercial bid opening date and time Amendment 14.10.2026 at 1500 hrs IST Note: 1. All other terms &amp; conditions of tender document remain unaltered. 2. Bidders are requested to visit IGL website https://www.iglonline.net / IGL's tendering website https://igl.ewizard.in regularly for further announcement. 3. Bidders are requested to subm</t>
        </is>
      </c>
      <c r="K2733" t="inlineStr">
        <is>
          <t>Not found</t>
        </is>
      </c>
      <c r="L2733" t="inlineStr">
        <is>
          <t>Unknown</t>
        </is>
      </c>
      <c r="T2733" t="inlineStr">
        <is>
          <t>https://tenders.iglonline.net/uploads/tender/Corrigendum_ III_CP18972.pdf</t>
        </is>
      </c>
      <c r="U2733" t="inlineStr">
        <is>
          <t>Yes</t>
        </is>
      </c>
      <c r="V2733" t="inlineStr">
        <is>
          <t>Bot clean extraction (2026-10-09); meta:score=90;priority=High;source_type=html_table;closing_date=None;equipment=Regulating / metering station;quality_status=market_target;market_relevance=High;document_type=corrigendum;unit_price_inr=;amount_label=;matched_terms=Regulating / metering station;reject_reasons=employment/corporate;scope=market_intelligence_only;excluded_scope=no_bid_or_offer_submission_automation</t>
        </is>
      </c>
    </row>
    <row r="2734">
      <c r="A2734" t="inlineStr">
        <is>
          <t>T-2538</t>
        </is>
      </c>
      <c r="B2734" t="inlineStr">
        <is>
          <t>CPPP / eProcure</t>
        </is>
      </c>
      <c r="C2734" t="inlineStr">
        <is>
          <t>CPPP / eProcure</t>
        </is>
      </c>
      <c r="F2734" t="inlineStr">
        <is>
          <t>New Lead</t>
        </is>
      </c>
      <c r="G2734" t="inlineStr">
        <is>
          <t>Safety / shut-off equipment</t>
        </is>
      </c>
      <c r="H2734" t="inlineStr">
        <is>
          <t>8. Bid Auto Extn Corrigendum 2600003180 21-Oct-2026 03:00 PM 22-Oct-2026 03:30 PM</t>
        </is>
      </c>
      <c r="K2734" t="inlineStr">
        <is>
          <t>Not found</t>
        </is>
      </c>
      <c r="L2734" t="inlineStr">
        <is>
          <t>Unknown</t>
        </is>
      </c>
      <c r="T2734" t="inlineStr">
        <is>
          <t>https://www.etenders.gov.in/eprocure/app?component=%24DirectLink_0&amp;page=Home&amp;service=direct&amp;session=T&amp;sp=SSVhkL7CgpG8VzBv%2FZEXpfQ%3D%3D</t>
        </is>
      </c>
      <c r="U2734" t="inlineStr">
        <is>
          <t>HTML</t>
        </is>
      </c>
      <c r="V2734" t="inlineStr">
        <is>
          <t>Bot clean extraction (2026-10-14); meta:score=45;priority=Medium;source_type=html_table;closing_date=;equipment=Safety / shut-off equipment;quality_status=market_target;market_relevance=High;document_type=corrigendum;unit_price_inr=;amount_label=;matched_terms=Safety / shut-off equipment;reject_reasons=;scope=market_intelligence_only;excluded_scope=no_bid_or_offer_submission_automation</t>
        </is>
      </c>
    </row>
    <row r="2735">
      <c r="A2735" t="inlineStr">
        <is>
          <t>T-2539</t>
        </is>
      </c>
      <c r="B2735" t="inlineStr">
        <is>
          <t>CPPP / eProcure</t>
        </is>
      </c>
      <c r="C2735" t="inlineStr">
        <is>
          <t>CPPP / eProcure</t>
        </is>
      </c>
      <c r="F2735" t="inlineStr">
        <is>
          <t>New Lead</t>
        </is>
      </c>
      <c r="G2735" t="inlineStr">
        <is>
          <t>Regulating / metering station</t>
        </is>
      </c>
      <c r="H2735" t="inlineStr">
        <is>
          <t>5. Repair to Bitumen road at Ordnance Factory Hospital ,Ishapore. MSF/04/2026-27/CO 06-Nov-2026 04:00 PM 11-Nov-2026 04:00 PM</t>
        </is>
      </c>
      <c r="K2735" t="inlineStr">
        <is>
          <t>Not found</t>
        </is>
      </c>
      <c r="L2735" t="inlineStr">
        <is>
          <t>Unknown</t>
        </is>
      </c>
      <c r="T2735" t="inlineStr">
        <is>
          <t>https://www.etenders.gov.in/eprocure/app?component=%24DirectLink&amp;page=Home&amp;service=direct&amp;session=T&amp;sp=SkwxGFGQtR04Prsbq6Qhcqw%3D%3D</t>
        </is>
      </c>
      <c r="U2735" t="inlineStr">
        <is>
          <t>HTML</t>
        </is>
      </c>
      <c r="V2735" t="inlineStr">
        <is>
          <t>Bot clean extraction (2026-10-16); meta:score=90;priority=High;source_type=html_table;closing_date=;equipment=Regulating / metering station;quality_status=market_target;market_relevance=High;document_type=unknown;unit_price_inr=;amount_label=;matched_terms=Regulating / metering station;reject_reasons=;scope=market_intelligence_only;excluded_scope=no_bid_or_offer_submission_automation</t>
        </is>
      </c>
    </row>
  </sheetData>
  <conditionalFormatting sqref="F4:F500">
    <cfRule type="expression" priority="1" dxfId="0">
      <formula>F4="Awarded"</formula>
    </cfRule>
    <cfRule type="expression" priority="2" dxfId="4">
      <formula>F4="Docs Found"</formula>
    </cfRule>
    <cfRule type="expression" priority="3" dxfId="2">
      <formula>F4="Login Required"</formula>
    </cfRule>
  </conditionalFormatting>
  <dataValidations count="3">
    <dataValidation sqref="F4:F500" showDropDown="0" showInputMessage="0" showErrorMessage="0" allowBlank="0" type="list">
      <formula1>"To Search,Docs Found,Tech Extracted,Price Found,Awarded,No Result,Login Required"</formula1>
    </dataValidation>
    <dataValidation sqref="G4:G500" showDropDown="0" showInputMessage="0" showErrorMessage="0" allowBlank="0" type="list">
      <formula1>"Domestic Regulator,Service Regulator,Commercial Regulator,Industrial Regulator,Metering skid,MRS/DRS/FRS/PRS/CGS,Gas meters,Valve/SSV/Relief,Other"</formula1>
    </dataValidation>
    <dataValidation sqref="U4:U500" showDropDown="0" showInputMessage="0" showErrorMessage="0" allowBlank="0" type="list">
      <formula1>"Yes,No,Partial"</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cols>
    <col width="12" customWidth="1" min="1" max="1"/>
    <col width="22" customWidth="1" min="2" max="2"/>
    <col width="18" customWidth="1" min="3" max="3"/>
    <col width="18" customWidth="1" min="4" max="4"/>
    <col width="18" customWidth="1" min="5" max="5"/>
    <col width="18" customWidth="1" min="6" max="6"/>
    <col width="16" customWidth="1" min="7" max="7"/>
    <col width="16" customWidth="1" min="8" max="8"/>
    <col width="14" customWidth="1" min="9" max="9"/>
    <col width="14" customWidth="1" min="10" max="10"/>
    <col width="14" customWidth="1" min="11" max="11"/>
    <col width="14" customWidth="1" min="12" max="12"/>
    <col width="16" customWidth="1" min="13" max="13"/>
    <col width="16" customWidth="1" min="14" max="14"/>
    <col width="18" customWidth="1" min="15" max="15"/>
    <col width="20" customWidth="1" min="16" max="16"/>
    <col width="40" customWidth="1" min="17" max="17"/>
    <col width="32" customWidth="1" min="18" max="18"/>
  </cols>
  <sheetData>
    <row r="1" ht="24" customHeight="1">
      <c r="A1" s="5" t="inlineStr">
        <is>
          <t>05 Technical Database</t>
        </is>
      </c>
    </row>
    <row r="3" ht="30" customHeight="1">
      <c r="A3" s="15" t="inlineStr">
        <is>
          <t>Tender ID</t>
        </is>
      </c>
      <c r="B3" s="15" t="inlineStr">
        <is>
          <t>Product Segment</t>
        </is>
      </c>
      <c r="C3" s="15" t="inlineStr">
        <is>
          <t>Model/Type</t>
        </is>
      </c>
      <c r="D3" s="15" t="inlineStr">
        <is>
          <t>Inlet Pressure</t>
        </is>
      </c>
      <c r="E3" s="15" t="inlineStr">
        <is>
          <t>Outlet Pressure</t>
        </is>
      </c>
      <c r="F3" s="15" t="inlineStr">
        <is>
          <t>Capacity</t>
        </is>
      </c>
      <c r="G3" s="15" t="inlineStr">
        <is>
          <t>Accuracy Class</t>
        </is>
      </c>
      <c r="H3" s="15" t="inlineStr">
        <is>
          <t>Lock-up / SG</t>
        </is>
      </c>
      <c r="I3" s="15" t="inlineStr">
        <is>
          <t>OPSO</t>
        </is>
      </c>
      <c r="J3" s="15" t="inlineStr">
        <is>
          <t>UPSO</t>
        </is>
      </c>
      <c r="K3" s="15" t="inlineStr">
        <is>
          <t>Relief</t>
        </is>
      </c>
      <c r="L3" s="15" t="inlineStr">
        <is>
          <t>Monitor</t>
        </is>
      </c>
      <c r="M3" s="15" t="inlineStr">
        <is>
          <t>Body Material</t>
        </is>
      </c>
      <c r="N3" s="15" t="inlineStr">
        <is>
          <t>Connection</t>
        </is>
      </c>
      <c r="O3" s="15" t="inlineStr">
        <is>
          <t>Standard</t>
        </is>
      </c>
      <c r="P3" s="15" t="inlineStr">
        <is>
          <t>TPI / Certification</t>
        </is>
      </c>
      <c r="Q3" s="15" t="inlineStr">
        <is>
          <t>Source Page / URL</t>
        </is>
      </c>
      <c r="R3" s="15" t="inlineStr">
        <is>
          <t>Notes</t>
        </is>
      </c>
    </row>
    <row r="4">
      <c r="A4" s="10" t="inlineStr">
        <is>
          <t>T-0003</t>
        </is>
      </c>
      <c r="B4" s="10" t="inlineStr">
        <is>
          <t>Domestic Regulator</t>
        </is>
      </c>
      <c r="C4" s="10" t="inlineStr">
        <is>
          <t>To extract</t>
        </is>
      </c>
      <c r="D4" s="10" t="inlineStr">
        <is>
          <t>100 mbar</t>
        </is>
      </c>
      <c r="E4" s="10" t="inlineStr">
        <is>
          <t>21 mbar</t>
        </is>
      </c>
      <c r="F4" s="10" t="inlineStr">
        <is>
          <t>To extract</t>
        </is>
      </c>
      <c r="G4" s="10" t="inlineStr">
        <is>
          <t>To extract</t>
        </is>
      </c>
      <c r="H4" s="10" t="inlineStr">
        <is>
          <t>To extract</t>
        </is>
      </c>
      <c r="I4" s="10" t="inlineStr">
        <is>
          <t>To extract</t>
        </is>
      </c>
      <c r="J4" s="10" t="inlineStr">
        <is>
          <t>To extract</t>
        </is>
      </c>
      <c r="K4" s="10" t="inlineStr">
        <is>
          <t>To extract</t>
        </is>
      </c>
      <c r="L4" s="10" t="inlineStr">
        <is>
          <t>No/To extract</t>
        </is>
      </c>
      <c r="M4" s="10" t="inlineStr">
        <is>
          <t>To extract</t>
        </is>
      </c>
      <c r="N4" s="10" t="inlineStr">
        <is>
          <t>To extract</t>
        </is>
      </c>
      <c r="O4" s="10" t="inlineStr">
        <is>
          <t>To extract</t>
        </is>
      </c>
      <c r="P4" s="10" t="inlineStr">
        <is>
          <t>To extract</t>
        </is>
      </c>
      <c r="Q4" s="10" t="inlineStr">
        <is>
          <t>https://www.gasonet.in/files/Tender-%20Domestic%20Service%20Regulator.pdf</t>
        </is>
      </c>
      <c r="R4" s="10" t="inlineStr">
        <is>
          <t>Fill from datasheet</t>
        </is>
      </c>
    </row>
    <row r="5">
      <c r="A5" s="10" t="inlineStr">
        <is>
          <t>T-0003</t>
        </is>
      </c>
      <c r="B5" s="10" t="inlineStr">
        <is>
          <t>Service Regulator</t>
        </is>
      </c>
      <c r="C5" s="10" t="inlineStr">
        <is>
          <t>To extract</t>
        </is>
      </c>
      <c r="D5" s="10" t="inlineStr">
        <is>
          <t>To extract</t>
        </is>
      </c>
      <c r="E5" s="10" t="inlineStr">
        <is>
          <t>To extract</t>
        </is>
      </c>
      <c r="F5" s="10" t="inlineStr">
        <is>
          <t>10/25/50/100 SCMH?</t>
        </is>
      </c>
      <c r="G5" s="10" t="inlineStr">
        <is>
          <t>To extract</t>
        </is>
      </c>
      <c r="H5" s="10" t="inlineStr">
        <is>
          <t>To extract</t>
        </is>
      </c>
      <c r="I5" s="10" t="inlineStr">
        <is>
          <t>To extract</t>
        </is>
      </c>
      <c r="J5" s="10" t="inlineStr">
        <is>
          <t>To extract</t>
        </is>
      </c>
      <c r="K5" s="10" t="inlineStr">
        <is>
          <t>To extract</t>
        </is>
      </c>
      <c r="L5" s="10" t="inlineStr">
        <is>
          <t>To extract</t>
        </is>
      </c>
      <c r="M5" s="10" t="inlineStr">
        <is>
          <t>To extract</t>
        </is>
      </c>
      <c r="N5" s="10" t="inlineStr">
        <is>
          <t>To extract</t>
        </is>
      </c>
      <c r="O5" s="10" t="inlineStr">
        <is>
          <t>To extract</t>
        </is>
      </c>
      <c r="P5" s="10" t="inlineStr">
        <is>
          <t>To extract</t>
        </is>
      </c>
      <c r="Q5" s="10" t="inlineStr">
        <is>
          <t>https://www.gasonet.in/files/Tender-%20Domestic%20Service%20Regulator.pdf</t>
        </is>
      </c>
      <c r="R5" s="10" t="inlineStr">
        <is>
          <t>Important ESKA segment</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cols>
    <col width="12" customWidth="1" min="1" max="1"/>
    <col width="20" customWidth="1" min="2" max="2"/>
    <col width="10" customWidth="1" min="3" max="3"/>
    <col width="22" customWidth="1" min="4" max="4"/>
    <col width="18" customWidth="1" min="5" max="5"/>
    <col width="12" customWidth="1" min="6" max="6"/>
    <col width="24" customWidth="1" min="7" max="7"/>
    <col width="18" customWidth="1" min="8" max="8"/>
    <col width="16" customWidth="1" min="9" max="9"/>
    <col width="16" customWidth="1" min="10" max="10"/>
    <col width="16" customWidth="1" min="11" max="11"/>
    <col width="18" customWidth="1" min="12" max="12"/>
    <col width="12" customWidth="1" min="13" max="13"/>
    <col width="40" customWidth="1" min="14" max="14"/>
    <col width="36" customWidth="1" min="15" max="15"/>
  </cols>
  <sheetData>
    <row r="1" ht="24" customHeight="1">
      <c r="A1" s="5" t="inlineStr">
        <is>
          <t>06 Price Intelligence</t>
        </is>
      </c>
    </row>
    <row r="3" ht="30" customHeight="1">
      <c r="A3" s="15" t="inlineStr">
        <is>
          <t>Tender ID</t>
        </is>
      </c>
      <c r="B3" s="15" t="inlineStr">
        <is>
          <t>Company</t>
        </is>
      </c>
      <c r="C3" s="15" t="inlineStr">
        <is>
          <t>Year</t>
        </is>
      </c>
      <c r="D3" s="15" t="inlineStr">
        <is>
          <t>Product Segment</t>
        </is>
      </c>
      <c r="E3" s="15" t="inlineStr">
        <is>
          <t>Capacity</t>
        </is>
      </c>
      <c r="F3" s="15" t="inlineStr">
        <is>
          <t>Qty</t>
        </is>
      </c>
      <c r="G3" s="15" t="inlineStr">
        <is>
          <t>Winner</t>
        </is>
      </c>
      <c r="H3" s="15" t="inlineStr">
        <is>
          <t>Brand</t>
        </is>
      </c>
      <c r="I3" s="15" t="inlineStr">
        <is>
          <t>Total INR Basic</t>
        </is>
      </c>
      <c r="J3" s="15" t="inlineStr">
        <is>
          <t>Total EUR Basic</t>
        </is>
      </c>
      <c r="K3" s="15" t="inlineStr">
        <is>
          <t>Unit EUR Basic</t>
        </is>
      </c>
      <c r="L3" s="15" t="inlineStr">
        <is>
          <t>Unit EUR Incl GST</t>
        </is>
      </c>
      <c r="M3" s="15" t="inlineStr">
        <is>
          <t>Confidence</t>
        </is>
      </c>
      <c r="N3" s="15" t="inlineStr">
        <is>
          <t>Source URL</t>
        </is>
      </c>
      <c r="O3" s="15" t="inlineStr">
        <is>
          <t>Notes</t>
        </is>
      </c>
    </row>
    <row r="4">
      <c r="A4" s="10" t="inlineStr">
        <is>
          <t>T-0001</t>
        </is>
      </c>
      <c r="B4" s="10" t="inlineStr">
        <is>
          <t>GAIL India</t>
        </is>
      </c>
      <c r="C4" s="10" t="n">
        <v>2025</v>
      </c>
      <c r="D4" s="10" t="inlineStr">
        <is>
          <t>Metering skid</t>
        </is>
      </c>
      <c r="E4" s="10" t="inlineStr">
        <is>
          <t>RPD metering skid</t>
        </is>
      </c>
      <c r="F4" s="10" t="n">
        <v>3</v>
      </c>
      <c r="G4" s="10" t="inlineStr">
        <is>
          <t>Kimpex Flow Pvt. Ltd.</t>
        </is>
      </c>
      <c r="H4" s="10" t="inlineStr">
        <is>
          <t>Unknown</t>
        </is>
      </c>
      <c r="I4" s="10">
        <f>'04 Tender Register'!M4</f>
        <v/>
      </c>
      <c r="J4" s="10">
        <f>'04 Tender Register'!Q4</f>
        <v/>
      </c>
      <c r="K4" s="10">
        <f>'04 Tender Register'!R4</f>
        <v/>
      </c>
      <c r="L4" s="10">
        <f>'04 Tender Register'!S4</f>
        <v/>
      </c>
      <c r="M4" s="10" t="inlineStr">
        <is>
          <t>Medium</t>
        </is>
      </c>
      <c r="N4" s="10" t="inlineStr">
        <is>
          <t>https://gailtenders.in/Gailtenders/writereaddata/AOC/loa_20250806_102439.pdf</t>
        </is>
      </c>
      <c r="O4" s="10" t="inlineStr">
        <is>
          <t>Not regulator; useful skid benchmark</t>
        </is>
      </c>
    </row>
    <row r="5">
      <c r="A5" s="10" t="inlineStr">
        <is>
          <t>T-0003</t>
        </is>
      </c>
      <c r="B5" s="10" t="inlineStr">
        <is>
          <t>Gasonet</t>
        </is>
      </c>
      <c r="C5" s="10" t="n">
        <v>2024</v>
      </c>
      <c r="D5" s="10" t="inlineStr">
        <is>
          <t>Domestic + Service Regulator</t>
        </is>
      </c>
      <c r="E5" s="10" t="inlineStr">
        <is>
          <t>Mixed</t>
        </is>
      </c>
      <c r="F5" s="10" t="n">
        <v>938</v>
      </c>
      <c r="G5" s="10" t="inlineStr">
        <is>
          <t>Not found</t>
        </is>
      </c>
      <c r="H5" s="10" t="inlineStr">
        <is>
          <t>Unknown</t>
        </is>
      </c>
      <c r="I5" s="10" t="str"/>
      <c r="J5" s="10" t="str"/>
      <c r="K5" s="10" t="str"/>
      <c r="L5" s="10" t="str"/>
      <c r="M5" s="10" t="inlineStr">
        <is>
          <t>Low</t>
        </is>
      </c>
      <c r="N5" s="10" t="inlineStr">
        <is>
          <t>https://www.gasonet.in/files/Tender-%20Domestic%20Service%20Regulator.pdf</t>
        </is>
      </c>
      <c r="O5" s="10" t="inlineStr">
        <is>
          <t>Await price bid/award</t>
        </is>
      </c>
    </row>
    <row r="6">
      <c r="A6" s="10" t="inlineStr">
        <is>
          <t>T-0004</t>
        </is>
      </c>
      <c r="B6" s="10" t="inlineStr">
        <is>
          <t>Vadodara Gas</t>
        </is>
      </c>
      <c r="C6" s="10" t="n">
        <v>2025</v>
      </c>
      <c r="D6" s="10" t="inlineStr">
        <is>
          <t>Domestic Regulator</t>
        </is>
      </c>
      <c r="E6" s="10" t="inlineStr">
        <is>
          <t>Domestic</t>
        </is>
      </c>
      <c r="F6" s="10" t="n">
        <v>50000</v>
      </c>
      <c r="G6" s="10" t="inlineStr">
        <is>
          <t>Not found</t>
        </is>
      </c>
      <c r="H6" s="10" t="inlineStr">
        <is>
          <t>Unknown</t>
        </is>
      </c>
      <c r="I6" s="10" t="str"/>
      <c r="J6" s="10" t="str"/>
      <c r="K6" s="10" t="str"/>
      <c r="L6" s="10" t="str"/>
      <c r="M6" s="10" t="inlineStr">
        <is>
          <t>Low</t>
        </is>
      </c>
      <c r="N6" s="10" t="inlineStr">
        <is>
          <t>https://www.vgl.co.in/wp-content/uploads/2025/pdf/Replies-to-Bidders-Domestic-Regulator-P066-23-24-Additional.pdf</t>
        </is>
      </c>
      <c r="O6" s="10" t="inlineStr">
        <is>
          <t>Await award price</t>
        </is>
      </c>
    </row>
    <row r="7">
      <c r="A7" t="inlineStr">
        <is>
          <t>T-0037</t>
        </is>
      </c>
      <c r="B7" t="inlineStr">
        <is>
          <t>Indraprastha Gas (IGL)</t>
        </is>
      </c>
      <c r="C7" t="n">
        <v>2026</v>
      </c>
      <c r="G7" t="inlineStr">
        <is>
          <t>Oldham, Spectrex Detronics Honeywell Net</t>
        </is>
      </c>
      <c r="H7" t="inlineStr">
        <is>
          <t>Unknown</t>
        </is>
      </c>
      <c r="I7" t="n">
        <v>100</v>
      </c>
      <c r="M7" t="inlineStr">
        <is>
          <t>Medium</t>
        </is>
      </c>
      <c r="N7" t="inlineStr">
        <is>
          <t>https://www.iglonline.net/uploads/files/Tech_Specs.pdf</t>
        </is>
      </c>
      <c r="O7" t="inlineStr">
        <is>
          <t>Bot tarafindan tespit edildi, dogrulama gerekli</t>
        </is>
      </c>
    </row>
    <row r="8">
      <c r="A8" t="inlineStr">
        <is>
          <t>T-0041</t>
        </is>
      </c>
      <c r="B8" t="inlineStr">
        <is>
          <t>Indraprastha Gas (IGL)</t>
        </is>
      </c>
      <c r="C8" t="n">
        <v>2026</v>
      </c>
      <c r="G8" t="inlineStr">
        <is>
          <t>Not found</t>
        </is>
      </c>
      <c r="H8" t="inlineStr">
        <is>
          <t>Unknown</t>
        </is>
      </c>
      <c r="I8" t="n">
        <v>4</v>
      </c>
      <c r="M8" t="inlineStr">
        <is>
          <t>Low</t>
        </is>
      </c>
      <c r="N8" t="inlineStr">
        <is>
          <t>https://www.iglonline.net/uploads/files/Pre Tender Meet for 350 SCMH EMD packages.pdf</t>
        </is>
      </c>
      <c r="O8" t="inlineStr">
        <is>
          <t>Bot tarafindan tespit edildi, dogrulama gerekli</t>
        </is>
      </c>
    </row>
    <row r="9">
      <c r="A9" t="inlineStr">
        <is>
          <t>T-2514</t>
        </is>
      </c>
      <c r="B9" t="inlineStr">
        <is>
          <t>Indraprastha Gas (IGL)</t>
        </is>
      </c>
      <c r="C9" t="n">
        <v>2026</v>
      </c>
      <c r="D9" t="inlineStr">
        <is>
          <t>Service / pressure regulator</t>
        </is>
      </c>
      <c r="G9" t="inlineStr">
        <is>
          <t>of reciprocating ELECTRIC MOTOR Driven compressor packages of 1200 SCMH or higher capacity handling h</t>
        </is>
      </c>
      <c r="H9" t="inlineStr">
        <is>
          <t>Unknown</t>
        </is>
      </c>
      <c r="I9" t="n">
        <v>114122000</v>
      </c>
      <c r="M9" t="inlineStr">
        <is>
          <t>Medium</t>
        </is>
      </c>
      <c r="N9" t="inlineStr">
        <is>
          <t>https://www.iglonline.net/uploads/files/Tender Document for Pre Tender Meet_1200 EMD.pdf</t>
        </is>
      </c>
      <c r="O9" t="inlineStr">
        <is>
          <t>Bot clean extraction (2026-08-15); meta:score=10;priority=Low;source_type=html_table;closing_date=None;equipment=Service / pressure regulator;quality_status=market_target;market_relevance=High;document_type=award;unit_price_inr=;amount_label=currency_near_total;matched_terms=Service / pressure regulator,Regulating / metering station,Skid / gas train,Gas filter station / filter equipment,Safety / shut-off equipment;reject_reasons=employment/corporate,non-product service,retail/cng station noise,civil/electrical only;scope=market_intelligence_only;excluded_scope=no_bid_or_offer_submission_automation</t>
        </is>
      </c>
    </row>
    <row r="10">
      <c r="A10" t="inlineStr">
        <is>
          <t>T-2515</t>
        </is>
      </c>
      <c r="B10" t="inlineStr">
        <is>
          <t>Indraprastha Gas (IGL)</t>
        </is>
      </c>
      <c r="C10" t="n">
        <v>2026</v>
      </c>
      <c r="D10" t="inlineStr">
        <is>
          <t>Service / pressure regulator</t>
        </is>
      </c>
      <c r="G10" t="inlineStr">
        <is>
          <t>of reciprocating Gas Engine Driven compressor packages of 1200 SCMH or higher capacity handling hydro</t>
        </is>
      </c>
      <c r="H10" t="inlineStr">
        <is>
          <t>Unknown</t>
        </is>
      </c>
      <c r="I10" t="n">
        <v>133671000</v>
      </c>
      <c r="M10" t="inlineStr">
        <is>
          <t>Medium</t>
        </is>
      </c>
      <c r="N10" t="inlineStr">
        <is>
          <t>https://www.iglonline.net/uploads/files/Tender Document for PTM_1200 GED.pdf</t>
        </is>
      </c>
      <c r="O10" t="inlineStr">
        <is>
          <t>Bot clean extraction (2026-08-15); meta:score=10;priority=Low;source_type=html_table;closing_date=None;equipment=Service / pressure regulator;quality_status=market_target;market_relevance=High;document_type=award;unit_price_inr=;amount_label=currency_near_total;matched_terms=Service / pressure regulator,Regulating / metering station,Skid / gas train,Gas filter station / filter equipment,Safety / shut-off equipment;reject_reasons=employment/corporate,non-product service,retail/cng station noise;scope=market_intelligence_only;excluded_scope=no_bid_or_offer_submission_automation</t>
        </is>
      </c>
    </row>
    <row r="11">
      <c r="A11" t="inlineStr">
        <is>
          <t>T-2516</t>
        </is>
      </c>
      <c r="B11" t="inlineStr">
        <is>
          <t>Indian Oil Corporation (IOCL CGD)</t>
        </is>
      </c>
      <c r="C11" t="n">
        <v>2026</v>
      </c>
      <c r="D11" t="inlineStr">
        <is>
          <t>Regulating / metering station</t>
        </is>
      </c>
      <c r="F11" t="inlineStr">
        <is>
          <t>33000</t>
        </is>
      </c>
      <c r="G11" t="inlineStr">
        <is>
          <t>Not found</t>
        </is>
      </c>
      <c r="H11" t="inlineStr">
        <is>
          <t>Unknown</t>
        </is>
      </c>
      <c r="I11" t="n">
        <v>2000</v>
      </c>
      <c r="K11" t="n">
        <v>0.06060606060606061</v>
      </c>
      <c r="L11" t="n">
        <v>0.06060606060606061</v>
      </c>
      <c r="M11" t="inlineStr">
        <is>
          <t>Medium</t>
        </is>
      </c>
      <c r="N11" t="inlineStr">
        <is>
          <t>https://iocl.com/Contents/Upload/Future_Procurement_Plan25-26.pdf</t>
        </is>
      </c>
      <c r="O11" t="inlineStr">
        <is>
          <t>Bot clean extraction (2026-08-15); meta:score=100;priority=Low;source_type=html_link;closing_date=None;equipment=Regulating / metering station;quality_status=market_target;market_relevance=High;document_type=unknown;unit_price_inr=0.06060606060606061;amount_label=currency_near_total;matched_terms=Regulating / metering station,Skid / gas train,Gas filter station / filter equipment,Safety / shut-off equipment;reject_reasons=retail/cng station noise,civil/electrical only;scope=market_intelligence_only;excluded_scope=no_bid_or_offer_submission_automation</t>
        </is>
      </c>
    </row>
    <row r="12">
      <c r="A12" t="inlineStr">
        <is>
          <t>T-2517</t>
        </is>
      </c>
      <c r="B12" t="inlineStr">
        <is>
          <t>Indian Oil Corporation (IOCL CGD)</t>
        </is>
      </c>
      <c r="C12" t="n">
        <v>2026</v>
      </c>
      <c r="D12" t="inlineStr">
        <is>
          <t>Regulating / metering station</t>
        </is>
      </c>
      <c r="G12" t="inlineStr">
        <is>
          <t>etc.). However, existing Service Provider / Job Contractor / Labour Contractor will be eligible to ap</t>
        </is>
      </c>
      <c r="H12" t="inlineStr">
        <is>
          <t>Unknown</t>
        </is>
      </c>
      <c r="I12" t="n">
        <v>1500000</v>
      </c>
      <c r="M12" t="inlineStr">
        <is>
          <t>Medium</t>
        </is>
      </c>
      <c r="N12" t="inlineStr">
        <is>
          <t>https://iocl.com/uploads/Industry_COCO _SP_Selection_Brochure_05032026.pdf</t>
        </is>
      </c>
      <c r="O12" t="inlineStr">
        <is>
          <t>Bot clean extraction (2026-08-15); meta:score=60;priority=Low;source_type=html_link;closing_date=None;equipment=Regulating / metering station;quality_status=market_target;market_relevance=High;document_type=award;unit_price_inr=;amount_label=currency_near_total;matched_terms=Regulating / metering station;reject_reasons=employment/corporate,non-product service;scope=market_intelligence_only;excluded_scope=no_bid_or_offer_submission_automation</t>
        </is>
      </c>
    </row>
    <row r="13">
      <c r="A13" t="inlineStr">
        <is>
          <t>T-2536</t>
        </is>
      </c>
      <c r="B13" t="inlineStr">
        <is>
          <t>Maharashtra Natural Gas (MNGL)</t>
        </is>
      </c>
      <c r="C13" t="n">
        <v>2026</v>
      </c>
      <c r="D13" t="inlineStr">
        <is>
          <t>Regulating / metering station</t>
        </is>
      </c>
      <c r="G13" t="inlineStr">
        <is>
          <t>shall be measured through an authorized competent person and the payment shall be made by MNGL</t>
        </is>
      </c>
      <c r="H13" t="inlineStr">
        <is>
          <t>Unknown</t>
        </is>
      </c>
      <c r="M13" t="inlineStr">
        <is>
          <t>Medium</t>
        </is>
      </c>
      <c r="N13" t="inlineStr">
        <is>
          <t>https://mngl.in/storage/193889/120_Tender-Document-for-CGS-in-Hadapsar-area-of-Pune-GA.pdf</t>
        </is>
      </c>
      <c r="O13" t="inlineStr">
        <is>
          <t>Bot clean extraction (2026-10-05); meta:score=90;priority=High;source_type=html_table;closing_date=None;equipment=Regulating / metering station;quality_status=market_target;market_relevance=High;document_type=award;unit_price_inr=;amount_label=;matched_terms=Regulating / metering station;reject_reasons=employment/corporate;scope=market_intelligence_only;excluded_scope=no_bid_or_offer_submission_automation</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4" customWidth="1" min="1" max="1"/>
    <col width="16" customWidth="1" min="2" max="2"/>
    <col width="16" customWidth="1" min="3" max="3"/>
    <col width="32" customWidth="1" min="4" max="4"/>
    <col width="32" customWidth="1" min="5" max="5"/>
    <col width="12" customWidth="1" min="6" max="6"/>
    <col width="40" customWidth="1" min="7" max="7"/>
  </cols>
  <sheetData>
    <row r="1" ht="24" customHeight="1">
      <c r="A1" s="5" t="inlineStr">
        <is>
          <t>07 Competitor DB</t>
        </is>
      </c>
    </row>
    <row r="3" ht="30" customHeight="1">
      <c r="A3" s="15" t="inlineStr">
        <is>
          <t>Competitor</t>
        </is>
      </c>
      <c r="B3" s="15" t="inlineStr">
        <is>
          <t>Country</t>
        </is>
      </c>
      <c r="C3" s="15" t="inlineStr">
        <is>
          <t>Role</t>
        </is>
      </c>
      <c r="D3" s="15" t="inlineStr">
        <is>
          <t>Likely Segment</t>
        </is>
      </c>
      <c r="E3" s="15" t="inlineStr">
        <is>
          <t>Website</t>
        </is>
      </c>
      <c r="F3" s="15" t="inlineStr">
        <is>
          <t>Relevance</t>
        </is>
      </c>
      <c r="G3" s="15" t="inlineStr">
        <is>
          <t>Notes</t>
        </is>
      </c>
    </row>
    <row r="4">
      <c r="A4" s="10" t="inlineStr">
        <is>
          <t>Vanaz Engineers</t>
        </is>
      </c>
      <c r="B4" s="10" t="inlineStr">
        <is>
          <t>India</t>
        </is>
      </c>
      <c r="C4" s="10" t="inlineStr">
        <is>
          <t>OEM</t>
        </is>
      </c>
      <c r="D4" s="10" t="inlineStr">
        <is>
          <t>Domestic/service/industrial regulators</t>
        </is>
      </c>
      <c r="E4" s="10" t="inlineStr">
        <is>
          <t>https://vanaz.com</t>
        </is>
      </c>
      <c r="F4" s="10" t="inlineStr">
        <is>
          <t>High</t>
        </is>
      </c>
      <c r="G4" s="10" t="inlineStr">
        <is>
          <t>Frequently seen in Indian gas market</t>
        </is>
      </c>
    </row>
    <row r="5">
      <c r="A5" s="10" t="inlineStr">
        <is>
          <t>Pietro Fiorentini</t>
        </is>
      </c>
      <c r="B5" s="10" t="inlineStr">
        <is>
          <t>Italy/India</t>
        </is>
      </c>
      <c r="C5" s="10" t="inlineStr">
        <is>
          <t>OEM</t>
        </is>
      </c>
      <c r="D5" s="10" t="inlineStr">
        <is>
          <t>Industrial/service regulators, stations</t>
        </is>
      </c>
      <c r="E5" s="10" t="inlineStr">
        <is>
          <t>https://www.fiorentini.com</t>
        </is>
      </c>
      <c r="F5" s="10" t="inlineStr">
        <is>
          <t>High</t>
        </is>
      </c>
      <c r="G5" s="10" t="inlineStr">
        <is>
          <t>Strong C&amp;I/PRS/MRS competitor</t>
        </is>
      </c>
    </row>
    <row r="6">
      <c r="A6" s="10" t="inlineStr">
        <is>
          <t>Honeywell / Elster</t>
        </is>
      </c>
      <c r="B6" s="10" t="inlineStr">
        <is>
          <t>USA/India</t>
        </is>
      </c>
      <c r="C6" s="10" t="inlineStr">
        <is>
          <t>OEM</t>
        </is>
      </c>
      <c r="D6" s="10" t="inlineStr">
        <is>
          <t>Meters/regulators</t>
        </is>
      </c>
      <c r="E6" s="10" t="inlineStr">
        <is>
          <t>https://process.honeywell.com</t>
        </is>
      </c>
      <c r="F6" s="10" t="inlineStr">
        <is>
          <t>Medium</t>
        </is>
      </c>
      <c r="G6" s="10" t="inlineStr">
        <is>
          <t>Often in meter/regulator ecosystem</t>
        </is>
      </c>
    </row>
    <row r="7">
      <c r="A7" s="10" t="inlineStr">
        <is>
          <t>Itron</t>
        </is>
      </c>
      <c r="B7" s="10" t="inlineStr">
        <is>
          <t>USA/India</t>
        </is>
      </c>
      <c r="C7" s="10" t="inlineStr">
        <is>
          <t>OEM</t>
        </is>
      </c>
      <c r="D7" s="10" t="inlineStr">
        <is>
          <t>Meters/regulators</t>
        </is>
      </c>
      <c r="E7" s="10" t="inlineStr">
        <is>
          <t>https://www.itron.com</t>
        </is>
      </c>
      <c r="F7" s="10" t="inlineStr">
        <is>
          <t>Medium</t>
        </is>
      </c>
      <c r="G7" s="10" t="inlineStr">
        <is>
          <t>Domestic/commercial gas ecosystem</t>
        </is>
      </c>
    </row>
    <row r="8">
      <c r="A8" s="10" t="inlineStr">
        <is>
          <t>Mesura Nirmal Gas Controls</t>
        </is>
      </c>
      <c r="B8" s="10" t="inlineStr">
        <is>
          <t>India</t>
        </is>
      </c>
      <c r="C8" s="10" t="inlineStr">
        <is>
          <t>OEM</t>
        </is>
      </c>
      <c r="D8" s="10" t="inlineStr">
        <is>
          <t>Domestic/service regulators</t>
        </is>
      </c>
      <c r="E8" s="10" t="inlineStr">
        <is>
          <t>https://mesura.in</t>
        </is>
      </c>
      <c r="F8" s="10" t="inlineStr">
        <is>
          <t>High</t>
        </is>
      </c>
      <c r="G8" s="10" t="inlineStr">
        <is>
          <t>Indian regulator competitor</t>
        </is>
      </c>
    </row>
    <row r="9">
      <c r="A9" s="10" t="inlineStr">
        <is>
          <t>Kabsons Gas Equipment</t>
        </is>
      </c>
      <c r="B9" s="10" t="inlineStr">
        <is>
          <t>India</t>
        </is>
      </c>
      <c r="C9" s="10" t="inlineStr">
        <is>
          <t>OEM</t>
        </is>
      </c>
      <c r="D9" s="10" t="inlineStr">
        <is>
          <t>Domestic regulators</t>
        </is>
      </c>
      <c r="E9" s="10" t="inlineStr">
        <is>
          <t>https://kabsons.com</t>
        </is>
      </c>
      <c r="F9" s="10" t="inlineStr">
        <is>
          <t>High</t>
        </is>
      </c>
      <c r="G9" s="10" t="inlineStr">
        <is>
          <t>Awarded domestic regulator source found</t>
        </is>
      </c>
    </row>
    <row r="10">
      <c r="A10" s="10" t="inlineStr">
        <is>
          <t>Prabha Electronics</t>
        </is>
      </c>
      <c r="B10" s="10" t="inlineStr">
        <is>
          <t>India</t>
        </is>
      </c>
      <c r="C10" s="10" t="inlineStr">
        <is>
          <t>Supplier/OEM</t>
        </is>
      </c>
      <c r="D10" s="10" t="inlineStr">
        <is>
          <t>Domestic regulators/meters</t>
        </is>
      </c>
      <c r="E10" s="10" t="inlineStr">
        <is>
          <t>To verify</t>
        </is>
      </c>
      <c r="F10" s="10" t="inlineStr">
        <is>
          <t>Medium</t>
        </is>
      </c>
      <c r="G10" s="10" t="inlineStr">
        <is>
          <t>Award source found in tender portals</t>
        </is>
      </c>
    </row>
    <row r="11">
      <c r="A11" s="10" t="inlineStr">
        <is>
          <t>Madas</t>
        </is>
      </c>
      <c r="B11" s="10" t="inlineStr">
        <is>
          <t>Italy</t>
        </is>
      </c>
      <c r="C11" s="10" t="inlineStr">
        <is>
          <t>OEM</t>
        </is>
      </c>
      <c r="D11" s="10" t="inlineStr">
        <is>
          <t>Gas regulators/filters/SSV</t>
        </is>
      </c>
      <c r="E11" s="10" t="inlineStr">
        <is>
          <t>https://www.madas.it</t>
        </is>
      </c>
      <c r="F11" s="10" t="inlineStr">
        <is>
          <t>Medium</t>
        </is>
      </c>
      <c r="G11" s="10" t="inlineStr">
        <is>
          <t>Possible imported competitor</t>
        </is>
      </c>
    </row>
    <row r="12">
      <c r="A12" s="10" t="inlineStr">
        <is>
          <t>Emerson / Fisher</t>
        </is>
      </c>
      <c r="B12" s="10" t="inlineStr">
        <is>
          <t>USA/India</t>
        </is>
      </c>
      <c r="C12" s="10" t="inlineStr">
        <is>
          <t>OEM</t>
        </is>
      </c>
      <c r="D12" s="10" t="inlineStr">
        <is>
          <t>Industrial regulators</t>
        </is>
      </c>
      <c r="E12" s="10" t="inlineStr">
        <is>
          <t>https://www.emerson.com</t>
        </is>
      </c>
      <c r="F12" s="10" t="inlineStr">
        <is>
          <t>Medium</t>
        </is>
      </c>
      <c r="G12" s="10" t="inlineStr">
        <is>
          <t>Industrial/PRS segment</t>
        </is>
      </c>
    </row>
    <row r="13">
      <c r="A13" s="10" t="inlineStr">
        <is>
          <t>Kromschroeder / Honeywell</t>
        </is>
      </c>
      <c r="B13" s="10" t="inlineStr">
        <is>
          <t>Germany/USA</t>
        </is>
      </c>
      <c r="C13" s="10" t="inlineStr">
        <is>
          <t>OEM</t>
        </is>
      </c>
      <c r="D13" s="10" t="inlineStr">
        <is>
          <t>Gas controls</t>
        </is>
      </c>
      <c r="E13" s="10" t="inlineStr">
        <is>
          <t>https://process.honeywell.com</t>
        </is>
      </c>
      <c r="F13" s="10" t="inlineStr">
        <is>
          <t>Medium</t>
        </is>
      </c>
      <c r="G13" s="10" t="inlineStr">
        <is>
          <t>Gas train components</t>
        </is>
      </c>
    </row>
    <row r="14">
      <c r="A14" s="10" t="inlineStr">
        <is>
          <t>ESKA Valve</t>
        </is>
      </c>
      <c r="B14" s="10" t="inlineStr">
        <is>
          <t>Türkiye</t>
        </is>
      </c>
      <c r="C14" s="10" t="inlineStr">
        <is>
          <t>OEM</t>
        </is>
      </c>
      <c r="D14" s="10" t="inlineStr">
        <is>
          <t>Domestic/service/industrial regulators</t>
        </is>
      </c>
      <c r="E14" s="10" t="inlineStr">
        <is>
          <t>https://eskavalve.com</t>
        </is>
      </c>
      <c r="F14" s="10" t="inlineStr">
        <is>
          <t>Target</t>
        </is>
      </c>
      <c r="G14" s="10" t="inlineStr">
        <is>
          <t>Our benchmark row</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44"/>
  <sheetViews>
    <sheetView workbookViewId="0">
      <selection activeCell="A1" sqref="A1"/>
    </sheetView>
  </sheetViews>
  <sheetFormatPr baseColWidth="8" defaultRowHeight="15"/>
  <cols>
    <col width="28" customWidth="1" min="1" max="1"/>
    <col width="56" customWidth="1" min="2" max="2"/>
    <col width="70" customWidth="1" min="3" max="3"/>
  </cols>
  <sheetData>
    <row r="1" ht="24" customHeight="1">
      <c r="A1" s="5" t="inlineStr">
        <is>
          <t>08 Source Log</t>
        </is>
      </c>
    </row>
    <row r="3" ht="30" customHeight="1">
      <c r="A3" s="15" t="inlineStr">
        <is>
          <t>Source</t>
        </is>
      </c>
      <c r="B3" s="15" t="inlineStr">
        <is>
          <t>Use</t>
        </is>
      </c>
      <c r="C3" s="15" t="inlineStr">
        <is>
          <t>URL</t>
        </is>
      </c>
    </row>
    <row r="4">
      <c r="A4" s="10" t="inlineStr">
        <is>
          <t>PNGRB CGD authorisation list</t>
        </is>
      </c>
      <c r="B4" s="10" t="inlineStr">
        <is>
          <t>Official regulator list for GA/entity mapping</t>
        </is>
      </c>
      <c r="C4" s="10" t="inlineStr">
        <is>
          <t>https://pngrb.gov.in/eng-web/cgd-auth.html</t>
        </is>
      </c>
    </row>
    <row r="5">
      <c r="A5" s="10" t="inlineStr">
        <is>
          <t>PNGRB State and Entity-wise PDF</t>
        </is>
      </c>
      <c r="B5" s="10" t="inlineStr">
        <is>
          <t>Entity-wise list of GAs</t>
        </is>
      </c>
      <c r="C5" s="10" t="inlineStr">
        <is>
          <t>https://pngrb.gov.in/pdf/faqs/List_entities_with_States%26GA%27s.pdf</t>
        </is>
      </c>
    </row>
    <row r="6">
      <c r="A6" s="10" t="inlineStr">
        <is>
          <t>Gujarat Gas Tenders</t>
        </is>
      </c>
      <c r="B6" s="10" t="inlineStr">
        <is>
          <t>Official tender page; nProcure instructions</t>
        </is>
      </c>
      <c r="C6" s="10" t="inlineStr">
        <is>
          <t>https://www.gujaratgas.com/tenders/</t>
        </is>
      </c>
    </row>
    <row r="7">
      <c r="A7" s="10" t="inlineStr">
        <is>
          <t>Torrent Gas Vendor Registration</t>
        </is>
      </c>
      <c r="B7" s="10" t="inlineStr">
        <is>
          <t>Vendor page and procurement email</t>
        </is>
      </c>
      <c r="C7" s="10" t="inlineStr">
        <is>
          <t>https://www.torrentgas.com/User/Info/Vendor</t>
        </is>
      </c>
    </row>
    <row r="8">
      <c r="A8" s="10" t="inlineStr">
        <is>
          <t>GAIL Gas Vendor Zone</t>
        </is>
      </c>
      <c r="B8" s="10" t="inlineStr">
        <is>
          <t>Tender information/vendor zone</t>
        </is>
      </c>
      <c r="C8" s="10" t="inlineStr">
        <is>
          <t>https://gailgas.com/stakeholder-zone/vendor-zone</t>
        </is>
      </c>
    </row>
    <row r="9">
      <c r="A9" s="10" t="inlineStr">
        <is>
          <t>IGL Tender Portal</t>
        </is>
      </c>
      <c r="B9" s="10" t="inlineStr">
        <is>
          <t>Active tenders and vendor portal</t>
        </is>
      </c>
      <c r="C9" s="10" t="inlineStr">
        <is>
          <t>https://tenders.iglonline.net/tenderList</t>
        </is>
      </c>
    </row>
    <row r="10">
      <c r="A10" s="10" t="inlineStr">
        <is>
          <t>MNGL Active Tenders</t>
        </is>
      </c>
      <c r="B10" s="10" t="inlineStr">
        <is>
          <t>Active tenders page</t>
        </is>
      </c>
      <c r="C10" s="10" t="inlineStr">
        <is>
          <t>https://mngl.in/active-tenders</t>
        </is>
      </c>
    </row>
    <row r="11">
      <c r="A11" s="10" t="inlineStr">
        <is>
          <t>MNGL Instructions</t>
        </is>
      </c>
      <c r="B11" s="10" t="inlineStr">
        <is>
          <t>CPPP/DSC online bid instructions</t>
        </is>
      </c>
      <c r="C11" s="10" t="inlineStr">
        <is>
          <t>https://mngl.in/vendor/instructions-to-bridders</t>
        </is>
      </c>
    </row>
    <row r="12">
      <c r="A12" s="10" t="inlineStr">
        <is>
          <t>Gasonet Tenders</t>
        </is>
      </c>
      <c r="B12" s="10" t="inlineStr">
        <is>
          <t>Gasonet official tender page</t>
        </is>
      </c>
      <c r="C12" s="10" t="inlineStr">
        <is>
          <t>https://www.gasonet.in/tenders.html</t>
        </is>
      </c>
    </row>
    <row r="13">
      <c r="A13" s="10" t="inlineStr">
        <is>
          <t>Gasonet Regulator PDF</t>
        </is>
      </c>
      <c r="B13" s="10" t="inlineStr">
        <is>
          <t>Domestic and service regulator tender PDF</t>
        </is>
      </c>
      <c r="C13" s="10" t="inlineStr">
        <is>
          <t>https://www.gasonet.in/files/Tender-%20Domestic%20Service%20Regulator.pdf</t>
        </is>
      </c>
    </row>
    <row r="14">
      <c r="A14" s="10" t="inlineStr">
        <is>
          <t>CPPP/eProcure</t>
        </is>
      </c>
      <c r="B14" s="10" t="inlineStr">
        <is>
          <t>Central eProcurement portal</t>
        </is>
      </c>
      <c r="C14" s="10" t="inlineStr">
        <is>
          <t>https://www.etenders.gov.in/eprocure/app</t>
        </is>
      </c>
    </row>
    <row r="15">
      <c r="A15" s="10" t="inlineStr">
        <is>
          <t>Adani Total Gas Commercials</t>
        </is>
      </c>
      <c r="B15" s="10" t="inlineStr">
        <is>
          <t>Vendor registration/tender/EOI page</t>
        </is>
      </c>
      <c r="C15" s="10" t="inlineStr">
        <is>
          <t>https://www.adanigas.com/commercials</t>
        </is>
      </c>
    </row>
    <row r="16">
      <c r="A16" s="10" t="inlineStr">
        <is>
          <t>IOAGPL Vendor Registration</t>
        </is>
      </c>
      <c r="B16" s="10" t="inlineStr">
        <is>
          <t>Vendor registration form and requirements</t>
        </is>
      </c>
      <c r="C16" s="10" t="inlineStr">
        <is>
          <t>https://ioagpl.com/vendor-registration-form/</t>
        </is>
      </c>
    </row>
    <row r="17">
      <c r="A17" s="10" t="inlineStr">
        <is>
          <t>IOCL CGD page</t>
        </is>
      </c>
      <c r="B17" s="10" t="inlineStr">
        <is>
          <t>IndianOil CGD presence and GA count</t>
        </is>
      </c>
      <c r="C17" s="10" t="inlineStr">
        <is>
          <t>https://iocl.com/pages/cgd</t>
        </is>
      </c>
    </row>
    <row r="18">
      <c r="A18" s="10" t="inlineStr">
        <is>
          <t>BPCL CGD page</t>
        </is>
      </c>
      <c r="B18" s="10" t="inlineStr">
        <is>
          <t>BPCL CGD business overview</t>
        </is>
      </c>
      <c r="C18" s="10" t="inlineStr">
        <is>
          <t>https://bharatpetroleum.in/bharat-petroleum-for/our-businesses/gas/city-gas-distribution</t>
        </is>
      </c>
    </row>
    <row r="19">
      <c r="A19" s="10" t="inlineStr">
        <is>
          <t>Parliament question annex 2025</t>
        </is>
      </c>
      <c r="B19" s="10" t="inlineStr">
        <is>
          <t>CGD network status and GA coverage info</t>
        </is>
      </c>
      <c r="C19" s="10" t="inlineStr">
        <is>
          <t>https://sansad.in/getFile/annex/268/AS88_3wbG6t.pdf?source=pqars</t>
        </is>
      </c>
    </row>
    <row r="20">
      <c r="A20" t="inlineStr">
        <is>
          <t>2026-07-01 09:07</t>
        </is>
      </c>
      <c r="B20" t="inlineStr">
        <is>
          <t>Otomatik tarama: 2094 yeni ihale, 2 yeni fiyat kaydi</t>
        </is>
      </c>
      <c r="C20" t="inlineStr">
        <is>
          <t>bot</t>
        </is>
      </c>
    </row>
    <row r="21">
      <c r="A21" t="inlineStr">
        <is>
          <t>2026-07-01 09:22</t>
        </is>
      </c>
      <c r="B21" t="inlineStr">
        <is>
          <t>Otomatik tarama: 0 yeni ihale, 0 yeni fiyat kaydi</t>
        </is>
      </c>
      <c r="C21" t="inlineStr">
        <is>
          <t>bot</t>
        </is>
      </c>
    </row>
    <row r="22">
      <c r="A22" t="inlineStr">
        <is>
          <t>2026-07-01 09:38</t>
        </is>
      </c>
      <c r="B22" t="inlineStr">
        <is>
          <t>Otomatik tarama: 0 yeni ihale, 0 yeni fiyat kaydi</t>
        </is>
      </c>
      <c r="C22" t="inlineStr">
        <is>
          <t>bot</t>
        </is>
      </c>
    </row>
    <row r="23">
      <c r="A23" t="inlineStr">
        <is>
          <t>2026-07-01 10:21</t>
        </is>
      </c>
      <c r="B23" t="inlineStr">
        <is>
          <t>Otomatik tarama: 0 yeni ihale, 0 yeni fiyat kaydi</t>
        </is>
      </c>
      <c r="C23" t="inlineStr">
        <is>
          <t>bot</t>
        </is>
      </c>
    </row>
    <row r="24">
      <c r="A24" t="inlineStr">
        <is>
          <t>2026-07-01 10:55</t>
        </is>
      </c>
      <c r="B24" t="inlineStr">
        <is>
          <t>Otomatik tarama: 84 yeni ihale, 0 yeni fiyat kaydi, 362 mevcut satir zenginlestirildi</t>
        </is>
      </c>
      <c r="C24" t="inlineStr">
        <is>
          <t>bot</t>
        </is>
      </c>
    </row>
    <row r="25">
      <c r="A25" t="inlineStr">
        <is>
          <t>2026-07-01 11:19</t>
        </is>
      </c>
      <c r="B25" t="inlineStr">
        <is>
          <t>Otomatik tarama: 45 yeni ihale, 0 yeni fiyat kaydi, 736 satir zenginlestirildi</t>
        </is>
      </c>
      <c r="C25" t="inlineStr">
        <is>
          <t>bot</t>
        </is>
      </c>
    </row>
    <row r="26">
      <c r="A26" t="inlineStr">
        <is>
          <t>2026-07-01 11:56</t>
        </is>
      </c>
      <c r="B26" t="inlineStr">
        <is>
          <t>Otomatik tarama: 15 yeni ihale, 0 yeni fiyat kaydi, 42 satir zenginlestirildi</t>
        </is>
      </c>
      <c r="C26" t="inlineStr">
        <is>
          <t>bot</t>
        </is>
      </c>
    </row>
    <row r="27">
      <c r="A27" t="inlineStr">
        <is>
          <t>2026-07-01 12:45</t>
        </is>
      </c>
      <c r="B27" t="inlineStr">
        <is>
          <t>Otomatik tarama: 266 yeni ihale, 0 yeni fiyat kaydi, 11 satir zenginlestirildi</t>
        </is>
      </c>
      <c r="C27" t="inlineStr">
        <is>
          <t>bot</t>
        </is>
      </c>
    </row>
    <row r="28">
      <c r="A28" t="inlineStr">
        <is>
          <t>2026-07-01 13:29</t>
        </is>
      </c>
      <c r="B28" t="inlineStr">
        <is>
          <t>Clean tarama: 0 yeni ihale, 0 yeni fiyat kaydi, 127 zenginlestirme, 290 non-target atlandi</t>
        </is>
      </c>
      <c r="C28" t="inlineStr">
        <is>
          <t>bot</t>
        </is>
      </c>
    </row>
    <row r="29">
      <c r="A29" t="inlineStr">
        <is>
          <t>2026-07-02 08:16</t>
        </is>
      </c>
      <c r="B29" t="inlineStr">
        <is>
          <t>Clean tarama: 0 yeni ihale, 0 yeni fiyat kaydi, 0 zenginlestirme, 140 non-target atlandi</t>
        </is>
      </c>
      <c r="C29" t="inlineStr">
        <is>
          <t>bot</t>
        </is>
      </c>
    </row>
    <row r="30">
      <c r="A30" t="inlineStr">
        <is>
          <t>2026-07-03 08:11</t>
        </is>
      </c>
      <c r="B30" t="inlineStr">
        <is>
          <t>Clean tarama: 0 yeni ihale, 0 yeni fiyat kaydi, 0 zenginlestirme, 140 non-target atlandi</t>
        </is>
      </c>
      <c r="C30" t="inlineStr">
        <is>
          <t>bot</t>
        </is>
      </c>
    </row>
    <row r="31">
      <c r="A31" t="inlineStr">
        <is>
          <t>2026-07-04 07:51</t>
        </is>
      </c>
      <c r="B31" t="inlineStr">
        <is>
          <t>Clean tarama: 0 yeni ihale, 0 yeni fiyat kaydi, 0 zenginlestirme, 140 non-target atlandi</t>
        </is>
      </c>
      <c r="C31" t="inlineStr">
        <is>
          <t>bot</t>
        </is>
      </c>
    </row>
    <row r="32">
      <c r="A32" t="inlineStr">
        <is>
          <t>2026-07-05 08:08</t>
        </is>
      </c>
      <c r="B32" t="inlineStr">
        <is>
          <t>Clean tarama: 0 yeni ihale, 0 yeni fiyat kaydi, 0 zenginlestirme, 140 non-target atlandi</t>
        </is>
      </c>
      <c r="C32" t="inlineStr">
        <is>
          <t>bot</t>
        </is>
      </c>
    </row>
    <row r="33">
      <c r="A33" t="inlineStr">
        <is>
          <t>2026-07-06 09:07</t>
        </is>
      </c>
      <c r="B33" t="inlineStr">
        <is>
          <t>Clean tarama: 0 yeni ihale, 0 yeni fiyat kaydi, 0 zenginlestirme, 140 non-target atlandi</t>
        </is>
      </c>
      <c r="C33" t="inlineStr">
        <is>
          <t>bot</t>
        </is>
      </c>
    </row>
    <row r="34">
      <c r="A34" t="inlineStr">
        <is>
          <t>2026-07-07 08:30</t>
        </is>
      </c>
      <c r="B34" t="inlineStr">
        <is>
          <t>Clean tarama: 0 yeni ihale, 0 yeni fiyat kaydi, 0 zenginlestirme, 140 non-target atlandi</t>
        </is>
      </c>
      <c r="C34" t="inlineStr">
        <is>
          <t>bot</t>
        </is>
      </c>
    </row>
    <row r="35">
      <c r="A35" t="inlineStr">
        <is>
          <t>2026-07-08 07:36</t>
        </is>
      </c>
      <c r="B35" t="inlineStr">
        <is>
          <t>Clean tarama: 0 yeni ihale, 0 yeni fiyat kaydi, 0 zenginlestirme, 140 non-target atlandi</t>
        </is>
      </c>
      <c r="C35" t="inlineStr">
        <is>
          <t>bot</t>
        </is>
      </c>
    </row>
    <row r="36">
      <c r="A36" t="inlineStr">
        <is>
          <t>2026-07-09 08:35</t>
        </is>
      </c>
      <c r="B36" t="inlineStr">
        <is>
          <t>Clean tarama: 0 yeni ihale, 0 yeni fiyat kaydi, 3 zenginlestirme, 136 non-target atlandi</t>
        </is>
      </c>
      <c r="C36" t="inlineStr">
        <is>
          <t>bot</t>
        </is>
      </c>
    </row>
    <row r="37">
      <c r="A37" t="inlineStr">
        <is>
          <t>2026-07-10 08:31</t>
        </is>
      </c>
      <c r="B37" t="inlineStr">
        <is>
          <t>Clean tarama: 0 yeni ihale, 0 yeni fiyat kaydi, 0 zenginlestirme, 140 non-target atlandi</t>
        </is>
      </c>
      <c r="C37" t="inlineStr">
        <is>
          <t>bot</t>
        </is>
      </c>
    </row>
    <row r="38">
      <c r="A38" t="inlineStr">
        <is>
          <t>2026-07-11 07:17</t>
        </is>
      </c>
      <c r="B38" t="inlineStr">
        <is>
          <t>Clean tarama: 0 yeni ihale, 0 yeni fiyat kaydi, 0 zenginlestirme, 140 non-target atlandi</t>
        </is>
      </c>
      <c r="C38" t="inlineStr">
        <is>
          <t>bot</t>
        </is>
      </c>
    </row>
    <row r="39">
      <c r="A39" t="inlineStr">
        <is>
          <t>2026-07-12 07:29</t>
        </is>
      </c>
      <c r="B39" t="inlineStr">
        <is>
          <t>Clean tarama: 0 yeni ihale, 0 yeni fiyat kaydi, 0 zenginlestirme, 130 non-target atlandi</t>
        </is>
      </c>
      <c r="C39" t="inlineStr">
        <is>
          <t>bot</t>
        </is>
      </c>
    </row>
    <row r="40">
      <c r="A40" t="inlineStr">
        <is>
          <t>2026-07-13 08:18</t>
        </is>
      </c>
      <c r="B40" t="inlineStr">
        <is>
          <t>Clean tarama: 0 yeni ihale, 0 yeni fiyat kaydi, 0 zenginlestirme, 140 non-target atlandi</t>
        </is>
      </c>
      <c r="C40" t="inlineStr">
        <is>
          <t>bot</t>
        </is>
      </c>
    </row>
    <row r="41">
      <c r="A41" t="inlineStr">
        <is>
          <t>2026-07-14 07:21</t>
        </is>
      </c>
      <c r="B41" t="inlineStr">
        <is>
          <t>Clean tarama: 0 yeni ihale, 0 yeni fiyat kaydi, 0 zenginlestirme, 136 non-target atlandi</t>
        </is>
      </c>
      <c r="C41" t="inlineStr">
        <is>
          <t>bot</t>
        </is>
      </c>
    </row>
    <row r="42">
      <c r="A42" t="inlineStr">
        <is>
          <t>2026-07-15 07:17</t>
        </is>
      </c>
      <c r="B42" t="inlineStr">
        <is>
          <t>Clean tarama: 0 yeni ihale, 0 yeni fiyat kaydi, 0 zenginlestirme, 140 non-target atlandi</t>
        </is>
      </c>
      <c r="C42" t="inlineStr">
        <is>
          <t>bot</t>
        </is>
      </c>
    </row>
    <row r="43">
      <c r="A43" t="inlineStr">
        <is>
          <t>2026-07-16 07:29</t>
        </is>
      </c>
      <c r="B43" t="inlineStr">
        <is>
          <t>Clean tarama: 1 yeni ihale, 0 yeni fiyat kaydi, 0 zenginlestirme, 108 non-target atlandi</t>
        </is>
      </c>
      <c r="C43" t="inlineStr">
        <is>
          <t>bot</t>
        </is>
      </c>
    </row>
    <row r="44">
      <c r="A44" t="inlineStr">
        <is>
          <t>2026-07-17 07:26</t>
        </is>
      </c>
      <c r="B44" t="inlineStr">
        <is>
          <t>Clean tarama: 0 yeni ihale, 0 yeni fiyat kaydi, 0 zenginlestirme, 140 non-target atlandi</t>
        </is>
      </c>
      <c r="C44" t="inlineStr">
        <is>
          <t>bot</t>
        </is>
      </c>
    </row>
    <row r="45">
      <c r="A45" t="inlineStr">
        <is>
          <t>2026-07-18 06:57</t>
        </is>
      </c>
      <c r="B45" t="inlineStr">
        <is>
          <t>Clean tarama: 0 yeni ihale, 0 yeni fiyat kaydi, 0 zenginlestirme, 130 non-target atlandi</t>
        </is>
      </c>
      <c r="C45" t="inlineStr">
        <is>
          <t>bot</t>
        </is>
      </c>
    </row>
    <row r="46">
      <c r="A46" t="inlineStr">
        <is>
          <t>2026-07-19 07:38</t>
        </is>
      </c>
      <c r="B46" t="inlineStr">
        <is>
          <t>Clean tarama: 0 yeni ihale, 0 yeni fiyat kaydi, 0 zenginlestirme, 140 non-target atlandi</t>
        </is>
      </c>
      <c r="C46" t="inlineStr">
        <is>
          <t>bot</t>
        </is>
      </c>
    </row>
    <row r="47">
      <c r="A47" t="inlineStr">
        <is>
          <t>2026-07-20 08:06</t>
        </is>
      </c>
      <c r="B47" t="inlineStr">
        <is>
          <t>Clean tarama: 1 yeni ihale, 0 yeni fiyat kaydi, 0 zenginlestirme, 140 non-target atlandi</t>
        </is>
      </c>
      <c r="C47" t="inlineStr">
        <is>
          <t>bot</t>
        </is>
      </c>
    </row>
    <row r="48">
      <c r="A48" t="inlineStr">
        <is>
          <t>2026-07-21 07:33</t>
        </is>
      </c>
      <c r="B48" t="inlineStr">
        <is>
          <t>Clean tarama: 1 yeni ihale, 0 yeni fiyat kaydi, 0 zenginlestirme, 130 non-target atlandi</t>
        </is>
      </c>
      <c r="C48" t="inlineStr">
        <is>
          <t>bot</t>
        </is>
      </c>
    </row>
    <row r="49">
      <c r="A49" t="inlineStr">
        <is>
          <t>2026-07-22 07:45</t>
        </is>
      </c>
      <c r="B49" t="inlineStr">
        <is>
          <t>Clean tarama: 0 yeni ihale, 0 yeni fiyat kaydi, 0 zenginlestirme, 140 non-target atlandi</t>
        </is>
      </c>
      <c r="C49" t="inlineStr">
        <is>
          <t>bot</t>
        </is>
      </c>
    </row>
    <row r="50">
      <c r="A50" t="inlineStr">
        <is>
          <t>2026-07-23 07:31</t>
        </is>
      </c>
      <c r="B50" t="inlineStr">
        <is>
          <t>Clean tarama: 0 yeni ihale, 0 yeni fiyat kaydi, 0 zenginlestirme, 98 non-target atlandi</t>
        </is>
      </c>
      <c r="C50" t="inlineStr">
        <is>
          <t>bot</t>
        </is>
      </c>
    </row>
    <row r="51">
      <c r="A51" t="inlineStr">
        <is>
          <t>2026-07-24 07:29</t>
        </is>
      </c>
      <c r="B51" t="inlineStr">
        <is>
          <t>Clean tarama: 0 yeni ihale, 0 yeni fiyat kaydi, 0 zenginlestirme, 91 non-target atlandi</t>
        </is>
      </c>
      <c r="C51" t="inlineStr">
        <is>
          <t>bot</t>
        </is>
      </c>
    </row>
    <row r="52">
      <c r="A52" t="inlineStr">
        <is>
          <t>2026-07-25 07:25</t>
        </is>
      </c>
      <c r="B52" t="inlineStr">
        <is>
          <t>Clean tarama: 0 yeni ihale, 0 yeni fiyat kaydi, 0 zenginlestirme, 110 non-target atlandi</t>
        </is>
      </c>
      <c r="C52" t="inlineStr">
        <is>
          <t>bot</t>
        </is>
      </c>
    </row>
    <row r="53">
      <c r="A53" t="inlineStr">
        <is>
          <t>2026-07-26 07:46</t>
        </is>
      </c>
      <c r="B53" t="inlineStr">
        <is>
          <t>Clean tarama: 0 yeni ihale, 0 yeni fiyat kaydi, 0 zenginlestirme, 108 non-target atlandi</t>
        </is>
      </c>
      <c r="C53" t="inlineStr">
        <is>
          <t>bot</t>
        </is>
      </c>
    </row>
    <row r="54">
      <c r="A54" t="inlineStr">
        <is>
          <t>2026-07-27 08:37</t>
        </is>
      </c>
      <c r="B54" t="inlineStr">
        <is>
          <t>Clean tarama: 1 yeni ihale, 0 yeni fiyat kaydi, 0 zenginlestirme, 108 non-target atlandi</t>
        </is>
      </c>
      <c r="C54" t="inlineStr">
        <is>
          <t>bot</t>
        </is>
      </c>
    </row>
    <row r="55">
      <c r="A55" t="inlineStr">
        <is>
          <t>2026-07-28 07:44</t>
        </is>
      </c>
      <c r="B55" t="inlineStr">
        <is>
          <t>Clean tarama: 0 yeni ihale, 0 yeni fiyat kaydi, 0 zenginlestirme, 108 non-target atlandi</t>
        </is>
      </c>
      <c r="C55" t="inlineStr">
        <is>
          <t>bot</t>
        </is>
      </c>
    </row>
    <row r="56">
      <c r="A56" t="inlineStr">
        <is>
          <t>2026-07-29 07:53</t>
        </is>
      </c>
      <c r="B56" t="inlineStr">
        <is>
          <t>Clean tarama: 0 yeni ihale, 0 yeni fiyat kaydi, 0 zenginlestirme, 108 non-target atlandi</t>
        </is>
      </c>
      <c r="C56" t="inlineStr">
        <is>
          <t>bot</t>
        </is>
      </c>
    </row>
    <row r="57">
      <c r="A57" t="inlineStr">
        <is>
          <t>2026-07-30 07:43</t>
        </is>
      </c>
      <c r="B57" t="inlineStr">
        <is>
          <t>Clean tarama: 0 yeni ihale, 0 yeni fiyat kaydi, 0 zenginlestirme, 228 non-target atlandi</t>
        </is>
      </c>
      <c r="C57" t="inlineStr">
        <is>
          <t>bot</t>
        </is>
      </c>
    </row>
    <row r="58">
      <c r="A58" t="inlineStr">
        <is>
          <t>2026-07-31 08:00</t>
        </is>
      </c>
      <c r="B58" t="inlineStr">
        <is>
          <t>Clean tarama: 0 yeni ihale, 0 yeni fiyat kaydi, 0 zenginlestirme, 104 non-target atlandi</t>
        </is>
      </c>
      <c r="C58" t="inlineStr">
        <is>
          <t>bot</t>
        </is>
      </c>
    </row>
    <row r="59">
      <c r="A59" t="inlineStr">
        <is>
          <t>2026-08-01 07:39</t>
        </is>
      </c>
      <c r="B59" t="inlineStr">
        <is>
          <t>Clean tarama: 0 yeni ihale, 0 yeni fiyat kaydi, 0 zenginlestirme, 104 non-target atlandi</t>
        </is>
      </c>
      <c r="C59" t="inlineStr">
        <is>
          <t>bot</t>
        </is>
      </c>
    </row>
    <row r="60">
      <c r="A60" t="inlineStr">
        <is>
          <t>2026-08-02 07:42</t>
        </is>
      </c>
      <c r="B60" t="inlineStr">
        <is>
          <t>Clean tarama: 0 yeni ihale, 0 yeni fiyat kaydi, 0 zenginlestirme, 108 non-target atlandi</t>
        </is>
      </c>
      <c r="C60" t="inlineStr">
        <is>
          <t>bot</t>
        </is>
      </c>
    </row>
    <row r="61">
      <c r="A61" t="inlineStr">
        <is>
          <t>2026-08-03 08:25</t>
        </is>
      </c>
      <c r="B61" t="inlineStr">
        <is>
          <t>Clean tarama: 0 yeni ihale, 0 yeni fiyat kaydi, 0 zenginlestirme, 91 non-target atlandi</t>
        </is>
      </c>
      <c r="C61" t="inlineStr">
        <is>
          <t>bot</t>
        </is>
      </c>
    </row>
    <row r="62">
      <c r="A62" t="inlineStr">
        <is>
          <t>2026-08-04 07:47</t>
        </is>
      </c>
      <c r="B62" t="inlineStr">
        <is>
          <t>Clean tarama: 0 yeni ihale, 0 yeni fiyat kaydi, 0 zenginlestirme, 108 non-target atlandi</t>
        </is>
      </c>
      <c r="C62" t="inlineStr">
        <is>
          <t>bot</t>
        </is>
      </c>
    </row>
    <row r="63">
      <c r="A63" t="inlineStr">
        <is>
          <t>2026-08-05 07:49</t>
        </is>
      </c>
      <c r="B63" t="inlineStr">
        <is>
          <t>Clean tarama: 0 yeni ihale, 0 yeni fiyat kaydi, 0 zenginlestirme, 108 non-target atlandi</t>
        </is>
      </c>
      <c r="C63" t="inlineStr">
        <is>
          <t>bot</t>
        </is>
      </c>
    </row>
    <row r="64">
      <c r="A64" t="inlineStr">
        <is>
          <t>2026-08-06 07:46</t>
        </is>
      </c>
      <c r="B64" t="inlineStr">
        <is>
          <t>Clean tarama: 0 yeni ihale, 0 yeni fiyat kaydi, 0 zenginlestirme, 110 non-target atlandi</t>
        </is>
      </c>
      <c r="C64" t="inlineStr">
        <is>
          <t>bot</t>
        </is>
      </c>
    </row>
    <row r="65">
      <c r="A65" t="inlineStr">
        <is>
          <t>2026-08-07 06:16</t>
        </is>
      </c>
      <c r="B65" t="inlineStr">
        <is>
          <t>Clean tarama: 0 yeni ihale, 0 yeni fiyat kaydi, 0 zenginlestirme, 101 non-target atlandi</t>
        </is>
      </c>
      <c r="C65" t="inlineStr">
        <is>
          <t>bot</t>
        </is>
      </c>
    </row>
    <row r="66">
      <c r="A66" t="inlineStr">
        <is>
          <t>2026-08-08 05:51</t>
        </is>
      </c>
      <c r="B66" t="inlineStr">
        <is>
          <t>Clean tarama: 0 yeni ihale, 0 yeni fiyat kaydi, 0 zenginlestirme, 28 non-target atlandi</t>
        </is>
      </c>
      <c r="C66" t="inlineStr">
        <is>
          <t>bot</t>
        </is>
      </c>
    </row>
    <row r="67">
      <c r="A67" t="inlineStr">
        <is>
          <t>2026-08-09 05:55</t>
        </is>
      </c>
      <c r="B67" t="inlineStr">
        <is>
          <t>Clean tarama: 0 yeni ihale, 0 yeni fiyat kaydi, 0 zenginlestirme, 108 non-target atlandi</t>
        </is>
      </c>
      <c r="C67" t="inlineStr">
        <is>
          <t>bot</t>
        </is>
      </c>
    </row>
    <row r="68">
      <c r="A68" t="inlineStr">
        <is>
          <t>2026-08-10 06:19</t>
        </is>
      </c>
      <c r="B68" t="inlineStr">
        <is>
          <t>Clean tarama: 1 yeni ihale, 0 yeni fiyat kaydi, 0 zenginlestirme, 108 non-target atlandi</t>
        </is>
      </c>
      <c r="C68" t="inlineStr">
        <is>
          <t>bot</t>
        </is>
      </c>
    </row>
    <row r="69">
      <c r="A69" t="inlineStr">
        <is>
          <t>2026-08-11 06:01</t>
        </is>
      </c>
      <c r="B69" t="inlineStr">
        <is>
          <t>Clean tarama: 0 yeni ihale, 0 yeni fiyat kaydi, 0 zenginlestirme, 108 non-target atlandi</t>
        </is>
      </c>
      <c r="C69" t="inlineStr">
        <is>
          <t>bot</t>
        </is>
      </c>
    </row>
    <row r="70">
      <c r="A70" t="inlineStr">
        <is>
          <t>2026-08-12 06:24</t>
        </is>
      </c>
      <c r="B70" t="inlineStr">
        <is>
          <t>Clean tarama: 0 yeni ihale, 0 yeni fiyat kaydi, 0 zenginlestirme, 108 non-target atlandi</t>
        </is>
      </c>
      <c r="C70" t="inlineStr">
        <is>
          <t>bot</t>
        </is>
      </c>
    </row>
    <row r="71">
      <c r="A71" t="inlineStr">
        <is>
          <t>2026-08-13 06:26</t>
        </is>
      </c>
      <c r="B71" t="inlineStr">
        <is>
          <t>Clean tarama: 0 yeni ihale, 0 yeni fiyat kaydi, 0 zenginlestirme, 228 non-target atlandi</t>
        </is>
      </c>
      <c r="C71" t="inlineStr">
        <is>
          <t>bot</t>
        </is>
      </c>
    </row>
    <row r="72">
      <c r="A72" t="inlineStr">
        <is>
          <t>2026-08-14 06:23</t>
        </is>
      </c>
      <c r="B72" t="inlineStr">
        <is>
          <t>Clean tarama: 0 yeni ihale, 0 yeni fiyat kaydi, 0 zenginlestirme, 229 non-target atlandi</t>
        </is>
      </c>
      <c r="C72" t="inlineStr">
        <is>
          <t>bot</t>
        </is>
      </c>
    </row>
    <row r="73">
      <c r="A73" t="inlineStr">
        <is>
          <t>2026-08-15 05:32</t>
        </is>
      </c>
      <c r="B73" t="inlineStr">
        <is>
          <t>Clean tarama: 4 yeni ihale, 4 yeni fiyat kaydi, 0 zenginlestirme, 222 non-target atlandi</t>
        </is>
      </c>
      <c r="C73" t="inlineStr">
        <is>
          <t>bot</t>
        </is>
      </c>
    </row>
    <row r="74">
      <c r="A74" t="inlineStr">
        <is>
          <t>2026-08-16 05:35</t>
        </is>
      </c>
      <c r="B74" t="inlineStr">
        <is>
          <t>Clean tarama: 0 yeni ihale, 0 yeni fiyat kaydi, 0 zenginlestirme, 229 non-target atlandi</t>
        </is>
      </c>
      <c r="C74" t="inlineStr">
        <is>
          <t>bot</t>
        </is>
      </c>
    </row>
    <row r="75">
      <c r="A75" t="inlineStr">
        <is>
          <t>2026-08-17 05:31</t>
        </is>
      </c>
      <c r="B75" t="inlineStr">
        <is>
          <t>Clean tarama: 0 yeni ihale, 0 yeni fiyat kaydi, 0 zenginlestirme, 209 non-target atlandi</t>
        </is>
      </c>
      <c r="C75" t="inlineStr">
        <is>
          <t>bot</t>
        </is>
      </c>
    </row>
    <row r="76">
      <c r="A76" t="inlineStr">
        <is>
          <t>2026-08-18 05:35</t>
        </is>
      </c>
      <c r="B76" t="inlineStr">
        <is>
          <t>Clean tarama: 0 yeni ihale, 0 yeni fiyat kaydi, 0 zenginlestirme, 229 non-target atlandi</t>
        </is>
      </c>
      <c r="C76" t="inlineStr">
        <is>
          <t>bot</t>
        </is>
      </c>
    </row>
    <row r="77">
      <c r="A77" t="inlineStr">
        <is>
          <t>2026-08-19 05:36</t>
        </is>
      </c>
      <c r="B77" t="inlineStr">
        <is>
          <t>Clean tarama: 0 yeni ihale, 0 yeni fiyat kaydi, 0 zenginlestirme, 229 non-target atlandi</t>
        </is>
      </c>
      <c r="C77" t="inlineStr">
        <is>
          <t>bot</t>
        </is>
      </c>
    </row>
    <row r="78">
      <c r="A78" t="inlineStr">
        <is>
          <t>2026-08-20 05:37</t>
        </is>
      </c>
      <c r="B78" t="inlineStr">
        <is>
          <t>Clean tarama: 0 yeni ihale, 0 yeni fiyat kaydi, 0 zenginlestirme, 229 non-target atlandi</t>
        </is>
      </c>
      <c r="C78" t="inlineStr">
        <is>
          <t>bot</t>
        </is>
      </c>
    </row>
    <row r="79">
      <c r="A79" t="inlineStr">
        <is>
          <t>2026-08-21 05:38</t>
        </is>
      </c>
      <c r="B79" t="inlineStr">
        <is>
          <t>Clean tarama: 0 yeni ihale, 0 yeni fiyat kaydi, 0 zenginlestirme, 229 non-target atlandi</t>
        </is>
      </c>
      <c r="C79" t="inlineStr">
        <is>
          <t>bot</t>
        </is>
      </c>
    </row>
    <row r="80">
      <c r="A80" t="inlineStr">
        <is>
          <t>2026-08-22 05:24</t>
        </is>
      </c>
      <c r="B80" t="inlineStr">
        <is>
          <t>Clean tarama: 1 yeni ihale, 0 yeni fiyat kaydi, 0 zenginlestirme, 216 non-target atlandi</t>
        </is>
      </c>
      <c r="C80" t="inlineStr">
        <is>
          <t>bot</t>
        </is>
      </c>
    </row>
    <row r="81">
      <c r="A81" t="inlineStr">
        <is>
          <t>2026-08-23 05:34</t>
        </is>
      </c>
      <c r="B81" t="inlineStr">
        <is>
          <t>Clean tarama: 0 yeni ihale, 0 yeni fiyat kaydi, 0 zenginlestirme, 229 non-target atlandi</t>
        </is>
      </c>
      <c r="C81" t="inlineStr">
        <is>
          <t>bot</t>
        </is>
      </c>
    </row>
    <row r="82">
      <c r="A82" t="inlineStr">
        <is>
          <t>2026-08-24 05:45</t>
        </is>
      </c>
      <c r="B82" t="inlineStr">
        <is>
          <t>Clean tarama: 0 yeni ihale, 0 yeni fiyat kaydi, 0 zenginlestirme, 229 non-target atlandi</t>
        </is>
      </c>
      <c r="C82" t="inlineStr">
        <is>
          <t>bot</t>
        </is>
      </c>
    </row>
    <row r="83">
      <c r="A83" t="inlineStr">
        <is>
          <t>2026-08-25 05:39</t>
        </is>
      </c>
      <c r="B83" t="inlineStr">
        <is>
          <t>Clean tarama: 0 yeni ihale, 0 yeni fiyat kaydi, 0 zenginlestirme, 109 non-target atlandi</t>
        </is>
      </c>
      <c r="C83" t="inlineStr">
        <is>
          <t>bot</t>
        </is>
      </c>
    </row>
    <row r="84">
      <c r="A84" t="inlineStr">
        <is>
          <t>2026-08-26 05:38</t>
        </is>
      </c>
      <c r="B84" t="inlineStr">
        <is>
          <t>Clean tarama: 1 yeni ihale, 0 yeni fiyat kaydi, 0 zenginlestirme, 109 non-target atlandi</t>
        </is>
      </c>
      <c r="C84" t="inlineStr">
        <is>
          <t>bot</t>
        </is>
      </c>
    </row>
    <row r="85">
      <c r="A85" t="inlineStr">
        <is>
          <t>2026-08-27 16:11</t>
        </is>
      </c>
      <c r="B85" t="inlineStr">
        <is>
          <t>Clean tarama: 1 yeni ihale, 0 yeni fiyat kaydi, 0 zenginlestirme, 109 non-target atlandi</t>
        </is>
      </c>
      <c r="C85" t="inlineStr">
        <is>
          <t>bot</t>
        </is>
      </c>
    </row>
    <row r="86">
      <c r="A86" t="inlineStr">
        <is>
          <t>2026-08-28 17:11</t>
        </is>
      </c>
      <c r="B86" t="inlineStr">
        <is>
          <t>Clean tarama: 0 yeni ihale, 0 yeni fiyat kaydi, 0 zenginlestirme, 109 non-target atlandi</t>
        </is>
      </c>
      <c r="C86" t="inlineStr">
        <is>
          <t>bot</t>
        </is>
      </c>
    </row>
    <row r="87">
      <c r="A87" t="inlineStr">
        <is>
          <t>2026-08-29 11:37</t>
        </is>
      </c>
      <c r="B87" t="inlineStr">
        <is>
          <t>Clean tarama: 0 yeni ihale, 0 yeni fiyat kaydi, 0 zenginlestirme, 28 non-target atlandi</t>
        </is>
      </c>
      <c r="C87" t="inlineStr">
        <is>
          <t>bot</t>
        </is>
      </c>
    </row>
    <row r="88">
      <c r="A88" t="inlineStr">
        <is>
          <t>2026-08-30 10:26</t>
        </is>
      </c>
      <c r="B88" t="inlineStr">
        <is>
          <t>Clean tarama: 0 yeni ihale, 0 yeni fiyat kaydi, 0 zenginlestirme, 109 non-target atlandi</t>
        </is>
      </c>
      <c r="C88" t="inlineStr">
        <is>
          <t>bot</t>
        </is>
      </c>
    </row>
    <row r="89">
      <c r="A89" t="inlineStr">
        <is>
          <t>2026-08-31 11:24</t>
        </is>
      </c>
      <c r="B89" t="inlineStr">
        <is>
          <t>Clean tarama: 0 yeni ihale, 0 yeni fiyat kaydi, 0 zenginlestirme, 109 non-target atlandi</t>
        </is>
      </c>
      <c r="C89" t="inlineStr">
        <is>
          <t>bot</t>
        </is>
      </c>
    </row>
    <row r="90">
      <c r="A90" t="inlineStr">
        <is>
          <t>2026-09-01 09:54</t>
        </is>
      </c>
      <c r="B90" t="inlineStr">
        <is>
          <t>Clean tarama: 0 yeni ihale, 0 yeni fiyat kaydi, 0 zenginlestirme, 109 non-target atlandi</t>
        </is>
      </c>
      <c r="C90" t="inlineStr">
        <is>
          <t>bot</t>
        </is>
      </c>
    </row>
    <row r="91">
      <c r="A91" t="inlineStr">
        <is>
          <t>2026-09-02 09:26</t>
        </is>
      </c>
      <c r="B91" t="inlineStr">
        <is>
          <t>Clean tarama: 0 yeni ihale, 0 yeni fiyat kaydi, 0 zenginlestirme, 109 non-target atlandi</t>
        </is>
      </c>
      <c r="C91" t="inlineStr">
        <is>
          <t>bot</t>
        </is>
      </c>
    </row>
    <row r="92">
      <c r="A92" t="inlineStr">
        <is>
          <t>2026-09-03 09:33</t>
        </is>
      </c>
      <c r="B92" t="inlineStr">
        <is>
          <t>Clean tarama: 0 yeni ihale, 0 yeni fiyat kaydi, 0 zenginlestirme, 109 non-target atlandi</t>
        </is>
      </c>
      <c r="C92" t="inlineStr">
        <is>
          <t>bot</t>
        </is>
      </c>
    </row>
    <row r="93">
      <c r="A93" t="inlineStr">
        <is>
          <t>2026-09-04 09:25</t>
        </is>
      </c>
      <c r="B93" t="inlineStr">
        <is>
          <t>Clean tarama: 0 yeni ihale, 0 yeni fiyat kaydi, 0 zenginlestirme, 109 non-target atlandi</t>
        </is>
      </c>
      <c r="C93" t="inlineStr">
        <is>
          <t>bot</t>
        </is>
      </c>
    </row>
    <row r="94">
      <c r="A94" t="inlineStr">
        <is>
          <t>2026-09-05 09:01</t>
        </is>
      </c>
      <c r="B94" t="inlineStr">
        <is>
          <t>Clean tarama: 0 yeni ihale, 0 yeni fiyat kaydi, 0 zenginlestirme, 104 non-target atlandi</t>
        </is>
      </c>
      <c r="C94" t="inlineStr">
        <is>
          <t>bot</t>
        </is>
      </c>
    </row>
    <row r="95">
      <c r="A95" t="inlineStr">
        <is>
          <t>2026-09-06 09:18</t>
        </is>
      </c>
      <c r="B95" t="inlineStr">
        <is>
          <t>Clean tarama: 0 yeni ihale, 0 yeni fiyat kaydi, 0 zenginlestirme, 104 non-target atlandi</t>
        </is>
      </c>
      <c r="C95" t="inlineStr">
        <is>
          <t>bot</t>
        </is>
      </c>
    </row>
    <row r="96">
      <c r="A96" t="inlineStr">
        <is>
          <t>2026-09-07 10:06</t>
        </is>
      </c>
      <c r="B96" t="inlineStr">
        <is>
          <t>Clean tarama: 0 yeni ihale, 0 yeni fiyat kaydi, 0 zenginlestirme, 109 non-target atlandi</t>
        </is>
      </c>
      <c r="C96" t="inlineStr">
        <is>
          <t>bot</t>
        </is>
      </c>
    </row>
    <row r="97">
      <c r="A97" t="inlineStr">
        <is>
          <t>2026-09-08 09:30</t>
        </is>
      </c>
      <c r="B97" t="inlineStr">
        <is>
          <t>Clean tarama: 0 yeni ihale, 0 yeni fiyat kaydi, 0 zenginlestirme, 109 non-target atlandi</t>
        </is>
      </c>
      <c r="C97" t="inlineStr">
        <is>
          <t>bot</t>
        </is>
      </c>
    </row>
    <row r="98">
      <c r="A98" t="inlineStr">
        <is>
          <t>2026-09-09 09:34</t>
        </is>
      </c>
      <c r="B98" t="inlineStr">
        <is>
          <t>Clean tarama: 1 yeni ihale, 0 yeni fiyat kaydi, 0 zenginlestirme, 109 non-target atlandi</t>
        </is>
      </c>
      <c r="C98" t="inlineStr">
        <is>
          <t>bot</t>
        </is>
      </c>
    </row>
    <row r="99">
      <c r="A99" t="inlineStr">
        <is>
          <t>2026-09-10 09:32</t>
        </is>
      </c>
      <c r="B99" t="inlineStr">
        <is>
          <t>Clean tarama: 0 yeni ihale, 0 yeni fiyat kaydi, 0 zenginlestirme, 109 non-target atlandi</t>
        </is>
      </c>
      <c r="C99" t="inlineStr">
        <is>
          <t>bot</t>
        </is>
      </c>
    </row>
    <row r="100">
      <c r="A100" t="inlineStr">
        <is>
          <t>2026-09-11 09:27</t>
        </is>
      </c>
      <c r="B100" t="inlineStr">
        <is>
          <t>Clean tarama: 1 yeni ihale, 0 yeni fiyat kaydi, 0 zenginlestirme, 108 non-target atlandi</t>
        </is>
      </c>
      <c r="C100" t="inlineStr">
        <is>
          <t>bot</t>
        </is>
      </c>
    </row>
    <row r="101">
      <c r="A101" t="inlineStr">
        <is>
          <t>2026-09-12 09:11</t>
        </is>
      </c>
      <c r="B101" t="inlineStr">
        <is>
          <t>Clean tarama: 1 yeni ihale, 0 yeni fiyat kaydi, 0 zenginlestirme, 108 non-target atlandi</t>
        </is>
      </c>
      <c r="C101" t="inlineStr">
        <is>
          <t>bot</t>
        </is>
      </c>
    </row>
    <row r="102">
      <c r="A102" t="inlineStr">
        <is>
          <t>2026-09-13 10:09</t>
        </is>
      </c>
      <c r="B102" t="inlineStr">
        <is>
          <t>Clean tarama: 0 yeni ihale, 0 yeni fiyat kaydi, 0 zenginlestirme, 108 non-target atlandi</t>
        </is>
      </c>
      <c r="C102" t="inlineStr">
        <is>
          <t>bot</t>
        </is>
      </c>
    </row>
    <row r="103">
      <c r="A103" t="inlineStr">
        <is>
          <t>2026-09-14 10:27</t>
        </is>
      </c>
      <c r="B103" t="inlineStr">
        <is>
          <t>Clean tarama: 2 yeni ihale, 0 yeni fiyat kaydi, 0 zenginlestirme, 108 non-target atlandi</t>
        </is>
      </c>
      <c r="C103" t="inlineStr">
        <is>
          <t>bot</t>
        </is>
      </c>
    </row>
    <row r="104">
      <c r="A104" t="inlineStr">
        <is>
          <t>2026-09-15 09:46</t>
        </is>
      </c>
      <c r="B104" t="inlineStr">
        <is>
          <t>Clean tarama: 1 yeni ihale, 0 yeni fiyat kaydi, 0 zenginlestirme, 98 non-target atlandi</t>
        </is>
      </c>
      <c r="C104" t="inlineStr">
        <is>
          <t>bot</t>
        </is>
      </c>
    </row>
    <row r="105">
      <c r="A105" t="inlineStr">
        <is>
          <t>2026-09-16 09:52</t>
        </is>
      </c>
      <c r="B105" t="inlineStr">
        <is>
          <t>Clean tarama: 0 yeni ihale, 0 yeni fiyat kaydi, 0 zenginlestirme, 108 non-target atlandi</t>
        </is>
      </c>
      <c r="C105" t="inlineStr">
        <is>
          <t>bot</t>
        </is>
      </c>
    </row>
    <row r="106">
      <c r="A106" t="inlineStr">
        <is>
          <t>2026-09-17 10:00</t>
        </is>
      </c>
      <c r="B106" t="inlineStr">
        <is>
          <t>Clean tarama: 0 yeni ihale, 0 yeni fiyat kaydi, 0 zenginlestirme, 108 non-target atlandi</t>
        </is>
      </c>
      <c r="C106" t="inlineStr">
        <is>
          <t>bot</t>
        </is>
      </c>
    </row>
    <row r="107">
      <c r="A107" t="inlineStr">
        <is>
          <t>2026-09-18 09:33</t>
        </is>
      </c>
      <c r="B107" t="inlineStr">
        <is>
          <t>Clean tarama: 1 yeni ihale, 0 yeni fiyat kaydi, 1 zenginlestirme, 107 non-target atlandi</t>
        </is>
      </c>
      <c r="C107" t="inlineStr">
        <is>
          <t>bot</t>
        </is>
      </c>
    </row>
    <row r="108">
      <c r="A108" t="inlineStr">
        <is>
          <t>2026-09-19 09:17</t>
        </is>
      </c>
      <c r="B108" t="inlineStr">
        <is>
          <t>Clean tarama: 2 yeni ihale, 0 yeni fiyat kaydi, 0 zenginlestirme, 107 non-target atlandi</t>
        </is>
      </c>
      <c r="C108" t="inlineStr">
        <is>
          <t>bot</t>
        </is>
      </c>
    </row>
    <row r="109">
      <c r="A109" t="inlineStr">
        <is>
          <t>2026-09-20 09:45</t>
        </is>
      </c>
      <c r="B109" t="inlineStr">
        <is>
          <t>Clean tarama: 0 yeni ihale, 0 yeni fiyat kaydi, 0 zenginlestirme, 107 non-target atlandi</t>
        </is>
      </c>
      <c r="C109" t="inlineStr">
        <is>
          <t>bot</t>
        </is>
      </c>
    </row>
    <row r="110">
      <c r="A110" t="inlineStr">
        <is>
          <t>2026-09-21 10:22</t>
        </is>
      </c>
      <c r="B110" t="inlineStr">
        <is>
          <t>Clean tarama: 2 yeni ihale, 0 yeni fiyat kaydi, 0 zenginlestirme, 98 non-target atlandi</t>
        </is>
      </c>
      <c r="C110" t="inlineStr">
        <is>
          <t>bot</t>
        </is>
      </c>
    </row>
    <row r="111">
      <c r="A111" t="inlineStr">
        <is>
          <t>2026-09-22 09:49</t>
        </is>
      </c>
      <c r="B111" t="inlineStr">
        <is>
          <t>Clean tarama: 1 yeni ihale, 0 yeni fiyat kaydi, 0 zenginlestirme, 107 non-target atlandi</t>
        </is>
      </c>
      <c r="C111" t="inlineStr">
        <is>
          <t>bot</t>
        </is>
      </c>
    </row>
    <row r="112">
      <c r="A112" t="inlineStr">
        <is>
          <t>2026-09-23 09:53</t>
        </is>
      </c>
      <c r="B112" t="inlineStr">
        <is>
          <t>Clean tarama: 0 yeni ihale, 0 yeni fiyat kaydi, 0 zenginlestirme, 107 non-target atlandi</t>
        </is>
      </c>
      <c r="C112" t="inlineStr">
        <is>
          <t>bot</t>
        </is>
      </c>
    </row>
    <row r="113">
      <c r="A113" t="inlineStr">
        <is>
          <t>2026-09-24 09:54</t>
        </is>
      </c>
      <c r="B113" t="inlineStr">
        <is>
          <t>Clean tarama: 1 yeni ihale, 0 yeni fiyat kaydi, 0 zenginlestirme, 107 non-target atlandi</t>
        </is>
      </c>
      <c r="C113" t="inlineStr">
        <is>
          <t>bot</t>
        </is>
      </c>
    </row>
    <row r="114">
      <c r="A114" t="inlineStr">
        <is>
          <t>2026-09-25 10:06</t>
        </is>
      </c>
      <c r="B114" t="inlineStr">
        <is>
          <t>Clean tarama: 0 yeni ihale, 0 yeni fiyat kaydi, 0 zenginlestirme, 107 non-target atlandi</t>
        </is>
      </c>
      <c r="C114" t="inlineStr">
        <is>
          <t>bot</t>
        </is>
      </c>
    </row>
    <row r="115">
      <c r="A115" t="inlineStr">
        <is>
          <t>2026-09-26 09:51</t>
        </is>
      </c>
      <c r="B115" t="inlineStr">
        <is>
          <t>Clean tarama: 0 yeni ihale, 0 yeni fiyat kaydi, 0 zenginlestirme, 107 non-target atlandi</t>
        </is>
      </c>
      <c r="C115" t="inlineStr">
        <is>
          <t>bot</t>
        </is>
      </c>
    </row>
    <row r="116">
      <c r="A116" t="inlineStr">
        <is>
          <t>2026-09-27 10:32</t>
        </is>
      </c>
      <c r="B116" t="inlineStr">
        <is>
          <t>Clean tarama: 0 yeni ihale, 0 yeni fiyat kaydi, 0 zenginlestirme, 107 non-target atlandi</t>
        </is>
      </c>
      <c r="C116" t="inlineStr">
        <is>
          <t>bot</t>
        </is>
      </c>
    </row>
    <row r="117">
      <c r="A117" t="inlineStr">
        <is>
          <t>2026-09-28 11:32</t>
        </is>
      </c>
      <c r="B117" t="inlineStr">
        <is>
          <t>Clean tarama: 1 yeni ihale, 0 yeni fiyat kaydi, 1 zenginlestirme, 106 non-target atlandi</t>
        </is>
      </c>
      <c r="C117" t="inlineStr">
        <is>
          <t>bot</t>
        </is>
      </c>
    </row>
    <row r="118">
      <c r="A118" t="inlineStr">
        <is>
          <t>2026-09-29 11:16</t>
        </is>
      </c>
      <c r="B118" t="inlineStr">
        <is>
          <t>Clean tarama: 0 yeni ihale, 0 yeni fiyat kaydi, 0 zenginlestirme, 106 non-target atlandi</t>
        </is>
      </c>
      <c r="C118" t="inlineStr">
        <is>
          <t>bot</t>
        </is>
      </c>
    </row>
    <row r="119">
      <c r="A119" t="inlineStr">
        <is>
          <t>2026-09-30 11:02</t>
        </is>
      </c>
      <c r="B119" t="inlineStr">
        <is>
          <t>Clean tarama: 0 yeni ihale, 0 yeni fiyat kaydi, 0 zenginlestirme, 106 non-target atlandi</t>
        </is>
      </c>
      <c r="C119" t="inlineStr">
        <is>
          <t>bot</t>
        </is>
      </c>
    </row>
    <row r="120">
      <c r="A120" t="inlineStr">
        <is>
          <t>2026-10-01 11:31</t>
        </is>
      </c>
      <c r="B120" t="inlineStr">
        <is>
          <t>Clean tarama: 0 yeni ihale, 0 yeni fiyat kaydi, 0 zenginlestirme, 106 non-target atlandi</t>
        </is>
      </c>
      <c r="C120" t="inlineStr">
        <is>
          <t>bot</t>
        </is>
      </c>
    </row>
    <row r="121">
      <c r="A121" t="inlineStr">
        <is>
          <t>2026-10-02 11:04</t>
        </is>
      </c>
      <c r="B121" t="inlineStr">
        <is>
          <t>Clean tarama: 0 yeni ihale, 0 yeni fiyat kaydi, 0 zenginlestirme, 106 non-target atlandi</t>
        </is>
      </c>
      <c r="C121" t="inlineStr">
        <is>
          <t>bot</t>
        </is>
      </c>
    </row>
    <row r="122">
      <c r="A122" t="inlineStr">
        <is>
          <t>2026-10-03 10:19</t>
        </is>
      </c>
      <c r="B122" t="inlineStr">
        <is>
          <t>Clean tarama: 0 yeni ihale, 0 yeni fiyat kaydi, 0 zenginlestirme, 106 non-target atlandi</t>
        </is>
      </c>
      <c r="C122" t="inlineStr">
        <is>
          <t>bot</t>
        </is>
      </c>
    </row>
    <row r="123">
      <c r="A123" t="inlineStr">
        <is>
          <t>2026-10-04 10:54</t>
        </is>
      </c>
      <c r="B123" t="inlineStr">
        <is>
          <t>Clean tarama: 1 yeni ihale, 0 yeni fiyat kaydi, 0 zenginlestirme, 98 non-target atlandi</t>
        </is>
      </c>
      <c r="C123" t="inlineStr">
        <is>
          <t>bot</t>
        </is>
      </c>
    </row>
    <row r="124">
      <c r="A124" t="inlineStr">
        <is>
          <t>2026-10-05 12:08</t>
        </is>
      </c>
      <c r="B124" t="inlineStr">
        <is>
          <t>Clean tarama: 1 yeni ihale, 1 yeni fiyat kaydi, 1 zenginlestirme, 105 non-target atlandi</t>
        </is>
      </c>
      <c r="C124" t="inlineStr">
        <is>
          <t>bot</t>
        </is>
      </c>
    </row>
    <row r="125">
      <c r="A125" t="inlineStr">
        <is>
          <t>2026-10-06 11:51</t>
        </is>
      </c>
      <c r="B125" t="inlineStr">
        <is>
          <t>Clean tarama: 0 yeni ihale, 0 yeni fiyat kaydi, 0 zenginlestirme, 105 non-target atlandi</t>
        </is>
      </c>
      <c r="C125" t="inlineStr">
        <is>
          <t>bot</t>
        </is>
      </c>
    </row>
    <row r="126">
      <c r="A126" t="inlineStr">
        <is>
          <t>2026-10-07 11:38</t>
        </is>
      </c>
      <c r="B126" t="inlineStr">
        <is>
          <t>Clean tarama: 0 yeni ihale, 0 yeni fiyat kaydi, 0 zenginlestirme, 105 non-target atlandi</t>
        </is>
      </c>
      <c r="C126" t="inlineStr">
        <is>
          <t>bot</t>
        </is>
      </c>
    </row>
    <row r="127">
      <c r="A127" t="inlineStr">
        <is>
          <t>2026-10-08 11:57</t>
        </is>
      </c>
      <c r="B127" t="inlineStr">
        <is>
          <t>Clean tarama: 0 yeni ihale, 0 yeni fiyat kaydi, 0 zenginlestirme, 105 non-target atlandi</t>
        </is>
      </c>
      <c r="C127" t="inlineStr">
        <is>
          <t>bot</t>
        </is>
      </c>
    </row>
    <row r="128">
      <c r="A128" t="inlineStr">
        <is>
          <t>2026-10-09 11:50</t>
        </is>
      </c>
      <c r="B128" t="inlineStr">
        <is>
          <t>Clean tarama: 1 yeni ihale, 0 yeni fiyat kaydi, 0 zenginlestirme, 105 non-target atlandi</t>
        </is>
      </c>
      <c r="C128" t="inlineStr">
        <is>
          <t>bot</t>
        </is>
      </c>
    </row>
    <row r="129">
      <c r="A129" t="inlineStr">
        <is>
          <t>2026-10-10 11:08</t>
        </is>
      </c>
      <c r="B129" t="inlineStr">
        <is>
          <t>Clean tarama: 0 yeni ihale, 0 yeni fiyat kaydi, 0 zenginlestirme, 105 non-target atlandi</t>
        </is>
      </c>
      <c r="C129" t="inlineStr">
        <is>
          <t>bot</t>
        </is>
      </c>
    </row>
    <row r="130">
      <c r="A130" t="inlineStr">
        <is>
          <t>2026-10-11 11:18</t>
        </is>
      </c>
      <c r="B130" t="inlineStr">
        <is>
          <t>Clean tarama: 0 yeni ihale, 0 yeni fiyat kaydi, 0 zenginlestirme, 105 non-target atlandi</t>
        </is>
      </c>
      <c r="C130" t="inlineStr">
        <is>
          <t>bot</t>
        </is>
      </c>
    </row>
    <row r="131">
      <c r="A131" t="inlineStr">
        <is>
          <t>2026-10-12 12:39</t>
        </is>
      </c>
      <c r="B131" t="inlineStr">
        <is>
          <t>Clean tarama: 0 yeni ihale, 0 yeni fiyat kaydi, 0 zenginlestirme, 98 non-target atlandi</t>
        </is>
      </c>
      <c r="C131" t="inlineStr">
        <is>
          <t>bot</t>
        </is>
      </c>
    </row>
    <row r="132">
      <c r="A132" t="inlineStr">
        <is>
          <t>2026-10-13 12:33</t>
        </is>
      </c>
      <c r="B132" t="inlineStr">
        <is>
          <t>Clean tarama: 0 yeni ihale, 0 yeni fiyat kaydi, 0 zenginlestirme, 105 non-target atlandi</t>
        </is>
      </c>
      <c r="C132" t="inlineStr">
        <is>
          <t>bot</t>
        </is>
      </c>
    </row>
    <row r="133">
      <c r="A133" t="inlineStr">
        <is>
          <t>2026-10-14 10:06</t>
        </is>
      </c>
      <c r="B133" t="inlineStr">
        <is>
          <t>Clean tarama: 1 yeni ihale, 0 yeni fiyat kaydi, 0 zenginlestirme, 105 non-target atlandi</t>
        </is>
      </c>
      <c r="C133" t="inlineStr">
        <is>
          <t>bot</t>
        </is>
      </c>
    </row>
    <row r="134">
      <c r="A134" t="inlineStr">
        <is>
          <t>2026-10-15 09:43</t>
        </is>
      </c>
      <c r="B134" t="inlineStr">
        <is>
          <t>Clean tarama: 0 yeni ihale, 0 yeni fiyat kaydi, 0 zenginlestirme, 105 non-target atlandi</t>
        </is>
      </c>
      <c r="C134" t="inlineStr">
        <is>
          <t>bot</t>
        </is>
      </c>
    </row>
    <row r="135">
      <c r="A135" t="inlineStr">
        <is>
          <t>2026-10-16 09:28</t>
        </is>
      </c>
      <c r="B135" t="inlineStr">
        <is>
          <t>Clean tarama: 1 yeni ihale, 0 yeni fiyat kaydi, 0 zenginlestirme, 98 non-target atlandi</t>
        </is>
      </c>
      <c r="C135" t="inlineStr">
        <is>
          <t>bot</t>
        </is>
      </c>
    </row>
    <row r="136">
      <c r="A136" t="inlineStr">
        <is>
          <t>2026-10-17 09:05</t>
        </is>
      </c>
      <c r="B136" t="inlineStr">
        <is>
          <t>Clean tarama: 0 yeni ihale, 0 yeni fiyat kaydi, 0 zenginlestirme, 105 non-target atlandi</t>
        </is>
      </c>
      <c r="C136" t="inlineStr">
        <is>
          <t>bot</t>
        </is>
      </c>
    </row>
    <row r="137">
      <c r="A137" t="inlineStr">
        <is>
          <t>2026-10-18 09:29</t>
        </is>
      </c>
      <c r="B137" t="inlineStr">
        <is>
          <t>Clean tarama: 0 yeni ihale, 0 yeni fiyat kaydi, 0 zenginlestirme, 105 non-target atlandi</t>
        </is>
      </c>
      <c r="C137" t="inlineStr">
        <is>
          <t>bot</t>
        </is>
      </c>
    </row>
    <row r="138">
      <c r="A138" t="inlineStr">
        <is>
          <t>2026-10-19 10:39</t>
        </is>
      </c>
      <c r="B138" t="inlineStr">
        <is>
          <t>Clean tarama: 0 yeni ihale, 0 yeni fiyat kaydi, 0 zenginlestirme, 105 non-target atlandi</t>
        </is>
      </c>
      <c r="C138" t="inlineStr">
        <is>
          <t>bot</t>
        </is>
      </c>
    </row>
    <row r="139">
      <c r="A139" t="inlineStr">
        <is>
          <t>2026-10-20 09:54</t>
        </is>
      </c>
      <c r="B139" t="inlineStr">
        <is>
          <t>Clean tarama: 0 yeni ihale, 0 yeni fiyat kaydi, 0 zenginlestirme, 105 non-target atlandi</t>
        </is>
      </c>
      <c r="C139" t="inlineStr">
        <is>
          <t>bot</t>
        </is>
      </c>
    </row>
    <row r="140">
      <c r="A140" t="inlineStr">
        <is>
          <t>2026-10-21 10:00</t>
        </is>
      </c>
      <c r="B140" t="inlineStr">
        <is>
          <t>Clean tarama: 0 yeni ihale, 0 yeni fiyat kaydi, 0 zenginlestirme, 105 non-target atlandi</t>
        </is>
      </c>
      <c r="C140" t="inlineStr">
        <is>
          <t>bot</t>
        </is>
      </c>
    </row>
    <row r="141">
      <c r="A141" t="inlineStr">
        <is>
          <t>2026-10-22 09:56</t>
        </is>
      </c>
      <c r="B141" t="inlineStr">
        <is>
          <t>Clean tarama: 0 yeni ihale, 0 yeni fiyat kaydi, 0 zenginlestirme, 104 non-target atlandi</t>
        </is>
      </c>
      <c r="C141" t="inlineStr">
        <is>
          <t>bot</t>
        </is>
      </c>
    </row>
    <row r="142">
      <c r="A142" t="inlineStr">
        <is>
          <t>2026-10-23 09:54</t>
        </is>
      </c>
      <c r="B142" t="inlineStr">
        <is>
          <t>Clean tarama: 0 yeni ihale, 0 yeni fiyat kaydi, 0 zenginlestirme, 105 non-target atlandi</t>
        </is>
      </c>
      <c r="C142" t="inlineStr">
        <is>
          <t>bot</t>
        </is>
      </c>
    </row>
    <row r="143">
      <c r="A143" t="inlineStr">
        <is>
          <t>2026-10-24 09:28</t>
        </is>
      </c>
      <c r="B143" t="inlineStr">
        <is>
          <t>Clean tarama: 0 yeni ihale, 0 yeni fiyat kaydi, 0 zenginlestirme, 105 non-target atlandi</t>
        </is>
      </c>
      <c r="C143" t="inlineStr">
        <is>
          <t>bot</t>
        </is>
      </c>
    </row>
    <row r="144">
      <c r="A144" t="inlineStr">
        <is>
          <t>2026-10-25 09:43</t>
        </is>
      </c>
      <c r="B144" t="inlineStr">
        <is>
          <t>Clean tarama: 0 yeni ihale, 0 yeni fiyat kaydi, 0 zenginlestirme, 105 non-target atlandi</t>
        </is>
      </c>
      <c r="C144" t="inlineStr">
        <is>
          <t>bot</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4" customWidth="1" min="1" max="1"/>
    <col width="60" customWidth="1" min="2" max="2"/>
  </cols>
  <sheetData>
    <row r="1" ht="28" customHeight="1">
      <c r="A1" s="28" t="inlineStr">
        <is>
          <t>India Procurement Intelligence Database</t>
        </is>
      </c>
    </row>
    <row r="3">
      <c r="A3" s="32" t="inlineStr">
        <is>
          <t>Created for</t>
        </is>
      </c>
      <c r="B3" s="10" t="inlineStr">
        <is>
          <t>ESKA India regulator price/tender intelligence</t>
        </is>
      </c>
      <c r="D3" s="37" t="inlineStr">
        <is>
          <t>Tier</t>
        </is>
      </c>
      <c r="E3" s="37" t="inlineStr">
        <is>
          <t>Count</t>
        </is>
      </c>
    </row>
    <row r="4">
      <c r="A4" s="32" t="inlineStr">
        <is>
          <t>Created on</t>
        </is>
      </c>
      <c r="B4" s="10" t="inlineStr">
        <is>
          <t>2026-02-04</t>
        </is>
      </c>
      <c r="D4" t="inlineStr">
        <is>
          <t>Tier 1</t>
        </is>
      </c>
      <c r="E4" s="47">
        <f>COUNTIF('01 Portal Master'!A4:A200,"Tier 1")</f>
        <v/>
      </c>
    </row>
    <row r="5">
      <c r="A5" s="32" t="inlineStr">
        <is>
          <t>Portal rows</t>
        </is>
      </c>
      <c r="B5" s="48">
        <f>COUNTA('01 Portal Master'!B4:B200)</f>
        <v/>
      </c>
      <c r="D5" t="inlineStr">
        <is>
          <t>Tier 2</t>
        </is>
      </c>
      <c r="E5" s="47">
        <f>COUNTIF('01 Portal Master'!A4:A200,"Tier 2")</f>
        <v/>
      </c>
    </row>
    <row r="6">
      <c r="A6" s="32" t="inlineStr">
        <is>
          <t>High relevance targets</t>
        </is>
      </c>
      <c r="B6" s="48">
        <f>COUNTIF('01 Portal Master'!H4:H200,"High")</f>
        <v/>
      </c>
      <c r="D6" t="inlineStr">
        <is>
          <t>Tier 3</t>
        </is>
      </c>
      <c r="E6" s="47">
        <f>COUNTIF('01 Portal Master'!A4:A200,"Tier 3")</f>
        <v/>
      </c>
    </row>
    <row r="7">
      <c r="A7" s="32" t="inlineStr">
        <is>
          <t>Tenders logged</t>
        </is>
      </c>
      <c r="B7" s="48">
        <f>COUNTA('04 Tender Register'!A4:A500)</f>
        <v/>
      </c>
    </row>
    <row r="8">
      <c r="A8" s="32" t="inlineStr">
        <is>
          <t>Awarded / price rows</t>
        </is>
      </c>
      <c r="B8" s="48">
        <f>COUNTIF('04 Tender Register'!F4:F500,"Awarded")</f>
        <v/>
      </c>
    </row>
    <row r="9">
      <c r="A9" s="32" t="inlineStr">
        <is>
          <t>Primary search portal</t>
        </is>
      </c>
      <c r="B9" s="10" t="inlineStr">
        <is>
          <t>CPPP / GAIL / IGL / GGL / MNGL / Gasonet</t>
        </is>
      </c>
    </row>
    <row r="10">
      <c r="A10" s="32" t="inlineStr">
        <is>
          <t>FX default INR/EUR</t>
        </is>
      </c>
      <c r="B10" s="10" t="inlineStr">
        <is>
          <t>106.75</t>
        </is>
      </c>
    </row>
    <row r="11">
      <c r="A11" s="32" t="inlineStr">
        <is>
          <t>Next weekly action</t>
        </is>
      </c>
      <c r="B11" s="10" t="inlineStr">
        <is>
          <t>Add 10 PDFs and extract quantities/prices</t>
        </is>
      </c>
    </row>
    <row r="12">
      <c r="A12" s="32" t="n"/>
      <c r="B12" s="10" t="n"/>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2026-07-01T09:07:34Z</dcterms:created>
  <dcterms:modified xsi:type="dcterms:W3CDTF">2026-10-25T09:43:07Z</dcterms:modified>
</cp:coreProperties>
</file>