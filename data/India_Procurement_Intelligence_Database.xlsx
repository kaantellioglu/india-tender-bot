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b07fb91ff246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 Portal Master" sheetId="1" r:id="R1faa5eb8423d4034"/>
    <x:sheet xmlns:r="http://schemas.openxmlformats.org/officeDocument/2006/relationships" name="02 Search Keywords" sheetId="2" r:id="R71ac521b59154e1e"/>
    <x:sheet xmlns:r="http://schemas.openxmlformats.org/officeDocument/2006/relationships" name="03 How To Search" sheetId="3" r:id="Rbab2f0c7fe214141"/>
    <x:sheet xmlns:r="http://schemas.openxmlformats.org/officeDocument/2006/relationships" name="04 Tender Register" sheetId="4" r:id="Red6c4b09d5544955"/>
    <x:sheet xmlns:r="http://schemas.openxmlformats.org/officeDocument/2006/relationships" name="05 Technical Database" sheetId="5" r:id="Re3b0a45c6b524ea6"/>
    <x:sheet xmlns:r="http://schemas.openxmlformats.org/officeDocument/2006/relationships" name="06 Price Intelligence" sheetId="6" r:id="Re9824256645a404f"/>
    <x:sheet xmlns:r="http://schemas.openxmlformats.org/officeDocument/2006/relationships" name="07 Competitor DB" sheetId="7" r:id="R491594b5265b4788"/>
    <x:sheet xmlns:r="http://schemas.openxmlformats.org/officeDocument/2006/relationships" name="08 Source Log" sheetId="8" r:id="R4e1b607feb494c7f"/>
    <x:sheet xmlns:r="http://schemas.openxmlformats.org/officeDocument/2006/relationships" name="00 Dashboard" sheetId="9" r:id="R249f42cea5eb40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"/>
    <x:numFmt numFmtId="202" formatCode="0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115E59"/>
      </x:patternFill>
    </x:fill>
    <x:fill>
      <x:patternFill patternType="solid">
        <x:fgColor rgb="FFCCFBF1"/>
      </x:patternFill>
    </x:fill>
  </x:fills>
  <x:borders count="2">
    <x:border/>
    <x:border/>
  </x:borders>
  <x:cellStyleXfs count="1">
    <x:xf numFmtId="0" fontId="0" fillId="0" borderId="0"/>
  </x:cellStyleXfs>
  <x:cellXfs count="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</x:cellXfs>
  <x:cellStyles count="1">
    <x:cellStyle name="Normal" xfId="0"/>
  </x:cellStyles>
  <x:dxfs count="6">
    <x:dxf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DBEAFE"/>
        </x:patternFill>
      </x:fill>
    </x:dxf>
    <x:dxf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67dad7a571405e" /><Relationship Type="http://schemas.openxmlformats.org/officeDocument/2006/relationships/theme" Target="/xl/theme/theme1.xml" Id="R59b22aff07d54474" /><Relationship Type="http://schemas.openxmlformats.org/officeDocument/2006/relationships/sharedStrings" Target="/xl/sharedStrings.xml" Id="Ra5dc138a085f48b8" /><Relationship Type="http://schemas.openxmlformats.org/officeDocument/2006/relationships/worksheet" Target="/xl/worksheets/sheet1.xml" Id="R1faa5eb8423d4034" /><Relationship Type="http://schemas.openxmlformats.org/officeDocument/2006/relationships/worksheet" Target="/xl/worksheets/sheet2.xml" Id="R71ac521b59154e1e" /><Relationship Type="http://schemas.openxmlformats.org/officeDocument/2006/relationships/worksheet" Target="/xl/worksheets/sheet3.xml" Id="Rbab2f0c7fe214141" /><Relationship Type="http://schemas.openxmlformats.org/officeDocument/2006/relationships/worksheet" Target="/xl/worksheets/sheet4.xml" Id="Red6c4b09d5544955" /><Relationship Type="http://schemas.openxmlformats.org/officeDocument/2006/relationships/worksheet" Target="/xl/worksheets/sheet5.xml" Id="Re3b0a45c6b524ea6" /><Relationship Type="http://schemas.openxmlformats.org/officeDocument/2006/relationships/worksheet" Target="/xl/worksheets/sheet6.xml" Id="Re9824256645a404f" /><Relationship Type="http://schemas.openxmlformats.org/officeDocument/2006/relationships/worksheet" Target="/xl/worksheets/sheet7.xml" Id="R491594b5265b4788" /><Relationship Type="http://schemas.openxmlformats.org/officeDocument/2006/relationships/worksheet" Target="/xl/worksheets/sheet8.xml" Id="R4e1b607feb494c7f" /><Relationship Type="http://schemas.openxmlformats.org/officeDocument/2006/relationships/worksheet" Target="/xl/worksheets/sheet9.xml" Id="R249f42cea5eb40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11e5acc05714fc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Portal Coverage by Tier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'00 Dashboard'!$D$4:$D$6</c:f>
              <c:strCache>
                <c:ptCount val="0"/>
              </c:strCache>
            </c:strRef>
          </c:cat>
          <c:val>
            <c:numRef>
              <c:f>'00 Dashboard'!$E$4:$E$6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10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1e5acc05714fc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01PortalMasterTable" displayName="01PortalMasterTable" ref="A3:J54" headerRowCount="1">
  <x:tableColumns count="10">
    <x:tableColumn id="1" name="Priority Tier"/>
    <x:tableColumn id="2" name="Company / Portal"/>
    <x:tableColumn id="3" name="Type"/>
    <x:tableColumn id="4" name="Main Website"/>
    <x:tableColumn id="5" name="Tender Search Link"/>
    <x:tableColumn id="6" name="Vendor/Award Link"/>
    <x:tableColumn id="7" name="Login / DSC / Requirement"/>
    <x:tableColumn id="8" name="Regulator Relevance"/>
    <x:tableColumn id="9" name="Evidence / Current Note"/>
    <x:tableColumn id="10" name="Next Action"/>
  </x:tableColumns>
  <x:tableStyleInfo name="TableStyleMedium2" showRowStripes="1"/>
</x:table>
</file>

<file path=xl/tables/table2.xml><?xml version="1.0" encoding="utf-8"?>
<x:table xmlns:x="http://schemas.openxmlformats.org/spreadsheetml/2006/main" id="2" name="02SearchKeywordsTable" displayName="02SearchKeywordsTable" ref="A3:D27" headerRowCount="1">
  <x:tableColumns count="4">
    <x:tableColumn id="1" name="Segment"/>
    <x:tableColumn id="2" name="Keyword"/>
    <x:tableColumn id="3" name="Meaning / Use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03HowToSearchTable" displayName="03HowToSearchTable" ref="A3:E13" headerRowCount="1">
  <x:tableColumns count="5">
    <x:tableColumn id="1" name="Portal"/>
    <x:tableColumn id="2" name="Step 1"/>
    <x:tableColumn id="3" name="Step 2"/>
    <x:tableColumn id="4" name="Step 3"/>
    <x:tableColumn id="5" name="What to Save"/>
  </x:tableColumns>
  <x:tableStyleInfo name="TableStyleMedium2" showRowStripes="1"/>
</x:table>
</file>

<file path=xl/tables/table4.xml><?xml version="1.0" encoding="utf-8"?>
<x:table xmlns:x="http://schemas.openxmlformats.org/spreadsheetml/2006/main" id="4" name="04TenderRegisterTable" displayName="04TenderRegisterTable" ref="A3:V7" headerRowCount="1">
  <x:tableColumns count="22">
    <x:tableColumn id="1" name="Tender ID"/>
    <x:tableColumn id="2" name="Company"/>
    <x:tableColumn id="3" name="Portal"/>
    <x:tableColumn id="4" name="Tender Ref"/>
    <x:tableColumn id="5" name="Tender Date"/>
    <x:tableColumn id="6" name="Status"/>
    <x:tableColumn id="7" name="Product Segment"/>
    <x:tableColumn id="8" name="Product Description"/>
    <x:tableColumn id="9" name="Qty"/>
    <x:tableColumn id="10" name="UOM"/>
    <x:tableColumn id="11" name="Winner"/>
    <x:tableColumn id="12" name="Brand"/>
    <x:tableColumn id="13" name="Total INR Basic"/>
    <x:tableColumn id="14" name="GST INR"/>
    <x:tableColumn id="15" name="Total INR Incl GST"/>
    <x:tableColumn id="16" name="FX INR/EUR"/>
    <x:tableColumn id="17" name="Total EUR"/>
    <x:tableColumn id="18" name="Unit EUR Basic"/>
    <x:tableColumn id="19" name="Unit EUR Incl GST"/>
    <x:tableColumn id="20" name="Source URL"/>
    <x:tableColumn id="21" name="PDF Saved?"/>
    <x:tableColumn id="22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05TechnicalDatabaseTable" displayName="05TechnicalDatabaseTable" ref="A3:R5" headerRowCount="1">
  <x:tableColumns count="18">
    <x:tableColumn id="1" name="Tender ID"/>
    <x:tableColumn id="2" name="Product Segment"/>
    <x:tableColumn id="3" name="Model/Type"/>
    <x:tableColumn id="4" name="Inlet Pressure"/>
    <x:tableColumn id="5" name="Outlet Pressure"/>
    <x:tableColumn id="6" name="Capacity"/>
    <x:tableColumn id="7" name="Accuracy Class"/>
    <x:tableColumn id="8" name="Lock-up / SG"/>
    <x:tableColumn id="9" name="OPSO"/>
    <x:tableColumn id="10" name="UPSO"/>
    <x:tableColumn id="11" name="Relief"/>
    <x:tableColumn id="12" name="Monitor"/>
    <x:tableColumn id="13" name="Body Material"/>
    <x:tableColumn id="14" name="Connection"/>
    <x:tableColumn id="15" name="Standard"/>
    <x:tableColumn id="16" name="TPI / Certification"/>
    <x:tableColumn id="17" name="Source Page / URL"/>
    <x:tableColumn id="18" name="Notes"/>
  </x:tableColumns>
  <x:tableStyleInfo name="TableStyleMedium2" showRowStripes="1"/>
</x:table>
</file>

<file path=xl/tables/table6.xml><?xml version="1.0" encoding="utf-8"?>
<x:table xmlns:x="http://schemas.openxmlformats.org/spreadsheetml/2006/main" id="6" name="06PriceIntelligenceTable" displayName="06PriceIntelligenceTable" ref="A3:O6" headerRowCount="1">
  <x:tableColumns count="15">
    <x:tableColumn id="1" name="Tender ID"/>
    <x:tableColumn id="2" name="Company"/>
    <x:tableColumn id="3" name="Year"/>
    <x:tableColumn id="4" name="Product Segment"/>
    <x:tableColumn id="5" name="Capacity"/>
    <x:tableColumn id="6" name="Qty"/>
    <x:tableColumn id="7" name="Winner"/>
    <x:tableColumn id="8" name="Brand"/>
    <x:tableColumn id="9" name="Total INR Basic"/>
    <x:tableColumn id="10" name="Total EUR Basic"/>
    <x:tableColumn id="11" name="Unit EUR Basic"/>
    <x:tableColumn id="12" name="Unit EUR Incl GST"/>
    <x:tableColumn id="13" name="Confidence"/>
    <x:tableColumn id="14" name="Source URL"/>
    <x:tableColumn id="15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07CompetitorDBTable" displayName="07CompetitorDBTable" ref="A3:G14" headerRowCount="1">
  <x:tableColumns count="7">
    <x:tableColumn id="1" name="Competitor"/>
    <x:tableColumn id="2" name="Country"/>
    <x:tableColumn id="3" name="Role"/>
    <x:tableColumn id="4" name="Likely Segment"/>
    <x:tableColumn id="5" name="Website"/>
    <x:tableColumn id="6" name="Relevance"/>
    <x:tableColumn id="7" name="Notes"/>
  </x:tableColumns>
  <x:tableStyleInfo name="TableStyleMedium2" showRowStripes="1"/>
</x:table>
</file>

<file path=xl/tables/table8.xml><?xml version="1.0" encoding="utf-8"?>
<x:table xmlns:x="http://schemas.openxmlformats.org/spreadsheetml/2006/main" id="8" name="08SourceLogTable" displayName="08SourceLogTable" ref="A3:C19" headerRowCount="1">
  <x:tableColumns count="3">
    <x:tableColumn id="1" name="Source"/>
    <x:tableColumn id="2" name="Use"/>
    <x:tableColumn id="3" name="UR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084b2413cd47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95dd331ee764a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745688760d5412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3e0fff88bef4dd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21c129c635842e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2777bd05e1f44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eb2466a0a8c41d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97c4a2c8210492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3863c2226a4444b4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18" hidden="0" customWidth="1"/>
    <x:col min="4" max="4" width="32" hidden="0" customWidth="1"/>
    <x:col min="5" max="5" width="36" hidden="0" customWidth="1"/>
    <x:col min="6" max="6" width="36" hidden="0" customWidth="1"/>
    <x:col min="7" max="7" width="24" hidden="0" customWidth="1"/>
    <x:col min="8" max="8" width="16" hidden="0" customWidth="1"/>
    <x:col min="9" max="9" width="38" hidden="0" customWidth="1"/>
    <x:col min="10" max="10" width="30" hidden="0" customWidth="1"/>
  </x:cols>
  <x:sheetData>
    <x:row r="1" ht="24" customHeight="1">
      <x:c r="A1" s="5" t="str">
        <x:v>01 Portal Master</x:v>
      </x:c>
    </x:row>
    <x:row r="3" ht="30" customHeight="1">
      <x:c r="A3" s="15" t="str">
        <x:v>Priority Tier</x:v>
      </x:c>
      <x:c r="B3" s="15" t="str">
        <x:v>Company / Portal</x:v>
      </x:c>
      <x:c r="C3" s="15" t="str">
        <x:v>Type</x:v>
      </x:c>
      <x:c r="D3" s="15" t="str">
        <x:v>Main Website</x:v>
      </x:c>
      <x:c r="E3" s="15" t="str">
        <x:v>Tender Search Link</x:v>
      </x:c>
      <x:c r="F3" s="15" t="str">
        <x:v>Vendor/Award Link</x:v>
      </x:c>
      <x:c r="G3" s="15" t="str">
        <x:v>Login / DSC / Requirement</x:v>
      </x:c>
      <x:c r="H3" s="15" t="str">
        <x:v>Regulator Relevance</x:v>
      </x:c>
      <x:c r="I3" s="15" t="str">
        <x:v>Evidence / Current Note</x:v>
      </x:c>
      <x:c r="J3" s="15" t="str">
        <x:v>Next Action</x:v>
      </x:c>
    </x:row>
    <x:row r="4">
      <x:c r="A4" s="10" t="str">
        <x:v>Tier 1</x:v>
      </x:c>
      <x:c r="B4" s="10" t="str">
        <x:v>GAIL India</x:v>
      </x:c>
      <x:c r="C4" s="10" t="str">
        <x:v>PSU / Gas transmission + CGD parent</x:v>
      </x:c>
      <x:c r="D4" s="10" t="str">
        <x:v>https://gailtenders.in</x:v>
      </x:c>
      <x:c r="E4" s="10" t="str">
        <x:v>https://gailtenders.in/Gailtenders</x:v>
      </x:c>
      <x:c r="F4" s="10" t="str">
        <x:v>https://gailtenders.in/Gailtenders/writereaddata/AOC/</x:v>
      </x:c>
      <x:c r="G4" s="10" t="str">
        <x:v>May need vendor login/DSC for bids</x:v>
      </x:c>
      <x:c r="H4" s="10" t="str">
        <x:v>High</x:v>
      </x:c>
      <x:c r="I4" s="10" t="str">
        <x:v>FOA/LOA/AOC PDFs openly available</x:v>
      </x:c>
      <x:c r="J4" s="10" t="str">
        <x:v>Use GAIL AOC and archive searches</x:v>
      </x:c>
    </x:row>
    <x:row r="5">
      <x:c r="A5" s="10" t="str">
        <x:v>Tier 1</x:v>
      </x:c>
      <x:c r="B5" s="10" t="str">
        <x:v>GAIL Gas</x:v>
      </x:c>
      <x:c r="C5" s="10" t="str">
        <x:v>CGD operator</x:v>
      </x:c>
      <x:c r="D5" s="10" t="str">
        <x:v>https://gailgas.com</x:v>
      </x:c>
      <x:c r="E5" s="10" t="str">
        <x:v>https://gailgas.com/stakeholder-zone/vendor-zone</x:v>
      </x:c>
      <x:c r="F5" s="10" t="str">
        <x:v>https://gailgas.com/stakeholder-zone/vendor-zone</x:v>
      </x:c>
      <x:c r="G5" s="10" t="str">
        <x:v>Likely GeM/portal depending tender</x:v>
      </x:c>
      <x:c r="H5" s="10" t="str">
        <x:v>High</x:v>
      </x:c>
      <x:c r="I5" s="10" t="str">
        <x:v>Vendor zone points to tender information system</x:v>
      </x:c>
      <x:c r="J5" s="10" t="str">
        <x:v>Search domestic/service regulators and GeM refs</x:v>
      </x:c>
    </x:row>
    <x:row r="6">
      <x:c r="A6" s="10" t="str">
        <x:v>Tier 1</x:v>
      </x:c>
      <x:c r="B6" s="10" t="str">
        <x:v>Indraprastha Gas (IGL)</x:v>
      </x:c>
      <x:c r="C6" s="10" t="str">
        <x:v>CGD operator</x:v>
      </x:c>
      <x:c r="D6" s="10" t="str">
        <x:v>https://www.iglonline.net</x:v>
      </x:c>
      <x:c r="E6" s="10" t="str">
        <x:v>https://tenders.iglonline.net/tenderList</x:v>
      </x:c>
      <x:c r="F6" s="10" t="str">
        <x:v>https://tenders.iglonline.net/tenderList</x:v>
      </x:c>
      <x:c r="G6" s="10" t="str">
        <x:v>Vendor registration listed on tender portal</x:v>
      </x:c>
      <x:c r="H6" s="10" t="str">
        <x:v>High</x:v>
      </x:c>
      <x:c r="I6" s="10" t="str">
        <x:v>Portal has active tenders, vendor portal, e-tender guide</x:v>
      </x:c>
      <x:c r="J6" s="10" t="str">
        <x:v>Search FRS/MRS/C&amp;I regulators</x:v>
      </x:c>
    </x:row>
    <x:row r="7">
      <x:c r="A7" s="10" t="str">
        <x:v>Tier 1</x:v>
      </x:c>
      <x:c r="B7" s="10" t="str">
        <x:v>Mahanagar Gas (MGL)</x:v>
      </x:c>
      <x:c r="C7" s="10" t="str">
        <x:v>CGD operator</x:v>
      </x:c>
      <x:c r="D7" s="10" t="str">
        <x:v>https://www.mahanagargas.com</x:v>
      </x:c>
      <x:c r="E7" s="10" t="str">
        <x:v>https://www.mahanagargas.com/Tender</x:v>
      </x:c>
      <x:c r="F7" s="10" t="str">
        <x:v>https://www.mahanagargas.com/Tender</x:v>
      </x:c>
      <x:c r="G7" s="10" t="str">
        <x:v>SAP/RFx, DSC usually needed</x:v>
      </x:c>
      <x:c r="H7" s="10" t="str">
        <x:v>High</x:v>
      </x:c>
      <x:c r="I7" s="10" t="str">
        <x:v>Supplier bid guide shows digital signature requirement</x:v>
      </x:c>
      <x:c r="J7" s="10" t="str">
        <x:v>Need find archive/results</x:v>
      </x:c>
    </x:row>
    <x:row r="8">
      <x:c r="A8" s="10" t="str">
        <x:v>Tier 1</x:v>
      </x:c>
      <x:c r="B8" s="10" t="str">
        <x:v>Gujarat Gas (GGL)</x:v>
      </x:c>
      <x:c r="C8" s="10" t="str">
        <x:v>CGD operator</x:v>
      </x:c>
      <x:c r="D8" s="10" t="str">
        <x:v>https://www.gujaratgas.com</x:v>
      </x:c>
      <x:c r="E8" s="10" t="str">
        <x:v>https://www.gujaratgas.com/tenders/</x:v>
      </x:c>
      <x:c r="F8" s="10" t="str">
        <x:v>https://www.gujaratgas.com/tenders/</x:v>
      </x:c>
      <x:c r="G8" s="10" t="str">
        <x:v>nProcure registration; DSC likely</x:v>
      </x:c>
      <x:c r="H8" s="10" t="str">
        <x:v>High</x:v>
      </x:c>
      <x:c r="I8" s="10" t="str">
        <x:v>GGL tenders are published through nProcure</x:v>
      </x:c>
      <x:c r="J8" s="10" t="str">
        <x:v>Use nProcure support links</x:v>
      </x:c>
    </x:row>
    <x:row r="9">
      <x:c r="A9" s="10" t="str">
        <x:v>Tier 1</x:v>
      </x:c>
      <x:c r="B9" s="10" t="str">
        <x:v>Adani Total Gas (ATGL)</x:v>
      </x:c>
      <x:c r="C9" s="10" t="str">
        <x:v>CGD operator</x:v>
      </x:c>
      <x:c r="D9" s="10" t="str">
        <x:v>https://www.adanigas.com</x:v>
      </x:c>
      <x:c r="E9" s="10" t="str">
        <x:v>https://www.adanigas.com/commercials</x:v>
      </x:c>
      <x:c r="F9" s="10" t="str">
        <x:v>https://www.adanigas.com/commercials</x:v>
      </x:c>
      <x:c r="G9" s="10" t="str">
        <x:v>Vendor registration available</x:v>
      </x:c>
      <x:c r="H9" s="10" t="str">
        <x:v>High</x:v>
      </x:c>
      <x:c r="I9" s="10" t="str">
        <x:v>Commercials page has Vendor Registration, Tender and EOI</x:v>
      </x:c>
      <x:c r="J9" s="10" t="str">
        <x:v>Search tender category list</x:v>
      </x:c>
    </x:row>
    <x:row r="10">
      <x:c r="A10" s="10" t="str">
        <x:v>Tier 1</x:v>
      </x:c>
      <x:c r="B10" s="10" t="str">
        <x:v>Torrent Gas</x:v>
      </x:c>
      <x:c r="C10" s="10" t="str">
        <x:v>CGD operator</x:v>
      </x:c>
      <x:c r="D10" s="10" t="str">
        <x:v>https://www.torrentgas.com</x:v>
      </x:c>
      <x:c r="E10" s="10" t="str">
        <x:v>https://www.torrentgas.com/User/Info/Vendor</x:v>
      </x:c>
      <x:c r="F10" s="10" t="str">
        <x:v>https://www.torrentgas.com/User/Info/Vendor</x:v>
      </x:c>
      <x:c r="G10" s="10" t="str">
        <x:v>Vendor evaluation/registration</x:v>
      </x:c>
      <x:c r="H10" s="10" t="str">
        <x:v>High</x:v>
      </x:c>
      <x:c r="I10" s="10" t="str">
        <x:v>Vendor page lists procurement email</x:v>
      </x:c>
      <x:c r="J10" s="10" t="str">
        <x:v>procurement@torrentgas.com</x:v>
      </x:c>
    </x:row>
    <x:row r="11">
      <x:c r="A11" s="10" t="str">
        <x:v>Tier 1</x:v>
      </x:c>
      <x:c r="B11" s="10" t="str">
        <x:v>IndianOil-Adani Gas (IOAGPL)</x:v>
      </x:c>
      <x:c r="C11" s="10" t="str">
        <x:v>CGD JV</x:v>
      </x:c>
      <x:c r="D11" s="10" t="str">
        <x:v>https://ioagpl.com</x:v>
      </x:c>
      <x:c r="E11" s="10" t="str">
        <x:v>https://ioagpl.com/vendor-registration-form/</x:v>
      </x:c>
      <x:c r="F11" s="10" t="str">
        <x:v>https://ioagpl.com/tenders/</x:v>
      </x:c>
      <x:c r="G11" s="10" t="str">
        <x:v>Vendor form via courier/docs</x:v>
      </x:c>
      <x:c r="H11" s="10" t="str">
        <x:v>High</x:v>
      </x:c>
      <x:c r="I11" s="10" t="str">
        <x:v>Vendor registration form page lists required docs</x:v>
      </x:c>
      <x:c r="J11" s="10" t="str">
        <x:v>Search IOAGPL regulator on CPPP too</x:v>
      </x:c>
    </x:row>
    <x:row r="12">
      <x:c r="A12" s="10" t="str">
        <x:v>Tier 1</x:v>
      </x:c>
      <x:c r="B12" s="10" t="str">
        <x:v>Indian Oil Corporation (IOCL CGD)</x:v>
      </x:c>
      <x:c r="C12" s="10" t="str">
        <x:v>PSU CGD operator</x:v>
      </x:c>
      <x:c r="D12" s="10" t="str">
        <x:v>https://iocl.com</x:v>
      </x:c>
      <x:c r="E12" s="10" t="str">
        <x:v>https://iocl.com/tenders</x:v>
      </x:c>
      <x:c r="F12" s="10" t="str">
        <x:v>https://iocl.com/pages/cgd</x:v>
      </x:c>
      <x:c r="G12" s="10" t="str">
        <x:v>CPPP/IOCL portal/GeM</x:v>
      </x:c>
      <x:c r="H12" s="10" t="str">
        <x:v>High</x:v>
      </x:c>
      <x:c r="I12" s="10" t="str">
        <x:v>IOCL says it is present in 49 GAs with JVs</x:v>
      </x:c>
      <x:c r="J12" s="10" t="str">
        <x:v>Search organisation Indian Oil Corporation</x:v>
      </x:c>
    </x:row>
    <x:row r="13">
      <x:c r="A13" s="10" t="str">
        <x:v>Tier 1</x:v>
      </x:c>
      <x:c r="B13" s="10" t="str">
        <x:v>Bharat Petroleum (BPCL CGD)</x:v>
      </x:c>
      <x:c r="C13" s="10" t="str">
        <x:v>PSU CGD operator</x:v>
      </x:c>
      <x:c r="D13" s="10" t="str">
        <x:v>https://bharatpetroleum.in</x:v>
      </x:c>
      <x:c r="E13" s="10" t="str">
        <x:v>https://bharatpetroleum.in/tenders</x:v>
      </x:c>
      <x:c r="F13" s="10" t="str">
        <x:v>https://bharatpetroleum.in/bharat-petroleum-for/our-businesses/gas/city-gas-distribution</x:v>
      </x:c>
      <x:c r="G13" s="10" t="str">
        <x:v>CPPP/BPCL portal/GeM</x:v>
      </x:c>
      <x:c r="H13" s="10" t="str">
        <x:v>High</x:v>
      </x:c>
      <x:c r="I13" s="10" t="str">
        <x:v>BPCL CGD page confirms CGD business</x:v>
      </x:c>
      <x:c r="J13" s="10" t="str">
        <x:v>Search BPCL CGD regulator</x:v>
      </x:c>
    </x:row>
    <x:row r="14">
      <x:c r="A14" s="10" t="str">
        <x:v>Tier 1</x:v>
      </x:c>
      <x:c r="B14" s="10" t="str">
        <x:v>Hindustan Petroleum (HPCL CGD)</x:v>
      </x:c>
      <x:c r="C14" s="10" t="str">
        <x:v>PSU CGD operator</x:v>
      </x:c>
      <x:c r="D14" s="10" t="str">
        <x:v>https://www.hindustanpetroleum.com</x:v>
      </x:c>
      <x:c r="E14" s="10" t="str">
        <x:v>https://www.hindustanpetroleum.com/pages/tenders-and-contracts</x:v>
      </x:c>
      <x:c r="F14" s="10" t="str">
        <x:v>https://www.hindustanpetroleum.com</x:v>
      </x:c>
      <x:c r="G14" s="10" t="str">
        <x:v>CPPP/HPCL portal/GeM</x:v>
      </x:c>
      <x:c r="H14" s="10" t="str">
        <x:v>Medium</x:v>
      </x:c>
      <x:c r="I14" s="10" t="str">
        <x:v>Often central PSU procurement</x:v>
      </x:c>
      <x:c r="J14" s="10" t="str">
        <x:v>Search HPCL city gas distribution regulator</x:v>
      </x:c>
    </x:row>
    <x:row r="15">
      <x:c r="A15" s="10" t="str">
        <x:v>Tier 2</x:v>
      </x:c>
      <x:c r="B15" s="10" t="str">
        <x:v>Maharashtra Natural Gas (MNGL)</x:v>
      </x:c>
      <x:c r="C15" s="10" t="str">
        <x:v>CGD operator</x:v>
      </x:c>
      <x:c r="D15" s="10" t="str">
        <x:v>https://mngl.in</x:v>
      </x:c>
      <x:c r="E15" s="10" t="str">
        <x:v>https://mngl.in/active-tenders</x:v>
      </x:c>
      <x:c r="F15" s="10" t="str">
        <x:v>https://mngl.in/vendor/instructions-to-bridders</x:v>
      </x:c>
      <x:c r="G15" s="10" t="str">
        <x:v>CPPP; DSC required</x:v>
      </x:c>
      <x:c r="H15" s="10" t="str">
        <x:v>High</x:v>
      </x:c>
      <x:c r="I15" s="10" t="str">
        <x:v>Instructions say submit on CPP portal with DSC</x:v>
      </x:c>
      <x:c r="J15" s="10" t="str">
        <x:v>Important domestic regulator ARC source</x:v>
      </x:c>
    </x:row>
    <x:row r="16">
      <x:c r="A16" s="10" t="str">
        <x:v>Tier 2</x:v>
      </x:c>
      <x:c r="B16" s="10" t="str">
        <x:v>Gasonet Services</x:v>
      </x:c>
      <x:c r="C16" s="10" t="str">
        <x:v>CGD operator</x:v>
      </x:c>
      <x:c r="D16" s="10" t="str">
        <x:v>https://www.gasonet.in</x:v>
      </x:c>
      <x:c r="E16" s="10" t="str">
        <x:v>https://www.gasonet.in/tenders.html</x:v>
      </x:c>
      <x:c r="F16" s="10" t="str">
        <x:v>https://www.gasonet.in/tenders.html</x:v>
      </x:c>
      <x:c r="G16" s="10" t="str">
        <x:v>Open tender PDF; email in docs</x:v>
      </x:c>
      <x:c r="H16" s="10" t="str">
        <x:v>High</x:v>
      </x:c>
      <x:c r="I16" s="10" t="str">
        <x:v>Tenders page has domestic/service regulator PDF</x:v>
      </x:c>
      <x:c r="J16" s="10" t="str">
        <x:v>Good for technical/quantity extraction</x:v>
      </x:c>
    </x:row>
    <x:row r="17">
      <x:c r="A17" s="10" t="str">
        <x:v>Tier 2</x:v>
      </x:c>
      <x:c r="B17" s="10" t="str">
        <x:v>Green Gas Limited</x:v>
      </x:c>
      <x:c r="C17" s="10" t="str">
        <x:v>CGD JV</x:v>
      </x:c>
      <x:c r="D17" s="10" t="str">
        <x:v>https://www.gglonline.net</x:v>
      </x:c>
      <x:c r="E17" s="10" t="str">
        <x:v>https://www.gglonline.net/tender</x:v>
      </x:c>
      <x:c r="F17" s="10" t="str">
        <x:v>https://www.gglonline.net/tender</x:v>
      </x:c>
      <x:c r="G17" s="10" t="str">
        <x:v>To verify</x:v>
      </x:c>
      <x:c r="H17" s="10" t="str">
        <x:v>High</x:v>
      </x:c>
      <x:c r="I17" s="10" t="str">
        <x:v>CGD operator; tender page to monitor</x:v>
      </x:c>
      <x:c r="J17" s="10" t="str">
        <x:v>Search regulator/PRS</x:v>
      </x:c>
    </x:row>
    <x:row r="18">
      <x:c r="A18" s="10" t="str">
        <x:v>Tier 2</x:v>
      </x:c>
      <x:c r="B18" s="10" t="str">
        <x:v>Central U.P. Gas (CUGL)</x:v>
      </x:c>
      <x:c r="C18" s="10" t="str">
        <x:v>CGD operator</x:v>
      </x:c>
      <x:c r="D18" s="10" t="str">
        <x:v>https://www.cugl.co.in</x:v>
      </x:c>
      <x:c r="E18" s="10" t="str">
        <x:v>https://www.cugl.co.in/tenders</x:v>
      </x:c>
      <x:c r="F18" s="10" t="str">
        <x:v>https://www.cugl.co.in/tenders</x:v>
      </x:c>
      <x:c r="G18" s="10" t="str">
        <x:v>To verify</x:v>
      </x:c>
      <x:c r="H18" s="10" t="str">
        <x:v>High</x:v>
      </x:c>
      <x:c r="I18" s="10" t="str">
        <x:v>CGD operator in UP</x:v>
      </x:c>
      <x:c r="J18" s="10" t="str">
        <x:v>Search CUGL procurement regulator</x:v>
      </x:c>
    </x:row>
    <x:row r="19">
      <x:c r="A19" s="10" t="str">
        <x:v>Tier 2</x:v>
      </x:c>
      <x:c r="B19" s="10" t="str">
        <x:v>Sabarmati Gas</x:v>
      </x:c>
      <x:c r="C19" s="10" t="str">
        <x:v>CGD operator</x:v>
      </x:c>
      <x:c r="D19" s="10" t="str">
        <x:v>https://www.sabarmatigas.in</x:v>
      </x:c>
      <x:c r="E19" s="10" t="str">
        <x:v>https://www.sabarmatigas.in/tenders</x:v>
      </x:c>
      <x:c r="F19" s="10" t="str">
        <x:v>https://www.sabarmatigas.in/tenders</x:v>
      </x:c>
      <x:c r="G19" s="10" t="str">
        <x:v>To verify</x:v>
      </x:c>
      <x:c r="H19" s="10" t="str">
        <x:v>High</x:v>
      </x:c>
      <x:c r="I19" s="10" t="str">
        <x:v>CGD operator in Gujarat</x:v>
      </x:c>
      <x:c r="J19" s="10" t="str">
        <x:v>Search service/domestic regulators</x:v>
      </x:c>
    </x:row>
    <x:row r="20">
      <x:c r="A20" s="10" t="str">
        <x:v>Tier 2</x:v>
      </x:c>
      <x:c r="B20" s="10" t="str">
        <x:v>Charotar Gas</x:v>
      </x:c>
      <x:c r="C20" s="10" t="str">
        <x:v>CGD operator</x:v>
      </x:c>
      <x:c r="D20" s="10" t="str">
        <x:v>https://charotargas.com</x:v>
      </x:c>
      <x:c r="E20" s="10" t="str">
        <x:v>https://charotargas.com/tenders</x:v>
      </x:c>
      <x:c r="F20" s="10" t="str">
        <x:v>https://charotargas.com/tenders</x:v>
      </x:c>
      <x:c r="G20" s="10" t="str">
        <x:v>To verify</x:v>
      </x:c>
      <x:c r="H20" s="10" t="str">
        <x:v>Medium</x:v>
      </x:c>
      <x:c r="I20" s="10" t="str">
        <x:v>CGD operator</x:v>
      </x:c>
      <x:c r="J20" s="10" t="str">
        <x:v>Search tenders manually</x:v>
      </x:c>
    </x:row>
    <x:row r="21">
      <x:c r="A21" s="10" t="str">
        <x:v>Tier 2</x:v>
      </x:c>
      <x:c r="B21" s="10" t="str">
        <x:v>Goa Natural Gas</x:v>
      </x:c>
      <x:c r="C21" s="10" t="str">
        <x:v>CGD operator</x:v>
      </x:c>
      <x:c r="D21" s="10" t="str">
        <x:v>https://www.goanaturalgas.com</x:v>
      </x:c>
      <x:c r="E21" s="10" t="str">
        <x:v>https://www.goanaturalgas.com/tenders/</x:v>
      </x:c>
      <x:c r="F21" s="10" t="str">
        <x:v>https://www.goanaturalgas.com/tenders/</x:v>
      </x:c>
      <x:c r="G21" s="10" t="str">
        <x:v>Open docs possible</x:v>
      </x:c>
      <x:c r="H21" s="10" t="str">
        <x:v>High</x:v>
      </x:c>
      <x:c r="I21" s="10" t="str">
        <x:v>Previous docs include regulator quantities</x:v>
      </x:c>
      <x:c r="J21" s="10" t="str">
        <x:v>Good benchmark source</x:v>
      </x:c>
    </x:row>
    <x:row r="22">
      <x:c r="A22" s="10" t="str">
        <x:v>Tier 2</x:v>
      </x:c>
      <x:c r="B22" s="10" t="str">
        <x:v>Haryana City Gas</x:v>
      </x:c>
      <x:c r="C22" s="10" t="str">
        <x:v>CGD operator</x:v>
      </x:c>
      <x:c r="D22" s="10" t="str">
        <x:v>https://haryanacitygas.com</x:v>
      </x:c>
      <x:c r="E22" s="10" t="str">
        <x:v>https://haryanacitygas.com/tenders</x:v>
      </x:c>
      <x:c r="F22" s="10" t="str">
        <x:v>https://haryanacitygas.com/tenders</x:v>
      </x:c>
      <x:c r="G22" s="10" t="str">
        <x:v>To verify</x:v>
      </x:c>
      <x:c r="H22" s="10" t="str">
        <x:v>Medium</x:v>
      </x:c>
      <x:c r="I22" s="10" t="str">
        <x:v>CGD operator</x:v>
      </x:c>
      <x:c r="J22" s="10" t="str">
        <x:v>Search domestic regulator</x:v>
      </x:c>
    </x:row>
    <x:row r="23">
      <x:c r="A23" s="10" t="str">
        <x:v>Tier 2</x:v>
      </x:c>
      <x:c r="B23" s="10" t="str">
        <x:v>Bhagyanagar Gas</x:v>
      </x:c>
      <x:c r="C23" s="10" t="str">
        <x:v>CGD operator</x:v>
      </x:c>
      <x:c r="D23" s="10" t="str">
        <x:v>https://www.bglgas.com</x:v>
      </x:c>
      <x:c r="E23" s="10" t="str">
        <x:v>https://www.bglgas.com/tenders</x:v>
      </x:c>
      <x:c r="F23" s="10" t="str">
        <x:v>https://www.bglgas.com/tenders</x:v>
      </x:c>
      <x:c r="G23" s="10" t="str">
        <x:v>To verify</x:v>
      </x:c>
      <x:c r="H23" s="10" t="str">
        <x:v>Medium</x:v>
      </x:c>
      <x:c r="I23" s="10" t="str">
        <x:v>CGD operator; PNGRB listed entity</x:v>
      </x:c>
      <x:c r="J23" s="10" t="str">
        <x:v>Search BGL tenders</x:v>
      </x:c>
    </x:row>
    <x:row r="24">
      <x:c r="A24" s="10" t="str">
        <x:v>Tier 2</x:v>
      </x:c>
      <x:c r="B24" s="10" t="str">
        <x:v>Tripura Natural Gas</x:v>
      </x:c>
      <x:c r="C24" s="10" t="str">
        <x:v>CGD operator</x:v>
      </x:c>
      <x:c r="D24" s="10" t="str">
        <x:v>https://tngclonline.com</x:v>
      </x:c>
      <x:c r="E24" s="10" t="str">
        <x:v>https://tngclonline.com/tenders</x:v>
      </x:c>
      <x:c r="F24" s="10" t="str">
        <x:v>https://tngclonline.com/tenders</x:v>
      </x:c>
      <x:c r="G24" s="10" t="str">
        <x:v>To verify</x:v>
      </x:c>
      <x:c r="H24" s="10" t="str">
        <x:v>Medium</x:v>
      </x:c>
      <x:c r="I24" s="10" t="str">
        <x:v>CGD operator</x:v>
      </x:c>
      <x:c r="J24" s="10" t="str">
        <x:v>Search TNGCL regulator</x:v>
      </x:c>
    </x:row>
    <x:row r="25">
      <x:c r="A25" s="10" t="str">
        <x:v>Tier 2</x:v>
      </x:c>
      <x:c r="B25" s="10" t="str">
        <x:v>Avantika Gas</x:v>
      </x:c>
      <x:c r="C25" s="10" t="str">
        <x:v>CGD operator</x:v>
      </x:c>
      <x:c r="D25" s="10" t="str">
        <x:v>https://www.aglonline.net</x:v>
      </x:c>
      <x:c r="E25" s="10" t="str">
        <x:v>https://www.aglonline.net/tender</x:v>
      </x:c>
      <x:c r="F25" s="10" t="str">
        <x:v>https://www.aglonline.net/tender</x:v>
      </x:c>
      <x:c r="G25" s="10" t="str">
        <x:v>To verify</x:v>
      </x:c>
      <x:c r="H25" s="10" t="str">
        <x:v>Medium</x:v>
      </x:c>
      <x:c r="I25" s="10" t="str">
        <x:v>CGD operator in MP</x:v>
      </x:c>
      <x:c r="J25" s="10" t="str">
        <x:v>Search service regulator</x:v>
      </x:c>
    </x:row>
    <x:row r="26">
      <x:c r="A26" s="10" t="str">
        <x:v>Tier 2</x:v>
      </x:c>
      <x:c r="B26" s="10" t="str">
        <x:v>IRM Energy</x:v>
      </x:c>
      <x:c r="C26" s="10" t="str">
        <x:v>CGD operator</x:v>
      </x:c>
      <x:c r="D26" s="10" t="str">
        <x:v>https://www.irmenergy.com</x:v>
      </x:c>
      <x:c r="E26" s="10" t="str">
        <x:v>https://www.irmenergy.com/tenders</x:v>
      </x:c>
      <x:c r="F26" s="10" t="str">
        <x:v>https://www.irmenergy.com/tenders</x:v>
      </x:c>
      <x:c r="G26" s="10" t="str">
        <x:v>To verify</x:v>
      </x:c>
      <x:c r="H26" s="10" t="str">
        <x:v>Medium</x:v>
      </x:c>
      <x:c r="I26" s="10" t="str">
        <x:v>CGD operator</x:v>
      </x:c>
      <x:c r="J26" s="10" t="str">
        <x:v>Search procurements</x:v>
      </x:c>
    </x:row>
    <x:row r="27">
      <x:c r="A27" s="10" t="str">
        <x:v>Tier 2</x:v>
      </x:c>
      <x:c r="B27" s="10" t="str">
        <x:v>Think Gas</x:v>
      </x:c>
      <x:c r="C27" s="10" t="str">
        <x:v>CGD operator</x:v>
      </x:c>
      <x:c r="D27" s="10" t="str">
        <x:v>https://www.think-gas.com</x:v>
      </x:c>
      <x:c r="E27" s="10" t="str">
        <x:v>https://www.think-gas.com/tenders</x:v>
      </x:c>
      <x:c r="F27" s="10" t="str">
        <x:v>https://www.think-gas.com/tenders</x:v>
      </x:c>
      <x:c r="G27" s="10" t="str">
        <x:v>To verify</x:v>
      </x:c>
      <x:c r="H27" s="10" t="str">
        <x:v>Medium</x:v>
      </x:c>
      <x:c r="I27" s="10" t="str">
        <x:v>CGD operator</x:v>
      </x:c>
      <x:c r="J27" s="10" t="str">
        <x:v>Search procurement</x:v>
      </x:c>
    </x:row>
    <x:row r="28">
      <x:c r="A28" s="10" t="str">
        <x:v>Tier 2</x:v>
      </x:c>
      <x:c r="B28" s="10" t="str">
        <x:v>AG&amp;P Pratham</x:v>
      </x:c>
      <x:c r="C28" s="10" t="str">
        <x:v>CGD operator</x:v>
      </x:c>
      <x:c r="D28" s="10" t="str">
        <x:v>https://agppratham.com</x:v>
      </x:c>
      <x:c r="E28" s="10" t="str">
        <x:v>https://agppratham.com/tenders</x:v>
      </x:c>
      <x:c r="F28" s="10" t="str">
        <x:v>https://agppratham.com/tenders</x:v>
      </x:c>
      <x:c r="G28" s="10" t="str">
        <x:v>To verify</x:v>
      </x:c>
      <x:c r="H28" s="10" t="str">
        <x:v>Medium</x:v>
      </x:c>
      <x:c r="I28" s="10" t="str">
        <x:v>CGD operator</x:v>
      </x:c>
      <x:c r="J28" s="10" t="str">
        <x:v>Search procurement/contact</x:v>
      </x:c>
    </x:row>
    <x:row r="29">
      <x:c r="A29" s="10" t="str">
        <x:v>Tier 2</x:v>
      </x:c>
      <x:c r="B29" s="10" t="str">
        <x:v>Megha City Gas Distribution</x:v>
      </x:c>
      <x:c r="C29" s="10" t="str">
        <x:v>CGD operator</x:v>
      </x:c>
      <x:c r="D29" s="10" t="str">
        <x:v>https://meghagas.com</x:v>
      </x:c>
      <x:c r="E29" s="10" t="str">
        <x:v>https://meghagas.com/tenders</x:v>
      </x:c>
      <x:c r="F29" s="10" t="str">
        <x:v>https://meghagas.com/tenders</x:v>
      </x:c>
      <x:c r="G29" s="10" t="str">
        <x:v>To verify</x:v>
      </x:c>
      <x:c r="H29" s="10" t="str">
        <x:v>Medium</x:v>
      </x:c>
      <x:c r="I29" s="10" t="str">
        <x:v>PNGRB listed CGD entity</x:v>
      </x:c>
      <x:c r="J29" s="10" t="str">
        <x:v>Search MGCDPL tender</x:v>
      </x:c>
    </x:row>
    <x:row r="30">
      <x:c r="A30" s="10" t="str">
        <x:v>Tier 2</x:v>
      </x:c>
      <x:c r="B30" s="10" t="str">
        <x:v>Godavari Gas</x:v>
      </x:c>
      <x:c r="C30" s="10" t="str">
        <x:v>CGD operator</x:v>
      </x:c>
      <x:c r="D30" s="10" t="str">
        <x:v>https://www.godavarigas.in</x:v>
      </x:c>
      <x:c r="E30" s="10" t="str">
        <x:v>https://www.godavarigas.in/tenders</x:v>
      </x:c>
      <x:c r="F30" s="10" t="str">
        <x:v>https://www.godavarigas.in/tenders</x:v>
      </x:c>
      <x:c r="G30" s="10" t="str">
        <x:v>To verify</x:v>
      </x:c>
      <x:c r="H30" s="10" t="str">
        <x:v>Medium</x:v>
      </x:c>
      <x:c r="I30" s="10" t="str">
        <x:v>PNGRB listed CGD entity</x:v>
      </x:c>
      <x:c r="J30" s="10" t="str">
        <x:v>Search gas regulator</x:v>
      </x:c>
    </x:row>
    <x:row r="31">
      <x:c r="A31" s="10" t="str">
        <x:v>Tier 2</x:v>
      </x:c>
      <x:c r="B31" s="10" t="str">
        <x:v>Bengal Gas Company</x:v>
      </x:c>
      <x:c r="C31" s="10" t="str">
        <x:v>CGD operator</x:v>
      </x:c>
      <x:c r="D31" s="10" t="str">
        <x:v>https://bengalgas.com</x:v>
      </x:c>
      <x:c r="E31" s="10" t="str">
        <x:v>https://bengalgas.com/tenders</x:v>
      </x:c>
      <x:c r="F31" s="10" t="str">
        <x:v>https://bengalgas.com/tenders</x:v>
      </x:c>
      <x:c r="G31" s="10" t="str">
        <x:v>To verify</x:v>
      </x:c>
      <x:c r="H31" s="10" t="str">
        <x:v>Medium</x:v>
      </x:c>
      <x:c r="I31" s="10" t="str">
        <x:v>GAIL/GCGS JV; CGD operator</x:v>
      </x:c>
      <x:c r="J31" s="10" t="str">
        <x:v>Search tender</x:v>
      </x:c>
    </x:row>
    <x:row r="32">
      <x:c r="A32" s="10" t="str">
        <x:v>Tier 2</x:v>
      </x:c>
      <x:c r="B32" s="10" t="str">
        <x:v>Purba Bharati Gas</x:v>
      </x:c>
      <x:c r="C32" s="10" t="str">
        <x:v>CGD operator</x:v>
      </x:c>
      <x:c r="D32" s="10" t="str">
        <x:v>https://www.purbabharatigas.in</x:v>
      </x:c>
      <x:c r="E32" s="10" t="str">
        <x:v>https://www.purbabharatigas.in/tenders</x:v>
      </x:c>
      <x:c r="F32" s="10" t="str">
        <x:v>https://www.purbabharatigas.in/tenders</x:v>
      </x:c>
      <x:c r="G32" s="10" t="str">
        <x:v>To verify</x:v>
      </x:c>
      <x:c r="H32" s="10" t="str">
        <x:v>Medium</x:v>
      </x:c>
      <x:c r="I32" s="10" t="str">
        <x:v>CGD operator in NE India</x:v>
      </x:c>
      <x:c r="J32" s="10" t="str">
        <x:v>Search tenders</x:v>
      </x:c>
    </x:row>
    <x:row r="33">
      <x:c r="A33" s="10" t="str">
        <x:v>Tier 3</x:v>
      </x:c>
      <x:c r="B33" s="10" t="str">
        <x:v>Assam Gas Company</x:v>
      </x:c>
      <x:c r="C33" s="10" t="str">
        <x:v>Gas utility / CGD related</x:v>
      </x:c>
      <x:c r="D33" s="10" t="str">
        <x:v>https://assamgas.org</x:v>
      </x:c>
      <x:c r="E33" s="10" t="str">
        <x:v>https://assamgas.org/tenders</x:v>
      </x:c>
      <x:c r="F33" s="10" t="str">
        <x:v>https://assamgas.org/tenders</x:v>
      </x:c>
      <x:c r="G33" s="10" t="str">
        <x:v>To verify</x:v>
      </x:c>
      <x:c r="H33" s="10" t="str">
        <x:v>Medium</x:v>
      </x:c>
      <x:c r="I33" s="10" t="str">
        <x:v>Regional gas utility</x:v>
      </x:c>
      <x:c r="J33" s="10" t="str">
        <x:v>Search regulator/PRS</x:v>
      </x:c>
    </x:row>
    <x:row r="34">
      <x:c r="A34" s="10" t="str">
        <x:v>Tier 3</x:v>
      </x:c>
      <x:c r="B34" s="10" t="str">
        <x:v>Rajasthan State Gas</x:v>
      </x:c>
      <x:c r="C34" s="10" t="str">
        <x:v>CGD JV</x:v>
      </x:c>
      <x:c r="D34" s="10" t="str">
        <x:v>https://rsgl.rajasthan.gov.in</x:v>
      </x:c>
      <x:c r="E34" s="10" t="str">
        <x:v>https://rsgl.rajasthan.gov.in/tenders</x:v>
      </x:c>
      <x:c r="F34" s="10" t="str">
        <x:v>https://rsgl.rajasthan.gov.in/tenders</x:v>
      </x:c>
      <x:c r="G34" s="10" t="str">
        <x:v>To verify</x:v>
      </x:c>
      <x:c r="H34" s="10" t="str">
        <x:v>Medium</x:v>
      </x:c>
      <x:c r="I34" s="10" t="str">
        <x:v>Regional CGD player</x:v>
      </x:c>
      <x:c r="J34" s="10" t="str">
        <x:v>Search tenders</x:v>
      </x:c>
    </x:row>
    <x:row r="35">
      <x:c r="A35" s="10" t="str">
        <x:v>Tier 3</x:v>
      </x:c>
      <x:c r="B35" s="10" t="str">
        <x:v>Naveriya Gas</x:v>
      </x:c>
      <x:c r="C35" s="10" t="str">
        <x:v>CGD operator</x:v>
      </x:c>
      <x:c r="D35" s="10" t="str">
        <x:v>https://naveriyagas.com</x:v>
      </x:c>
      <x:c r="E35" s="10" t="str">
        <x:v>https://naveriyagas.com/tenders</x:v>
      </x:c>
      <x:c r="F35" s="10" t="str">
        <x:v>https://naveriyagas.com/tenders</x:v>
      </x:c>
      <x:c r="G35" s="10" t="str">
        <x:v>To verify</x:v>
      </x:c>
      <x:c r="H35" s="10" t="str">
        <x:v>Low</x:v>
      </x:c>
      <x:c r="I35" s="10" t="str">
        <x:v>PNGRB listed entity</x:v>
      </x:c>
      <x:c r="J35" s="10" t="str">
        <x:v>Verify website/contacts</x:v>
      </x:c>
    </x:row>
    <x:row r="36">
      <x:c r="A36" s="10" t="str">
        <x:v>Tier 3</x:v>
      </x:c>
      <x:c r="B36" s="10" t="str">
        <x:v>BGRL / BGR Energy CGD</x:v>
      </x:c>
      <x:c r="C36" s="10" t="str">
        <x:v>CGD entity/contractor</x:v>
      </x:c>
      <x:c r="D36" s="10" t="str">
        <x:v>https://www.bgrcorp.com</x:v>
      </x:c>
      <x:c r="E36" s="10" t="str">
        <x:v>https://www.bgrcorp.com</x:v>
      </x:c>
      <x:c r="F36" s="10" t="str">
        <x:v>https://www.bgrcorp.com</x:v>
      </x:c>
      <x:c r="G36" s="10" t="str">
        <x:v>To verify</x:v>
      </x:c>
      <x:c r="H36" s="10" t="str">
        <x:v>Low</x:v>
      </x:c>
      <x:c r="I36" s="10" t="str">
        <x:v>May be project/GA entity</x:v>
      </x:c>
      <x:c r="J36" s="10" t="str">
        <x:v>Verify relevance</x:v>
      </x:c>
    </x:row>
    <x:row r="37">
      <x:c r="A37" s="10" t="str">
        <x:v>Tier 3</x:v>
      </x:c>
      <x:c r="B37" s="10" t="str">
        <x:v>Aavantika Gas / similar spelling check</x:v>
      </x:c>
      <x:c r="C37" s="10" t="str">
        <x:v>CGD operator</x:v>
      </x:c>
      <x:c r="D37" s="10" t="str">
        <x:v>https://www.aglonline.net</x:v>
      </x:c>
      <x:c r="E37" s="10" t="str">
        <x:v>https://www.aglonline.net/tender</x:v>
      </x:c>
      <x:c r="F37" s="10" t="str">
        <x:v>https://www.aglonline.net/tender</x:v>
      </x:c>
      <x:c r="G37" s="10" t="str">
        <x:v>To verify</x:v>
      </x:c>
      <x:c r="H37" s="10" t="str">
        <x:v>Medium</x:v>
      </x:c>
      <x:c r="I37" s="10" t="str">
        <x:v>Duplicate spelling check of Avantika Gas</x:v>
      </x:c>
      <x:c r="J37" s="10" t="str">
        <x:v>Normalize later</x:v>
      </x:c>
    </x:row>
    <x:row r="38">
      <x:c r="A38" s="10" t="str">
        <x:v>Tier 3</x:v>
      </x:c>
      <x:c r="B38" s="10" t="str">
        <x:v>Vadodara Gas Limited</x:v>
      </x:c>
      <x:c r="C38" s="10" t="str">
        <x:v>CGD operator</x:v>
      </x:c>
      <x:c r="D38" s="10" t="str">
        <x:v>https://www.vgl.co.in</x:v>
      </x:c>
      <x:c r="E38" s="10" t="str">
        <x:v>https://www.vgl.co.in/tenders/</x:v>
      </x:c>
      <x:c r="F38" s="10" t="str">
        <x:v>https://www.vgl.co.in/tenders/</x:v>
      </x:c>
      <x:c r="G38" s="10" t="str">
        <x:v>Tender PDFs open</x:v>
      </x:c>
      <x:c r="H38" s="10" t="str">
        <x:v>High</x:v>
      </x:c>
      <x:c r="I38" s="10" t="str">
        <x:v>Known 50,000 domestic regulator tender source</x:v>
      </x:c>
      <x:c r="J38" s="10" t="str">
        <x:v>Search P066/23-24 etc.</x:v>
      </x:c>
    </x:row>
    <x:row r="39">
      <x:c r="A39" s="10" t="str">
        <x:v>Tier 3</x:v>
      </x:c>
      <x:c r="B39" s="10" t="str">
        <x:v>Rajasthan Rajya Gas / Local CGD</x:v>
      </x:c>
      <x:c r="C39" s="10" t="str">
        <x:v>CGD related</x:v>
      </x:c>
      <x:c r="D39" s="10" t="str">
        <x:v>https://rsgl.rajasthan.gov.in</x:v>
      </x:c>
      <x:c r="E39" s="10" t="str">
        <x:v>https://rsgl.rajasthan.gov.in/tenders</x:v>
      </x:c>
      <x:c r="F39" s="10" t="str">
        <x:v>https://rsgl.rajasthan.gov.in/tenders</x:v>
      </x:c>
      <x:c r="G39" s="10" t="str">
        <x:v>To verify</x:v>
      </x:c>
      <x:c r="H39" s="10" t="str">
        <x:v>Low</x:v>
      </x:c>
      <x:c r="I39" s="10" t="str">
        <x:v>Consolidate with RSGL</x:v>
      </x:c>
      <x:c r="J39" s="10" t="str">
        <x:v>Verify entity name</x:v>
      </x:c>
    </x:row>
    <x:row r="40">
      <x:c r="A40" s="10" t="str">
        <x:v>Tier 3</x:v>
      </x:c>
      <x:c r="B40" s="10" t="str">
        <x:v>Aegis Gas / Aegis Logistics</x:v>
      </x:c>
      <x:c r="C40" s="10" t="str">
        <x:v>LPG/gas; possible procurement</x:v>
      </x:c>
      <x:c r="D40" s="10" t="str">
        <x:v>https://www.aegisindia.com</x:v>
      </x:c>
      <x:c r="E40" s="10" t="str">
        <x:v>https://www.aegisindia.com</x:v>
      </x:c>
      <x:c r="F40" s="10" t="str">
        <x:v>https://www.aegisindia.com</x:v>
      </x:c>
      <x:c r="G40" s="10" t="str">
        <x:v>To verify</x:v>
      </x:c>
      <x:c r="H40" s="10" t="str">
        <x:v>Low</x:v>
      </x:c>
      <x:c r="I40" s="10" t="str">
        <x:v>Not core CGD; optional distributor/procurement</x:v>
      </x:c>
      <x:c r="J40" s="10" t="str">
        <x:v>Use only for equipment leads</x:v>
      </x:c>
    </x:row>
    <x:row r="41">
      <x:c r="A41" s="10" t="str">
        <x:v>Tier 3</x:v>
      </x:c>
      <x:c r="B41" s="10" t="str">
        <x:v>Oil India Limited CGD JV</x:v>
      </x:c>
      <x:c r="C41" s="10" t="str">
        <x:v>PSU/JV partner</x:v>
      </x:c>
      <x:c r="D41" s="10" t="str">
        <x:v>https://www.oil-india.com</x:v>
      </x:c>
      <x:c r="E41" s="10" t="str">
        <x:v>https://www.oil-india.com/tender</x:v>
      </x:c>
      <x:c r="F41" s="10" t="str">
        <x:v>https://www.oil-india.com/tender</x:v>
      </x:c>
      <x:c r="G41" s="10" t="str">
        <x:v>CPPP/OIL portal</x:v>
      </x:c>
      <x:c r="H41" s="10" t="str">
        <x:v>Medium</x:v>
      </x:c>
      <x:c r="I41" s="10" t="str">
        <x:v>JV with BPCL in Arunachal reported</x:v>
      </x:c>
      <x:c r="J41" s="10" t="str">
        <x:v>Search CGD procurement</x:v>
      </x:c>
    </x:row>
    <x:row r="42">
      <x:c r="A42" s="10" t="str">
        <x:v>Tier 3</x:v>
      </x:c>
      <x:c r="B42" s="10" t="str">
        <x:v>Reliance BP Mobility / Jio-bp gas related</x:v>
      </x:c>
      <x:c r="C42" s="10" t="str">
        <x:v>Energy retailer; not core CGD</x:v>
      </x:c>
      <x:c r="D42" s="10" t="str">
        <x:v>https://www.jiobp.com</x:v>
      </x:c>
      <x:c r="E42" s="10" t="str">
        <x:v>https://www.jiobp.com</x:v>
      </x:c>
      <x:c r="F42" s="10" t="str">
        <x:v>https://www.jiobp.com</x:v>
      </x:c>
      <x:c r="G42" s="10" t="str">
        <x:v>To verify</x:v>
      </x:c>
      <x:c r="H42" s="10" t="str">
        <x:v>Low</x:v>
      </x:c>
      <x:c r="I42" s="10" t="str">
        <x:v>Potential gas retail/CNG assets; not DSO benchmark</x:v>
      </x:c>
      <x:c r="J42" s="10" t="str">
        <x:v>Optional</x:v>
      </x:c>
    </x:row>
    <x:row r="43">
      <x:c r="A43" s="10" t="str">
        <x:v>Tier 3</x:v>
      </x:c>
      <x:c r="B43" s="10" t="str">
        <x:v>MECON Limited</x:v>
      </x:c>
      <x:c r="C43" s="10" t="str">
        <x:v>Engineering consultant</x:v>
      </x:c>
      <x:c r="D43" s="10" t="str">
        <x:v>https://www.meconlimited.co.in</x:v>
      </x:c>
      <x:c r="E43" s="10" t="str">
        <x:v>https://www.meconlimited.co.in/tenders</x:v>
      </x:c>
      <x:c r="F43" s="10" t="str">
        <x:v>https://www.meconlimited.co.in/tenders</x:v>
      </x:c>
      <x:c r="G43" s="10" t="str">
        <x:v>CPPP/MECON portal</x:v>
      </x:c>
      <x:c r="H43" s="10" t="str">
        <x:v>High</x:v>
      </x:c>
      <x:c r="I43" s="10" t="str">
        <x:v>EPCM/PMC technical specs for gas projects</x:v>
      </x:c>
      <x:c r="J43" s="10" t="str">
        <x:v>Use for spec intelligence</x:v>
      </x:c>
    </x:row>
    <x:row r="44">
      <x:c r="A44" s="10" t="str">
        <x:v>Tier 3</x:v>
      </x:c>
      <x:c r="B44" s="10" t="str">
        <x:v>Engineers India Limited (EIL)</x:v>
      </x:c>
      <x:c r="C44" s="10" t="str">
        <x:v>EPCM/PMC consultant</x:v>
      </x:c>
      <x:c r="D44" s="10" t="str">
        <x:v>https://engineersindia.com</x:v>
      </x:c>
      <x:c r="E44" s="10" t="str">
        <x:v>https://engineersindia.com/tenders/</x:v>
      </x:c>
      <x:c r="F44" s="10" t="str">
        <x:v>https://engineersindia.com/tenders/</x:v>
      </x:c>
      <x:c r="G44" s="10" t="str">
        <x:v>EIL portal/CPPP</x:v>
      </x:c>
      <x:c r="H44" s="10" t="str">
        <x:v>High</x:v>
      </x:c>
      <x:c r="I44" s="10" t="str">
        <x:v>PMC/spec maker for gas infrastructure</x:v>
      </x:c>
      <x:c r="J44" s="10" t="str">
        <x:v>Search PRS/MRS/CGS</x:v>
      </x:c>
    </x:row>
    <x:row r="45">
      <x:c r="A45" s="10" t="str">
        <x:v>Tier 3</x:v>
      </x:c>
      <x:c r="B45" s="10" t="str">
        <x:v>L&amp;T Hydrocarbon / L&amp;T Energy</x:v>
      </x:c>
      <x:c r="C45" s="10" t="str">
        <x:v>EPC contractor</x:v>
      </x:c>
      <x:c r="D45" s="10" t="str">
        <x:v>https://www.larsentoubro.com</x:v>
      </x:c>
      <x:c r="E45" s="10" t="str">
        <x:v>https://www.larsentoubro.com/corporate/suppliers/</x:v>
      </x:c>
      <x:c r="F45" s="10" t="str">
        <x:v>https://www.larsentoubro.com/corporate/suppliers/</x:v>
      </x:c>
      <x:c r="G45" s="10" t="str">
        <x:v>Supplier registration</x:v>
      </x:c>
      <x:c r="H45" s="10" t="str">
        <x:v>Medium</x:v>
      </x:c>
      <x:c r="I45" s="10" t="str">
        <x:v>EPC vendor route</x:v>
      </x:c>
      <x:c r="J45" s="10" t="str">
        <x:v>Not buyer; strategic channel</x:v>
      </x:c>
    </x:row>
    <x:row r="46">
      <x:c r="A46" s="10" t="str">
        <x:v>Tier 3</x:v>
      </x:c>
      <x:c r="B46" s="10" t="str">
        <x:v>Kalpataru Projects International</x:v>
      </x:c>
      <x:c r="C46" s="10" t="str">
        <x:v>Pipeline EPC</x:v>
      </x:c>
      <x:c r="D46" s="10" t="str">
        <x:v>https://www.kalpataruprojects.com</x:v>
      </x:c>
      <x:c r="E46" s="10" t="str">
        <x:v>https://www.kalpataruprojects.com/suppliers</x:v>
      </x:c>
      <x:c r="F46" s="10" t="str">
        <x:v>https://www.kalpataruprojects.com/suppliers</x:v>
      </x:c>
      <x:c r="G46" s="10" t="str">
        <x:v>Supplier route</x:v>
      </x:c>
      <x:c r="H46" s="10" t="str">
        <x:v>Medium</x:v>
      </x:c>
      <x:c r="I46" s="10" t="str">
        <x:v>Pipeline EPC channel</x:v>
      </x:c>
      <x:c r="J46" s="10" t="str">
        <x:v>Optional for PRS/RMS equipment</x:v>
      </x:c>
    </x:row>
    <x:row r="47">
      <x:c r="A47" s="10" t="str">
        <x:v>Tier 3</x:v>
      </x:c>
      <x:c r="B47" s="10" t="str">
        <x:v>Dinesh Engineers / DEL</x:v>
      </x:c>
      <x:c r="C47" s="10" t="str">
        <x:v>Pipeline contractor</x:v>
      </x:c>
      <x:c r="D47" s="10" t="str">
        <x:v>https://www.dineshengineers.com</x:v>
      </x:c>
      <x:c r="E47" s="10" t="str">
        <x:v>https://www.dineshengineers.com</x:v>
      </x:c>
      <x:c r="F47" s="10" t="str">
        <x:v>https://www.dineshengineers.com</x:v>
      </x:c>
      <x:c r="G47" s="10" t="str">
        <x:v>To verify</x:v>
      </x:c>
      <x:c r="H47" s="10" t="str">
        <x:v>Medium</x:v>
      </x:c>
      <x:c r="I47" s="10" t="str">
        <x:v>Gasonet consortium source mentions Dinesh Engineers</x:v>
      </x:c>
      <x:c r="J47" s="10" t="str">
        <x:v>EPC/subcontractor route</x:v>
      </x:c>
    </x:row>
    <x:row r="48">
      <x:c r="A48" s="10" t="str">
        <x:v>Tier 3</x:v>
      </x:c>
      <x:c r="B48" s="10" t="str">
        <x:v>Resonance Energy</x:v>
      </x:c>
      <x:c r="C48" s="10" t="str">
        <x:v>Gas infra EPC/consortium</x:v>
      </x:c>
      <x:c r="D48" s="10" t="str">
        <x:v>https://resonanceenergy.in</x:v>
      </x:c>
      <x:c r="E48" s="10" t="str">
        <x:v>https://resonanceenergy.in</x:v>
      </x:c>
      <x:c r="F48" s="10" t="str">
        <x:v>https://resonanceenergy.in</x:v>
      </x:c>
      <x:c r="G48" s="10" t="str">
        <x:v>To verify</x:v>
      </x:c>
      <x:c r="H48" s="10" t="str">
        <x:v>Medium</x:v>
      </x:c>
      <x:c r="I48" s="10" t="str">
        <x:v>Gasonet consortium source mentions Resonance Energy</x:v>
      </x:c>
      <x:c r="J48" s="10" t="str">
        <x:v>EPC/subcontractor route</x:v>
      </x:c>
    </x:row>
    <x:row r="49">
      <x:c r="A49" s="10" t="str">
        <x:v>Tier 3</x:v>
      </x:c>
      <x:c r="B49" s="10" t="str">
        <x:v>Tolani Projects</x:v>
      </x:c>
      <x:c r="C49" s="10" t="str">
        <x:v>Project contractor</x:v>
      </x:c>
      <x:c r="D49" s="10" t="str">
        <x:v>https://tolaniprojects.com</x:v>
      </x:c>
      <x:c r="E49" s="10" t="str">
        <x:v>https://tolaniprojects.com</x:v>
      </x:c>
      <x:c r="F49" s="10" t="str">
        <x:v>https://tolaniprojects.com</x:v>
      </x:c>
      <x:c r="G49" s="10" t="str">
        <x:v>To verify</x:v>
      </x:c>
      <x:c r="H49" s="10" t="str">
        <x:v>Low</x:v>
      </x:c>
      <x:c r="I49" s="10" t="str">
        <x:v>Gasonet consortium source mentions Tolani Projects</x:v>
      </x:c>
      <x:c r="J49" s="10" t="str">
        <x:v>Verify</x:v>
      </x:c>
    </x:row>
    <x:row r="50">
      <x:c r="A50" s="10" t="str">
        <x:v>Tier 3</x:v>
      </x:c>
      <x:c r="B50" s="10" t="str">
        <x:v>GeM Portal</x:v>
      </x:c>
      <x:c r="C50" s="10" t="str">
        <x:v>Government procurement marketplace</x:v>
      </x:c>
      <x:c r="D50" s="10" t="str">
        <x:v>https://gem.gov.in</x:v>
      </x:c>
      <x:c r="E50" s="10" t="str">
        <x:v>https://gem.gov.in</x:v>
      </x:c>
      <x:c r="F50" s="10" t="str">
        <x:v>https://gem.gov.in</x:v>
      </x:c>
      <x:c r="G50" s="10" t="str">
        <x:v>Registration required</x:v>
      </x:c>
      <x:c r="H50" s="10" t="str">
        <x:v>High</x:v>
      </x:c>
      <x:c r="I50" s="10" t="str">
        <x:v>GAIL Gas regulator GeM specs appeared in search results</x:v>
      </x:c>
      <x:c r="J50" s="10" t="str">
        <x:v>Search GeM specs / bid docs</x:v>
      </x:c>
    </x:row>
    <x:row r="51">
      <x:c r="A51" s="10" t="str">
        <x:v>Tier 3</x:v>
      </x:c>
      <x:c r="B51" s="10" t="str">
        <x:v>CPPP / eProcure</x:v>
      </x:c>
      <x:c r="C51" s="10" t="str">
        <x:v>Central portal</x:v>
      </x:c>
      <x:c r="D51" s="10" t="str">
        <x:v>https://www.etenders.gov.in/eprocure/app</x:v>
      </x:c>
      <x:c r="E51" s="10" t="str">
        <x:v>https://www.etenders.gov.in/eprocure/app</x:v>
      </x:c>
      <x:c r="F51" s="10" t="str">
        <x:v>https://www.etenders.gov.in/eprocure/app</x:v>
      </x:c>
      <x:c r="G51" s="10" t="str">
        <x:v>DSC required for bids; search open</x:v>
      </x:c>
      <x:c r="H51" s="10" t="str">
        <x:v>High</x:v>
      </x:c>
      <x:c r="I51" s="10" t="str">
        <x:v>Central Govt eProcurement system</x:v>
      </x:c>
      <x:c r="J51" s="10" t="str">
        <x:v>Archive search for PSU/MNGL</x:v>
      </x:c>
    </x:row>
    <x:row r="52">
      <x:c r="A52" s="10" t="str">
        <x:v>Tier 3</x:v>
      </x:c>
      <x:c r="B52" s="10" t="str">
        <x:v>nProcure</x:v>
      </x:c>
      <x:c r="C52" s="10" t="str">
        <x:v>Gujarat e-procurement</x:v>
      </x:c>
      <x:c r="D52" s="10" t="str">
        <x:v>https://www.nprocure.com</x:v>
      </x:c>
      <x:c r="E52" s="10" t="str">
        <x:v>https://www.nprocure.com</x:v>
      </x:c>
      <x:c r="F52" s="10" t="str">
        <x:v>https://www.nprocure.com</x:v>
      </x:c>
      <x:c r="G52" s="10" t="str">
        <x:v>Registration/DSC likely</x:v>
      </x:c>
      <x:c r="H52" s="10" t="str">
        <x:v>High</x:v>
      </x:c>
      <x:c r="I52" s="10" t="str">
        <x:v>Gujarat Gas uses nProcure</x:v>
      </x:c>
      <x:c r="J52" s="10" t="str">
        <x:v>Monitor GGL</x:v>
      </x:c>
    </x:row>
    <x:row r="53">
      <x:c r="A53" s="10" t="str">
        <x:v>Tier 3</x:v>
      </x:c>
      <x:c r="B53" s="10" t="str">
        <x:v>TenderWizard / eProcurement Technologies</x:v>
      </x:c>
      <x:c r="C53" s="10" t="str">
        <x:v>Tender platform</x:v>
      </x:c>
      <x:c r="D53" s="10" t="str">
        <x:v>https://www.tenderwizard.com</x:v>
      </x:c>
      <x:c r="E53" s="10" t="str">
        <x:v>https://www.tenderwizard.com</x:v>
      </x:c>
      <x:c r="F53" s="10" t="str">
        <x:v>https://www.tenderwizard.com</x:v>
      </x:c>
      <x:c r="G53" s="10" t="str">
        <x:v>Registration/DSC</x:v>
      </x:c>
      <x:c r="H53" s="10" t="str">
        <x:v>Medium</x:v>
      </x:c>
      <x:c r="I53" s="10" t="str">
        <x:v>Some utilities use eProcurement vendors</x:v>
      </x:c>
      <x:c r="J53" s="10" t="str">
        <x:v>Use as portal family</x:v>
      </x:c>
    </x:row>
    <x:row r="54">
      <x:c r="A54" s="10" t="str">
        <x:v>Tier 3</x:v>
      </x:c>
      <x:c r="B54" s="10" t="str">
        <x:v>SAP Ariba Discovery</x:v>
      </x:c>
      <x:c r="C54" s="10" t="str">
        <x:v>Enterprise procurement</x:v>
      </x:c>
      <x:c r="D54" s="10" t="str">
        <x:v>https://www.ariba.com</x:v>
      </x:c>
      <x:c r="E54" s="10" t="str">
        <x:v>https://service.ariba.com</x:v>
      </x:c>
      <x:c r="F54" s="10" t="str">
        <x:v>https://discovery.ariba.com</x:v>
      </x:c>
      <x:c r="G54" s="10" t="str">
        <x:v>Registration</x:v>
      </x:c>
      <x:c r="H54" s="10" t="str">
        <x:v>Medium</x:v>
      </x:c>
      <x:c r="I54" s="10" t="str">
        <x:v>Many private/large utilities use Ariba-like RFx</x:v>
      </x:c>
      <x:c r="J54" s="10" t="str">
        <x:v>Track when cited in documents</x:v>
      </x:c>
    </x:row>
  </x:sheetData>
  <x:conditionalFormatting sqref="H4:H100">
    <x:cfRule type="expression" dxfId="0" priority="1">
      <x:formula>H4="High"</x:formula>
    </x:cfRule>
    <x:cfRule type="expression" dxfId="1" priority="2">
      <x:formula>H4="Medium"</x:formula>
    </x:cfRule>
    <x:cfRule type="expression" dxfId="2" priority="3">
      <x:formula>H4="Low"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f084b2413cd474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36" hidden="0" customWidth="1"/>
    <x:col min="4" max="4" width="36" hidden="0" customWidth="1"/>
  </x:cols>
  <x:sheetData>
    <x:row r="1" ht="24" customHeight="1">
      <x:c r="A1" s="5" t="str">
        <x:v>02 Search Keywords</x:v>
      </x:c>
    </x:row>
    <x:row r="3" ht="30" customHeight="1">
      <x:c r="A3" s="15" t="str">
        <x:v>Segment</x:v>
      </x:c>
      <x:c r="B3" s="15" t="str">
        <x:v>Keyword</x:v>
      </x:c>
      <x:c r="C3" s="15" t="str">
        <x:v>Meaning / Use</x:v>
      </x:c>
      <x:c r="D3" s="15" t="str">
        <x:v>Notes</x:v>
      </x:c>
    </x:row>
    <x:row r="4">
      <x:c r="A4" s="10" t="str">
        <x:v>Domestic regulator</x:v>
      </x:c>
      <x:c r="B4" s="10" t="str">
        <x:v>domestic regulator</x:v>
      </x:c>
      <x:c r="C4" s="10" t="str">
        <x:v>Domestic PNG, 100 mbar to 21 mbar</x:v>
      </x:c>
      <x:c r="D4" s="10" t="str">
        <x:v>Use on all portals</x:v>
      </x:c>
    </x:row>
    <x:row r="5">
      <x:c r="A5" s="10" t="str">
        <x:v>Service regulator</x:v>
      </x:c>
      <x:c r="B5" s="10" t="str">
        <x:v>service regulator</x:v>
      </x:c>
      <x:c r="C5" s="10" t="str">
        <x:v>10/25/50/100 SCMH customer regulator</x:v>
      </x:c>
      <x:c r="D5" s="10" t="str">
        <x:v>High value vs domestic</x:v>
      </x:c>
    </x:row>
    <x:row r="6">
      <x:c r="A6" s="10" t="str">
        <x:v>Commercial regulator</x:v>
      </x:c>
      <x:c r="B6" s="10" t="str">
        <x:v>commercial regulator</x:v>
      </x:c>
      <x:c r="C6" s="10" t="str">
        <x:v>C&amp;I customer regulators</x:v>
      </x:c>
      <x:c r="D6" s="10" t="str">
        <x:v>Search C&amp;I too</x:v>
      </x:c>
    </x:row>
    <x:row r="7">
      <x:c r="A7" s="10" t="str">
        <x:v>Industrial regulator</x:v>
      </x:c>
      <x:c r="B7" s="10" t="str">
        <x:v>industrial regulator</x:v>
      </x:c>
      <x:c r="C7" s="10" t="str">
        <x:v>Industrial customer skid/regulator</x:v>
      </x:c>
      <x:c r="D7" s="10" t="str">
        <x:v>High margin</x:v>
      </x:c>
    </x:row>
    <x:row r="8">
      <x:c r="A8" s="10" t="str">
        <x:v>Meter regulator</x:v>
      </x:c>
      <x:c r="B8" s="10" t="str">
        <x:v>meter regulator</x:v>
      </x:c>
      <x:c r="C8" s="10" t="str">
        <x:v>Regulator with meter / meter regulator</x:v>
      </x:c>
      <x:c r="D8" s="10" t="str">
        <x:v>Often bundled</x:v>
      </x:c>
    </x:row>
    <x:row r="9">
      <x:c r="A9" s="10" t="str">
        <x:v>Pressure regulator</x:v>
      </x:c>
      <x:c r="B9" s="10" t="str">
        <x:v>pressure regulator</x:v>
      </x:c>
      <x:c r="C9" s="10" t="str">
        <x:v>Generic keyword</x:v>
      </x:c>
      <x:c r="D9" s="10" t="str">
        <x:v>Broad search</x:v>
      </x:c>
    </x:row>
    <x:row r="10">
      <x:c r="A10" s="10" t="str">
        <x:v>Gas pressure regulator</x:v>
      </x:c>
      <x:c r="B10" s="10" t="str">
        <x:v>gas pressure regulator</x:v>
      </x:c>
      <x:c r="C10" s="10" t="str">
        <x:v>Specific keyword</x:v>
      </x:c>
      <x:c r="D10" s="10" t="str">
        <x:v>Good for CPPP</x:v>
      </x:c>
    </x:row>
    <x:row r="11">
      <x:c r="A11" s="10" t="str">
        <x:v>Regulator skid</x:v>
      </x:c>
      <x:c r="B11" s="10" t="str">
        <x:v>regulator skid</x:v>
      </x:c>
      <x:c r="C11" s="10" t="str">
        <x:v>Skid/package system</x:v>
      </x:c>
      <x:c r="D11" s="10" t="str">
        <x:v>High value</x:v>
      </x:c>
    </x:row>
    <x:row r="12">
      <x:c r="A12" s="10" t="str">
        <x:v>Metering skid</x:v>
      </x:c>
      <x:c r="B12" s="10" t="str">
        <x:v>metering skid</x:v>
      </x:c>
      <x:c r="C12" s="10" t="str">
        <x:v>Metering skid / RPD / turbine</x:v>
      </x:c>
      <x:c r="D12" s="10" t="str">
        <x:v>Comparable equipment</x:v>
      </x:c>
    </x:row>
    <x:row r="13">
      <x:c r="A13" s="10" t="str">
        <x:v>MRS</x:v>
      </x:c>
      <x:c r="B13" s="10" t="str">
        <x:v>MRS</x:v>
      </x:c>
      <x:c r="C13" s="10" t="str">
        <x:v>Metering &amp; regulating station</x:v>
      </x:c>
      <x:c r="D13" s="10" t="str">
        <x:v>Search acronym and full form</x:v>
      </x:c>
    </x:row>
    <x:row r="14">
      <x:c r="A14" s="10" t="str">
        <x:v>DRS</x:v>
      </x:c>
      <x:c r="B14" s="10" t="str">
        <x:v>DRS</x:v>
      </x:c>
      <x:c r="C14" s="10" t="str">
        <x:v>District regulating station</x:v>
      </x:c>
      <x:c r="D14" s="10" t="str">
        <x:v>Search acronym and full form</x:v>
      </x:c>
    </x:row>
    <x:row r="15">
      <x:c r="A15" s="10" t="str">
        <x:v>FRS</x:v>
      </x:c>
      <x:c r="B15" s="10" t="str">
        <x:v>FRS</x:v>
      </x:c>
      <x:c r="C15" s="10" t="str">
        <x:v>Field regulating station</x:v>
      </x:c>
      <x:c r="D15" s="10" t="str">
        <x:v>IGL/MGL use this</x:v>
      </x:c>
    </x:row>
    <x:row r="16">
      <x:c r="A16" s="10" t="str">
        <x:v>PRS</x:v>
      </x:c>
      <x:c r="B16" s="10" t="str">
        <x:v>PRS</x:v>
      </x:c>
      <x:c r="C16" s="10" t="str">
        <x:v>Pressure reducing station</x:v>
      </x:c>
      <x:c r="D16" s="10" t="str">
        <x:v>PRS/package</x:v>
      </x:c>
    </x:row>
    <x:row r="17">
      <x:c r="A17" s="10" t="str">
        <x:v>CGS</x:v>
      </x:c>
      <x:c r="B17" s="10" t="str">
        <x:v>CGS</x:v>
      </x:c>
      <x:c r="C17" s="10" t="str">
        <x:v>City Gate Station</x:v>
      </x:c>
      <x:c r="D17" s="10" t="str">
        <x:v>City gate / CGS</x:v>
      </x:c>
    </x:row>
    <x:row r="18">
      <x:c r="A18" s="10" t="str">
        <x:v>City Gate</x:v>
      </x:c>
      <x:c r="B18" s="10" t="str">
        <x:v>city gate</x:v>
      </x:c>
      <x:c r="C18" s="10" t="str">
        <x:v>Transmission to distribution entry point</x:v>
      </x:c>
      <x:c r="D18" s="10" t="str">
        <x:v>High pressure projects</x:v>
      </x:c>
    </x:row>
    <x:row r="19">
      <x:c r="A19" s="10" t="str">
        <x:v>Slam shut</x:v>
      </x:c>
      <x:c r="B19" s="10" t="str">
        <x:v>slam shut</x:v>
      </x:c>
      <x:c r="C19" s="10" t="str">
        <x:v>SSV/OPSO safety valve</x:v>
      </x:c>
      <x:c r="D19" s="10" t="str">
        <x:v>Can be component tender</x:v>
      </x:c>
    </x:row>
    <x:row r="20">
      <x:c r="A20" s="10" t="str">
        <x:v>SSV</x:v>
      </x:c>
      <x:c r="B20" s="10" t="str">
        <x:v>SSV</x:v>
      </x:c>
      <x:c r="C20" s="10" t="str">
        <x:v>Slam shut valve</x:v>
      </x:c>
      <x:c r="D20" s="10" t="str">
        <x:v>Search with regulator</x:v>
      </x:c>
    </x:row>
    <x:row r="21">
      <x:c r="A21" s="10" t="str">
        <x:v>Monitor regulator</x:v>
      </x:c>
      <x:c r="B21" s="10" t="str">
        <x:v>monitor regulator</x:v>
      </x:c>
      <x:c r="C21" s="10" t="str">
        <x:v>Active/monitor configuration</x:v>
      </x:c>
      <x:c r="D21" s="10" t="str">
        <x:v>High spec</x:v>
      </x:c>
    </x:row>
    <x:row r="22">
      <x:c r="A22" s="10" t="str">
        <x:v>Relief valve</x:v>
      </x:c>
      <x:c r="B22" s="10" t="str">
        <x:v>relief valve</x:v>
      </x:c>
      <x:c r="C22" s="10" t="str">
        <x:v>SRV/relief included in specs</x:v>
      </x:c>
      <x:c r="D22" s="10" t="str">
        <x:v>Component search</x:v>
      </x:c>
    </x:row>
    <x:row r="23">
      <x:c r="A23" s="10" t="str">
        <x:v>Gas train</x:v>
      </x:c>
      <x:c r="B23" s="10" t="str">
        <x:v>gas train</x:v>
      </x:c>
      <x:c r="C23" s="10" t="str">
        <x:v>Industrial/commercial train</x:v>
      </x:c>
      <x:c r="D23" s="10" t="str">
        <x:v>Broader</x:v>
      </x:c>
    </x:row>
    <x:row r="24">
      <x:c r="A24" s="10" t="str">
        <x:v>Governor</x:v>
      </x:c>
      <x:c r="B24" s="10" t="str">
        <x:v>governor</x:v>
      </x:c>
      <x:c r="C24" s="10" t="str">
        <x:v>Older term for regulator</x:v>
      </x:c>
      <x:c r="D24" s="10" t="str">
        <x:v>Some Indian docs use it</x:v>
      </x:c>
    </x:row>
    <x:row r="25">
      <x:c r="A25" s="10" t="str">
        <x:v>RMS</x:v>
      </x:c>
      <x:c r="B25" s="10" t="str">
        <x:v>RMS</x:v>
      </x:c>
      <x:c r="C25" s="10" t="str">
        <x:v>Regulating and metering station</x:v>
      </x:c>
      <x:c r="D25" s="10" t="str">
        <x:v>High value</x:v>
      </x:c>
    </x:row>
    <x:row r="26">
      <x:c r="A26" s="10" t="str">
        <x:v>PNG regulator</x:v>
      </x:c>
      <x:c r="B26" s="10" t="str">
        <x:v>PNG regulator</x:v>
      </x:c>
      <x:c r="C26" s="10" t="str">
        <x:v>Domestic/commercial PNG</x:v>
      </x:c>
      <x:c r="D26" s="10" t="str">
        <x:v>Use on CGD sites</x:v>
      </x:c>
    </x:row>
    <x:row r="27">
      <x:c r="A27" s="10" t="str">
        <x:v>CNG regulator</x:v>
      </x:c>
      <x:c r="B27" s="10" t="str">
        <x:v>CNG regulator</x:v>
      </x:c>
      <x:c r="C27" s="10" t="str">
        <x:v>CNG station/vehicle side often irrelevant</x:v>
      </x:c>
      <x:c r="D27" s="10" t="str">
        <x:v>Filter carefully</x:v>
      </x:c>
    </x:row>
  </x:sheetData>
  <x:pageMargins left="0.7" right="0.7" top="0.75" bottom="0.75" header="0.3" footer="0.3"/>
  <x:tableParts count="1">
    <x:tablePart xmlns:r="http://schemas.openxmlformats.org/officeDocument/2006/relationships" r:id="R695dd331ee764a2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36" hidden="0" customWidth="1"/>
    <x:col min="4" max="4" width="36" hidden="0" customWidth="1"/>
    <x:col min="5" max="5" width="40" hidden="0" customWidth="1"/>
  </x:cols>
  <x:sheetData>
    <x:row r="1" ht="24" customHeight="1">
      <x:c r="A1" s="5" t="str">
        <x:v>03 How To Search</x:v>
      </x:c>
    </x:row>
    <x:row r="3" ht="30" customHeight="1">
      <x:c r="A3" s="15" t="str">
        <x:v>Portal</x:v>
      </x:c>
      <x:c r="B3" s="15" t="str">
        <x:v>Step 1</x:v>
      </x:c>
      <x:c r="C3" s="15" t="str">
        <x:v>Step 2</x:v>
      </x:c>
      <x:c r="D3" s="15" t="str">
        <x:v>Step 3</x:v>
      </x:c>
      <x:c r="E3" s="15" t="str">
        <x:v>What to Save</x:v>
      </x:c>
    </x:row>
    <x:row r="4">
      <x:c r="A4" s="10" t="str">
        <x:v>CPPP / etenders.gov.in</x:v>
      </x:c>
      <x:c r="B4" s="10" t="str">
        <x:v>Use Tenders in Archive first</x:v>
      </x:c>
      <x:c r="C4" s="10" t="str">
        <x:v>Organisation = GAIL / GAIL Gas / MNGL / IOCL / BPCL / HPCL / EIL / MECON</x:v>
      </x:c>
      <x:c r="D4" s="10" t="str">
        <x:v>Search each keyword separately</x:v>
      </x:c>
      <x:c r="E4" s="10" t="str">
        <x:v>Download NIT, Technical Volume, Price BOQ if open, AOC/LOA</x:v>
      </x:c>
    </x:row>
    <x:row r="5">
      <x:c r="A5" s="10" t="str">
        <x:v>GAIL Tenders</x:v>
      </x:c>
      <x:c r="B5" s="10" t="str">
        <x:v>Use tender/AOC pages</x:v>
      </x:c>
      <x:c r="C5" s="10" t="str">
        <x:v>Search file names and award folders</x:v>
      </x:c>
      <x:c r="D5" s="10" t="str">
        <x:v>Try LOA/FOA/AOC PDF links</x:v>
      </x:c>
      <x:c r="E5" s="10" t="str">
        <x:v>Record tender no, LOA no, awarded vendor, item quantities</x:v>
      </x:c>
    </x:row>
    <x:row r="6">
      <x:c r="A6" s="10" t="str">
        <x:v>GAIL Gas</x:v>
      </x:c>
      <x:c r="B6" s="10" t="str">
        <x:v>Vendor Zone / GeM references</x:v>
      </x:c>
      <x:c r="C6" s="10" t="str">
        <x:v>Search portal and Google with site:gailgas.com regulator</x:v>
      </x:c>
      <x:c r="D6" s="10" t="str">
        <x:v>Download GeM specification PDFs</x:v>
      </x:c>
      <x:c r="E6" s="10" t="str">
        <x:v>Record GeM bid no if present</x:v>
      </x:c>
    </x:row>
    <x:row r="7">
      <x:c r="A7" s="10" t="str">
        <x:v>IGL</x:v>
      </x:c>
      <x:c r="B7" s="10" t="str">
        <x:v>Tender list and archive</x:v>
      </x:c>
      <x:c r="C7" s="10" t="str">
        <x:v>Search FRS/MRS/regulator/C&amp;I</x:v>
      </x:c>
      <x:c r="D7" s="10" t="str">
        <x:v>Vendor registration may be needed</x:v>
      </x:c>
      <x:c r="E7" s="10" t="str">
        <x:v>Download active and corrigendum docs</x:v>
      </x:c>
    </x:row>
    <x:row r="8">
      <x:c r="A8" s="10" t="str">
        <x:v>Gujarat Gas</x:v>
      </x:c>
      <x:c r="B8" s="10" t="str">
        <x:v>GGL tenders page points to nProcure</x:v>
      </x:c>
      <x:c r="C8" s="10" t="str">
        <x:v>Use nProcure open tenders/archive</x:v>
      </x:c>
      <x:c r="D8" s="10" t="str">
        <x:v>Registration/DSC likely</x:v>
      </x:c>
      <x:c r="E8" s="10" t="str">
        <x:v>Record nProcure tender ID</x:v>
      </x:c>
    </x:row>
    <x:row r="9">
      <x:c r="A9" s="10" t="str">
        <x:v>Torrent Gas</x:v>
      </x:c>
      <x:c r="B9" s="10" t="str">
        <x:v>Vendor page and procurement email</x:v>
      </x:c>
      <x:c r="C9" s="10" t="str">
        <x:v>Search tender/category list</x:v>
      </x:c>
      <x:c r="D9" s="10" t="str">
        <x:v>Email procurement if docs hidden</x:v>
      </x:c>
      <x:c r="E9" s="10" t="str">
        <x:v>Record response status</x:v>
      </x:c>
    </x:row>
    <x:row r="10">
      <x:c r="A10" s="10" t="str">
        <x:v>Adani Total Gas</x:v>
      </x:c>
      <x:c r="B10" s="10" t="str">
        <x:v>Commercials page</x:v>
      </x:c>
      <x:c r="C10" s="10" t="str">
        <x:v>Open Vendor Registration / Tender / EOI</x:v>
      </x:c>
      <x:c r="D10" s="10" t="str">
        <x:v>Category list can reveal procurement category</x:v>
      </x:c>
      <x:c r="E10" s="10" t="str">
        <x:v>Monitor steel pipeline and O&amp;M projects</x:v>
      </x:c>
    </x:row>
    <x:row r="11">
      <x:c r="A11" s="10" t="str">
        <x:v>MNGL</x:v>
      </x:c>
      <x:c r="B11" s="10" t="str">
        <x:v>Active tenders + CPPP</x:v>
      </x:c>
      <x:c r="C11" s="10" t="str">
        <x:v>Search regulator archive on CPPP</x:v>
      </x:c>
      <x:c r="D11" s="10" t="str">
        <x:v>DSC required for participation</x:v>
      </x:c>
      <x:c r="E11" s="10" t="str">
        <x:v>Good price benchmark source</x:v>
      </x:c>
    </x:row>
    <x:row r="12">
      <x:c r="A12" s="10" t="str">
        <x:v>Gasonet</x:v>
      </x:c>
      <x:c r="B12" s="10" t="str">
        <x:v>Official tenders page</x:v>
      </x:c>
      <x:c r="C12" s="10" t="str">
        <x:v>PDF docs often public</x:v>
      </x:c>
      <x:c r="D12" s="10" t="str">
        <x:v>Use quantities from BOQ/SOR</x:v>
      </x:c>
      <x:c r="E12" s="10" t="str">
        <x:v>Good service/domestic regulator benchmark</x:v>
      </x:c>
    </x:row>
    <x:row r="13">
      <x:c r="A13" s="10" t="str">
        <x:v>GeM</x:v>
      </x:c>
      <x:c r="B13" s="10" t="str">
        <x:v>Search by buyer / bid no</x:v>
      </x:c>
      <x:c r="C13" s="10" t="str">
        <x:v>Look for domestic/service regulator specs</x:v>
      </x:c>
      <x:c r="D13" s="10" t="str">
        <x:v>Prices often closed, specs useful</x:v>
      </x:c>
      <x:c r="E13" s="10" t="str">
        <x:v>Record GeM bid link and product specs</x:v>
      </x:c>
    </x:row>
  </x:sheetData>
  <x:pageMargins left="0.7" right="0.7" top="0.75" bottom="0.75" header="0.3" footer="0.3"/>
  <x:tableParts count="1">
    <x:tablePart xmlns:r="http://schemas.openxmlformats.org/officeDocument/2006/relationships" r:id="Re745688760d5412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24" hidden="0" customWidth="1"/>
    <x:col min="5" max="5" width="14" hidden="0" customWidth="1"/>
    <x:col min="6" max="6" width="14" hidden="0" customWidth="1"/>
    <x:col min="7" max="7" width="20" hidden="0" customWidth="1"/>
    <x:col min="8" max="8" width="36" hidden="0" customWidth="1"/>
    <x:col min="9" max="9" width="10" hidden="0" customWidth="1"/>
    <x:col min="10" max="10" width="10" hidden="0" customWidth="1"/>
    <x:col min="11" max="11" width="22" hidden="0" customWidth="1"/>
    <x:col min="12" max="12" width="18" hidden="0" customWidth="1"/>
    <x:col min="13" max="13" width="16" hidden="0" customWidth="1"/>
    <x:col min="14" max="14" width="14" hidden="0" customWidth="1"/>
    <x:col min="15" max="15" width="16" hidden="0" customWidth="1"/>
    <x:col min="16" max="16" width="12" hidden="0" customWidth="1"/>
    <x:col min="17" max="17" width="14" hidden="0" customWidth="1"/>
    <x:col min="18" max="18" width="15" hidden="0" customWidth="1"/>
    <x:col min="19" max="19" width="16" hidden="0" customWidth="1"/>
    <x:col min="20" max="20" width="40" hidden="0" customWidth="1"/>
    <x:col min="21" max="21" width="12" hidden="0" customWidth="1"/>
    <x:col min="22" max="22" width="36" hidden="0" customWidth="1"/>
  </x:cols>
  <x:sheetData>
    <x:row r="1" ht="24" customHeight="1">
      <x:c r="A1" s="5" t="str">
        <x:v>04 Tender Register</x:v>
      </x:c>
    </x:row>
    <x:row r="3" ht="30" customHeight="1">
      <x:c r="A3" s="15" t="str">
        <x:v>Tender ID</x:v>
      </x:c>
      <x:c r="B3" s="15" t="str">
        <x:v>Company</x:v>
      </x:c>
      <x:c r="C3" s="15" t="str">
        <x:v>Portal</x:v>
      </x:c>
      <x:c r="D3" s="15" t="str">
        <x:v>Tender Ref</x:v>
      </x:c>
      <x:c r="E3" s="15" t="str">
        <x:v>Tender Date</x:v>
      </x:c>
      <x:c r="F3" s="15" t="str">
        <x:v>Status</x:v>
      </x:c>
      <x:c r="G3" s="15" t="str">
        <x:v>Product Segment</x:v>
      </x:c>
      <x:c r="H3" s="15" t="str">
        <x:v>Product Description</x:v>
      </x:c>
      <x:c r="I3" s="15" t="str">
        <x:v>Qty</x:v>
      </x:c>
      <x:c r="J3" s="15" t="str">
        <x:v>UOM</x:v>
      </x:c>
      <x:c r="K3" s="15" t="str">
        <x:v>Winner</x:v>
      </x:c>
      <x:c r="L3" s="15" t="str">
        <x:v>Brand</x:v>
      </x:c>
      <x:c r="M3" s="15" t="str">
        <x:v>Total INR Basic</x:v>
      </x:c>
      <x:c r="N3" s="15" t="str">
        <x:v>GST INR</x:v>
      </x:c>
      <x:c r="O3" s="15" t="str">
        <x:v>Total INR Incl GST</x:v>
      </x:c>
      <x:c r="P3" s="15" t="str">
        <x:v>FX INR/EUR</x:v>
      </x:c>
      <x:c r="Q3" s="15" t="str">
        <x:v>Total EUR</x:v>
      </x:c>
      <x:c r="R3" s="15" t="str">
        <x:v>Unit EUR Basic</x:v>
      </x:c>
      <x:c r="S3" s="15" t="str">
        <x:v>Unit EUR Incl GST</x:v>
      </x:c>
      <x:c r="T3" s="15" t="str">
        <x:v>Source URL</x:v>
      </x:c>
      <x:c r="U3" s="15" t="str">
        <x:v>PDF Saved?</x:v>
      </x:c>
      <x:c r="V3" s="15" t="str">
        <x:v>Notes</x:v>
      </x:c>
    </x:row>
    <x:row r="4">
      <x:c r="A4" s="10" t="str">
        <x:v>T-0001</x:v>
      </x:c>
      <x:c r="B4" s="10" t="str">
        <x:v>GAIL India</x:v>
      </x:c>
      <x:c r="C4" s="10" t="str">
        <x:v>GAIL Tenders</x:v>
      </x:c>
      <x:c r="D4" s="10" t="str">
        <x:v>LOA 20250806_102439</x:v>
      </x:c>
      <x:c r="E4" s="20" t="str">
        <x:v>2025-06-11</x:v>
      </x:c>
      <x:c r="F4" s="10" t="str">
        <x:v>Awarded</x:v>
      </x:c>
      <x:c r="G4" s="10" t="str">
        <x:v>Metering skid</x:v>
      </x:c>
      <x:c r="H4" s="10" t="str">
        <x:v>RPD metering skid / KG Basin</x:v>
      </x:c>
      <x:c r="I4" s="10" t="n">
        <x:v>3</x:v>
      </x:c>
      <x:c r="J4" s="10" t="str">
        <x:v>set/stream</x:v>
      </x:c>
      <x:c r="K4" s="10" t="str">
        <x:v>Kimpex Flow Pvt. Ltd.</x:v>
      </x:c>
      <x:c r="L4" s="10" t="str">
        <x:v>Unknown</x:v>
      </x:c>
      <x:c r="M4" s="24" t="n">
        <x:v>3000222</x:v>
      </x:c>
      <x:c r="N4" s="24" t="n">
        <x:v>540039.96</x:v>
      </x:c>
      <x:c r="O4" s="24" t="n">
        <x:v>3540261.96</x:v>
      </x:c>
      <x:c r="P4" s="24" t="n">
        <x:v>106.75</x:v>
      </x:c>
      <x:c r="Q4" s="24" t="n">
        <x:f>O4/P4</x:f>
        <x:v>33164.04646370024</x:v>
      </x:c>
      <x:c r="R4" s="24" t="n">
        <x:f>M4/I4/P4</x:f>
        <x:v>9368.374707259953</x:v>
      </x:c>
      <x:c r="S4" s="24" t="n">
        <x:f>O4/I4/P4</x:f>
        <x:v>11054.682154566746</x:v>
      </x:c>
      <x:c r="T4" s="10" t="str">
        <x:v>https://gailtenders.in/Gailtenders/writereaddata/AOC/loa_20250806_102439.pdf</x:v>
      </x:c>
      <x:c r="U4" s="10" t="str">
        <x:v>Yes</x:v>
      </x:c>
      <x:c r="V4" s="10" t="str">
        <x:v>Existing tracker source</x:v>
      </x:c>
    </x:row>
    <x:row r="5">
      <x:c r="A5" s="10" t="str">
        <x:v>T-0002</x:v>
      </x:c>
      <x:c r="B5" s="10" t="str">
        <x:v>GAIL India</x:v>
      </x:c>
      <x:c r="C5" s="10" t="str">
        <x:v>GAIL Tenders</x:v>
      </x:c>
      <x:c r="D5" s="10" t="str">
        <x:v>FOA 20231230_102206</x:v>
      </x:c>
      <x:c r="E5" s="20" t="str">
        <x:v>2023-12-30</x:v>
      </x:c>
      <x:c r="F5" s="10" t="str">
        <x:v>Awarded</x:v>
      </x:c>
      <x:c r="G5" s="10" t="str">
        <x:v>Gas meters</x:v>
      </x:c>
      <x:c r="H5" s="10" t="str">
        <x:v>Commercial/Domestic gas meters</x:v>
      </x:c>
      <x:c r="I5" s="10"/>
      <x:c r="J5" s="10" t="str">
        <x:v>nos</x:v>
      </x:c>
      <x:c r="K5" s="10" t="str">
        <x:v>Kimpex / Raychem</x:v>
      </x:c>
      <x:c r="L5" s="10" t="str">
        <x:v>Unknown</x:v>
      </x:c>
      <x:c r="M5" s="24"/>
      <x:c r="N5" s="24"/>
      <x:c r="O5" s="24"/>
      <x:c r="P5" s="24" t="n">
        <x:v>106.75</x:v>
      </x:c>
      <x:c r="Q5" s="24" t="n">
        <x:f>IFERROR(O5/P5,"")</x:f>
        <x:v>0</x:v>
      </x:c>
      <x:c r="R5" s="24" t="str">
        <x:f>IFERROR(M5/I5/P5,"")</x:f>
      </x:c>
      <x:c r="S5" s="24" t="str">
        <x:f>IFERROR(O5/I5/P5,"")</x:f>
      </x:c>
      <x:c r="T5" s="10" t="str">
        <x:v>https://gailtenders.in/Gailtenders/writereaddata/AOC/foa_20231230_102206.pdf</x:v>
      </x:c>
      <x:c r="U5" s="10" t="str">
        <x:v>Yes</x:v>
      </x:c>
      <x:c r="V5" s="10" t="str">
        <x:v>Meter benchmark, not regulator</x:v>
      </x:c>
    </x:row>
    <x:row r="6">
      <x:c r="A6" s="10" t="str">
        <x:v>T-0003</x:v>
      </x:c>
      <x:c r="B6" s="10" t="str">
        <x:v>Gasonet</x:v>
      </x:c>
      <x:c r="C6" s="10" t="str">
        <x:v>Gasonet Tenders</x:v>
      </x:c>
      <x:c r="D6" s="10" t="str">
        <x:v>GASONET/C&amp;P-GSL/REGULATOR-/2023-24/014</x:v>
      </x:c>
      <x:c r="E6" s="20" t="str">
        <x:v>2024-03-10</x:v>
      </x:c>
      <x:c r="F6" s="10" t="str">
        <x:v>Docs Found</x:v>
      </x:c>
      <x:c r="G6" s="10" t="str">
        <x:v>Domestic + Service Regulator</x:v>
      </x:c>
      <x:c r="H6" s="10" t="str">
        <x:v>Domestic regulators and service regulators</x:v>
      </x:c>
      <x:c r="I6" s="10" t="n">
        <x:v>938</x:v>
      </x:c>
      <x:c r="J6" s="10" t="str">
        <x:v>mixed</x:v>
      </x:c>
      <x:c r="K6" s="10" t="str">
        <x:v>Not found</x:v>
      </x:c>
      <x:c r="L6" s="10" t="str">
        <x:v>Unknown</x:v>
      </x:c>
      <x:c r="M6" s="24"/>
      <x:c r="N6" s="24"/>
      <x:c r="O6" s="24"/>
      <x:c r="P6" s="24" t="n">
        <x:v>106.75</x:v>
      </x:c>
      <x:c r="Q6" s="24" t="n">
        <x:f>IFERROR(O6/P6,"")</x:f>
        <x:v>0</x:v>
      </x:c>
      <x:c r="R6" s="24" t="n">
        <x:f>IFERROR(M6/I6/P6,"")</x:f>
        <x:v>0</x:v>
      </x:c>
      <x:c r="S6" s="24" t="n">
        <x:f>IFERROR(O6/I6/P6,"")</x:f>
        <x:v>0</x:v>
      </x:c>
      <x:c r="T6" s="10" t="str">
        <x:v>https://www.gasonet.in/files/Tender-%20Domestic%20Service%20Regulator.pdf</x:v>
      </x:c>
      <x:c r="U6" s="10" t="str">
        <x:v>Yes</x:v>
      </x:c>
      <x:c r="V6" s="10" t="str">
        <x:v>Qty mix: 800 domestic, 8 service, others? extract details</x:v>
      </x:c>
    </x:row>
    <x:row r="7">
      <x:c r="A7" s="10" t="str">
        <x:v>T-0004</x:v>
      </x:c>
      <x:c r="B7" s="10" t="str">
        <x:v>Vadodara Gas</x:v>
      </x:c>
      <x:c r="C7" s="10" t="str">
        <x:v>VGL Tenders</x:v>
      </x:c>
      <x:c r="D7" s="10" t="str">
        <x:v>P066/23-24</x:v>
      </x:c>
      <x:c r="E7" s="20" t="str">
        <x:v>2025-01-01</x:v>
      </x:c>
      <x:c r="F7" s="10" t="str">
        <x:v>Docs Found</x:v>
      </x:c>
      <x:c r="G7" s="10" t="str">
        <x:v>Domestic Regulator</x:v>
      </x:c>
      <x:c r="H7" s="10" t="str">
        <x:v>Domestic gas regulator</x:v>
      </x:c>
      <x:c r="I7" s="10" t="n">
        <x:v>50000</x:v>
      </x:c>
      <x:c r="J7" s="10" t="str">
        <x:v>nos</x:v>
      </x:c>
      <x:c r="K7" s="10" t="str">
        <x:v>Not found</x:v>
      </x:c>
      <x:c r="L7" s="10" t="str">
        <x:v>Unknown</x:v>
      </x:c>
      <x:c r="M7" s="24"/>
      <x:c r="N7" s="24"/>
      <x:c r="O7" s="24"/>
      <x:c r="P7" s="24" t="n">
        <x:v>106.75</x:v>
      </x:c>
      <x:c r="Q7" s="24" t="n">
        <x:f>IFERROR(O7/P7,"")</x:f>
        <x:v>0</x:v>
      </x:c>
      <x:c r="R7" s="24" t="n">
        <x:f>IFERROR(M7/I7/P7,"")</x:f>
        <x:v>0</x:v>
      </x:c>
      <x:c r="S7" s="24" t="n">
        <x:f>IFERROR(O7/I7/P7,"")</x:f>
        <x:v>0</x:v>
      </x:c>
      <x:c r="T7" s="10" t="str">
        <x:v>https://www.vgl.co.in/wp-content/uploads/2025/pdf/Replies-to-Bidders-Domestic-Regulator-P066-23-24-Additional.pdf</x:v>
      </x:c>
      <x:c r="U7" s="10" t="str">
        <x:v>Yes</x:v>
      </x:c>
      <x:c r="V7" s="10" t="str">
        <x:v>Known quantity; price not found</x:v>
      </x:c>
    </x:row>
    <x:row r="8">
      <x:c r="E8" s="21"/>
      <x:c r="M8" s="25"/>
      <x:c r="N8" s="25"/>
      <x:c r="O8" s="25"/>
      <x:c r="P8" s="25"/>
      <x:c r="Q8" s="25"/>
      <x:c r="R8" s="25"/>
      <x:c r="S8" s="25"/>
    </x:row>
    <x:row r="9">
      <x:c r="E9" s="21"/>
      <x:c r="M9" s="25"/>
      <x:c r="N9" s="25"/>
      <x:c r="O9" s="25"/>
      <x:c r="P9" s="25"/>
      <x:c r="Q9" s="25"/>
      <x:c r="R9" s="25"/>
      <x:c r="S9" s="25"/>
    </x:row>
    <x:row r="10">
      <x:c r="E10" s="21"/>
      <x:c r="M10" s="25"/>
      <x:c r="N10" s="25"/>
      <x:c r="O10" s="25"/>
      <x:c r="P10" s="25"/>
      <x:c r="Q10" s="25"/>
      <x:c r="R10" s="25"/>
      <x:c r="S10" s="25"/>
    </x:row>
    <x:row r="11">
      <x:c r="E11" s="21"/>
      <x:c r="M11" s="25"/>
      <x:c r="N11" s="25"/>
      <x:c r="O11" s="25"/>
      <x:c r="P11" s="25"/>
      <x:c r="Q11" s="25"/>
      <x:c r="R11" s="25"/>
      <x:c r="S11" s="25"/>
    </x:row>
    <x:row r="12">
      <x:c r="E12" s="21"/>
      <x:c r="M12" s="25"/>
      <x:c r="N12" s="25"/>
      <x:c r="O12" s="25"/>
      <x:c r="P12" s="25"/>
      <x:c r="Q12" s="25"/>
      <x:c r="R12" s="25"/>
      <x:c r="S12" s="25"/>
    </x:row>
    <x:row r="13">
      <x:c r="E13" s="21"/>
      <x:c r="M13" s="25"/>
      <x:c r="N13" s="25"/>
      <x:c r="O13" s="25"/>
      <x:c r="P13" s="25"/>
      <x:c r="Q13" s="25"/>
      <x:c r="R13" s="25"/>
      <x:c r="S13" s="25"/>
    </x:row>
    <x:row r="14">
      <x:c r="E14" s="21"/>
      <x:c r="M14" s="25"/>
      <x:c r="N14" s="25"/>
      <x:c r="O14" s="25"/>
      <x:c r="P14" s="25"/>
      <x:c r="Q14" s="25"/>
      <x:c r="R14" s="25"/>
      <x:c r="S14" s="25"/>
    </x:row>
    <x:row r="15">
      <x:c r="E15" s="21"/>
      <x:c r="M15" s="25"/>
      <x:c r="N15" s="25"/>
      <x:c r="O15" s="25"/>
      <x:c r="P15" s="25"/>
      <x:c r="Q15" s="25"/>
      <x:c r="R15" s="25"/>
      <x:c r="S15" s="25"/>
    </x:row>
    <x:row r="16">
      <x:c r="E16" s="21"/>
      <x:c r="M16" s="25"/>
      <x:c r="N16" s="25"/>
      <x:c r="O16" s="25"/>
      <x:c r="P16" s="25"/>
      <x:c r="Q16" s="25"/>
      <x:c r="R16" s="25"/>
      <x:c r="S16" s="25"/>
    </x:row>
    <x:row r="17">
      <x:c r="E17" s="21"/>
      <x:c r="M17" s="25"/>
      <x:c r="N17" s="25"/>
      <x:c r="O17" s="25"/>
      <x:c r="P17" s="25"/>
      <x:c r="Q17" s="25"/>
      <x:c r="R17" s="25"/>
      <x:c r="S17" s="25"/>
    </x:row>
    <x:row r="18">
      <x:c r="E18" s="21"/>
      <x:c r="M18" s="25"/>
      <x:c r="N18" s="25"/>
      <x:c r="O18" s="25"/>
      <x:c r="P18" s="25"/>
      <x:c r="Q18" s="25"/>
      <x:c r="R18" s="25"/>
      <x:c r="S18" s="25"/>
    </x:row>
    <x:row r="19">
      <x:c r="E19" s="21"/>
      <x:c r="M19" s="25"/>
      <x:c r="N19" s="25"/>
      <x:c r="O19" s="25"/>
      <x:c r="P19" s="25"/>
      <x:c r="Q19" s="25"/>
      <x:c r="R19" s="25"/>
      <x:c r="S19" s="25"/>
    </x:row>
    <x:row r="20">
      <x:c r="E20" s="21"/>
      <x:c r="M20" s="25"/>
      <x:c r="N20" s="25"/>
      <x:c r="O20" s="25"/>
      <x:c r="P20" s="25"/>
      <x:c r="Q20" s="25"/>
      <x:c r="R20" s="25"/>
      <x:c r="S20" s="25"/>
    </x:row>
    <x:row r="21">
      <x:c r="E21" s="21"/>
      <x:c r="M21" s="25"/>
      <x:c r="N21" s="25"/>
      <x:c r="O21" s="25"/>
      <x:c r="P21" s="25"/>
      <x:c r="Q21" s="25"/>
      <x:c r="R21" s="25"/>
      <x:c r="S21" s="25"/>
    </x:row>
    <x:row r="22">
      <x:c r="E22" s="21"/>
      <x:c r="M22" s="25"/>
      <x:c r="N22" s="25"/>
      <x:c r="O22" s="25"/>
      <x:c r="P22" s="25"/>
      <x:c r="Q22" s="25"/>
      <x:c r="R22" s="25"/>
      <x:c r="S22" s="25"/>
    </x:row>
    <x:row r="23">
      <x:c r="E23" s="21"/>
      <x:c r="M23" s="25"/>
      <x:c r="N23" s="25"/>
      <x:c r="O23" s="25"/>
      <x:c r="P23" s="25"/>
      <x:c r="Q23" s="25"/>
      <x:c r="R23" s="25"/>
      <x:c r="S23" s="25"/>
    </x:row>
    <x:row r="24">
      <x:c r="E24" s="21"/>
      <x:c r="M24" s="25"/>
      <x:c r="N24" s="25"/>
      <x:c r="O24" s="25"/>
      <x:c r="P24" s="25"/>
      <x:c r="Q24" s="25"/>
      <x:c r="R24" s="25"/>
      <x:c r="S24" s="25"/>
    </x:row>
    <x:row r="25">
      <x:c r="E25" s="21"/>
      <x:c r="M25" s="25"/>
      <x:c r="N25" s="25"/>
      <x:c r="O25" s="25"/>
      <x:c r="P25" s="25"/>
      <x:c r="Q25" s="25"/>
      <x:c r="R25" s="25"/>
      <x:c r="S25" s="25"/>
    </x:row>
    <x:row r="26">
      <x:c r="E26" s="21"/>
      <x:c r="M26" s="25"/>
      <x:c r="N26" s="25"/>
      <x:c r="O26" s="25"/>
      <x:c r="P26" s="25"/>
      <x:c r="Q26" s="25"/>
      <x:c r="R26" s="25"/>
      <x:c r="S26" s="25"/>
    </x:row>
    <x:row r="27">
      <x:c r="E27" s="21"/>
      <x:c r="M27" s="25"/>
      <x:c r="N27" s="25"/>
      <x:c r="O27" s="25"/>
      <x:c r="P27" s="25"/>
      <x:c r="Q27" s="25"/>
      <x:c r="R27" s="25"/>
      <x:c r="S27" s="25"/>
    </x:row>
    <x:row r="28">
      <x:c r="E28" s="21"/>
      <x:c r="M28" s="25"/>
      <x:c r="N28" s="25"/>
      <x:c r="O28" s="25"/>
      <x:c r="P28" s="25"/>
      <x:c r="Q28" s="25"/>
      <x:c r="R28" s="25"/>
      <x:c r="S28" s="25"/>
    </x:row>
    <x:row r="29">
      <x:c r="E29" s="21"/>
      <x:c r="M29" s="25"/>
      <x:c r="N29" s="25"/>
      <x:c r="O29" s="25"/>
      <x:c r="P29" s="25"/>
      <x:c r="Q29" s="25"/>
      <x:c r="R29" s="25"/>
      <x:c r="S29" s="25"/>
    </x:row>
    <x:row r="30">
      <x:c r="E30" s="21"/>
      <x:c r="M30" s="25"/>
      <x:c r="N30" s="25"/>
      <x:c r="O30" s="25"/>
      <x:c r="P30" s="25"/>
      <x:c r="Q30" s="25"/>
      <x:c r="R30" s="25"/>
      <x:c r="S30" s="25"/>
    </x:row>
    <x:row r="31">
      <x:c r="E31" s="21"/>
      <x:c r="M31" s="25"/>
      <x:c r="N31" s="25"/>
      <x:c r="O31" s="25"/>
      <x:c r="P31" s="25"/>
      <x:c r="Q31" s="25"/>
      <x:c r="R31" s="25"/>
      <x:c r="S31" s="25"/>
    </x:row>
    <x:row r="32">
      <x:c r="E32" s="21"/>
      <x:c r="M32" s="25"/>
      <x:c r="N32" s="25"/>
      <x:c r="O32" s="25"/>
      <x:c r="P32" s="25"/>
      <x:c r="Q32" s="25"/>
      <x:c r="R32" s="25"/>
      <x:c r="S32" s="25"/>
    </x:row>
    <x:row r="33">
      <x:c r="E33" s="21"/>
      <x:c r="M33" s="25"/>
      <x:c r="N33" s="25"/>
      <x:c r="O33" s="25"/>
      <x:c r="P33" s="25"/>
      <x:c r="Q33" s="25"/>
      <x:c r="R33" s="25"/>
      <x:c r="S33" s="25"/>
    </x:row>
    <x:row r="34">
      <x:c r="E34" s="21"/>
      <x:c r="M34" s="25"/>
      <x:c r="N34" s="25"/>
      <x:c r="O34" s="25"/>
      <x:c r="P34" s="25"/>
      <x:c r="Q34" s="25"/>
      <x:c r="R34" s="25"/>
      <x:c r="S34" s="25"/>
    </x:row>
    <x:row r="35">
      <x:c r="E35" s="21"/>
      <x:c r="M35" s="25"/>
      <x:c r="N35" s="25"/>
      <x:c r="O35" s="25"/>
      <x:c r="P35" s="25"/>
      <x:c r="Q35" s="25"/>
      <x:c r="R35" s="25"/>
      <x:c r="S35" s="25"/>
    </x:row>
    <x:row r="36">
      <x:c r="E36" s="21"/>
      <x:c r="M36" s="25"/>
      <x:c r="N36" s="25"/>
      <x:c r="O36" s="25"/>
      <x:c r="P36" s="25"/>
      <x:c r="Q36" s="25"/>
      <x:c r="R36" s="25"/>
      <x:c r="S36" s="25"/>
    </x:row>
    <x:row r="37">
      <x:c r="E37" s="21"/>
      <x:c r="M37" s="25"/>
      <x:c r="N37" s="25"/>
      <x:c r="O37" s="25"/>
      <x:c r="P37" s="25"/>
      <x:c r="Q37" s="25"/>
      <x:c r="R37" s="25"/>
      <x:c r="S37" s="25"/>
    </x:row>
    <x:row r="38">
      <x:c r="E38" s="21"/>
      <x:c r="M38" s="25"/>
      <x:c r="N38" s="25"/>
      <x:c r="O38" s="25"/>
      <x:c r="P38" s="25"/>
      <x:c r="Q38" s="25"/>
      <x:c r="R38" s="25"/>
      <x:c r="S38" s="25"/>
    </x:row>
    <x:row r="39">
      <x:c r="E39" s="21"/>
      <x:c r="M39" s="25"/>
      <x:c r="N39" s="25"/>
      <x:c r="O39" s="25"/>
      <x:c r="P39" s="25"/>
      <x:c r="Q39" s="25"/>
      <x:c r="R39" s="25"/>
      <x:c r="S39" s="25"/>
    </x:row>
    <x:row r="40">
      <x:c r="E40" s="21"/>
      <x:c r="M40" s="25"/>
      <x:c r="N40" s="25"/>
      <x:c r="O40" s="25"/>
      <x:c r="P40" s="25"/>
      <x:c r="Q40" s="25"/>
      <x:c r="R40" s="25"/>
      <x:c r="S40" s="25"/>
    </x:row>
    <x:row r="41">
      <x:c r="E41" s="21"/>
      <x:c r="M41" s="25"/>
      <x:c r="N41" s="25"/>
      <x:c r="O41" s="25"/>
      <x:c r="P41" s="25"/>
      <x:c r="Q41" s="25"/>
      <x:c r="R41" s="25"/>
      <x:c r="S41" s="25"/>
    </x:row>
    <x:row r="42">
      <x:c r="E42" s="21"/>
      <x:c r="M42" s="25"/>
      <x:c r="N42" s="25"/>
      <x:c r="O42" s="25"/>
      <x:c r="P42" s="25"/>
      <x:c r="Q42" s="25"/>
      <x:c r="R42" s="25"/>
      <x:c r="S42" s="25"/>
    </x:row>
    <x:row r="43">
      <x:c r="E43" s="21"/>
      <x:c r="M43" s="25"/>
      <x:c r="N43" s="25"/>
      <x:c r="O43" s="25"/>
      <x:c r="P43" s="25"/>
      <x:c r="Q43" s="25"/>
      <x:c r="R43" s="25"/>
      <x:c r="S43" s="25"/>
    </x:row>
    <x:row r="44">
      <x:c r="E44" s="21"/>
      <x:c r="M44" s="25"/>
      <x:c r="N44" s="25"/>
      <x:c r="O44" s="25"/>
      <x:c r="P44" s="25"/>
      <x:c r="Q44" s="25"/>
      <x:c r="R44" s="25"/>
      <x:c r="S44" s="25"/>
    </x:row>
    <x:row r="45">
      <x:c r="E45" s="21"/>
      <x:c r="M45" s="25"/>
      <x:c r="N45" s="25"/>
      <x:c r="O45" s="25"/>
      <x:c r="P45" s="25"/>
      <x:c r="Q45" s="25"/>
      <x:c r="R45" s="25"/>
      <x:c r="S45" s="25"/>
    </x:row>
    <x:row r="46">
      <x:c r="E46" s="21"/>
      <x:c r="M46" s="25"/>
      <x:c r="N46" s="25"/>
      <x:c r="O46" s="25"/>
      <x:c r="P46" s="25"/>
      <x:c r="Q46" s="25"/>
      <x:c r="R46" s="25"/>
      <x:c r="S46" s="25"/>
    </x:row>
    <x:row r="47">
      <x:c r="E47" s="21"/>
      <x:c r="M47" s="25"/>
      <x:c r="N47" s="25"/>
      <x:c r="O47" s="25"/>
      <x:c r="P47" s="25"/>
      <x:c r="Q47" s="25"/>
      <x:c r="R47" s="25"/>
      <x:c r="S47" s="25"/>
    </x:row>
    <x:row r="48">
      <x:c r="E48" s="21"/>
      <x:c r="M48" s="25"/>
      <x:c r="N48" s="25"/>
      <x:c r="O48" s="25"/>
      <x:c r="P48" s="25"/>
      <x:c r="Q48" s="25"/>
      <x:c r="R48" s="25"/>
      <x:c r="S48" s="25"/>
    </x:row>
    <x:row r="49">
      <x:c r="E49" s="21"/>
      <x:c r="M49" s="25"/>
      <x:c r="N49" s="25"/>
      <x:c r="O49" s="25"/>
      <x:c r="P49" s="25"/>
      <x:c r="Q49" s="25"/>
      <x:c r="R49" s="25"/>
      <x:c r="S49" s="25"/>
    </x:row>
    <x:row r="50">
      <x:c r="E50" s="21"/>
      <x:c r="M50" s="25"/>
      <x:c r="N50" s="25"/>
      <x:c r="O50" s="25"/>
      <x:c r="P50" s="25"/>
      <x:c r="Q50" s="25"/>
      <x:c r="R50" s="25"/>
      <x:c r="S50" s="25"/>
    </x:row>
    <x:row r="51">
      <x:c r="E51" s="21"/>
      <x:c r="M51" s="25"/>
      <x:c r="N51" s="25"/>
      <x:c r="O51" s="25"/>
      <x:c r="P51" s="25"/>
      <x:c r="Q51" s="25"/>
      <x:c r="R51" s="25"/>
      <x:c r="S51" s="25"/>
    </x:row>
    <x:row r="52">
      <x:c r="E52" s="21"/>
      <x:c r="M52" s="25"/>
      <x:c r="N52" s="25"/>
      <x:c r="O52" s="25"/>
      <x:c r="P52" s="25"/>
      <x:c r="Q52" s="25"/>
      <x:c r="R52" s="25"/>
      <x:c r="S52" s="25"/>
    </x:row>
    <x:row r="53">
      <x:c r="E53" s="21"/>
      <x:c r="M53" s="25"/>
      <x:c r="N53" s="25"/>
      <x:c r="O53" s="25"/>
      <x:c r="P53" s="25"/>
      <x:c r="Q53" s="25"/>
      <x:c r="R53" s="25"/>
      <x:c r="S53" s="25"/>
    </x:row>
    <x:row r="54">
      <x:c r="E54" s="21"/>
      <x:c r="M54" s="25"/>
      <x:c r="N54" s="25"/>
      <x:c r="O54" s="25"/>
      <x:c r="P54" s="25"/>
      <x:c r="Q54" s="25"/>
      <x:c r="R54" s="25"/>
      <x:c r="S54" s="25"/>
    </x:row>
    <x:row r="55">
      <x:c r="E55" s="21"/>
      <x:c r="M55" s="25"/>
      <x:c r="N55" s="25"/>
      <x:c r="O55" s="25"/>
      <x:c r="P55" s="25"/>
      <x:c r="Q55" s="25"/>
      <x:c r="R55" s="25"/>
      <x:c r="S55" s="25"/>
    </x:row>
    <x:row r="56">
      <x:c r="E56" s="21"/>
      <x:c r="M56" s="25"/>
      <x:c r="N56" s="25"/>
      <x:c r="O56" s="25"/>
      <x:c r="P56" s="25"/>
      <x:c r="Q56" s="25"/>
      <x:c r="R56" s="25"/>
      <x:c r="S56" s="25"/>
    </x:row>
    <x:row r="57">
      <x:c r="E57" s="21"/>
      <x:c r="M57" s="25"/>
      <x:c r="N57" s="25"/>
      <x:c r="O57" s="25"/>
      <x:c r="P57" s="25"/>
      <x:c r="Q57" s="25"/>
      <x:c r="R57" s="25"/>
      <x:c r="S57" s="25"/>
    </x:row>
    <x:row r="58">
      <x:c r="E58" s="21"/>
      <x:c r="M58" s="25"/>
      <x:c r="N58" s="25"/>
      <x:c r="O58" s="25"/>
      <x:c r="P58" s="25"/>
      <x:c r="Q58" s="25"/>
      <x:c r="R58" s="25"/>
      <x:c r="S58" s="25"/>
    </x:row>
    <x:row r="59">
      <x:c r="E59" s="21"/>
      <x:c r="M59" s="25"/>
      <x:c r="N59" s="25"/>
      <x:c r="O59" s="25"/>
      <x:c r="P59" s="25"/>
      <x:c r="Q59" s="25"/>
      <x:c r="R59" s="25"/>
      <x:c r="S59" s="25"/>
    </x:row>
    <x:row r="60">
      <x:c r="E60" s="21"/>
      <x:c r="M60" s="25"/>
      <x:c r="N60" s="25"/>
      <x:c r="O60" s="25"/>
      <x:c r="P60" s="25"/>
      <x:c r="Q60" s="25"/>
      <x:c r="R60" s="25"/>
      <x:c r="S60" s="25"/>
    </x:row>
    <x:row r="61">
      <x:c r="E61" s="21"/>
      <x:c r="M61" s="25"/>
      <x:c r="N61" s="25"/>
      <x:c r="O61" s="25"/>
      <x:c r="P61" s="25"/>
      <x:c r="Q61" s="25"/>
      <x:c r="R61" s="25"/>
      <x:c r="S61" s="25"/>
    </x:row>
    <x:row r="62">
      <x:c r="E62" s="21"/>
      <x:c r="M62" s="25"/>
      <x:c r="N62" s="25"/>
      <x:c r="O62" s="25"/>
      <x:c r="P62" s="25"/>
      <x:c r="Q62" s="25"/>
      <x:c r="R62" s="25"/>
      <x:c r="S62" s="25"/>
    </x:row>
    <x:row r="63">
      <x:c r="E63" s="21"/>
      <x:c r="M63" s="25"/>
      <x:c r="N63" s="25"/>
      <x:c r="O63" s="25"/>
      <x:c r="P63" s="25"/>
      <x:c r="Q63" s="25"/>
      <x:c r="R63" s="25"/>
      <x:c r="S63" s="25"/>
    </x:row>
    <x:row r="64">
      <x:c r="E64" s="21"/>
      <x:c r="M64" s="25"/>
      <x:c r="N64" s="25"/>
      <x:c r="O64" s="25"/>
      <x:c r="P64" s="25"/>
      <x:c r="Q64" s="25"/>
      <x:c r="R64" s="25"/>
      <x:c r="S64" s="25"/>
    </x:row>
    <x:row r="65">
      <x:c r="E65" s="21"/>
      <x:c r="M65" s="25"/>
      <x:c r="N65" s="25"/>
      <x:c r="O65" s="25"/>
      <x:c r="P65" s="25"/>
      <x:c r="Q65" s="25"/>
      <x:c r="R65" s="25"/>
      <x:c r="S65" s="25"/>
    </x:row>
    <x:row r="66">
      <x:c r="E66" s="21"/>
      <x:c r="M66" s="25"/>
      <x:c r="N66" s="25"/>
      <x:c r="O66" s="25"/>
      <x:c r="P66" s="25"/>
      <x:c r="Q66" s="25"/>
      <x:c r="R66" s="25"/>
      <x:c r="S66" s="25"/>
    </x:row>
    <x:row r="67">
      <x:c r="E67" s="21"/>
      <x:c r="M67" s="25"/>
      <x:c r="N67" s="25"/>
      <x:c r="O67" s="25"/>
      <x:c r="P67" s="25"/>
      <x:c r="Q67" s="25"/>
      <x:c r="R67" s="25"/>
      <x:c r="S67" s="25"/>
    </x:row>
    <x:row r="68">
      <x:c r="E68" s="21"/>
      <x:c r="M68" s="25"/>
      <x:c r="N68" s="25"/>
      <x:c r="O68" s="25"/>
      <x:c r="P68" s="25"/>
      <x:c r="Q68" s="25"/>
      <x:c r="R68" s="25"/>
      <x:c r="S68" s="25"/>
    </x:row>
    <x:row r="69">
      <x:c r="E69" s="21"/>
      <x:c r="M69" s="25"/>
      <x:c r="N69" s="25"/>
      <x:c r="O69" s="25"/>
      <x:c r="P69" s="25"/>
      <x:c r="Q69" s="25"/>
      <x:c r="R69" s="25"/>
      <x:c r="S69" s="25"/>
    </x:row>
    <x:row r="70">
      <x:c r="E70" s="21"/>
      <x:c r="M70" s="25"/>
      <x:c r="N70" s="25"/>
      <x:c r="O70" s="25"/>
      <x:c r="P70" s="25"/>
      <x:c r="Q70" s="25"/>
      <x:c r="R70" s="25"/>
      <x:c r="S70" s="25"/>
    </x:row>
    <x:row r="71">
      <x:c r="E71" s="21"/>
      <x:c r="M71" s="25"/>
      <x:c r="N71" s="25"/>
      <x:c r="O71" s="25"/>
      <x:c r="P71" s="25"/>
      <x:c r="Q71" s="25"/>
      <x:c r="R71" s="25"/>
      <x:c r="S71" s="25"/>
    </x:row>
    <x:row r="72">
      <x:c r="E72" s="21"/>
      <x:c r="M72" s="25"/>
      <x:c r="N72" s="25"/>
      <x:c r="O72" s="25"/>
      <x:c r="P72" s="25"/>
      <x:c r="Q72" s="25"/>
      <x:c r="R72" s="25"/>
      <x:c r="S72" s="25"/>
    </x:row>
    <x:row r="73">
      <x:c r="E73" s="21"/>
      <x:c r="M73" s="25"/>
      <x:c r="N73" s="25"/>
      <x:c r="O73" s="25"/>
      <x:c r="P73" s="25"/>
      <x:c r="Q73" s="25"/>
      <x:c r="R73" s="25"/>
      <x:c r="S73" s="25"/>
    </x:row>
    <x:row r="74">
      <x:c r="E74" s="21"/>
      <x:c r="M74" s="25"/>
      <x:c r="N74" s="25"/>
      <x:c r="O74" s="25"/>
      <x:c r="P74" s="25"/>
      <x:c r="Q74" s="25"/>
      <x:c r="R74" s="25"/>
      <x:c r="S74" s="25"/>
    </x:row>
    <x:row r="75">
      <x:c r="E75" s="21"/>
      <x:c r="M75" s="25"/>
      <x:c r="N75" s="25"/>
      <x:c r="O75" s="25"/>
      <x:c r="P75" s="25"/>
      <x:c r="Q75" s="25"/>
      <x:c r="R75" s="25"/>
      <x:c r="S75" s="25"/>
    </x:row>
    <x:row r="76">
      <x:c r="E76" s="21"/>
      <x:c r="M76" s="25"/>
      <x:c r="N76" s="25"/>
      <x:c r="O76" s="25"/>
      <x:c r="P76" s="25"/>
      <x:c r="Q76" s="25"/>
      <x:c r="R76" s="25"/>
      <x:c r="S76" s="25"/>
    </x:row>
    <x:row r="77">
      <x:c r="E77" s="21"/>
      <x:c r="M77" s="25"/>
      <x:c r="N77" s="25"/>
      <x:c r="O77" s="25"/>
      <x:c r="P77" s="25"/>
      <x:c r="Q77" s="25"/>
      <x:c r="R77" s="25"/>
      <x:c r="S77" s="25"/>
    </x:row>
    <x:row r="78">
      <x:c r="E78" s="21"/>
      <x:c r="M78" s="25"/>
      <x:c r="N78" s="25"/>
      <x:c r="O78" s="25"/>
      <x:c r="P78" s="25"/>
      <x:c r="Q78" s="25"/>
      <x:c r="R78" s="25"/>
      <x:c r="S78" s="25"/>
    </x:row>
    <x:row r="79">
      <x:c r="E79" s="21"/>
      <x:c r="M79" s="25"/>
      <x:c r="N79" s="25"/>
      <x:c r="O79" s="25"/>
      <x:c r="P79" s="25"/>
      <x:c r="Q79" s="25"/>
      <x:c r="R79" s="25"/>
      <x:c r="S79" s="25"/>
    </x:row>
    <x:row r="80">
      <x:c r="E80" s="21"/>
      <x:c r="M80" s="25"/>
      <x:c r="N80" s="25"/>
      <x:c r="O80" s="25"/>
      <x:c r="P80" s="25"/>
      <x:c r="Q80" s="25"/>
      <x:c r="R80" s="25"/>
      <x:c r="S80" s="25"/>
    </x:row>
    <x:row r="81">
      <x:c r="E81" s="21"/>
      <x:c r="M81" s="25"/>
      <x:c r="N81" s="25"/>
      <x:c r="O81" s="25"/>
      <x:c r="P81" s="25"/>
      <x:c r="Q81" s="25"/>
      <x:c r="R81" s="25"/>
      <x:c r="S81" s="25"/>
    </x:row>
    <x:row r="82">
      <x:c r="E82" s="21"/>
      <x:c r="M82" s="25"/>
      <x:c r="N82" s="25"/>
      <x:c r="O82" s="25"/>
      <x:c r="P82" s="25"/>
      <x:c r="Q82" s="25"/>
      <x:c r="R82" s="25"/>
      <x:c r="S82" s="25"/>
    </x:row>
    <x:row r="83">
      <x:c r="E83" s="21"/>
      <x:c r="M83" s="25"/>
      <x:c r="N83" s="25"/>
      <x:c r="O83" s="25"/>
      <x:c r="P83" s="25"/>
      <x:c r="Q83" s="25"/>
      <x:c r="R83" s="25"/>
      <x:c r="S83" s="25"/>
    </x:row>
    <x:row r="84">
      <x:c r="E84" s="21"/>
      <x:c r="M84" s="25"/>
      <x:c r="N84" s="25"/>
      <x:c r="O84" s="25"/>
      <x:c r="P84" s="25"/>
      <x:c r="Q84" s="25"/>
      <x:c r="R84" s="25"/>
      <x:c r="S84" s="25"/>
    </x:row>
    <x:row r="85">
      <x:c r="E85" s="21"/>
      <x:c r="M85" s="25"/>
      <x:c r="N85" s="25"/>
      <x:c r="O85" s="25"/>
      <x:c r="P85" s="25"/>
      <x:c r="Q85" s="25"/>
      <x:c r="R85" s="25"/>
      <x:c r="S85" s="25"/>
    </x:row>
    <x:row r="86">
      <x:c r="E86" s="21"/>
      <x:c r="M86" s="25"/>
      <x:c r="N86" s="25"/>
      <x:c r="O86" s="25"/>
      <x:c r="P86" s="25"/>
      <x:c r="Q86" s="25"/>
      <x:c r="R86" s="25"/>
      <x:c r="S86" s="25"/>
    </x:row>
    <x:row r="87">
      <x:c r="E87" s="21"/>
      <x:c r="M87" s="25"/>
      <x:c r="N87" s="25"/>
      <x:c r="O87" s="25"/>
      <x:c r="P87" s="25"/>
      <x:c r="Q87" s="25"/>
      <x:c r="R87" s="25"/>
      <x:c r="S87" s="25"/>
    </x:row>
    <x:row r="88">
      <x:c r="E88" s="21"/>
      <x:c r="M88" s="25"/>
      <x:c r="N88" s="25"/>
      <x:c r="O88" s="25"/>
      <x:c r="P88" s="25"/>
      <x:c r="Q88" s="25"/>
      <x:c r="R88" s="25"/>
      <x:c r="S88" s="25"/>
    </x:row>
    <x:row r="89">
      <x:c r="E89" s="21"/>
      <x:c r="M89" s="25"/>
      <x:c r="N89" s="25"/>
      <x:c r="O89" s="25"/>
      <x:c r="P89" s="25"/>
      <x:c r="Q89" s="25"/>
      <x:c r="R89" s="25"/>
      <x:c r="S89" s="25"/>
    </x:row>
    <x:row r="90">
      <x:c r="E90" s="21"/>
      <x:c r="M90" s="25"/>
      <x:c r="N90" s="25"/>
      <x:c r="O90" s="25"/>
      <x:c r="P90" s="25"/>
      <x:c r="Q90" s="25"/>
      <x:c r="R90" s="25"/>
      <x:c r="S90" s="25"/>
    </x:row>
    <x:row r="91">
      <x:c r="E91" s="21"/>
      <x:c r="M91" s="25"/>
      <x:c r="N91" s="25"/>
      <x:c r="O91" s="25"/>
      <x:c r="P91" s="25"/>
      <x:c r="Q91" s="25"/>
      <x:c r="R91" s="25"/>
      <x:c r="S91" s="25"/>
    </x:row>
    <x:row r="92">
      <x:c r="E92" s="21"/>
      <x:c r="M92" s="25"/>
      <x:c r="N92" s="25"/>
      <x:c r="O92" s="25"/>
      <x:c r="P92" s="25"/>
      <x:c r="Q92" s="25"/>
      <x:c r="R92" s="25"/>
      <x:c r="S92" s="25"/>
    </x:row>
    <x:row r="93">
      <x:c r="E93" s="21"/>
      <x:c r="M93" s="25"/>
      <x:c r="N93" s="25"/>
      <x:c r="O93" s="25"/>
      <x:c r="P93" s="25"/>
      <x:c r="Q93" s="25"/>
      <x:c r="R93" s="25"/>
      <x:c r="S93" s="25"/>
    </x:row>
    <x:row r="94">
      <x:c r="E94" s="21"/>
      <x:c r="M94" s="25"/>
      <x:c r="N94" s="25"/>
      <x:c r="O94" s="25"/>
      <x:c r="P94" s="25"/>
      <x:c r="Q94" s="25"/>
      <x:c r="R94" s="25"/>
      <x:c r="S94" s="25"/>
    </x:row>
    <x:row r="95">
      <x:c r="E95" s="21"/>
      <x:c r="M95" s="25"/>
      <x:c r="N95" s="25"/>
      <x:c r="O95" s="25"/>
      <x:c r="P95" s="25"/>
      <x:c r="Q95" s="25"/>
      <x:c r="R95" s="25"/>
      <x:c r="S95" s="25"/>
    </x:row>
    <x:row r="96">
      <x:c r="E96" s="21"/>
      <x:c r="M96" s="25"/>
      <x:c r="N96" s="25"/>
      <x:c r="O96" s="25"/>
      <x:c r="P96" s="25"/>
      <x:c r="Q96" s="25"/>
      <x:c r="R96" s="25"/>
      <x:c r="S96" s="25"/>
    </x:row>
    <x:row r="97">
      <x:c r="E97" s="21"/>
      <x:c r="M97" s="25"/>
      <x:c r="N97" s="25"/>
      <x:c r="O97" s="25"/>
      <x:c r="P97" s="25"/>
      <x:c r="Q97" s="25"/>
      <x:c r="R97" s="25"/>
      <x:c r="S97" s="25"/>
    </x:row>
    <x:row r="98">
      <x:c r="E98" s="21"/>
      <x:c r="M98" s="25"/>
      <x:c r="N98" s="25"/>
      <x:c r="O98" s="25"/>
      <x:c r="P98" s="25"/>
      <x:c r="Q98" s="25"/>
      <x:c r="R98" s="25"/>
      <x:c r="S98" s="25"/>
    </x:row>
    <x:row r="99">
      <x:c r="E99" s="21"/>
      <x:c r="M99" s="25"/>
      <x:c r="N99" s="25"/>
      <x:c r="O99" s="25"/>
      <x:c r="P99" s="25"/>
      <x:c r="Q99" s="25"/>
      <x:c r="R99" s="25"/>
      <x:c r="S99" s="25"/>
    </x:row>
    <x:row r="100">
      <x:c r="E100" s="21"/>
      <x:c r="M100" s="25"/>
      <x:c r="N100" s="25"/>
      <x:c r="O100" s="25"/>
      <x:c r="P100" s="25"/>
      <x:c r="Q100" s="25"/>
      <x:c r="R100" s="25"/>
      <x:c r="S100" s="25"/>
    </x:row>
    <x:row r="101">
      <x:c r="E101" s="21"/>
      <x:c r="M101" s="25"/>
      <x:c r="N101" s="25"/>
      <x:c r="O101" s="25"/>
      <x:c r="P101" s="25"/>
      <x:c r="Q101" s="25"/>
      <x:c r="R101" s="25"/>
      <x:c r="S101" s="25"/>
    </x:row>
    <x:row r="102">
      <x:c r="E102" s="21"/>
      <x:c r="M102" s="25"/>
      <x:c r="N102" s="25"/>
      <x:c r="O102" s="25"/>
      <x:c r="P102" s="25"/>
      <x:c r="Q102" s="25"/>
      <x:c r="R102" s="25"/>
      <x:c r="S102" s="25"/>
    </x:row>
    <x:row r="103">
      <x:c r="E103" s="21"/>
      <x:c r="M103" s="25"/>
      <x:c r="N103" s="25"/>
      <x:c r="O103" s="25"/>
      <x:c r="P103" s="25"/>
      <x:c r="Q103" s="25"/>
      <x:c r="R103" s="25"/>
      <x:c r="S103" s="25"/>
    </x:row>
    <x:row r="104">
      <x:c r="E104" s="21"/>
      <x:c r="M104" s="25"/>
      <x:c r="N104" s="25"/>
      <x:c r="O104" s="25"/>
      <x:c r="P104" s="25"/>
      <x:c r="Q104" s="25"/>
      <x:c r="R104" s="25"/>
      <x:c r="S104" s="25"/>
    </x:row>
    <x:row r="105">
      <x:c r="E105" s="21"/>
      <x:c r="M105" s="25"/>
      <x:c r="N105" s="25"/>
      <x:c r="O105" s="25"/>
      <x:c r="P105" s="25"/>
      <x:c r="Q105" s="25"/>
      <x:c r="R105" s="25"/>
      <x:c r="S105" s="25"/>
    </x:row>
    <x:row r="106">
      <x:c r="E106" s="21"/>
      <x:c r="M106" s="25"/>
      <x:c r="N106" s="25"/>
      <x:c r="O106" s="25"/>
      <x:c r="P106" s="25"/>
      <x:c r="Q106" s="25"/>
      <x:c r="R106" s="25"/>
      <x:c r="S106" s="25"/>
    </x:row>
    <x:row r="107">
      <x:c r="E107" s="21"/>
      <x:c r="M107" s="25"/>
      <x:c r="N107" s="25"/>
      <x:c r="O107" s="25"/>
      <x:c r="P107" s="25"/>
      <x:c r="Q107" s="25"/>
      <x:c r="R107" s="25"/>
      <x:c r="S107" s="25"/>
    </x:row>
    <x:row r="108">
      <x:c r="E108" s="21"/>
      <x:c r="M108" s="25"/>
      <x:c r="N108" s="25"/>
      <x:c r="O108" s="25"/>
      <x:c r="P108" s="25"/>
      <x:c r="Q108" s="25"/>
      <x:c r="R108" s="25"/>
      <x:c r="S108" s="25"/>
    </x:row>
    <x:row r="109">
      <x:c r="E109" s="21"/>
      <x:c r="M109" s="25"/>
      <x:c r="N109" s="25"/>
      <x:c r="O109" s="25"/>
      <x:c r="P109" s="25"/>
      <x:c r="Q109" s="25"/>
      <x:c r="R109" s="25"/>
      <x:c r="S109" s="25"/>
    </x:row>
    <x:row r="110">
      <x:c r="E110" s="21"/>
      <x:c r="M110" s="25"/>
      <x:c r="N110" s="25"/>
      <x:c r="O110" s="25"/>
      <x:c r="P110" s="25"/>
      <x:c r="Q110" s="25"/>
      <x:c r="R110" s="25"/>
      <x:c r="S110" s="25"/>
    </x:row>
    <x:row r="111">
      <x:c r="E111" s="21"/>
      <x:c r="M111" s="25"/>
      <x:c r="N111" s="25"/>
      <x:c r="O111" s="25"/>
      <x:c r="P111" s="25"/>
      <x:c r="Q111" s="25"/>
      <x:c r="R111" s="25"/>
      <x:c r="S111" s="25"/>
    </x:row>
    <x:row r="112">
      <x:c r="E112" s="21"/>
      <x:c r="M112" s="25"/>
      <x:c r="N112" s="25"/>
      <x:c r="O112" s="25"/>
      <x:c r="P112" s="25"/>
      <x:c r="Q112" s="25"/>
      <x:c r="R112" s="25"/>
      <x:c r="S112" s="25"/>
    </x:row>
    <x:row r="113">
      <x:c r="E113" s="21"/>
      <x:c r="M113" s="25"/>
      <x:c r="N113" s="25"/>
      <x:c r="O113" s="25"/>
      <x:c r="P113" s="25"/>
      <x:c r="Q113" s="25"/>
      <x:c r="R113" s="25"/>
      <x:c r="S113" s="25"/>
    </x:row>
    <x:row r="114">
      <x:c r="E114" s="21"/>
      <x:c r="M114" s="25"/>
      <x:c r="N114" s="25"/>
      <x:c r="O114" s="25"/>
      <x:c r="P114" s="25"/>
      <x:c r="Q114" s="25"/>
      <x:c r="R114" s="25"/>
      <x:c r="S114" s="25"/>
    </x:row>
    <x:row r="115">
      <x:c r="E115" s="21"/>
      <x:c r="M115" s="25"/>
      <x:c r="N115" s="25"/>
      <x:c r="O115" s="25"/>
      <x:c r="P115" s="25"/>
      <x:c r="Q115" s="25"/>
      <x:c r="R115" s="25"/>
      <x:c r="S115" s="25"/>
    </x:row>
    <x:row r="116">
      <x:c r="E116" s="21"/>
      <x:c r="M116" s="25"/>
      <x:c r="N116" s="25"/>
      <x:c r="O116" s="25"/>
      <x:c r="P116" s="25"/>
      <x:c r="Q116" s="25"/>
      <x:c r="R116" s="25"/>
      <x:c r="S116" s="25"/>
    </x:row>
    <x:row r="117">
      <x:c r="E117" s="21"/>
      <x:c r="M117" s="25"/>
      <x:c r="N117" s="25"/>
      <x:c r="O117" s="25"/>
      <x:c r="P117" s="25"/>
      <x:c r="Q117" s="25"/>
      <x:c r="R117" s="25"/>
      <x:c r="S117" s="25"/>
    </x:row>
    <x:row r="118">
      <x:c r="E118" s="21"/>
      <x:c r="M118" s="25"/>
      <x:c r="N118" s="25"/>
      <x:c r="O118" s="25"/>
      <x:c r="P118" s="25"/>
      <x:c r="Q118" s="25"/>
      <x:c r="R118" s="25"/>
      <x:c r="S118" s="25"/>
    </x:row>
    <x:row r="119">
      <x:c r="E119" s="21"/>
      <x:c r="M119" s="25"/>
      <x:c r="N119" s="25"/>
      <x:c r="O119" s="25"/>
      <x:c r="P119" s="25"/>
      <x:c r="Q119" s="25"/>
      <x:c r="R119" s="25"/>
      <x:c r="S119" s="25"/>
    </x:row>
    <x:row r="120">
      <x:c r="E120" s="21"/>
      <x:c r="M120" s="25"/>
      <x:c r="N120" s="25"/>
      <x:c r="O120" s="25"/>
      <x:c r="P120" s="25"/>
      <x:c r="Q120" s="25"/>
      <x:c r="R120" s="25"/>
      <x:c r="S120" s="25"/>
    </x:row>
    <x:row r="121">
      <x:c r="E121" s="21"/>
      <x:c r="M121" s="25"/>
      <x:c r="N121" s="25"/>
      <x:c r="O121" s="25"/>
      <x:c r="P121" s="25"/>
      <x:c r="Q121" s="25"/>
      <x:c r="R121" s="25"/>
      <x:c r="S121" s="25"/>
    </x:row>
    <x:row r="122">
      <x:c r="E122" s="21"/>
      <x:c r="M122" s="25"/>
      <x:c r="N122" s="25"/>
      <x:c r="O122" s="25"/>
      <x:c r="P122" s="25"/>
      <x:c r="Q122" s="25"/>
      <x:c r="R122" s="25"/>
      <x:c r="S122" s="25"/>
    </x:row>
    <x:row r="123">
      <x:c r="E123" s="21"/>
      <x:c r="M123" s="25"/>
      <x:c r="N123" s="25"/>
      <x:c r="O123" s="25"/>
      <x:c r="P123" s="25"/>
      <x:c r="Q123" s="25"/>
      <x:c r="R123" s="25"/>
      <x:c r="S123" s="25"/>
    </x:row>
    <x:row r="124">
      <x:c r="E124" s="21"/>
      <x:c r="M124" s="25"/>
      <x:c r="N124" s="25"/>
      <x:c r="O124" s="25"/>
      <x:c r="P124" s="25"/>
      <x:c r="Q124" s="25"/>
      <x:c r="R124" s="25"/>
      <x:c r="S124" s="25"/>
    </x:row>
    <x:row r="125">
      <x:c r="E125" s="21"/>
      <x:c r="M125" s="25"/>
      <x:c r="N125" s="25"/>
      <x:c r="O125" s="25"/>
      <x:c r="P125" s="25"/>
      <x:c r="Q125" s="25"/>
      <x:c r="R125" s="25"/>
      <x:c r="S125" s="25"/>
    </x:row>
    <x:row r="126">
      <x:c r="E126" s="21"/>
      <x:c r="M126" s="25"/>
      <x:c r="N126" s="25"/>
      <x:c r="O126" s="25"/>
      <x:c r="P126" s="25"/>
      <x:c r="Q126" s="25"/>
      <x:c r="R126" s="25"/>
      <x:c r="S126" s="25"/>
    </x:row>
    <x:row r="127">
      <x:c r="E127" s="21"/>
      <x:c r="M127" s="25"/>
      <x:c r="N127" s="25"/>
      <x:c r="O127" s="25"/>
      <x:c r="P127" s="25"/>
      <x:c r="Q127" s="25"/>
      <x:c r="R127" s="25"/>
      <x:c r="S127" s="25"/>
    </x:row>
    <x:row r="128">
      <x:c r="E128" s="21"/>
      <x:c r="M128" s="25"/>
      <x:c r="N128" s="25"/>
      <x:c r="O128" s="25"/>
      <x:c r="P128" s="25"/>
      <x:c r="Q128" s="25"/>
      <x:c r="R128" s="25"/>
      <x:c r="S128" s="25"/>
    </x:row>
    <x:row r="129">
      <x:c r="E129" s="21"/>
      <x:c r="M129" s="25"/>
      <x:c r="N129" s="25"/>
      <x:c r="O129" s="25"/>
      <x:c r="P129" s="25"/>
      <x:c r="Q129" s="25"/>
      <x:c r="R129" s="25"/>
      <x:c r="S129" s="25"/>
    </x:row>
    <x:row r="130">
      <x:c r="E130" s="21"/>
      <x:c r="M130" s="25"/>
      <x:c r="N130" s="25"/>
      <x:c r="O130" s="25"/>
      <x:c r="P130" s="25"/>
      <x:c r="Q130" s="25"/>
      <x:c r="R130" s="25"/>
      <x:c r="S130" s="25"/>
    </x:row>
    <x:row r="131">
      <x:c r="E131" s="21"/>
      <x:c r="M131" s="25"/>
      <x:c r="N131" s="25"/>
      <x:c r="O131" s="25"/>
      <x:c r="P131" s="25"/>
      <x:c r="Q131" s="25"/>
      <x:c r="R131" s="25"/>
      <x:c r="S131" s="25"/>
    </x:row>
    <x:row r="132">
      <x:c r="E132" s="21"/>
      <x:c r="M132" s="25"/>
      <x:c r="N132" s="25"/>
      <x:c r="O132" s="25"/>
      <x:c r="P132" s="25"/>
      <x:c r="Q132" s="25"/>
      <x:c r="R132" s="25"/>
      <x:c r="S132" s="25"/>
    </x:row>
    <x:row r="133">
      <x:c r="E133" s="21"/>
      <x:c r="M133" s="25"/>
      <x:c r="N133" s="25"/>
      <x:c r="O133" s="25"/>
      <x:c r="P133" s="25"/>
      <x:c r="Q133" s="25"/>
      <x:c r="R133" s="25"/>
      <x:c r="S133" s="25"/>
    </x:row>
    <x:row r="134">
      <x:c r="E134" s="21"/>
      <x:c r="M134" s="25"/>
      <x:c r="N134" s="25"/>
      <x:c r="O134" s="25"/>
      <x:c r="P134" s="25"/>
      <x:c r="Q134" s="25"/>
      <x:c r="R134" s="25"/>
      <x:c r="S134" s="25"/>
    </x:row>
    <x:row r="135">
      <x:c r="E135" s="21"/>
      <x:c r="M135" s="25"/>
      <x:c r="N135" s="25"/>
      <x:c r="O135" s="25"/>
      <x:c r="P135" s="25"/>
      <x:c r="Q135" s="25"/>
      <x:c r="R135" s="25"/>
      <x:c r="S135" s="25"/>
    </x:row>
    <x:row r="136">
      <x:c r="E136" s="21"/>
      <x:c r="M136" s="25"/>
      <x:c r="N136" s="25"/>
      <x:c r="O136" s="25"/>
      <x:c r="P136" s="25"/>
      <x:c r="Q136" s="25"/>
      <x:c r="R136" s="25"/>
      <x:c r="S136" s="25"/>
    </x:row>
    <x:row r="137">
      <x:c r="E137" s="21"/>
      <x:c r="M137" s="25"/>
      <x:c r="N137" s="25"/>
      <x:c r="O137" s="25"/>
      <x:c r="P137" s="25"/>
      <x:c r="Q137" s="25"/>
      <x:c r="R137" s="25"/>
      <x:c r="S137" s="25"/>
    </x:row>
    <x:row r="138">
      <x:c r="E138" s="21"/>
      <x:c r="M138" s="25"/>
      <x:c r="N138" s="25"/>
      <x:c r="O138" s="25"/>
      <x:c r="P138" s="25"/>
      <x:c r="Q138" s="25"/>
      <x:c r="R138" s="25"/>
      <x:c r="S138" s="25"/>
    </x:row>
    <x:row r="139">
      <x:c r="E139" s="21"/>
      <x:c r="M139" s="25"/>
      <x:c r="N139" s="25"/>
      <x:c r="O139" s="25"/>
      <x:c r="P139" s="25"/>
      <x:c r="Q139" s="25"/>
      <x:c r="R139" s="25"/>
      <x:c r="S139" s="25"/>
    </x:row>
    <x:row r="140">
      <x:c r="E140" s="21"/>
      <x:c r="M140" s="25"/>
      <x:c r="N140" s="25"/>
      <x:c r="O140" s="25"/>
      <x:c r="P140" s="25"/>
      <x:c r="Q140" s="25"/>
      <x:c r="R140" s="25"/>
      <x:c r="S140" s="25"/>
    </x:row>
    <x:row r="141">
      <x:c r="E141" s="21"/>
      <x:c r="M141" s="25"/>
      <x:c r="N141" s="25"/>
      <x:c r="O141" s="25"/>
      <x:c r="P141" s="25"/>
      <x:c r="Q141" s="25"/>
      <x:c r="R141" s="25"/>
      <x:c r="S141" s="25"/>
    </x:row>
    <x:row r="142">
      <x:c r="E142" s="21"/>
      <x:c r="M142" s="25"/>
      <x:c r="N142" s="25"/>
      <x:c r="O142" s="25"/>
      <x:c r="P142" s="25"/>
      <x:c r="Q142" s="25"/>
      <x:c r="R142" s="25"/>
      <x:c r="S142" s="25"/>
    </x:row>
    <x:row r="143">
      <x:c r="E143" s="21"/>
      <x:c r="M143" s="25"/>
      <x:c r="N143" s="25"/>
      <x:c r="O143" s="25"/>
      <x:c r="P143" s="25"/>
      <x:c r="Q143" s="25"/>
      <x:c r="R143" s="25"/>
      <x:c r="S143" s="25"/>
    </x:row>
    <x:row r="144">
      <x:c r="E144" s="21"/>
      <x:c r="M144" s="25"/>
      <x:c r="N144" s="25"/>
      <x:c r="O144" s="25"/>
      <x:c r="P144" s="25"/>
      <x:c r="Q144" s="25"/>
      <x:c r="R144" s="25"/>
      <x:c r="S144" s="25"/>
    </x:row>
    <x:row r="145">
      <x:c r="E145" s="21"/>
      <x:c r="M145" s="25"/>
      <x:c r="N145" s="25"/>
      <x:c r="O145" s="25"/>
      <x:c r="P145" s="25"/>
      <x:c r="Q145" s="25"/>
      <x:c r="R145" s="25"/>
      <x:c r="S145" s="25"/>
    </x:row>
    <x:row r="146">
      <x:c r="E146" s="21"/>
      <x:c r="M146" s="25"/>
      <x:c r="N146" s="25"/>
      <x:c r="O146" s="25"/>
      <x:c r="P146" s="25"/>
      <x:c r="Q146" s="25"/>
      <x:c r="R146" s="25"/>
      <x:c r="S146" s="25"/>
    </x:row>
    <x:row r="147">
      <x:c r="E147" s="21"/>
      <x:c r="M147" s="25"/>
      <x:c r="N147" s="25"/>
      <x:c r="O147" s="25"/>
      <x:c r="P147" s="25"/>
      <x:c r="Q147" s="25"/>
      <x:c r="R147" s="25"/>
      <x:c r="S147" s="25"/>
    </x:row>
    <x:row r="148">
      <x:c r="E148" s="21"/>
      <x:c r="M148" s="25"/>
      <x:c r="N148" s="25"/>
      <x:c r="O148" s="25"/>
      <x:c r="P148" s="25"/>
      <x:c r="Q148" s="25"/>
      <x:c r="R148" s="25"/>
      <x:c r="S148" s="25"/>
    </x:row>
    <x:row r="149">
      <x:c r="E149" s="21"/>
      <x:c r="M149" s="25"/>
      <x:c r="N149" s="25"/>
      <x:c r="O149" s="25"/>
      <x:c r="P149" s="25"/>
      <x:c r="Q149" s="25"/>
      <x:c r="R149" s="25"/>
      <x:c r="S149" s="25"/>
    </x:row>
    <x:row r="150">
      <x:c r="E150" s="21"/>
      <x:c r="M150" s="25"/>
      <x:c r="N150" s="25"/>
      <x:c r="O150" s="25"/>
      <x:c r="P150" s="25"/>
      <x:c r="Q150" s="25"/>
      <x:c r="R150" s="25"/>
      <x:c r="S150" s="25"/>
    </x:row>
    <x:row r="151">
      <x:c r="E151" s="21"/>
      <x:c r="M151" s="25"/>
      <x:c r="N151" s="25"/>
      <x:c r="O151" s="25"/>
      <x:c r="P151" s="25"/>
      <x:c r="Q151" s="25"/>
      <x:c r="R151" s="25"/>
      <x:c r="S151" s="25"/>
    </x:row>
    <x:row r="152">
      <x:c r="E152" s="21"/>
      <x:c r="M152" s="25"/>
      <x:c r="N152" s="25"/>
      <x:c r="O152" s="25"/>
      <x:c r="P152" s="25"/>
      <x:c r="Q152" s="25"/>
      <x:c r="R152" s="25"/>
      <x:c r="S152" s="25"/>
    </x:row>
    <x:row r="153">
      <x:c r="E153" s="21"/>
      <x:c r="M153" s="25"/>
      <x:c r="N153" s="25"/>
      <x:c r="O153" s="25"/>
      <x:c r="P153" s="25"/>
      <x:c r="Q153" s="25"/>
      <x:c r="R153" s="25"/>
      <x:c r="S153" s="25"/>
    </x:row>
    <x:row r="154">
      <x:c r="E154" s="21"/>
      <x:c r="M154" s="25"/>
      <x:c r="N154" s="25"/>
      <x:c r="O154" s="25"/>
      <x:c r="P154" s="25"/>
      <x:c r="Q154" s="25"/>
      <x:c r="R154" s="25"/>
      <x:c r="S154" s="25"/>
    </x:row>
    <x:row r="155">
      <x:c r="E155" s="21"/>
      <x:c r="M155" s="25"/>
      <x:c r="N155" s="25"/>
      <x:c r="O155" s="25"/>
      <x:c r="P155" s="25"/>
      <x:c r="Q155" s="25"/>
      <x:c r="R155" s="25"/>
      <x:c r="S155" s="25"/>
    </x:row>
    <x:row r="156">
      <x:c r="E156" s="21"/>
      <x:c r="M156" s="25"/>
      <x:c r="N156" s="25"/>
      <x:c r="O156" s="25"/>
      <x:c r="P156" s="25"/>
      <x:c r="Q156" s="25"/>
      <x:c r="R156" s="25"/>
      <x:c r="S156" s="25"/>
    </x:row>
    <x:row r="157">
      <x:c r="E157" s="21"/>
      <x:c r="M157" s="25"/>
      <x:c r="N157" s="25"/>
      <x:c r="O157" s="25"/>
      <x:c r="P157" s="25"/>
      <x:c r="Q157" s="25"/>
      <x:c r="R157" s="25"/>
      <x:c r="S157" s="25"/>
    </x:row>
    <x:row r="158">
      <x:c r="E158" s="21"/>
      <x:c r="M158" s="25"/>
      <x:c r="N158" s="25"/>
      <x:c r="O158" s="25"/>
      <x:c r="P158" s="25"/>
      <x:c r="Q158" s="25"/>
      <x:c r="R158" s="25"/>
      <x:c r="S158" s="25"/>
    </x:row>
    <x:row r="159">
      <x:c r="E159" s="21"/>
      <x:c r="M159" s="25"/>
      <x:c r="N159" s="25"/>
      <x:c r="O159" s="25"/>
      <x:c r="P159" s="25"/>
      <x:c r="Q159" s="25"/>
      <x:c r="R159" s="25"/>
      <x:c r="S159" s="25"/>
    </x:row>
    <x:row r="160">
      <x:c r="E160" s="21"/>
      <x:c r="M160" s="25"/>
      <x:c r="N160" s="25"/>
      <x:c r="O160" s="25"/>
      <x:c r="P160" s="25"/>
      <x:c r="Q160" s="25"/>
      <x:c r="R160" s="25"/>
      <x:c r="S160" s="25"/>
    </x:row>
    <x:row r="161">
      <x:c r="E161" s="21"/>
      <x:c r="M161" s="25"/>
      <x:c r="N161" s="25"/>
      <x:c r="O161" s="25"/>
      <x:c r="P161" s="25"/>
      <x:c r="Q161" s="25"/>
      <x:c r="R161" s="25"/>
      <x:c r="S161" s="25"/>
    </x:row>
    <x:row r="162">
      <x:c r="E162" s="21"/>
      <x:c r="M162" s="25"/>
      <x:c r="N162" s="25"/>
      <x:c r="O162" s="25"/>
      <x:c r="P162" s="25"/>
      <x:c r="Q162" s="25"/>
      <x:c r="R162" s="25"/>
      <x:c r="S162" s="25"/>
    </x:row>
    <x:row r="163">
      <x:c r="E163" s="21"/>
      <x:c r="M163" s="25"/>
      <x:c r="N163" s="25"/>
      <x:c r="O163" s="25"/>
      <x:c r="P163" s="25"/>
      <x:c r="Q163" s="25"/>
      <x:c r="R163" s="25"/>
      <x:c r="S163" s="25"/>
    </x:row>
    <x:row r="164">
      <x:c r="E164" s="21"/>
      <x:c r="M164" s="25"/>
      <x:c r="N164" s="25"/>
      <x:c r="O164" s="25"/>
      <x:c r="P164" s="25"/>
      <x:c r="Q164" s="25"/>
      <x:c r="R164" s="25"/>
      <x:c r="S164" s="25"/>
    </x:row>
    <x:row r="165">
      <x:c r="E165" s="21"/>
      <x:c r="M165" s="25"/>
      <x:c r="N165" s="25"/>
      <x:c r="O165" s="25"/>
      <x:c r="P165" s="25"/>
      <x:c r="Q165" s="25"/>
      <x:c r="R165" s="25"/>
      <x:c r="S165" s="25"/>
    </x:row>
    <x:row r="166">
      <x:c r="E166" s="21"/>
      <x:c r="M166" s="25"/>
      <x:c r="N166" s="25"/>
      <x:c r="O166" s="25"/>
      <x:c r="P166" s="25"/>
      <x:c r="Q166" s="25"/>
      <x:c r="R166" s="25"/>
      <x:c r="S166" s="25"/>
    </x:row>
    <x:row r="167">
      <x:c r="E167" s="21"/>
      <x:c r="M167" s="25"/>
      <x:c r="N167" s="25"/>
      <x:c r="O167" s="25"/>
      <x:c r="P167" s="25"/>
      <x:c r="Q167" s="25"/>
      <x:c r="R167" s="25"/>
      <x:c r="S167" s="25"/>
    </x:row>
    <x:row r="168">
      <x:c r="E168" s="21"/>
      <x:c r="M168" s="25"/>
      <x:c r="N168" s="25"/>
      <x:c r="O168" s="25"/>
      <x:c r="P168" s="25"/>
      <x:c r="Q168" s="25"/>
      <x:c r="R168" s="25"/>
      <x:c r="S168" s="25"/>
    </x:row>
    <x:row r="169">
      <x:c r="E169" s="21"/>
      <x:c r="M169" s="25"/>
      <x:c r="N169" s="25"/>
      <x:c r="O169" s="25"/>
      <x:c r="P169" s="25"/>
      <x:c r="Q169" s="25"/>
      <x:c r="R169" s="25"/>
      <x:c r="S169" s="25"/>
    </x:row>
    <x:row r="170">
      <x:c r="E170" s="21"/>
      <x:c r="M170" s="25"/>
      <x:c r="N170" s="25"/>
      <x:c r="O170" s="25"/>
      <x:c r="P170" s="25"/>
      <x:c r="Q170" s="25"/>
      <x:c r="R170" s="25"/>
      <x:c r="S170" s="25"/>
    </x:row>
    <x:row r="171">
      <x:c r="E171" s="21"/>
      <x:c r="M171" s="25"/>
      <x:c r="N171" s="25"/>
      <x:c r="O171" s="25"/>
      <x:c r="P171" s="25"/>
      <x:c r="Q171" s="25"/>
      <x:c r="R171" s="25"/>
      <x:c r="S171" s="25"/>
    </x:row>
    <x:row r="172">
      <x:c r="E172" s="21"/>
      <x:c r="M172" s="25"/>
      <x:c r="N172" s="25"/>
      <x:c r="O172" s="25"/>
      <x:c r="P172" s="25"/>
      <x:c r="Q172" s="25"/>
      <x:c r="R172" s="25"/>
      <x:c r="S172" s="25"/>
    </x:row>
    <x:row r="173">
      <x:c r="E173" s="21"/>
      <x:c r="M173" s="25"/>
      <x:c r="N173" s="25"/>
      <x:c r="O173" s="25"/>
      <x:c r="P173" s="25"/>
      <x:c r="Q173" s="25"/>
      <x:c r="R173" s="25"/>
      <x:c r="S173" s="25"/>
    </x:row>
    <x:row r="174">
      <x:c r="E174" s="21"/>
      <x:c r="M174" s="25"/>
      <x:c r="N174" s="25"/>
      <x:c r="O174" s="25"/>
      <x:c r="P174" s="25"/>
      <x:c r="Q174" s="25"/>
      <x:c r="R174" s="25"/>
      <x:c r="S174" s="25"/>
    </x:row>
    <x:row r="175">
      <x:c r="E175" s="21"/>
      <x:c r="M175" s="25"/>
      <x:c r="N175" s="25"/>
      <x:c r="O175" s="25"/>
      <x:c r="P175" s="25"/>
      <x:c r="Q175" s="25"/>
      <x:c r="R175" s="25"/>
      <x:c r="S175" s="25"/>
    </x:row>
    <x:row r="176">
      <x:c r="E176" s="21"/>
      <x:c r="M176" s="25"/>
      <x:c r="N176" s="25"/>
      <x:c r="O176" s="25"/>
      <x:c r="P176" s="25"/>
      <x:c r="Q176" s="25"/>
      <x:c r="R176" s="25"/>
      <x:c r="S176" s="25"/>
    </x:row>
    <x:row r="177">
      <x:c r="E177" s="21"/>
      <x:c r="M177" s="25"/>
      <x:c r="N177" s="25"/>
      <x:c r="O177" s="25"/>
      <x:c r="P177" s="25"/>
      <x:c r="Q177" s="25"/>
      <x:c r="R177" s="25"/>
      <x:c r="S177" s="25"/>
    </x:row>
    <x:row r="178">
      <x:c r="E178" s="21"/>
      <x:c r="M178" s="25"/>
      <x:c r="N178" s="25"/>
      <x:c r="O178" s="25"/>
      <x:c r="P178" s="25"/>
      <x:c r="Q178" s="25"/>
      <x:c r="R178" s="25"/>
      <x:c r="S178" s="25"/>
    </x:row>
    <x:row r="179">
      <x:c r="E179" s="21"/>
      <x:c r="M179" s="25"/>
      <x:c r="N179" s="25"/>
      <x:c r="O179" s="25"/>
      <x:c r="P179" s="25"/>
      <x:c r="Q179" s="25"/>
      <x:c r="R179" s="25"/>
      <x:c r="S179" s="25"/>
    </x:row>
    <x:row r="180">
      <x:c r="E180" s="21"/>
      <x:c r="M180" s="25"/>
      <x:c r="N180" s="25"/>
      <x:c r="O180" s="25"/>
      <x:c r="P180" s="25"/>
      <x:c r="Q180" s="25"/>
      <x:c r="R180" s="25"/>
      <x:c r="S180" s="25"/>
    </x:row>
    <x:row r="181">
      <x:c r="E181" s="21"/>
      <x:c r="M181" s="25"/>
      <x:c r="N181" s="25"/>
      <x:c r="O181" s="25"/>
      <x:c r="P181" s="25"/>
      <x:c r="Q181" s="25"/>
      <x:c r="R181" s="25"/>
      <x:c r="S181" s="25"/>
    </x:row>
    <x:row r="182">
      <x:c r="E182" s="21"/>
      <x:c r="M182" s="25"/>
      <x:c r="N182" s="25"/>
      <x:c r="O182" s="25"/>
      <x:c r="P182" s="25"/>
      <x:c r="Q182" s="25"/>
      <x:c r="R182" s="25"/>
      <x:c r="S182" s="25"/>
    </x:row>
    <x:row r="183">
      <x:c r="E183" s="21"/>
      <x:c r="M183" s="25"/>
      <x:c r="N183" s="25"/>
      <x:c r="O183" s="25"/>
      <x:c r="P183" s="25"/>
      <x:c r="Q183" s="25"/>
      <x:c r="R183" s="25"/>
      <x:c r="S183" s="25"/>
    </x:row>
    <x:row r="184">
      <x:c r="E184" s="21"/>
      <x:c r="M184" s="25"/>
      <x:c r="N184" s="25"/>
      <x:c r="O184" s="25"/>
      <x:c r="P184" s="25"/>
      <x:c r="Q184" s="25"/>
      <x:c r="R184" s="25"/>
      <x:c r="S184" s="25"/>
    </x:row>
    <x:row r="185">
      <x:c r="E185" s="21"/>
      <x:c r="M185" s="25"/>
      <x:c r="N185" s="25"/>
      <x:c r="O185" s="25"/>
      <x:c r="P185" s="25"/>
      <x:c r="Q185" s="25"/>
      <x:c r="R185" s="25"/>
      <x:c r="S185" s="25"/>
    </x:row>
    <x:row r="186">
      <x:c r="E186" s="21"/>
      <x:c r="M186" s="25"/>
      <x:c r="N186" s="25"/>
      <x:c r="O186" s="25"/>
      <x:c r="P186" s="25"/>
      <x:c r="Q186" s="25"/>
      <x:c r="R186" s="25"/>
      <x:c r="S186" s="25"/>
    </x:row>
    <x:row r="187">
      <x:c r="E187" s="21"/>
      <x:c r="M187" s="25"/>
      <x:c r="N187" s="25"/>
      <x:c r="O187" s="25"/>
      <x:c r="P187" s="25"/>
      <x:c r="Q187" s="25"/>
      <x:c r="R187" s="25"/>
      <x:c r="S187" s="25"/>
    </x:row>
    <x:row r="188">
      <x:c r="E188" s="21"/>
      <x:c r="M188" s="25"/>
      <x:c r="N188" s="25"/>
      <x:c r="O188" s="25"/>
      <x:c r="P188" s="25"/>
      <x:c r="Q188" s="25"/>
      <x:c r="R188" s="25"/>
      <x:c r="S188" s="25"/>
    </x:row>
    <x:row r="189">
      <x:c r="E189" s="21"/>
      <x:c r="M189" s="25"/>
      <x:c r="N189" s="25"/>
      <x:c r="O189" s="25"/>
      <x:c r="P189" s="25"/>
      <x:c r="Q189" s="25"/>
      <x:c r="R189" s="25"/>
      <x:c r="S189" s="25"/>
    </x:row>
    <x:row r="190">
      <x:c r="E190" s="21"/>
      <x:c r="M190" s="25"/>
      <x:c r="N190" s="25"/>
      <x:c r="O190" s="25"/>
      <x:c r="P190" s="25"/>
      <x:c r="Q190" s="25"/>
      <x:c r="R190" s="25"/>
      <x:c r="S190" s="25"/>
    </x:row>
    <x:row r="191">
      <x:c r="E191" s="21"/>
      <x:c r="M191" s="25"/>
      <x:c r="N191" s="25"/>
      <x:c r="O191" s="25"/>
      <x:c r="P191" s="25"/>
      <x:c r="Q191" s="25"/>
      <x:c r="R191" s="25"/>
      <x:c r="S191" s="25"/>
    </x:row>
    <x:row r="192">
      <x:c r="E192" s="21"/>
      <x:c r="M192" s="25"/>
      <x:c r="N192" s="25"/>
      <x:c r="O192" s="25"/>
      <x:c r="P192" s="25"/>
      <x:c r="Q192" s="25"/>
      <x:c r="R192" s="25"/>
      <x:c r="S192" s="25"/>
    </x:row>
    <x:row r="193">
      <x:c r="E193" s="21"/>
      <x:c r="M193" s="25"/>
      <x:c r="N193" s="25"/>
      <x:c r="O193" s="25"/>
      <x:c r="P193" s="25"/>
      <x:c r="Q193" s="25"/>
      <x:c r="R193" s="25"/>
      <x:c r="S193" s="25"/>
    </x:row>
    <x:row r="194">
      <x:c r="E194" s="21"/>
      <x:c r="M194" s="25"/>
      <x:c r="N194" s="25"/>
      <x:c r="O194" s="25"/>
      <x:c r="P194" s="25"/>
      <x:c r="Q194" s="25"/>
      <x:c r="R194" s="25"/>
      <x:c r="S194" s="25"/>
    </x:row>
    <x:row r="195">
      <x:c r="E195" s="21"/>
      <x:c r="M195" s="25"/>
      <x:c r="N195" s="25"/>
      <x:c r="O195" s="25"/>
      <x:c r="P195" s="25"/>
      <x:c r="Q195" s="25"/>
      <x:c r="R195" s="25"/>
      <x:c r="S195" s="25"/>
    </x:row>
    <x:row r="196">
      <x:c r="E196" s="21"/>
      <x:c r="M196" s="25"/>
      <x:c r="N196" s="25"/>
      <x:c r="O196" s="25"/>
      <x:c r="P196" s="25"/>
      <x:c r="Q196" s="25"/>
      <x:c r="R196" s="25"/>
      <x:c r="S196" s="25"/>
    </x:row>
    <x:row r="197">
      <x:c r="E197" s="21"/>
      <x:c r="M197" s="25"/>
      <x:c r="N197" s="25"/>
      <x:c r="O197" s="25"/>
      <x:c r="P197" s="25"/>
      <x:c r="Q197" s="25"/>
      <x:c r="R197" s="25"/>
      <x:c r="S197" s="25"/>
    </x:row>
    <x:row r="198">
      <x:c r="E198" s="21"/>
      <x:c r="M198" s="25"/>
      <x:c r="N198" s="25"/>
      <x:c r="O198" s="25"/>
      <x:c r="P198" s="25"/>
      <x:c r="Q198" s="25"/>
      <x:c r="R198" s="25"/>
      <x:c r="S198" s="25"/>
    </x:row>
    <x:row r="199">
      <x:c r="E199" s="21"/>
      <x:c r="M199" s="25"/>
      <x:c r="N199" s="25"/>
      <x:c r="O199" s="25"/>
      <x:c r="P199" s="25"/>
      <x:c r="Q199" s="25"/>
      <x:c r="R199" s="25"/>
      <x:c r="S199" s="25"/>
    </x:row>
    <x:row r="200">
      <x:c r="E200" s="21"/>
      <x:c r="M200" s="25"/>
      <x:c r="N200" s="25"/>
      <x:c r="O200" s="25"/>
      <x:c r="P200" s="25"/>
      <x:c r="Q200" s="25"/>
      <x:c r="R200" s="25"/>
      <x:c r="S200" s="25"/>
    </x:row>
  </x:sheetData>
  <x:conditionalFormatting sqref="F4:F500">
    <x:cfRule type="expression" dxfId="3" priority="1">
      <x:formula>F4="Awarded"</x:formula>
    </x:cfRule>
    <x:cfRule type="expression" dxfId="4" priority="2">
      <x:formula>F4="Docs Found"</x:formula>
    </x:cfRule>
    <x:cfRule type="expression" dxfId="5" priority="3">
      <x:formula>F4="Login Required"</x:formula>
    </x:cfRule>
  </x:conditionalFormatting>
  <x:dataValidations count="3">
    <x:dataValidation type="list" sqref="F4:F500">
      <x:formula1>"To Search,Docs Found,Tech Extracted,Price Found,Awarded,No Result,Login Required"</x:formula1>
    </x:dataValidation>
    <x:dataValidation type="list" sqref="G4:G500">
      <x:formula1>"Domestic Regulator,Service Regulator,Commercial Regulator,Industrial Regulator,Metering skid,MRS/DRS/FRS/PRS/CGS,Gas meters,Valve/SSV/Relief,Other"</x:formula1>
    </x:dataValidation>
    <x:dataValidation type="list" sqref="U4:U500">
      <x:formula1>"Yes,No,Partial"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e0fff88bef4dd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6" hidden="0" customWidth="1"/>
    <x:col min="14" max="14" width="16" hidden="0" customWidth="1"/>
    <x:col min="15" max="15" width="18" hidden="0" customWidth="1"/>
    <x:col min="16" max="16" width="20" hidden="0" customWidth="1"/>
    <x:col min="17" max="17" width="40" hidden="0" customWidth="1"/>
    <x:col min="18" max="18" width="32" hidden="0" customWidth="1"/>
  </x:cols>
  <x:sheetData>
    <x:row r="1" ht="24" customHeight="1">
      <x:c r="A1" s="5" t="str">
        <x:v>05 Technical Database</x:v>
      </x:c>
    </x:row>
    <x:row r="3" ht="30" customHeight="1">
      <x:c r="A3" s="15" t="str">
        <x:v>Tender ID</x:v>
      </x:c>
      <x:c r="B3" s="15" t="str">
        <x:v>Product Segment</x:v>
      </x:c>
      <x:c r="C3" s="15" t="str">
        <x:v>Model/Type</x:v>
      </x:c>
      <x:c r="D3" s="15" t="str">
        <x:v>Inlet Pressure</x:v>
      </x:c>
      <x:c r="E3" s="15" t="str">
        <x:v>Outlet Pressure</x:v>
      </x:c>
      <x:c r="F3" s="15" t="str">
        <x:v>Capacity</x:v>
      </x:c>
      <x:c r="G3" s="15" t="str">
        <x:v>Accuracy Class</x:v>
      </x:c>
      <x:c r="H3" s="15" t="str">
        <x:v>Lock-up / SG</x:v>
      </x:c>
      <x:c r="I3" s="15" t="str">
        <x:v>OPSO</x:v>
      </x:c>
      <x:c r="J3" s="15" t="str">
        <x:v>UPSO</x:v>
      </x:c>
      <x:c r="K3" s="15" t="str">
        <x:v>Relief</x:v>
      </x:c>
      <x:c r="L3" s="15" t="str">
        <x:v>Monitor</x:v>
      </x:c>
      <x:c r="M3" s="15" t="str">
        <x:v>Body Material</x:v>
      </x:c>
      <x:c r="N3" s="15" t="str">
        <x:v>Connection</x:v>
      </x:c>
      <x:c r="O3" s="15" t="str">
        <x:v>Standard</x:v>
      </x:c>
      <x:c r="P3" s="15" t="str">
        <x:v>TPI / Certification</x:v>
      </x:c>
      <x:c r="Q3" s="15" t="str">
        <x:v>Source Page / URL</x:v>
      </x:c>
      <x:c r="R3" s="15" t="str">
        <x:v>Notes</x:v>
      </x:c>
    </x:row>
    <x:row r="4">
      <x:c r="A4" s="10" t="str">
        <x:v>T-0003</x:v>
      </x:c>
      <x:c r="B4" s="10" t="str">
        <x:v>Domestic Regulator</x:v>
      </x:c>
      <x:c r="C4" s="10" t="str">
        <x:v>To extract</x:v>
      </x:c>
      <x:c r="D4" s="10" t="str">
        <x:v>100 mbar</x:v>
      </x:c>
      <x:c r="E4" s="10" t="str">
        <x:v>21 mbar</x:v>
      </x:c>
      <x:c r="F4" s="10" t="str">
        <x:v>To extract</x:v>
      </x:c>
      <x:c r="G4" s="10" t="str">
        <x:v>To extract</x:v>
      </x:c>
      <x:c r="H4" s="10" t="str">
        <x:v>To extract</x:v>
      </x:c>
      <x:c r="I4" s="10" t="str">
        <x:v>To extract</x:v>
      </x:c>
      <x:c r="J4" s="10" t="str">
        <x:v>To extract</x:v>
      </x:c>
      <x:c r="K4" s="10" t="str">
        <x:v>To extract</x:v>
      </x:c>
      <x:c r="L4" s="10" t="str">
        <x:v>No/To extract</x:v>
      </x:c>
      <x:c r="M4" s="10" t="str">
        <x:v>To extract</x:v>
      </x:c>
      <x:c r="N4" s="10" t="str">
        <x:v>To extract</x:v>
      </x:c>
      <x:c r="O4" s="10" t="str">
        <x:v>To extract</x:v>
      </x:c>
      <x:c r="P4" s="10" t="str">
        <x:v>To extract</x:v>
      </x:c>
      <x:c r="Q4" s="10" t="str">
        <x:v>https://www.gasonet.in/files/Tender-%20Domestic%20Service%20Regulator.pdf</x:v>
      </x:c>
      <x:c r="R4" s="10" t="str">
        <x:v>Fill from datasheet</x:v>
      </x:c>
    </x:row>
    <x:row r="5">
      <x:c r="A5" s="10" t="str">
        <x:v>T-0003</x:v>
      </x:c>
      <x:c r="B5" s="10" t="str">
        <x:v>Service Regulator</x:v>
      </x:c>
      <x:c r="C5" s="10" t="str">
        <x:v>To extract</x:v>
      </x:c>
      <x:c r="D5" s="10" t="str">
        <x:v>To extract</x:v>
      </x:c>
      <x:c r="E5" s="10" t="str">
        <x:v>To extract</x:v>
      </x:c>
      <x:c r="F5" s="10" t="str">
        <x:v>10/25/50/100 SCMH?</x:v>
      </x:c>
      <x:c r="G5" s="10" t="str">
        <x:v>To extract</x:v>
      </x:c>
      <x:c r="H5" s="10" t="str">
        <x:v>To extract</x:v>
      </x:c>
      <x:c r="I5" s="10" t="str">
        <x:v>To extract</x:v>
      </x:c>
      <x:c r="J5" s="10" t="str">
        <x:v>To extract</x:v>
      </x:c>
      <x:c r="K5" s="10" t="str">
        <x:v>To extract</x:v>
      </x:c>
      <x:c r="L5" s="10" t="str">
        <x:v>To extract</x:v>
      </x:c>
      <x:c r="M5" s="10" t="str">
        <x:v>To extract</x:v>
      </x:c>
      <x:c r="N5" s="10" t="str">
        <x:v>To extract</x:v>
      </x:c>
      <x:c r="O5" s="10" t="str">
        <x:v>To extract</x:v>
      </x:c>
      <x:c r="P5" s="10" t="str">
        <x:v>To extract</x:v>
      </x:c>
      <x:c r="Q5" s="10" t="str">
        <x:v>https://www.gasonet.in/files/Tender-%20Domestic%20Service%20Regulator.pdf</x:v>
      </x:c>
      <x:c r="R5" s="10" t="str">
        <x:v>Important ESKA segment</x:v>
      </x:c>
    </x:row>
  </x:sheetData>
  <x:pageMargins left="0.7" right="0.7" top="0.75" bottom="0.75" header="0.3" footer="0.3"/>
  <x:tableParts count="1">
    <x:tablePart xmlns:r="http://schemas.openxmlformats.org/officeDocument/2006/relationships" r:id="R521c129c635842e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10" hidden="0" customWidth="1"/>
    <x:col min="4" max="4" width="22" hidden="0" customWidth="1"/>
    <x:col min="5" max="5" width="18" hidden="0" customWidth="1"/>
    <x:col min="6" max="6" width="12" hidden="0" customWidth="1"/>
    <x:col min="7" max="7" width="24" hidden="0" customWidth="1"/>
    <x:col min="8" max="8" width="18" hidden="0" customWidth="1"/>
    <x:col min="9" max="9" width="16" hidden="0" customWidth="1"/>
    <x:col min="10" max="10" width="16" hidden="0" customWidth="1"/>
    <x:col min="11" max="11" width="16" hidden="0" customWidth="1"/>
    <x:col min="12" max="12" width="18" hidden="0" customWidth="1"/>
    <x:col min="13" max="13" width="12" hidden="0" customWidth="1"/>
    <x:col min="14" max="14" width="40" hidden="0" customWidth="1"/>
    <x:col min="15" max="15" width="36" hidden="0" customWidth="1"/>
  </x:cols>
  <x:sheetData>
    <x:row r="1" ht="24" customHeight="1">
      <x:c r="A1" s="5" t="str">
        <x:v>06 Price Intelligence</x:v>
      </x:c>
    </x:row>
    <x:row r="3" ht="30" customHeight="1">
      <x:c r="A3" s="15" t="str">
        <x:v>Tender ID</x:v>
      </x:c>
      <x:c r="B3" s="15" t="str">
        <x:v>Company</x:v>
      </x:c>
      <x:c r="C3" s="15" t="str">
        <x:v>Year</x:v>
      </x:c>
      <x:c r="D3" s="15" t="str">
        <x:v>Product Segment</x:v>
      </x:c>
      <x:c r="E3" s="15" t="str">
        <x:v>Capacity</x:v>
      </x:c>
      <x:c r="F3" s="15" t="str">
        <x:v>Qty</x:v>
      </x:c>
      <x:c r="G3" s="15" t="str">
        <x:v>Winner</x:v>
      </x:c>
      <x:c r="H3" s="15" t="str">
        <x:v>Brand</x:v>
      </x:c>
      <x:c r="I3" s="15" t="str">
        <x:v>Total INR Basic</x:v>
      </x:c>
      <x:c r="J3" s="15" t="str">
        <x:v>Total EUR Basic</x:v>
      </x:c>
      <x:c r="K3" s="15" t="str">
        <x:v>Unit EUR Basic</x:v>
      </x:c>
      <x:c r="L3" s="15" t="str">
        <x:v>Unit EUR Incl GST</x:v>
      </x:c>
      <x:c r="M3" s="15" t="str">
        <x:v>Confidence</x:v>
      </x:c>
      <x:c r="N3" s="15" t="str">
        <x:v>Source URL</x:v>
      </x:c>
      <x:c r="O3" s="15" t="str">
        <x:v>Notes</x:v>
      </x:c>
    </x:row>
    <x:row r="4">
      <x:c r="A4" s="10" t="str">
        <x:v>T-0001</x:v>
      </x:c>
      <x:c r="B4" s="10" t="str">
        <x:v>GAIL India</x:v>
      </x:c>
      <x:c r="C4" s="10" t="n">
        <x:v>2025</x:v>
      </x:c>
      <x:c r="D4" s="10" t="str">
        <x:v>Metering skid</x:v>
      </x:c>
      <x:c r="E4" s="10" t="str">
        <x:v>RPD metering skid</x:v>
      </x:c>
      <x:c r="F4" s="10" t="n">
        <x:v>3</x:v>
      </x:c>
      <x:c r="G4" s="10" t="str">
        <x:v>Kimpex Flow Pvt. Ltd.</x:v>
      </x:c>
      <x:c r="H4" s="10" t="str">
        <x:v>Unknown</x:v>
      </x:c>
      <x:c r="I4" s="10" t="n">
        <x:f>'04 Tender Register'!M4</x:f>
        <x:v>3000222</x:v>
      </x:c>
      <x:c r="J4" s="10" t="n">
        <x:f>'04 Tender Register'!Q4</x:f>
        <x:v>33164.04646370024</x:v>
      </x:c>
      <x:c r="K4" s="10" t="n">
        <x:f>'04 Tender Register'!R4</x:f>
        <x:v>9368.374707259953</x:v>
      </x:c>
      <x:c r="L4" s="10" t="n">
        <x:f>'04 Tender Register'!S4</x:f>
        <x:v>11054.682154566746</x:v>
      </x:c>
      <x:c r="M4" s="10" t="str">
        <x:v>Medium</x:v>
      </x:c>
      <x:c r="N4" s="10" t="str">
        <x:v>https://gailtenders.in/Gailtenders/writereaddata/AOC/loa_20250806_102439.pdf</x:v>
      </x:c>
      <x:c r="O4" s="10" t="str">
        <x:v>Not regulator; useful skid benchmark</x:v>
      </x:c>
    </x:row>
    <x:row r="5">
      <x:c r="A5" s="10" t="str">
        <x:v>T-0003</x:v>
      </x:c>
      <x:c r="B5" s="10" t="str">
        <x:v>Gasonet</x:v>
      </x:c>
      <x:c r="C5" s="10" t="n">
        <x:v>2024</x:v>
      </x:c>
      <x:c r="D5" s="10" t="str">
        <x:v>Domestic + Service Regulator</x:v>
      </x:c>
      <x:c r="E5" s="10" t="str">
        <x:v>Mixed</x:v>
      </x:c>
      <x:c r="F5" s="10" t="n">
        <x:v>938</x:v>
      </x:c>
      <x:c r="G5" s="10" t="str">
        <x:v>Not found</x:v>
      </x:c>
      <x:c r="H5" s="10" t="str">
        <x:v>Unknown</x:v>
      </x:c>
      <x:c r="I5" s="10" t="str"/>
      <x:c r="J5" s="10" t="str"/>
      <x:c r="K5" s="10" t="str"/>
      <x:c r="L5" s="10" t="str"/>
      <x:c r="M5" s="10" t="str">
        <x:v>Low</x:v>
      </x:c>
      <x:c r="N5" s="10" t="str">
        <x:v>https://www.gasonet.in/files/Tender-%20Domestic%20Service%20Regulator.pdf</x:v>
      </x:c>
      <x:c r="O5" s="10" t="str">
        <x:v>Await price bid/award</x:v>
      </x:c>
    </x:row>
    <x:row r="6">
      <x:c r="A6" s="10" t="str">
        <x:v>T-0004</x:v>
      </x:c>
      <x:c r="B6" s="10" t="str">
        <x:v>Vadodara Gas</x:v>
      </x:c>
      <x:c r="C6" s="10" t="n">
        <x:v>2025</x:v>
      </x:c>
      <x:c r="D6" s="10" t="str">
        <x:v>Domestic Regulator</x:v>
      </x:c>
      <x:c r="E6" s="10" t="str">
        <x:v>Domestic</x:v>
      </x:c>
      <x:c r="F6" s="10" t="n">
        <x:v>50000</x:v>
      </x:c>
      <x:c r="G6" s="10" t="str">
        <x:v>Not found</x:v>
      </x:c>
      <x:c r="H6" s="10" t="str">
        <x:v>Unknown</x:v>
      </x:c>
      <x:c r="I6" s="10" t="str"/>
      <x:c r="J6" s="10" t="str"/>
      <x:c r="K6" s="10" t="str"/>
      <x:c r="L6" s="10" t="str"/>
      <x:c r="M6" s="10" t="str">
        <x:v>Low</x:v>
      </x:c>
      <x:c r="N6" s="10" t="str">
        <x:v>https://www.vgl.co.in/wp-content/uploads/2025/pdf/Replies-to-Bidders-Domestic-Regulator-P066-23-24-Additional.pdf</x:v>
      </x:c>
      <x:c r="O6" s="10" t="str">
        <x:v>Await award price</x:v>
      </x:c>
    </x:row>
  </x:sheetData>
  <x:pageMargins left="0.7" right="0.7" top="0.75" bottom="0.75" header="0.3" footer="0.3"/>
  <x:tableParts count="1">
    <x:tablePart xmlns:r="http://schemas.openxmlformats.org/officeDocument/2006/relationships" r:id="R02777bd05e1f440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32" hidden="0" customWidth="1"/>
    <x:col min="6" max="6" width="12" hidden="0" customWidth="1"/>
    <x:col min="7" max="7" width="40" hidden="0" customWidth="1"/>
  </x:cols>
  <x:sheetData>
    <x:row r="1" ht="24" customHeight="1">
      <x:c r="A1" s="5" t="str">
        <x:v>07 Competitor DB</x:v>
      </x:c>
    </x:row>
    <x:row r="3" ht="30" customHeight="1">
      <x:c r="A3" s="15" t="str">
        <x:v>Competitor</x:v>
      </x:c>
      <x:c r="B3" s="15" t="str">
        <x:v>Country</x:v>
      </x:c>
      <x:c r="C3" s="15" t="str">
        <x:v>Role</x:v>
      </x:c>
      <x:c r="D3" s="15" t="str">
        <x:v>Likely Segment</x:v>
      </x:c>
      <x:c r="E3" s="15" t="str">
        <x:v>Website</x:v>
      </x:c>
      <x:c r="F3" s="15" t="str">
        <x:v>Relevance</x:v>
      </x:c>
      <x:c r="G3" s="15" t="str">
        <x:v>Notes</x:v>
      </x:c>
    </x:row>
    <x:row r="4">
      <x:c r="A4" s="10" t="str">
        <x:v>Vanaz Engineers</x:v>
      </x:c>
      <x:c r="B4" s="10" t="str">
        <x:v>India</x:v>
      </x:c>
      <x:c r="C4" s="10" t="str">
        <x:v>OEM</x:v>
      </x:c>
      <x:c r="D4" s="10" t="str">
        <x:v>Domestic/service/industrial regulators</x:v>
      </x:c>
      <x:c r="E4" s="10" t="str">
        <x:v>https://vanaz.com</x:v>
      </x:c>
      <x:c r="F4" s="10" t="str">
        <x:v>High</x:v>
      </x:c>
      <x:c r="G4" s="10" t="str">
        <x:v>Frequently seen in Indian gas market</x:v>
      </x:c>
    </x:row>
    <x:row r="5">
      <x:c r="A5" s="10" t="str">
        <x:v>Pietro Fiorentini</x:v>
      </x:c>
      <x:c r="B5" s="10" t="str">
        <x:v>Italy/India</x:v>
      </x:c>
      <x:c r="C5" s="10" t="str">
        <x:v>OEM</x:v>
      </x:c>
      <x:c r="D5" s="10" t="str">
        <x:v>Industrial/service regulators, stations</x:v>
      </x:c>
      <x:c r="E5" s="10" t="str">
        <x:v>https://www.fiorentini.com</x:v>
      </x:c>
      <x:c r="F5" s="10" t="str">
        <x:v>High</x:v>
      </x:c>
      <x:c r="G5" s="10" t="str">
        <x:v>Strong C&amp;I/PRS/MRS competitor</x:v>
      </x:c>
    </x:row>
    <x:row r="6">
      <x:c r="A6" s="10" t="str">
        <x:v>Honeywell / Elster</x:v>
      </x:c>
      <x:c r="B6" s="10" t="str">
        <x:v>USA/India</x:v>
      </x:c>
      <x:c r="C6" s="10" t="str">
        <x:v>OEM</x:v>
      </x:c>
      <x:c r="D6" s="10" t="str">
        <x:v>Meters/regulators</x:v>
      </x:c>
      <x:c r="E6" s="10" t="str">
        <x:v>https://process.honeywell.com</x:v>
      </x:c>
      <x:c r="F6" s="10" t="str">
        <x:v>Medium</x:v>
      </x:c>
      <x:c r="G6" s="10" t="str">
        <x:v>Often in meter/regulator ecosystem</x:v>
      </x:c>
    </x:row>
    <x:row r="7">
      <x:c r="A7" s="10" t="str">
        <x:v>Itron</x:v>
      </x:c>
      <x:c r="B7" s="10" t="str">
        <x:v>USA/India</x:v>
      </x:c>
      <x:c r="C7" s="10" t="str">
        <x:v>OEM</x:v>
      </x:c>
      <x:c r="D7" s="10" t="str">
        <x:v>Meters/regulators</x:v>
      </x:c>
      <x:c r="E7" s="10" t="str">
        <x:v>https://www.itron.com</x:v>
      </x:c>
      <x:c r="F7" s="10" t="str">
        <x:v>Medium</x:v>
      </x:c>
      <x:c r="G7" s="10" t="str">
        <x:v>Domestic/commercial gas ecosystem</x:v>
      </x:c>
    </x:row>
    <x:row r="8">
      <x:c r="A8" s="10" t="str">
        <x:v>Mesura Nirmal Gas Controls</x:v>
      </x:c>
      <x:c r="B8" s="10" t="str">
        <x:v>India</x:v>
      </x:c>
      <x:c r="C8" s="10" t="str">
        <x:v>OEM</x:v>
      </x:c>
      <x:c r="D8" s="10" t="str">
        <x:v>Domestic/service regulators</x:v>
      </x:c>
      <x:c r="E8" s="10" t="str">
        <x:v>https://mesura.in</x:v>
      </x:c>
      <x:c r="F8" s="10" t="str">
        <x:v>High</x:v>
      </x:c>
      <x:c r="G8" s="10" t="str">
        <x:v>Indian regulator competitor</x:v>
      </x:c>
    </x:row>
    <x:row r="9">
      <x:c r="A9" s="10" t="str">
        <x:v>Kabsons Gas Equipment</x:v>
      </x:c>
      <x:c r="B9" s="10" t="str">
        <x:v>India</x:v>
      </x:c>
      <x:c r="C9" s="10" t="str">
        <x:v>OEM</x:v>
      </x:c>
      <x:c r="D9" s="10" t="str">
        <x:v>Domestic regulators</x:v>
      </x:c>
      <x:c r="E9" s="10" t="str">
        <x:v>https://kabsons.com</x:v>
      </x:c>
      <x:c r="F9" s="10" t="str">
        <x:v>High</x:v>
      </x:c>
      <x:c r="G9" s="10" t="str">
        <x:v>Awarded domestic regulator source found</x:v>
      </x:c>
    </x:row>
    <x:row r="10">
      <x:c r="A10" s="10" t="str">
        <x:v>Prabha Electronics</x:v>
      </x:c>
      <x:c r="B10" s="10" t="str">
        <x:v>India</x:v>
      </x:c>
      <x:c r="C10" s="10" t="str">
        <x:v>Supplier/OEM</x:v>
      </x:c>
      <x:c r="D10" s="10" t="str">
        <x:v>Domestic regulators/meters</x:v>
      </x:c>
      <x:c r="E10" s="10" t="str">
        <x:v>To verify</x:v>
      </x:c>
      <x:c r="F10" s="10" t="str">
        <x:v>Medium</x:v>
      </x:c>
      <x:c r="G10" s="10" t="str">
        <x:v>Award source found in tender portals</x:v>
      </x:c>
    </x:row>
    <x:row r="11">
      <x:c r="A11" s="10" t="str">
        <x:v>Madas</x:v>
      </x:c>
      <x:c r="B11" s="10" t="str">
        <x:v>Italy</x:v>
      </x:c>
      <x:c r="C11" s="10" t="str">
        <x:v>OEM</x:v>
      </x:c>
      <x:c r="D11" s="10" t="str">
        <x:v>Gas regulators/filters/SSV</x:v>
      </x:c>
      <x:c r="E11" s="10" t="str">
        <x:v>https://www.madas.it</x:v>
      </x:c>
      <x:c r="F11" s="10" t="str">
        <x:v>Medium</x:v>
      </x:c>
      <x:c r="G11" s="10" t="str">
        <x:v>Possible imported competitor</x:v>
      </x:c>
    </x:row>
    <x:row r="12">
      <x:c r="A12" s="10" t="str">
        <x:v>Emerson / Fisher</x:v>
      </x:c>
      <x:c r="B12" s="10" t="str">
        <x:v>USA/India</x:v>
      </x:c>
      <x:c r="C12" s="10" t="str">
        <x:v>OEM</x:v>
      </x:c>
      <x:c r="D12" s="10" t="str">
        <x:v>Industrial regulators</x:v>
      </x:c>
      <x:c r="E12" s="10" t="str">
        <x:v>https://www.emerson.com</x:v>
      </x:c>
      <x:c r="F12" s="10" t="str">
        <x:v>Medium</x:v>
      </x:c>
      <x:c r="G12" s="10" t="str">
        <x:v>Industrial/PRS segment</x:v>
      </x:c>
    </x:row>
    <x:row r="13">
      <x:c r="A13" s="10" t="str">
        <x:v>Kromschroeder / Honeywell</x:v>
      </x:c>
      <x:c r="B13" s="10" t="str">
        <x:v>Germany/USA</x:v>
      </x:c>
      <x:c r="C13" s="10" t="str">
        <x:v>OEM</x:v>
      </x:c>
      <x:c r="D13" s="10" t="str">
        <x:v>Gas controls</x:v>
      </x:c>
      <x:c r="E13" s="10" t="str">
        <x:v>https://process.honeywell.com</x:v>
      </x:c>
      <x:c r="F13" s="10" t="str">
        <x:v>Medium</x:v>
      </x:c>
      <x:c r="G13" s="10" t="str">
        <x:v>Gas train components</x:v>
      </x:c>
    </x:row>
    <x:row r="14">
      <x:c r="A14" s="10" t="str">
        <x:v>ESKA Valve</x:v>
      </x:c>
      <x:c r="B14" s="10" t="str">
        <x:v>Türkiye</x:v>
      </x:c>
      <x:c r="C14" s="10" t="str">
        <x:v>OEM</x:v>
      </x:c>
      <x:c r="D14" s="10" t="str">
        <x:v>Domestic/service/industrial regulators</x:v>
      </x:c>
      <x:c r="E14" s="10" t="str">
        <x:v>https://eskavalve.com</x:v>
      </x:c>
      <x:c r="F14" s="10" t="str">
        <x:v>Target</x:v>
      </x:c>
      <x:c r="G14" s="10" t="str">
        <x:v>Our benchmark row</x:v>
      </x:c>
    </x:row>
  </x:sheetData>
  <x:pageMargins left="0.7" right="0.7" top="0.75" bottom="0.75" header="0.3" footer="0.3"/>
  <x:tableParts count="1">
    <x:tablePart xmlns:r="http://schemas.openxmlformats.org/officeDocument/2006/relationships" r:id="R4eb2466a0a8c41d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6" hidden="0" customWidth="1"/>
    <x:col min="3" max="3" width="70" hidden="0" customWidth="1"/>
  </x:cols>
  <x:sheetData>
    <x:row r="1" ht="24" customHeight="1">
      <x:c r="A1" s="5" t="str">
        <x:v>08 Source Log</x:v>
      </x:c>
    </x:row>
    <x:row r="3" ht="30" customHeight="1">
      <x:c r="A3" s="15" t="str">
        <x:v>Source</x:v>
      </x:c>
      <x:c r="B3" s="15" t="str">
        <x:v>Use</x:v>
      </x:c>
      <x:c r="C3" s="15" t="str">
        <x:v>URL</x:v>
      </x:c>
    </x:row>
    <x:row r="4">
      <x:c r="A4" s="10" t="str">
        <x:v>PNGRB CGD authorisation list</x:v>
      </x:c>
      <x:c r="B4" s="10" t="str">
        <x:v>Official regulator list for GA/entity mapping</x:v>
      </x:c>
      <x:c r="C4" s="10" t="str">
        <x:v>https://pngrb.gov.in/eng-web/cgd-auth.html</x:v>
      </x:c>
    </x:row>
    <x:row r="5">
      <x:c r="A5" s="10" t="str">
        <x:v>PNGRB State and Entity-wise PDF</x:v>
      </x:c>
      <x:c r="B5" s="10" t="str">
        <x:v>Entity-wise list of GAs</x:v>
      </x:c>
      <x:c r="C5" s="10" t="str">
        <x:v>https://pngrb.gov.in/pdf/faqs/List_entities_with_States%26GA%27s.pdf</x:v>
      </x:c>
    </x:row>
    <x:row r="6">
      <x:c r="A6" s="10" t="str">
        <x:v>Gujarat Gas Tenders</x:v>
      </x:c>
      <x:c r="B6" s="10" t="str">
        <x:v>Official tender page; nProcure instructions</x:v>
      </x:c>
      <x:c r="C6" s="10" t="str">
        <x:v>https://www.gujaratgas.com/tenders/</x:v>
      </x:c>
    </x:row>
    <x:row r="7">
      <x:c r="A7" s="10" t="str">
        <x:v>Torrent Gas Vendor Registration</x:v>
      </x:c>
      <x:c r="B7" s="10" t="str">
        <x:v>Vendor page and procurement email</x:v>
      </x:c>
      <x:c r="C7" s="10" t="str">
        <x:v>https://www.torrentgas.com/User/Info/Vendor</x:v>
      </x:c>
    </x:row>
    <x:row r="8">
      <x:c r="A8" s="10" t="str">
        <x:v>GAIL Gas Vendor Zone</x:v>
      </x:c>
      <x:c r="B8" s="10" t="str">
        <x:v>Tender information/vendor zone</x:v>
      </x:c>
      <x:c r="C8" s="10" t="str">
        <x:v>https://gailgas.com/stakeholder-zone/vendor-zone</x:v>
      </x:c>
    </x:row>
    <x:row r="9">
      <x:c r="A9" s="10" t="str">
        <x:v>IGL Tender Portal</x:v>
      </x:c>
      <x:c r="B9" s="10" t="str">
        <x:v>Active tenders and vendor portal</x:v>
      </x:c>
      <x:c r="C9" s="10" t="str">
        <x:v>https://tenders.iglonline.net/tenderList</x:v>
      </x:c>
    </x:row>
    <x:row r="10">
      <x:c r="A10" s="10" t="str">
        <x:v>MNGL Active Tenders</x:v>
      </x:c>
      <x:c r="B10" s="10" t="str">
        <x:v>Active tenders page</x:v>
      </x:c>
      <x:c r="C10" s="10" t="str">
        <x:v>https://mngl.in/active-tenders</x:v>
      </x:c>
    </x:row>
    <x:row r="11">
      <x:c r="A11" s="10" t="str">
        <x:v>MNGL Instructions</x:v>
      </x:c>
      <x:c r="B11" s="10" t="str">
        <x:v>CPPP/DSC online bid instructions</x:v>
      </x:c>
      <x:c r="C11" s="10" t="str">
        <x:v>https://mngl.in/vendor/instructions-to-bridders</x:v>
      </x:c>
    </x:row>
    <x:row r="12">
      <x:c r="A12" s="10" t="str">
        <x:v>Gasonet Tenders</x:v>
      </x:c>
      <x:c r="B12" s="10" t="str">
        <x:v>Gasonet official tender page</x:v>
      </x:c>
      <x:c r="C12" s="10" t="str">
        <x:v>https://www.gasonet.in/tenders.html</x:v>
      </x:c>
    </x:row>
    <x:row r="13">
      <x:c r="A13" s="10" t="str">
        <x:v>Gasonet Regulator PDF</x:v>
      </x:c>
      <x:c r="B13" s="10" t="str">
        <x:v>Domestic and service regulator tender PDF</x:v>
      </x:c>
      <x:c r="C13" s="10" t="str">
        <x:v>https://www.gasonet.in/files/Tender-%20Domestic%20Service%20Regulator.pdf</x:v>
      </x:c>
    </x:row>
    <x:row r="14">
      <x:c r="A14" s="10" t="str">
        <x:v>CPPP/eProcure</x:v>
      </x:c>
      <x:c r="B14" s="10" t="str">
        <x:v>Central eProcurement portal</x:v>
      </x:c>
      <x:c r="C14" s="10" t="str">
        <x:v>https://www.etenders.gov.in/eprocure/app</x:v>
      </x:c>
    </x:row>
    <x:row r="15">
      <x:c r="A15" s="10" t="str">
        <x:v>Adani Total Gas Commercials</x:v>
      </x:c>
      <x:c r="B15" s="10" t="str">
        <x:v>Vendor registration/tender/EOI page</x:v>
      </x:c>
      <x:c r="C15" s="10" t="str">
        <x:v>https://www.adanigas.com/commercials</x:v>
      </x:c>
    </x:row>
    <x:row r="16">
      <x:c r="A16" s="10" t="str">
        <x:v>IOAGPL Vendor Registration</x:v>
      </x:c>
      <x:c r="B16" s="10" t="str">
        <x:v>Vendor registration form and requirements</x:v>
      </x:c>
      <x:c r="C16" s="10" t="str">
        <x:v>https://ioagpl.com/vendor-registration-form/</x:v>
      </x:c>
    </x:row>
    <x:row r="17">
      <x:c r="A17" s="10" t="str">
        <x:v>IOCL CGD page</x:v>
      </x:c>
      <x:c r="B17" s="10" t="str">
        <x:v>IndianOil CGD presence and GA count</x:v>
      </x:c>
      <x:c r="C17" s="10" t="str">
        <x:v>https://iocl.com/pages/cgd</x:v>
      </x:c>
    </x:row>
    <x:row r="18">
      <x:c r="A18" s="10" t="str">
        <x:v>BPCL CGD page</x:v>
      </x:c>
      <x:c r="B18" s="10" t="str">
        <x:v>BPCL CGD business overview</x:v>
      </x:c>
      <x:c r="C18" s="10" t="str">
        <x:v>https://bharatpetroleum.in/bharat-petroleum-for/our-businesses/gas/city-gas-distribution</x:v>
      </x:c>
    </x:row>
    <x:row r="19">
      <x:c r="A19" s="10" t="str">
        <x:v>Parliament question annex 2025</x:v>
      </x:c>
      <x:c r="B19" s="10" t="str">
        <x:v>CGD network status and GA coverage info</x:v>
      </x:c>
      <x:c r="C19" s="10" t="str">
        <x:v>https://sansad.in/getFile/annex/268/AS88_3wbG6t.pdf?source=pqars</x:v>
      </x:c>
    </x:row>
  </x:sheetData>
  <x:pageMargins left="0.7" right="0.7" top="0.75" bottom="0.75" header="0.3" footer="0.3"/>
  <x:tableParts count="1">
    <x:tablePart xmlns:r="http://schemas.openxmlformats.org/officeDocument/2006/relationships" r:id="R897c4a2c8210492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0" hidden="0" customWidth="1"/>
  </x:cols>
  <x:sheetData>
    <x:row r="1" ht="28" customHeight="1">
      <x:c r="A1" s="28" t="str">
        <x:v>India Procurement Intelligence Database</x:v>
      </x:c>
    </x:row>
    <x:row r="3">
      <x:c r="A3" s="32" t="str">
        <x:v>Created for</x:v>
      </x:c>
      <x:c r="B3" s="10" t="str">
        <x:v>ESKA India regulator price/tender intelligence</x:v>
      </x:c>
      <x:c r="D3" s="37" t="str">
        <x:v>Tier</x:v>
      </x:c>
      <x:c r="E3" s="37" t="str">
        <x:v>Count</x:v>
      </x:c>
    </x:row>
    <x:row r="4">
      <x:c r="A4" s="32" t="str">
        <x:v>Created on</x:v>
      </x:c>
      <x:c r="B4" s="10" t="str">
        <x:v>2026-02-04</x:v>
      </x:c>
      <x:c r="D4" t="str">
        <x:v>Tier 1</x:v>
      </x:c>
      <x:c r="E4" s="42" t="n">
        <x:f>COUNTIF('01 Portal Master'!A4:A200,"Tier 1")</x:f>
        <x:v>11</x:v>
      </x:c>
    </x:row>
    <x:row r="5">
      <x:c r="A5" s="32" t="str">
        <x:v>Portal rows</x:v>
      </x:c>
      <x:c r="B5" s="40" t="n">
        <x:f>COUNTA('01 Portal Master'!B4:B200)</x:f>
        <x:v>51</x:v>
      </x:c>
      <x:c r="D5" t="str">
        <x:v>Tier 2</x:v>
      </x:c>
      <x:c r="E5" s="42" t="n">
        <x:f>COUNTIF('01 Portal Master'!A4:A200,"Tier 2")</x:f>
        <x:v>18</x:v>
      </x:c>
    </x:row>
    <x:row r="6">
      <x:c r="A6" s="32" t="str">
        <x:v>High relevance targets</x:v>
      </x:c>
      <x:c r="B6" s="40" t="n">
        <x:f>COUNTIF('01 Portal Master'!H4:H200,"High")</x:f>
        <x:v>22</x:v>
      </x:c>
      <x:c r="D6" t="str">
        <x:v>Tier 3</x:v>
      </x:c>
      <x:c r="E6" s="42" t="n">
        <x:f>COUNTIF('01 Portal Master'!A4:A200,"Tier 3")</x:f>
        <x:v>22</x:v>
      </x:c>
    </x:row>
    <x:row r="7">
      <x:c r="A7" s="32" t="str">
        <x:v>Tenders logged</x:v>
      </x:c>
      <x:c r="B7" s="40" t="n">
        <x:f>COUNTA('04 Tender Register'!A4:A500)</x:f>
        <x:v>4</x:v>
      </x:c>
    </x:row>
    <x:row r="8">
      <x:c r="A8" s="32" t="str">
        <x:v>Awarded / price rows</x:v>
      </x:c>
      <x:c r="B8" s="40" t="n">
        <x:f>COUNTIF('04 Tender Register'!F4:F500,"Awarded")</x:f>
        <x:v>2</x:v>
      </x:c>
    </x:row>
    <x:row r="9">
      <x:c r="A9" s="32" t="str">
        <x:v>Primary search portal</x:v>
      </x:c>
      <x:c r="B9" s="10" t="str">
        <x:v>CPPP / GAIL / IGL / GGL / MNGL / Gasonet</x:v>
      </x:c>
    </x:row>
    <x:row r="10">
      <x:c r="A10" s="32" t="str">
        <x:v>FX default INR/EUR</x:v>
      </x:c>
      <x:c r="B10" s="10" t="str">
        <x:v>106.75</x:v>
      </x:c>
    </x:row>
    <x:row r="11">
      <x:c r="A11" s="32" t="str">
        <x:v>Next weekly action</x:v>
      </x:c>
      <x:c r="B11" s="10" t="str">
        <x:v>Add 10 PDFs and extract quantities/prices</x:v>
      </x:c>
    </x:row>
    <x:row r="12">
      <x:c r="A12" s="32"/>
      <x:c r="B12" s="10"/>
    </x:row>
  </x:sheetData>
  <x:pageMargins left="0.7" right="0.7" top="0.75" bottom="0.75" header="0.3" footer="0.3"/>
  <x:drawing xmlns:r="http://schemas.openxmlformats.org/officeDocument/2006/relationships" r:id="R3863c2226a4444b4"/>
</x:worksheet>
</file>